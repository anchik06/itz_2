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7ff268ede9d47295/Desktop/"/>
    </mc:Choice>
  </mc:AlternateContent>
  <xr:revisionPtr revIDLastSave="0" documentId="8_{F8BF4FCF-860E-462C-8637-C278BD790D01}" xr6:coauthVersionLast="47" xr6:coauthVersionMax="47" xr10:uidLastSave="{00000000-0000-0000-0000-000000000000}"/>
  <bookViews>
    <workbookView xWindow="3000" yWindow="3000" windowWidth="17280" windowHeight="9960" activeTab="6" xr2:uid="{00000000-000D-0000-FFFF-FFFF00000000}"/>
  </bookViews>
  <sheets>
    <sheet name="Лист5" sheetId="1" state="hidden" r:id="rId1"/>
    <sheet name="общее (2)" sheetId="2" state="hidden" r:id="rId2"/>
    <sheet name="общее" sheetId="3" state="hidden" r:id="rId3"/>
    <sheet name="Лист2" sheetId="4" state="hidden" r:id="rId4"/>
    <sheet name="Лист4" sheetId="5" state="hidden" r:id="rId5"/>
    <sheet name="Лист8" sheetId="6" state="hidden" r:id="rId6"/>
    <sheet name="Сводная ставка" sheetId="7" r:id="rId7"/>
    <sheet name="Нагрузка" sheetId="8" r:id="rId8"/>
    <sheet name="19-20" sheetId="9" state="hidden" r:id="rId9"/>
    <sheet name="сводная 12" sheetId="10" state="hidden" r:id="rId10"/>
    <sheet name="Дип Магистры" sheetId="11" state="hidden" r:id="rId11"/>
    <sheet name="Дип Бакалавры" sheetId="12" state="hidden" r:id="rId12"/>
    <sheet name="для  комп" sheetId="13" state="hidden" r:id="rId13"/>
    <sheet name="Лист1" sheetId="14" state="hidden" r:id="rId14"/>
    <sheet name="Лист3" sheetId="15" state="hidden" r:id="rId15"/>
    <sheet name="порошки" sheetId="16" state="hidden" r:id="rId16"/>
    <sheet name="Лист17" sheetId="17" state="hidden" r:id="rId17"/>
  </sheets>
  <definedNames>
    <definedName name="_xlnm._FilterDatabase" localSheetId="8" hidden="1">'19-20'!$A$3:$Z$50</definedName>
    <definedName name="_xlnm._FilterDatabase" localSheetId="7" hidden="1">Нагрузка!$A$1:$AK$896</definedName>
    <definedName name="_xlnm._FilterDatabase" localSheetId="2" hidden="1">общее!$A$1:$Q$1130</definedName>
    <definedName name="_xlnm._FilterDatabase" localSheetId="1" hidden="1">'общее (2)'!$A$1:$Q$1130</definedName>
    <definedName name="_xlnm._FilterDatabase" localSheetId="15" hidden="1">порошки!$A$1:$P$299</definedName>
    <definedName name="Excel_BuiltIn__FilterDatabase" localSheetId="8">'19-20'!$A$3:$Z$50</definedName>
    <definedName name="Excel_BuiltIn__FilterDatabase" localSheetId="7">Нагрузка!$A$1:$S$896</definedName>
    <definedName name="Excel_BuiltIn__FilterDatabase" localSheetId="2">общее!$A$1:$Q$1130</definedName>
    <definedName name="Excel_BuiltIn__FilterDatabase" localSheetId="1">'общее (2)'!$A$1:$Q$1130</definedName>
    <definedName name="Excel_BuiltIn__FilterDatabase" localSheetId="15">порошки!$A$1:$P$299</definedName>
    <definedName name="newname">#REF!</definedName>
    <definedName name="Z_B63C844A_1ED1_4658_92BD_A9302F6BA5CF_.wvu.FilterData" localSheetId="7" hidden="1">Нагрузка!$A$1:$AK$896</definedName>
    <definedName name="ПЧ20">Нагрузка!$R$1</definedName>
  </definedNames>
  <calcPr calcId="191029"/>
  <pivotCaches>
    <pivotCache cacheId="0" r:id="rId18"/>
    <pivotCache cacheId="1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87" i="17" l="1"/>
  <c r="H568" i="17"/>
  <c r="G568" i="17"/>
  <c r="I567" i="17"/>
  <c r="I566" i="17"/>
  <c r="I565" i="17"/>
  <c r="I564" i="17"/>
  <c r="I563" i="17"/>
  <c r="I562" i="17"/>
  <c r="I561" i="17"/>
  <c r="I560" i="17"/>
  <c r="I559" i="17"/>
  <c r="I558" i="17"/>
  <c r="I557" i="17"/>
  <c r="I556" i="17"/>
  <c r="I555" i="17"/>
  <c r="I554" i="17"/>
  <c r="I553" i="17"/>
  <c r="I552" i="17"/>
  <c r="I551" i="17"/>
  <c r="I550" i="17"/>
  <c r="I549" i="17"/>
  <c r="I548" i="17"/>
  <c r="I547" i="17"/>
  <c r="I546" i="17"/>
  <c r="I545" i="17"/>
  <c r="I544" i="17"/>
  <c r="I543" i="17"/>
  <c r="I542" i="17"/>
  <c r="I541" i="17"/>
  <c r="I540" i="17"/>
  <c r="I539" i="17"/>
  <c r="I538" i="17"/>
  <c r="I537" i="17"/>
  <c r="I536" i="17"/>
  <c r="I535" i="17"/>
  <c r="I534" i="17"/>
  <c r="I533" i="17"/>
  <c r="I532" i="17"/>
  <c r="I531" i="17"/>
  <c r="I530" i="17"/>
  <c r="I529" i="17"/>
  <c r="I528" i="17"/>
  <c r="I527" i="17"/>
  <c r="I526" i="17"/>
  <c r="I525" i="17"/>
  <c r="I524" i="17"/>
  <c r="I523" i="17"/>
  <c r="I522" i="17"/>
  <c r="I521" i="17"/>
  <c r="I520" i="17"/>
  <c r="I519" i="17"/>
  <c r="I518" i="17"/>
  <c r="I517" i="17"/>
  <c r="I516" i="17"/>
  <c r="I515" i="17"/>
  <c r="I514" i="17"/>
  <c r="I513" i="17"/>
  <c r="I512" i="17"/>
  <c r="I511" i="17"/>
  <c r="I510" i="17"/>
  <c r="I509" i="17"/>
  <c r="I508" i="17"/>
  <c r="I507" i="17"/>
  <c r="I506" i="17"/>
  <c r="I505" i="17"/>
  <c r="I504" i="17"/>
  <c r="I503" i="17"/>
  <c r="I502" i="17"/>
  <c r="I501" i="17"/>
  <c r="I500" i="17"/>
  <c r="I499" i="17"/>
  <c r="I498" i="17"/>
  <c r="I497" i="17"/>
  <c r="I496" i="17"/>
  <c r="I495" i="17"/>
  <c r="I494" i="17"/>
  <c r="I493" i="17"/>
  <c r="I492" i="17"/>
  <c r="I491" i="17"/>
  <c r="I490" i="17"/>
  <c r="I489" i="17"/>
  <c r="I488" i="17"/>
  <c r="I487" i="17"/>
  <c r="I486" i="17"/>
  <c r="I485" i="17"/>
  <c r="I484" i="17"/>
  <c r="I483" i="17"/>
  <c r="I482" i="17"/>
  <c r="I481" i="17"/>
  <c r="I480" i="17"/>
  <c r="I479" i="17"/>
  <c r="I478" i="17"/>
  <c r="I477" i="17"/>
  <c r="I476" i="17"/>
  <c r="I475" i="17"/>
  <c r="I474" i="17"/>
  <c r="I473" i="17"/>
  <c r="I472" i="17"/>
  <c r="I471" i="17"/>
  <c r="I470" i="17"/>
  <c r="I469" i="17"/>
  <c r="I468" i="17"/>
  <c r="I467" i="17"/>
  <c r="I466" i="17"/>
  <c r="I465" i="17"/>
  <c r="I464" i="17"/>
  <c r="I463" i="17"/>
  <c r="I462" i="17"/>
  <c r="I461" i="17"/>
  <c r="I460" i="17"/>
  <c r="I459" i="17"/>
  <c r="I458" i="17"/>
  <c r="I457" i="17"/>
  <c r="I456" i="17"/>
  <c r="I455" i="17"/>
  <c r="I454" i="17"/>
  <c r="I453" i="17"/>
  <c r="I452" i="17"/>
  <c r="I451" i="17"/>
  <c r="I450" i="17"/>
  <c r="I449" i="17"/>
  <c r="I448" i="17"/>
  <c r="I447" i="17"/>
  <c r="I446" i="17"/>
  <c r="I445" i="17"/>
  <c r="I444" i="17"/>
  <c r="I443" i="17"/>
  <c r="I442" i="17"/>
  <c r="I441" i="17"/>
  <c r="I440" i="17"/>
  <c r="I439" i="17"/>
  <c r="I438" i="17"/>
  <c r="I437" i="17"/>
  <c r="I436" i="17"/>
  <c r="I435" i="17"/>
  <c r="I434" i="17"/>
  <c r="I433" i="17"/>
  <c r="I432" i="17"/>
  <c r="I431" i="17"/>
  <c r="I430" i="17"/>
  <c r="I429" i="17"/>
  <c r="I428" i="17"/>
  <c r="I427" i="17"/>
  <c r="I426" i="17"/>
  <c r="I425" i="17"/>
  <c r="I424" i="17"/>
  <c r="I423" i="17"/>
  <c r="I422" i="17"/>
  <c r="I421" i="17"/>
  <c r="I420" i="17"/>
  <c r="I419" i="17"/>
  <c r="I418" i="17"/>
  <c r="I417" i="17"/>
  <c r="I416" i="17"/>
  <c r="I415" i="17"/>
  <c r="I414" i="17"/>
  <c r="I413" i="17"/>
  <c r="I412" i="17"/>
  <c r="I411" i="17"/>
  <c r="I410" i="17"/>
  <c r="I409" i="17"/>
  <c r="I408" i="17"/>
  <c r="I407" i="17"/>
  <c r="I406" i="17"/>
  <c r="I405" i="17"/>
  <c r="I404" i="17"/>
  <c r="I403" i="17"/>
  <c r="I402" i="17"/>
  <c r="I401" i="17"/>
  <c r="I400" i="17"/>
  <c r="I399" i="17"/>
  <c r="I398" i="17"/>
  <c r="I397" i="17"/>
  <c r="I396" i="17"/>
  <c r="I395" i="17"/>
  <c r="I394" i="17"/>
  <c r="I393" i="17"/>
  <c r="I392" i="17"/>
  <c r="I391" i="17"/>
  <c r="I390" i="17"/>
  <c r="I389" i="17"/>
  <c r="I388" i="17"/>
  <c r="I387" i="17"/>
  <c r="I386" i="17"/>
  <c r="I385" i="17"/>
  <c r="I384" i="17"/>
  <c r="I383" i="17"/>
  <c r="I382" i="17"/>
  <c r="I381" i="17"/>
  <c r="I380" i="17"/>
  <c r="I379" i="17"/>
  <c r="I378" i="17"/>
  <c r="I377" i="17"/>
  <c r="I376" i="17"/>
  <c r="I375" i="17"/>
  <c r="I374" i="17"/>
  <c r="I373" i="17"/>
  <c r="I372" i="17"/>
  <c r="I371" i="17"/>
  <c r="I370" i="17"/>
  <c r="I369" i="17"/>
  <c r="I368" i="17"/>
  <c r="I367" i="17"/>
  <c r="I366" i="17"/>
  <c r="I365" i="17"/>
  <c r="I364" i="17"/>
  <c r="I363" i="17"/>
  <c r="I362" i="17"/>
  <c r="I361" i="17"/>
  <c r="I360" i="17"/>
  <c r="I359" i="17"/>
  <c r="I358" i="17"/>
  <c r="I357" i="17"/>
  <c r="I356" i="17"/>
  <c r="I355" i="17"/>
  <c r="I354" i="17"/>
  <c r="I353" i="17"/>
  <c r="I352" i="17"/>
  <c r="I351" i="17"/>
  <c r="I350" i="17"/>
  <c r="I349" i="17"/>
  <c r="I348" i="17"/>
  <c r="I347" i="17"/>
  <c r="I346" i="17"/>
  <c r="I345" i="17"/>
  <c r="I344" i="17"/>
  <c r="I343" i="17"/>
  <c r="I342" i="17"/>
  <c r="I341" i="17"/>
  <c r="I340" i="17"/>
  <c r="I339" i="17"/>
  <c r="I338" i="17"/>
  <c r="I337" i="17"/>
  <c r="I336" i="17"/>
  <c r="I335" i="17"/>
  <c r="I334" i="17"/>
  <c r="I333" i="17"/>
  <c r="I332" i="17"/>
  <c r="I331" i="17"/>
  <c r="I330" i="17"/>
  <c r="I329" i="17"/>
  <c r="I328" i="17"/>
  <c r="I327" i="17"/>
  <c r="I326" i="17"/>
  <c r="I325" i="17"/>
  <c r="I324" i="17"/>
  <c r="I323" i="17"/>
  <c r="I322" i="17"/>
  <c r="I321" i="17"/>
  <c r="I320" i="17"/>
  <c r="I319" i="17"/>
  <c r="I318" i="17"/>
  <c r="I317" i="17"/>
  <c r="I316" i="17"/>
  <c r="I315" i="17"/>
  <c r="I314" i="17"/>
  <c r="I313" i="17"/>
  <c r="I312" i="17"/>
  <c r="I311" i="17"/>
  <c r="I310" i="17"/>
  <c r="I309" i="17"/>
  <c r="I308" i="17"/>
  <c r="I307" i="17"/>
  <c r="I306" i="17"/>
  <c r="I305" i="17"/>
  <c r="I304" i="17"/>
  <c r="I303" i="17"/>
  <c r="I302" i="17"/>
  <c r="I301" i="17"/>
  <c r="I300" i="17"/>
  <c r="I299" i="17"/>
  <c r="I298" i="17"/>
  <c r="I297" i="17"/>
  <c r="I296" i="17"/>
  <c r="I295" i="17"/>
  <c r="I294" i="17"/>
  <c r="I293" i="17"/>
  <c r="I292" i="17"/>
  <c r="I291" i="17"/>
  <c r="I290" i="17"/>
  <c r="I289" i="17"/>
  <c r="I288" i="17"/>
  <c r="I287" i="17"/>
  <c r="I286" i="17"/>
  <c r="I285" i="17"/>
  <c r="I284" i="17"/>
  <c r="I283" i="17"/>
  <c r="I282" i="17"/>
  <c r="I281" i="17"/>
  <c r="I280" i="17"/>
  <c r="I279" i="17"/>
  <c r="I278" i="17"/>
  <c r="I277" i="17"/>
  <c r="I276" i="17"/>
  <c r="I275" i="17"/>
  <c r="I274" i="17"/>
  <c r="I273" i="17"/>
  <c r="I272" i="17"/>
  <c r="I271" i="17"/>
  <c r="I270" i="17"/>
  <c r="I269" i="17"/>
  <c r="I268" i="17"/>
  <c r="I267" i="17"/>
  <c r="I266" i="17"/>
  <c r="I265" i="17"/>
  <c r="I264" i="17"/>
  <c r="I263" i="17"/>
  <c r="I262" i="17"/>
  <c r="I261" i="17"/>
  <c r="I260" i="17"/>
  <c r="I259" i="17"/>
  <c r="I258" i="17"/>
  <c r="I257" i="17"/>
  <c r="I256" i="17"/>
  <c r="I255" i="17"/>
  <c r="I254" i="17"/>
  <c r="I253" i="17"/>
  <c r="I252" i="17"/>
  <c r="I251" i="17"/>
  <c r="I250" i="17"/>
  <c r="I249" i="17"/>
  <c r="I248" i="17"/>
  <c r="I247" i="17"/>
  <c r="I246" i="17"/>
  <c r="I245" i="17"/>
  <c r="I244" i="17"/>
  <c r="I243" i="17"/>
  <c r="I242" i="17"/>
  <c r="I241" i="17"/>
  <c r="I240" i="17"/>
  <c r="I239" i="17"/>
  <c r="I238" i="17"/>
  <c r="I237" i="17"/>
  <c r="I236" i="17"/>
  <c r="I235" i="17"/>
  <c r="I234" i="17"/>
  <c r="I233" i="17"/>
  <c r="I232" i="17"/>
  <c r="I231" i="17"/>
  <c r="I230" i="17"/>
  <c r="I229" i="17"/>
  <c r="I228" i="17"/>
  <c r="I227" i="17"/>
  <c r="I226" i="17"/>
  <c r="I225" i="17"/>
  <c r="I224" i="17"/>
  <c r="I223" i="17"/>
  <c r="I222" i="17"/>
  <c r="I221" i="17"/>
  <c r="I220" i="17"/>
  <c r="I219" i="17"/>
  <c r="I218" i="17"/>
  <c r="I217" i="17"/>
  <c r="I216" i="17"/>
  <c r="I215" i="17"/>
  <c r="I214" i="17"/>
  <c r="I213" i="17"/>
  <c r="I212" i="17"/>
  <c r="I211" i="17"/>
  <c r="I210" i="17"/>
  <c r="I209" i="17"/>
  <c r="I208" i="17"/>
  <c r="I207" i="17"/>
  <c r="I206" i="17"/>
  <c r="I205" i="17"/>
  <c r="I204" i="17"/>
  <c r="I203" i="17"/>
  <c r="I202" i="17"/>
  <c r="I201" i="17"/>
  <c r="I200" i="17"/>
  <c r="I199" i="17"/>
  <c r="I198" i="17"/>
  <c r="I197" i="17"/>
  <c r="I196" i="17"/>
  <c r="I195" i="17"/>
  <c r="I194" i="17"/>
  <c r="I193" i="17"/>
  <c r="I192" i="17"/>
  <c r="I191" i="17"/>
  <c r="I190" i="17"/>
  <c r="I189" i="17"/>
  <c r="I188" i="17"/>
  <c r="I187" i="17"/>
  <c r="I186" i="17"/>
  <c r="I185" i="17"/>
  <c r="I184" i="17"/>
  <c r="I183" i="17"/>
  <c r="I182" i="17"/>
  <c r="I181" i="17"/>
  <c r="I180" i="17"/>
  <c r="I179" i="17"/>
  <c r="I178" i="17"/>
  <c r="I177" i="17"/>
  <c r="I176" i="17"/>
  <c r="I175" i="17"/>
  <c r="I174" i="17"/>
  <c r="I173" i="17"/>
  <c r="I172" i="17"/>
  <c r="I171" i="17"/>
  <c r="I170" i="17"/>
  <c r="I169" i="17"/>
  <c r="I168" i="17"/>
  <c r="I167" i="17"/>
  <c r="I166" i="17"/>
  <c r="I165" i="17"/>
  <c r="I164" i="17"/>
  <c r="I163" i="17"/>
  <c r="I162" i="17"/>
  <c r="I161" i="17"/>
  <c r="I160" i="17"/>
  <c r="I159" i="17"/>
  <c r="I158" i="17"/>
  <c r="I157" i="17"/>
  <c r="I156" i="17"/>
  <c r="I155" i="17"/>
  <c r="I154" i="17"/>
  <c r="I153" i="17"/>
  <c r="I152" i="17"/>
  <c r="I151" i="17"/>
  <c r="I150" i="17"/>
  <c r="I149" i="17"/>
  <c r="I148" i="17"/>
  <c r="I147" i="17"/>
  <c r="I146" i="17"/>
  <c r="I145" i="17"/>
  <c r="I144" i="17"/>
  <c r="I143" i="17"/>
  <c r="I142" i="17"/>
  <c r="I141" i="17"/>
  <c r="I140" i="17"/>
  <c r="I139" i="17"/>
  <c r="I138" i="17"/>
  <c r="I137" i="17"/>
  <c r="I136" i="17"/>
  <c r="I135" i="17"/>
  <c r="I134" i="17"/>
  <c r="I133" i="17"/>
  <c r="I132" i="17"/>
  <c r="I131" i="17"/>
  <c r="I130" i="17"/>
  <c r="I129" i="17"/>
  <c r="I128" i="17"/>
  <c r="I127" i="17"/>
  <c r="I126" i="17"/>
  <c r="I125" i="17"/>
  <c r="I124" i="17"/>
  <c r="I123" i="17"/>
  <c r="I122" i="17"/>
  <c r="I121" i="17"/>
  <c r="I120" i="17"/>
  <c r="I119" i="17"/>
  <c r="I118" i="17"/>
  <c r="I117" i="17"/>
  <c r="I116" i="17"/>
  <c r="I115" i="17"/>
  <c r="I114" i="17"/>
  <c r="I113" i="17"/>
  <c r="I112" i="17"/>
  <c r="I111" i="17"/>
  <c r="I110" i="17"/>
  <c r="I109" i="17"/>
  <c r="I108" i="17"/>
  <c r="I107" i="17"/>
  <c r="I106" i="17"/>
  <c r="I105" i="17"/>
  <c r="I104" i="17"/>
  <c r="I103" i="17"/>
  <c r="I102" i="17"/>
  <c r="I101" i="17"/>
  <c r="I100" i="17"/>
  <c r="I99" i="17"/>
  <c r="I98" i="17"/>
  <c r="I97" i="17"/>
  <c r="I96" i="17"/>
  <c r="I95" i="17"/>
  <c r="I94" i="17"/>
  <c r="I93" i="17"/>
  <c r="I92" i="17"/>
  <c r="I91" i="17"/>
  <c r="I90" i="17"/>
  <c r="I89" i="17"/>
  <c r="I88" i="17"/>
  <c r="I87" i="17"/>
  <c r="I86" i="17"/>
  <c r="I85" i="17"/>
  <c r="I84" i="17"/>
  <c r="I83" i="17"/>
  <c r="I82" i="17"/>
  <c r="I81" i="17"/>
  <c r="I80" i="17"/>
  <c r="I79" i="17"/>
  <c r="I78" i="17"/>
  <c r="I77" i="17"/>
  <c r="I76" i="17"/>
  <c r="I75" i="17"/>
  <c r="I74" i="17"/>
  <c r="I73" i="17"/>
  <c r="I72" i="17"/>
  <c r="I71" i="17"/>
  <c r="I70" i="17"/>
  <c r="I69" i="17"/>
  <c r="I68" i="17"/>
  <c r="I67" i="17"/>
  <c r="I66" i="17"/>
  <c r="I65" i="17"/>
  <c r="I64" i="17"/>
  <c r="I63" i="17"/>
  <c r="I62" i="17"/>
  <c r="I61" i="17"/>
  <c r="I60" i="17"/>
  <c r="I59" i="17"/>
  <c r="I58" i="17"/>
  <c r="I57" i="17"/>
  <c r="I56" i="17"/>
  <c r="I55" i="17"/>
  <c r="I54" i="17"/>
  <c r="I53" i="17"/>
  <c r="I52" i="17"/>
  <c r="I51" i="17"/>
  <c r="I50" i="17"/>
  <c r="I49" i="17"/>
  <c r="I48" i="17"/>
  <c r="I47" i="17"/>
  <c r="I46" i="17"/>
  <c r="I45" i="17"/>
  <c r="I44" i="17"/>
  <c r="I43" i="17"/>
  <c r="I42" i="17"/>
  <c r="I41" i="17"/>
  <c r="I40" i="17"/>
  <c r="I39" i="17"/>
  <c r="I38" i="17"/>
  <c r="I37" i="17"/>
  <c r="I36" i="17"/>
  <c r="I35" i="17"/>
  <c r="I34" i="17"/>
  <c r="I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7" i="17"/>
  <c r="I6" i="17"/>
  <c r="I5" i="17"/>
  <c r="I4" i="17"/>
  <c r="I3" i="17"/>
  <c r="I2" i="17"/>
  <c r="E301" i="16"/>
  <c r="N299" i="16"/>
  <c r="M299" i="16"/>
  <c r="O299" i="16" s="1"/>
  <c r="P299" i="16" s="1"/>
  <c r="O298" i="16"/>
  <c r="P298" i="16" s="1"/>
  <c r="N298" i="16"/>
  <c r="M298" i="16"/>
  <c r="N297" i="16"/>
  <c r="M297" i="16"/>
  <c r="O297" i="16" s="1"/>
  <c r="P297" i="16" s="1"/>
  <c r="N296" i="16"/>
  <c r="M296" i="16"/>
  <c r="O296" i="16" s="1"/>
  <c r="P296" i="16" s="1"/>
  <c r="N295" i="16"/>
  <c r="O295" i="16" s="1"/>
  <c r="P295" i="16" s="1"/>
  <c r="M295" i="16"/>
  <c r="N294" i="16"/>
  <c r="M294" i="16"/>
  <c r="O294" i="16" s="1"/>
  <c r="P294" i="16" s="1"/>
  <c r="N293" i="16"/>
  <c r="M293" i="16"/>
  <c r="O293" i="16" s="1"/>
  <c r="P293" i="16" s="1"/>
  <c r="N292" i="16"/>
  <c r="M292" i="16"/>
  <c r="O292" i="16" s="1"/>
  <c r="P292" i="16" s="1"/>
  <c r="N291" i="16"/>
  <c r="M291" i="16"/>
  <c r="O291" i="16" s="1"/>
  <c r="P291" i="16" s="1"/>
  <c r="N290" i="16"/>
  <c r="M290" i="16"/>
  <c r="N289" i="16"/>
  <c r="M289" i="16"/>
  <c r="O289" i="16" s="1"/>
  <c r="P289" i="16" s="1"/>
  <c r="O288" i="16"/>
  <c r="P288" i="16" s="1"/>
  <c r="N288" i="16"/>
  <c r="M288" i="16"/>
  <c r="N287" i="16"/>
  <c r="M287" i="16"/>
  <c r="O287" i="16" s="1"/>
  <c r="P287" i="16" s="1"/>
  <c r="P286" i="16"/>
  <c r="O286" i="16"/>
  <c r="N286" i="16"/>
  <c r="M286" i="16"/>
  <c r="N285" i="16"/>
  <c r="O285" i="16" s="1"/>
  <c r="P285" i="16" s="1"/>
  <c r="M285" i="16"/>
  <c r="N284" i="16"/>
  <c r="M284" i="16"/>
  <c r="O284" i="16" s="1"/>
  <c r="P284" i="16" s="1"/>
  <c r="P283" i="16"/>
  <c r="O283" i="16"/>
  <c r="N283" i="16"/>
  <c r="M283" i="16"/>
  <c r="O282" i="16"/>
  <c r="P282" i="16" s="1"/>
  <c r="N282" i="16"/>
  <c r="M282" i="16"/>
  <c r="N281" i="16"/>
  <c r="M281" i="16"/>
  <c r="O281" i="16" s="1"/>
  <c r="P281" i="16" s="1"/>
  <c r="N280" i="16"/>
  <c r="M280" i="16"/>
  <c r="O280" i="16" s="1"/>
  <c r="P280" i="16" s="1"/>
  <c r="N279" i="16"/>
  <c r="M279" i="16"/>
  <c r="O279" i="16" s="1"/>
  <c r="P279" i="16" s="1"/>
  <c r="P278" i="16"/>
  <c r="N278" i="16"/>
  <c r="M278" i="16"/>
  <c r="O278" i="16" s="1"/>
  <c r="N277" i="16"/>
  <c r="M277" i="16"/>
  <c r="N276" i="16"/>
  <c r="M276" i="16"/>
  <c r="O276" i="16" s="1"/>
  <c r="P276" i="16" s="1"/>
  <c r="O275" i="16"/>
  <c r="P275" i="16" s="1"/>
  <c r="N275" i="16"/>
  <c r="M275" i="16"/>
  <c r="N274" i="16"/>
  <c r="M274" i="16"/>
  <c r="O274" i="16" s="1"/>
  <c r="P274" i="16" s="1"/>
  <c r="N273" i="16"/>
  <c r="O273" i="16" s="1"/>
  <c r="P273" i="16" s="1"/>
  <c r="M273" i="16"/>
  <c r="N272" i="16"/>
  <c r="O272" i="16" s="1"/>
  <c r="P272" i="16" s="1"/>
  <c r="M272" i="16"/>
  <c r="N271" i="16"/>
  <c r="M271" i="16"/>
  <c r="O271" i="16" s="1"/>
  <c r="P271" i="16" s="1"/>
  <c r="N270" i="16"/>
  <c r="M270" i="16"/>
  <c r="O270" i="16" s="1"/>
  <c r="P270" i="16" s="1"/>
  <c r="O269" i="16"/>
  <c r="P269" i="16" s="1"/>
  <c r="N269" i="16"/>
  <c r="M269" i="16"/>
  <c r="N268" i="16"/>
  <c r="M268" i="16"/>
  <c r="O268" i="16" s="1"/>
  <c r="P268" i="16" s="1"/>
  <c r="N267" i="16"/>
  <c r="M267" i="16"/>
  <c r="O267" i="16" s="1"/>
  <c r="P267" i="16" s="1"/>
  <c r="N266" i="16"/>
  <c r="M266" i="16"/>
  <c r="O266" i="16" s="1"/>
  <c r="P266" i="16" s="1"/>
  <c r="P265" i="16"/>
  <c r="N265" i="16"/>
  <c r="M265" i="16"/>
  <c r="O265" i="16" s="1"/>
  <c r="N264" i="16"/>
  <c r="M264" i="16"/>
  <c r="O264" i="16" s="1"/>
  <c r="P264" i="16" s="1"/>
  <c r="N263" i="16"/>
  <c r="M263" i="16"/>
  <c r="P262" i="16"/>
  <c r="O262" i="16"/>
  <c r="N262" i="16"/>
  <c r="M262" i="16"/>
  <c r="N261" i="16"/>
  <c r="M261" i="16"/>
  <c r="O261" i="16" s="1"/>
  <c r="P261" i="16" s="1"/>
  <c r="N260" i="16"/>
  <c r="M260" i="16"/>
  <c r="O260" i="16" s="1"/>
  <c r="P260" i="16" s="1"/>
  <c r="N259" i="16"/>
  <c r="O259" i="16" s="1"/>
  <c r="P259" i="16" s="1"/>
  <c r="M259" i="16"/>
  <c r="N258" i="16"/>
  <c r="M258" i="16"/>
  <c r="O258" i="16" s="1"/>
  <c r="P258" i="16" s="1"/>
  <c r="N257" i="16"/>
  <c r="M257" i="16"/>
  <c r="O257" i="16" s="1"/>
  <c r="P257" i="16" s="1"/>
  <c r="N256" i="16"/>
  <c r="M256" i="16"/>
  <c r="O256" i="16" s="1"/>
  <c r="P256" i="16" s="1"/>
  <c r="O255" i="16"/>
  <c r="P255" i="16" s="1"/>
  <c r="N255" i="16"/>
  <c r="M255" i="16"/>
  <c r="N254" i="16"/>
  <c r="M254" i="16"/>
  <c r="N253" i="16"/>
  <c r="M253" i="16"/>
  <c r="O253" i="16" s="1"/>
  <c r="P253" i="16" s="1"/>
  <c r="O252" i="16"/>
  <c r="P252" i="16" s="1"/>
  <c r="N252" i="16"/>
  <c r="M252" i="16"/>
  <c r="N251" i="16"/>
  <c r="M251" i="16"/>
  <c r="O251" i="16" s="1"/>
  <c r="P251" i="16" s="1"/>
  <c r="O250" i="16"/>
  <c r="P250" i="16" s="1"/>
  <c r="N250" i="16"/>
  <c r="M250" i="16"/>
  <c r="N249" i="16"/>
  <c r="O249" i="16" s="1"/>
  <c r="P249" i="16" s="1"/>
  <c r="M249" i="16"/>
  <c r="N248" i="16"/>
  <c r="M248" i="16"/>
  <c r="O248" i="16" s="1"/>
  <c r="P248" i="16" s="1"/>
  <c r="N247" i="16"/>
  <c r="M247" i="16"/>
  <c r="O246" i="16"/>
  <c r="P246" i="16" s="1"/>
  <c r="N246" i="16"/>
  <c r="M246" i="16"/>
  <c r="N245" i="16"/>
  <c r="M245" i="16"/>
  <c r="O245" i="16" s="1"/>
  <c r="P245" i="16" s="1"/>
  <c r="N244" i="16"/>
  <c r="M244" i="16"/>
  <c r="O244" i="16" s="1"/>
  <c r="P244" i="16" s="1"/>
  <c r="N243" i="16"/>
  <c r="M243" i="16"/>
  <c r="O243" i="16" s="1"/>
  <c r="P243" i="16" s="1"/>
  <c r="P242" i="16"/>
  <c r="O242" i="16"/>
  <c r="N242" i="16"/>
  <c r="M242" i="16"/>
  <c r="N241" i="16"/>
  <c r="M241" i="16"/>
  <c r="O241" i="16" s="1"/>
  <c r="P241" i="16" s="1"/>
  <c r="N240" i="16"/>
  <c r="M240" i="16"/>
  <c r="O240" i="16" s="1"/>
  <c r="P240" i="16" s="1"/>
  <c r="P239" i="16"/>
  <c r="O239" i="16"/>
  <c r="N239" i="16"/>
  <c r="M239" i="16"/>
  <c r="N238" i="16"/>
  <c r="M238" i="16"/>
  <c r="O238" i="16" s="1"/>
  <c r="P238" i="16" s="1"/>
  <c r="N237" i="16"/>
  <c r="M237" i="16"/>
  <c r="O237" i="16" s="1"/>
  <c r="P237" i="16" s="1"/>
  <c r="N236" i="16"/>
  <c r="O236" i="16" s="1"/>
  <c r="P236" i="16" s="1"/>
  <c r="M236" i="16"/>
  <c r="N235" i="16"/>
  <c r="M235" i="16"/>
  <c r="O235" i="16" s="1"/>
  <c r="P235" i="16" s="1"/>
  <c r="N234" i="16"/>
  <c r="O234" i="16" s="1"/>
  <c r="P234" i="16" s="1"/>
  <c r="M234" i="16"/>
  <c r="N233" i="16"/>
  <c r="M233" i="16"/>
  <c r="O233" i="16" s="1"/>
  <c r="P233" i="16" s="1"/>
  <c r="N232" i="16"/>
  <c r="M232" i="16"/>
  <c r="O232" i="16" s="1"/>
  <c r="P232" i="16" s="1"/>
  <c r="N231" i="16"/>
  <c r="M231" i="16"/>
  <c r="O230" i="16"/>
  <c r="P230" i="16" s="1"/>
  <c r="N230" i="16"/>
  <c r="M230" i="16"/>
  <c r="P229" i="16"/>
  <c r="O229" i="16"/>
  <c r="N229" i="16"/>
  <c r="M229" i="16"/>
  <c r="N228" i="16"/>
  <c r="M228" i="16"/>
  <c r="O228" i="16" s="1"/>
  <c r="P228" i="16" s="1"/>
  <c r="P227" i="16"/>
  <c r="O227" i="16"/>
  <c r="N227" i="16"/>
  <c r="M227" i="16"/>
  <c r="P226" i="16"/>
  <c r="O226" i="16"/>
  <c r="N226" i="16"/>
  <c r="M226" i="16"/>
  <c r="N225" i="16"/>
  <c r="M225" i="16"/>
  <c r="O225" i="16" s="1"/>
  <c r="P225" i="16" s="1"/>
  <c r="N224" i="16"/>
  <c r="M224" i="16"/>
  <c r="O224" i="16" s="1"/>
  <c r="P224" i="16" s="1"/>
  <c r="P223" i="16"/>
  <c r="O223" i="16"/>
  <c r="N223" i="16"/>
  <c r="M223" i="16"/>
  <c r="N222" i="16"/>
  <c r="M222" i="16"/>
  <c r="O222" i="16" s="1"/>
  <c r="P222" i="16" s="1"/>
  <c r="O221" i="16"/>
  <c r="P221" i="16" s="1"/>
  <c r="N221" i="16"/>
  <c r="M221" i="16"/>
  <c r="N220" i="16"/>
  <c r="M220" i="16"/>
  <c r="O220" i="16" s="1"/>
  <c r="P220" i="16" s="1"/>
  <c r="O219" i="16"/>
  <c r="P219" i="16" s="1"/>
  <c r="N219" i="16"/>
  <c r="M219" i="16"/>
  <c r="N218" i="16"/>
  <c r="M218" i="16"/>
  <c r="N217" i="16"/>
  <c r="M217" i="16"/>
  <c r="O217" i="16" s="1"/>
  <c r="P217" i="16" s="1"/>
  <c r="O216" i="16"/>
  <c r="P216" i="16" s="1"/>
  <c r="N216" i="16"/>
  <c r="M216" i="16"/>
  <c r="N215" i="16"/>
  <c r="M215" i="16"/>
  <c r="O215" i="16" s="1"/>
  <c r="P215" i="16" s="1"/>
  <c r="N214" i="16"/>
  <c r="M214" i="16"/>
  <c r="O214" i="16" s="1"/>
  <c r="P214" i="16" s="1"/>
  <c r="N213" i="16"/>
  <c r="O213" i="16" s="1"/>
  <c r="P213" i="16" s="1"/>
  <c r="M213" i="16"/>
  <c r="N212" i="16"/>
  <c r="M212" i="16"/>
  <c r="O212" i="16" s="1"/>
  <c r="P212" i="16" s="1"/>
  <c r="N211" i="16"/>
  <c r="O211" i="16" s="1"/>
  <c r="P211" i="16" s="1"/>
  <c r="M211" i="16"/>
  <c r="N210" i="16"/>
  <c r="M210" i="16"/>
  <c r="O210" i="16" s="1"/>
  <c r="P210" i="16" s="1"/>
  <c r="N209" i="16"/>
  <c r="M209" i="16"/>
  <c r="O209" i="16" s="1"/>
  <c r="P209" i="16" s="1"/>
  <c r="N208" i="16"/>
  <c r="M208" i="16"/>
  <c r="O208" i="16" s="1"/>
  <c r="P208" i="16" s="1"/>
  <c r="N207" i="16"/>
  <c r="M207" i="16"/>
  <c r="O207" i="16" s="1"/>
  <c r="P207" i="16" s="1"/>
  <c r="P206" i="16"/>
  <c r="O206" i="16"/>
  <c r="N206" i="16"/>
  <c r="M206" i="16"/>
  <c r="N205" i="16"/>
  <c r="M205" i="16"/>
  <c r="O205" i="16" s="1"/>
  <c r="P205" i="16" s="1"/>
  <c r="N204" i="16"/>
  <c r="M204" i="16"/>
  <c r="P203" i="16"/>
  <c r="O203" i="16"/>
  <c r="N203" i="16"/>
  <c r="M203" i="16"/>
  <c r="N202" i="16"/>
  <c r="M202" i="16"/>
  <c r="O202" i="16" s="1"/>
  <c r="P202" i="16" s="1"/>
  <c r="O201" i="16"/>
  <c r="P201" i="16" s="1"/>
  <c r="N201" i="16"/>
  <c r="M201" i="16"/>
  <c r="N200" i="16"/>
  <c r="O200" i="16" s="1"/>
  <c r="P200" i="16" s="1"/>
  <c r="M200" i="16"/>
  <c r="N199" i="16"/>
  <c r="M199" i="16"/>
  <c r="O199" i="16" s="1"/>
  <c r="P199" i="16" s="1"/>
  <c r="N198" i="16"/>
  <c r="M198" i="16"/>
  <c r="O198" i="16" s="1"/>
  <c r="P198" i="16" s="1"/>
  <c r="N197" i="16"/>
  <c r="M197" i="16"/>
  <c r="O197" i="16" s="1"/>
  <c r="P197" i="16" s="1"/>
  <c r="N196" i="16"/>
  <c r="M196" i="16"/>
  <c r="O196" i="16" s="1"/>
  <c r="P196" i="16" s="1"/>
  <c r="N195" i="16"/>
  <c r="M195" i="16"/>
  <c r="O195" i="16" s="1"/>
  <c r="P195" i="16" s="1"/>
  <c r="P194" i="16"/>
  <c r="N194" i="16"/>
  <c r="M194" i="16"/>
  <c r="O194" i="16" s="1"/>
  <c r="P193" i="16"/>
  <c r="O193" i="16"/>
  <c r="N193" i="16"/>
  <c r="M193" i="16"/>
  <c r="N192" i="16"/>
  <c r="M192" i="16"/>
  <c r="O192" i="16" s="1"/>
  <c r="P192" i="16" s="1"/>
  <c r="N191" i="16"/>
  <c r="O191" i="16" s="1"/>
  <c r="P191" i="16" s="1"/>
  <c r="M191" i="16"/>
  <c r="O190" i="16"/>
  <c r="P190" i="16" s="1"/>
  <c r="N190" i="16"/>
  <c r="M190" i="16"/>
  <c r="N189" i="16"/>
  <c r="M189" i="16"/>
  <c r="O189" i="16" s="1"/>
  <c r="P189" i="16" s="1"/>
  <c r="N188" i="16"/>
  <c r="M188" i="16"/>
  <c r="O188" i="16" s="1"/>
  <c r="P188" i="16" s="1"/>
  <c r="P187" i="16"/>
  <c r="N187" i="16"/>
  <c r="O187" i="16" s="1"/>
  <c r="M187" i="16"/>
  <c r="N186" i="16"/>
  <c r="M186" i="16"/>
  <c r="O186" i="16" s="1"/>
  <c r="P186" i="16" s="1"/>
  <c r="N185" i="16"/>
  <c r="M185" i="16"/>
  <c r="O185" i="16" s="1"/>
  <c r="P185" i="16" s="1"/>
  <c r="N184" i="16"/>
  <c r="M184" i="16"/>
  <c r="O184" i="16" s="1"/>
  <c r="P184" i="16" s="1"/>
  <c r="O183" i="16"/>
  <c r="P183" i="16" s="1"/>
  <c r="N183" i="16"/>
  <c r="M183" i="16"/>
  <c r="N182" i="16"/>
  <c r="M182" i="16"/>
  <c r="N181" i="16"/>
  <c r="M181" i="16"/>
  <c r="O180" i="16"/>
  <c r="P180" i="16" s="1"/>
  <c r="N180" i="16"/>
  <c r="M180" i="16"/>
  <c r="N179" i="16"/>
  <c r="M179" i="16"/>
  <c r="O179" i="16" s="1"/>
  <c r="P179" i="16" s="1"/>
  <c r="N178" i="16"/>
  <c r="M178" i="16"/>
  <c r="O178" i="16" s="1"/>
  <c r="P178" i="16" s="1"/>
  <c r="N177" i="16"/>
  <c r="O177" i="16" s="1"/>
  <c r="P177" i="16" s="1"/>
  <c r="M177" i="16"/>
  <c r="N176" i="16"/>
  <c r="M176" i="16"/>
  <c r="O176" i="16" s="1"/>
  <c r="P176" i="16" s="1"/>
  <c r="P175" i="16"/>
  <c r="N175" i="16"/>
  <c r="M175" i="16"/>
  <c r="O175" i="16" s="1"/>
  <c r="N174" i="16"/>
  <c r="M174" i="16"/>
  <c r="O174" i="16" s="1"/>
  <c r="P174" i="16" s="1"/>
  <c r="N173" i="16"/>
  <c r="M173" i="16"/>
  <c r="O173" i="16" s="1"/>
  <c r="P173" i="16" s="1"/>
  <c r="N172" i="16"/>
  <c r="M172" i="16"/>
  <c r="O172" i="16" s="1"/>
  <c r="P172" i="16" s="1"/>
  <c r="O171" i="16"/>
  <c r="P171" i="16" s="1"/>
  <c r="N171" i="16"/>
  <c r="M171" i="16"/>
  <c r="P170" i="16"/>
  <c r="O170" i="16"/>
  <c r="N170" i="16"/>
  <c r="M170" i="16"/>
  <c r="N169" i="16"/>
  <c r="M169" i="16"/>
  <c r="O169" i="16" s="1"/>
  <c r="P169" i="16" s="1"/>
  <c r="N168" i="16"/>
  <c r="M168" i="16"/>
  <c r="O168" i="16" s="1"/>
  <c r="P168" i="16" s="1"/>
  <c r="P167" i="16"/>
  <c r="O167" i="16"/>
  <c r="N167" i="16"/>
  <c r="M167" i="16"/>
  <c r="N166" i="16"/>
  <c r="M166" i="16"/>
  <c r="O166" i="16" s="1"/>
  <c r="P166" i="16" s="1"/>
  <c r="N165" i="16"/>
  <c r="M165" i="16"/>
  <c r="O165" i="16" s="1"/>
  <c r="P165" i="16" s="1"/>
  <c r="N164" i="16"/>
  <c r="O164" i="16" s="1"/>
  <c r="P164" i="16" s="1"/>
  <c r="M164" i="16"/>
  <c r="N163" i="16"/>
  <c r="M163" i="16"/>
  <c r="O163" i="16" s="1"/>
  <c r="P163" i="16" s="1"/>
  <c r="N162" i="16"/>
  <c r="M162" i="16"/>
  <c r="O162" i="16" s="1"/>
  <c r="P162" i="16" s="1"/>
  <c r="N161" i="16"/>
  <c r="M161" i="16"/>
  <c r="N160" i="16"/>
  <c r="M160" i="16"/>
  <c r="O160" i="16" s="1"/>
  <c r="P160" i="16" s="1"/>
  <c r="N159" i="16"/>
  <c r="M159" i="16"/>
  <c r="N158" i="16"/>
  <c r="M158" i="16"/>
  <c r="O158" i="16" s="1"/>
  <c r="P158" i="16" s="1"/>
  <c r="P157" i="16"/>
  <c r="O157" i="16"/>
  <c r="N157" i="16"/>
  <c r="M157" i="16"/>
  <c r="N156" i="16"/>
  <c r="M156" i="16"/>
  <c r="O156" i="16" s="1"/>
  <c r="P156" i="16" s="1"/>
  <c r="N155" i="16"/>
  <c r="M155" i="16"/>
  <c r="O155" i="16" s="1"/>
  <c r="P155" i="16" s="1"/>
  <c r="P154" i="16"/>
  <c r="O154" i="16"/>
  <c r="N154" i="16"/>
  <c r="M154" i="16"/>
  <c r="N153" i="16"/>
  <c r="M153" i="16"/>
  <c r="O153" i="16" s="1"/>
  <c r="P153" i="16" s="1"/>
  <c r="N152" i="16"/>
  <c r="O152" i="16" s="1"/>
  <c r="P152" i="16" s="1"/>
  <c r="M152" i="16"/>
  <c r="N151" i="16"/>
  <c r="O151" i="16" s="1"/>
  <c r="P151" i="16" s="1"/>
  <c r="M151" i="16"/>
  <c r="N150" i="16"/>
  <c r="M150" i="16"/>
  <c r="O150" i="16" s="1"/>
  <c r="P150" i="16" s="1"/>
  <c r="O149" i="16"/>
  <c r="P149" i="16" s="1"/>
  <c r="N149" i="16"/>
  <c r="M149" i="16"/>
  <c r="P148" i="16"/>
  <c r="O148" i="16"/>
  <c r="N148" i="16"/>
  <c r="M148" i="16"/>
  <c r="O147" i="16"/>
  <c r="P147" i="16" s="1"/>
  <c r="N147" i="16"/>
  <c r="M147" i="16"/>
  <c r="N146" i="16"/>
  <c r="M146" i="16"/>
  <c r="O146" i="16" s="1"/>
  <c r="P146" i="16" s="1"/>
  <c r="P145" i="16"/>
  <c r="N145" i="16"/>
  <c r="O145" i="16" s="1"/>
  <c r="M145" i="16"/>
  <c r="O144" i="16"/>
  <c r="P144" i="16" s="1"/>
  <c r="N144" i="16"/>
  <c r="M144" i="16"/>
  <c r="N143" i="16"/>
  <c r="M143" i="16"/>
  <c r="O143" i="16" s="1"/>
  <c r="P143" i="16" s="1"/>
  <c r="N142" i="16"/>
  <c r="M142" i="16"/>
  <c r="O142" i="16" s="1"/>
  <c r="P142" i="16" s="1"/>
  <c r="O141" i="16"/>
  <c r="P141" i="16" s="1"/>
  <c r="N141" i="16"/>
  <c r="M141" i="16"/>
  <c r="N140" i="16"/>
  <c r="M140" i="16"/>
  <c r="O140" i="16" s="1"/>
  <c r="P140" i="16" s="1"/>
  <c r="N139" i="16"/>
  <c r="M139" i="16"/>
  <c r="O139" i="16" s="1"/>
  <c r="P139" i="16" s="1"/>
  <c r="N138" i="16"/>
  <c r="M138" i="16"/>
  <c r="O138" i="16" s="1"/>
  <c r="P138" i="16" s="1"/>
  <c r="N137" i="16"/>
  <c r="M137" i="16"/>
  <c r="O137" i="16" s="1"/>
  <c r="P137" i="16" s="1"/>
  <c r="N136" i="16"/>
  <c r="O136" i="16" s="1"/>
  <c r="P136" i="16" s="1"/>
  <c r="M136" i="16"/>
  <c r="N135" i="16"/>
  <c r="M135" i="16"/>
  <c r="O135" i="16" s="1"/>
  <c r="P135" i="16" s="1"/>
  <c r="P134" i="16"/>
  <c r="O134" i="16"/>
  <c r="N134" i="16"/>
  <c r="M134" i="16"/>
  <c r="N133" i="16"/>
  <c r="M133" i="16"/>
  <c r="O133" i="16" s="1"/>
  <c r="P133" i="16" s="1"/>
  <c r="N132" i="16"/>
  <c r="O132" i="16" s="1"/>
  <c r="P132" i="16" s="1"/>
  <c r="M132" i="16"/>
  <c r="P131" i="16"/>
  <c r="O131" i="16"/>
  <c r="N131" i="16"/>
  <c r="M131" i="16"/>
  <c r="N130" i="16"/>
  <c r="M130" i="16"/>
  <c r="O130" i="16" s="1"/>
  <c r="P130" i="16" s="1"/>
  <c r="N129" i="16"/>
  <c r="M129" i="16"/>
  <c r="O129" i="16" s="1"/>
  <c r="P129" i="16" s="1"/>
  <c r="P128" i="16"/>
  <c r="O128" i="16"/>
  <c r="N128" i="16"/>
  <c r="M128" i="16"/>
  <c r="N127" i="16"/>
  <c r="M127" i="16"/>
  <c r="O127" i="16" s="1"/>
  <c r="P127" i="16" s="1"/>
  <c r="N126" i="16"/>
  <c r="M126" i="16"/>
  <c r="O126" i="16" s="1"/>
  <c r="P126" i="16" s="1"/>
  <c r="N125" i="16"/>
  <c r="M125" i="16"/>
  <c r="O125" i="16" s="1"/>
  <c r="P125" i="16" s="1"/>
  <c r="N124" i="16"/>
  <c r="M124" i="16"/>
  <c r="O124" i="16" s="1"/>
  <c r="P124" i="16" s="1"/>
  <c r="N123" i="16"/>
  <c r="M123" i="16"/>
  <c r="N122" i="16"/>
  <c r="M122" i="16"/>
  <c r="O122" i="16" s="1"/>
  <c r="P122" i="16" s="1"/>
  <c r="P121" i="16"/>
  <c r="O121" i="16"/>
  <c r="N121" i="16"/>
  <c r="M121" i="16"/>
  <c r="N120" i="16"/>
  <c r="M120" i="16"/>
  <c r="O120" i="16" s="1"/>
  <c r="P120" i="16" s="1"/>
  <c r="N119" i="16"/>
  <c r="M119" i="16"/>
  <c r="O119" i="16" s="1"/>
  <c r="P119" i="16" s="1"/>
  <c r="O118" i="16"/>
  <c r="P118" i="16" s="1"/>
  <c r="N118" i="16"/>
  <c r="M118" i="16"/>
  <c r="N117" i="16"/>
  <c r="M117" i="16"/>
  <c r="O117" i="16" s="1"/>
  <c r="P117" i="16" s="1"/>
  <c r="P116" i="16"/>
  <c r="O116" i="16"/>
  <c r="N116" i="16"/>
  <c r="M116" i="16"/>
  <c r="P115" i="16"/>
  <c r="O115" i="16"/>
  <c r="N115" i="16"/>
  <c r="M115" i="16"/>
  <c r="N114" i="16"/>
  <c r="M114" i="16"/>
  <c r="O114" i="16" s="1"/>
  <c r="P114" i="16" s="1"/>
  <c r="O113" i="16"/>
  <c r="P113" i="16" s="1"/>
  <c r="N113" i="16"/>
  <c r="M113" i="16"/>
  <c r="N112" i="16"/>
  <c r="M112" i="16"/>
  <c r="O112" i="16" s="1"/>
  <c r="P112" i="16" s="1"/>
  <c r="O111" i="16"/>
  <c r="P111" i="16" s="1"/>
  <c r="N111" i="16"/>
  <c r="M111" i="16"/>
  <c r="N110" i="16"/>
  <c r="M110" i="16"/>
  <c r="O110" i="16" s="1"/>
  <c r="P110" i="16" s="1"/>
  <c r="N109" i="16"/>
  <c r="O109" i="16" s="1"/>
  <c r="P109" i="16" s="1"/>
  <c r="M109" i="16"/>
  <c r="O108" i="16"/>
  <c r="P108" i="16" s="1"/>
  <c r="N108" i="16"/>
  <c r="M108" i="16"/>
  <c r="N107" i="16"/>
  <c r="M107" i="16"/>
  <c r="O107" i="16" s="1"/>
  <c r="P107" i="16" s="1"/>
  <c r="N106" i="16"/>
  <c r="M106" i="16"/>
  <c r="O106" i="16" s="1"/>
  <c r="P106" i="16" s="1"/>
  <c r="O105" i="16"/>
  <c r="P105" i="16" s="1"/>
  <c r="N105" i="16"/>
  <c r="M105" i="16"/>
  <c r="N104" i="16"/>
  <c r="M104" i="16"/>
  <c r="O104" i="16" s="1"/>
  <c r="P104" i="16" s="1"/>
  <c r="N103" i="16"/>
  <c r="M103" i="16"/>
  <c r="O103" i="16" s="1"/>
  <c r="P103" i="16" s="1"/>
  <c r="N102" i="16"/>
  <c r="M102" i="16"/>
  <c r="N101" i="16"/>
  <c r="M101" i="16"/>
  <c r="O101" i="16" s="1"/>
  <c r="P101" i="16" s="1"/>
  <c r="O100" i="16"/>
  <c r="P100" i="16" s="1"/>
  <c r="N100" i="16"/>
  <c r="M100" i="16"/>
  <c r="O99" i="16"/>
  <c r="P99" i="16" s="1"/>
  <c r="N99" i="16"/>
  <c r="M99" i="16"/>
  <c r="P98" i="16"/>
  <c r="O98" i="16"/>
  <c r="N98" i="16"/>
  <c r="M98" i="16"/>
  <c r="N97" i="16"/>
  <c r="M97" i="16"/>
  <c r="N96" i="16"/>
  <c r="M96" i="16"/>
  <c r="O96" i="16" s="1"/>
  <c r="P96" i="16" s="1"/>
  <c r="O95" i="16"/>
  <c r="P95" i="16" s="1"/>
  <c r="N95" i="16"/>
  <c r="M95" i="16"/>
  <c r="N94" i="16"/>
  <c r="M94" i="16"/>
  <c r="O94" i="16" s="1"/>
  <c r="P94" i="16" s="1"/>
  <c r="O93" i="16"/>
  <c r="P93" i="16" s="1"/>
  <c r="N93" i="16"/>
  <c r="M93" i="16"/>
  <c r="O92" i="16"/>
  <c r="P92" i="16" s="1"/>
  <c r="N92" i="16"/>
  <c r="M92" i="16"/>
  <c r="N91" i="16"/>
  <c r="M91" i="16"/>
  <c r="O91" i="16" s="1"/>
  <c r="P91" i="16" s="1"/>
  <c r="N90" i="16"/>
  <c r="M90" i="16"/>
  <c r="O90" i="16" s="1"/>
  <c r="P90" i="16" s="1"/>
  <c r="P89" i="16"/>
  <c r="O89" i="16"/>
  <c r="N89" i="16"/>
  <c r="M89" i="16"/>
  <c r="N88" i="16"/>
  <c r="M88" i="16"/>
  <c r="O88" i="16" s="1"/>
  <c r="P88" i="16" s="1"/>
  <c r="N87" i="16"/>
  <c r="M87" i="16"/>
  <c r="O87" i="16" s="1"/>
  <c r="P87" i="16" s="1"/>
  <c r="N86" i="16"/>
  <c r="M86" i="16"/>
  <c r="O86" i="16" s="1"/>
  <c r="P86" i="16" s="1"/>
  <c r="P85" i="16"/>
  <c r="O85" i="16"/>
  <c r="N85" i="16"/>
  <c r="M85" i="16"/>
  <c r="O84" i="16"/>
  <c r="P84" i="16" s="1"/>
  <c r="N84" i="16"/>
  <c r="M84" i="16"/>
  <c r="O83" i="16"/>
  <c r="P83" i="16" s="1"/>
  <c r="N83" i="16"/>
  <c r="M83" i="16"/>
  <c r="O82" i="16"/>
  <c r="P82" i="16" s="1"/>
  <c r="N82" i="16"/>
  <c r="M82" i="16"/>
  <c r="N81" i="16"/>
  <c r="M81" i="16"/>
  <c r="O81" i="16" s="1"/>
  <c r="P81" i="16" s="1"/>
  <c r="N80" i="16"/>
  <c r="M80" i="16"/>
  <c r="O80" i="16" s="1"/>
  <c r="P80" i="16" s="1"/>
  <c r="N79" i="16"/>
  <c r="O79" i="16" s="1"/>
  <c r="P79" i="16" s="1"/>
  <c r="M79" i="16"/>
  <c r="N78" i="16"/>
  <c r="M78" i="16"/>
  <c r="O78" i="16" s="1"/>
  <c r="P78" i="16" s="1"/>
  <c r="N77" i="16"/>
  <c r="O77" i="16" s="1"/>
  <c r="P77" i="16" s="1"/>
  <c r="M77" i="16"/>
  <c r="N76" i="16"/>
  <c r="M76" i="16"/>
  <c r="O75" i="16"/>
  <c r="P75" i="16" s="1"/>
  <c r="N75" i="16"/>
  <c r="M75" i="16"/>
  <c r="N74" i="16"/>
  <c r="M74" i="16"/>
  <c r="O74" i="16" s="1"/>
  <c r="P74" i="16" s="1"/>
  <c r="N73" i="16"/>
  <c r="M73" i="16"/>
  <c r="O73" i="16" s="1"/>
  <c r="P73" i="16" s="1"/>
  <c r="O72" i="16"/>
  <c r="P72" i="16" s="1"/>
  <c r="N72" i="16"/>
  <c r="M72" i="16"/>
  <c r="O71" i="16"/>
  <c r="P71" i="16" s="1"/>
  <c r="N71" i="16"/>
  <c r="M71" i="16"/>
  <c r="N70" i="16"/>
  <c r="O70" i="16" s="1"/>
  <c r="P70" i="16" s="1"/>
  <c r="M70" i="16"/>
  <c r="N69" i="16"/>
  <c r="O69" i="16" s="1"/>
  <c r="P69" i="16" s="1"/>
  <c r="M69" i="16"/>
  <c r="N68" i="16"/>
  <c r="M68" i="16"/>
  <c r="O68" i="16" s="1"/>
  <c r="P68" i="16" s="1"/>
  <c r="O67" i="16"/>
  <c r="P67" i="16" s="1"/>
  <c r="N67" i="16"/>
  <c r="M67" i="16"/>
  <c r="N66" i="16"/>
  <c r="O66" i="16" s="1"/>
  <c r="P66" i="16" s="1"/>
  <c r="M66" i="16"/>
  <c r="N65" i="16"/>
  <c r="M65" i="16"/>
  <c r="O65" i="16" s="1"/>
  <c r="P65" i="16" s="1"/>
  <c r="N64" i="16"/>
  <c r="M64" i="16"/>
  <c r="O64" i="16" s="1"/>
  <c r="P64" i="16" s="1"/>
  <c r="N63" i="16"/>
  <c r="O63" i="16" s="1"/>
  <c r="P63" i="16" s="1"/>
  <c r="M63" i="16"/>
  <c r="P62" i="16"/>
  <c r="O62" i="16"/>
  <c r="N62" i="16"/>
  <c r="M62" i="16"/>
  <c r="N61" i="16"/>
  <c r="M61" i="16"/>
  <c r="O61" i="16" s="1"/>
  <c r="P61" i="16" s="1"/>
  <c r="N60" i="16"/>
  <c r="M60" i="16"/>
  <c r="O60" i="16" s="1"/>
  <c r="P60" i="16" s="1"/>
  <c r="P59" i="16"/>
  <c r="O59" i="16"/>
  <c r="N59" i="16"/>
  <c r="M59" i="16"/>
  <c r="O58" i="16"/>
  <c r="P58" i="16" s="1"/>
  <c r="N58" i="16"/>
  <c r="M58" i="16"/>
  <c r="N57" i="16"/>
  <c r="M57" i="16"/>
  <c r="O57" i="16" s="1"/>
  <c r="P57" i="16" s="1"/>
  <c r="O56" i="16"/>
  <c r="P56" i="16" s="1"/>
  <c r="N56" i="16"/>
  <c r="M56" i="16"/>
  <c r="N55" i="16"/>
  <c r="M55" i="16"/>
  <c r="O54" i="16"/>
  <c r="P54" i="16" s="1"/>
  <c r="N54" i="16"/>
  <c r="M54" i="16"/>
  <c r="O53" i="16"/>
  <c r="P53" i="16" s="1"/>
  <c r="N53" i="16"/>
  <c r="M53" i="16"/>
  <c r="P52" i="16"/>
  <c r="N52" i="16"/>
  <c r="M52" i="16"/>
  <c r="O52" i="16" s="1"/>
  <c r="N51" i="16"/>
  <c r="M51" i="16"/>
  <c r="O51" i="16" s="1"/>
  <c r="P51" i="16" s="1"/>
  <c r="N50" i="16"/>
  <c r="M50" i="16"/>
  <c r="O50" i="16" s="1"/>
  <c r="P50" i="16" s="1"/>
  <c r="O49" i="16"/>
  <c r="P49" i="16" s="1"/>
  <c r="N49" i="16"/>
  <c r="M49" i="16"/>
  <c r="O48" i="16"/>
  <c r="P48" i="16" s="1"/>
  <c r="N48" i="16"/>
  <c r="M48" i="16"/>
  <c r="O47" i="16"/>
  <c r="P47" i="16" s="1"/>
  <c r="N47" i="16"/>
  <c r="M47" i="16"/>
  <c r="N46" i="16"/>
  <c r="O46" i="16" s="1"/>
  <c r="P46" i="16" s="1"/>
  <c r="M46" i="16"/>
  <c r="N45" i="16"/>
  <c r="M45" i="16"/>
  <c r="O45" i="16" s="1"/>
  <c r="P45" i="16" s="1"/>
  <c r="N44" i="16"/>
  <c r="M44" i="16"/>
  <c r="O44" i="16" s="1"/>
  <c r="P44" i="16" s="1"/>
  <c r="N43" i="16"/>
  <c r="M43" i="16"/>
  <c r="O43" i="16" s="1"/>
  <c r="P43" i="16" s="1"/>
  <c r="N42" i="16"/>
  <c r="M42" i="16"/>
  <c r="O42" i="16" s="1"/>
  <c r="P42" i="16" s="1"/>
  <c r="N41" i="16"/>
  <c r="M41" i="16"/>
  <c r="O41" i="16" s="1"/>
  <c r="P41" i="16" s="1"/>
  <c r="N40" i="16"/>
  <c r="M40" i="16"/>
  <c r="O40" i="16" s="1"/>
  <c r="P40" i="16" s="1"/>
  <c r="N39" i="16"/>
  <c r="M39" i="16"/>
  <c r="P38" i="16"/>
  <c r="O38" i="16"/>
  <c r="N38" i="16"/>
  <c r="M38" i="16"/>
  <c r="O37" i="16"/>
  <c r="P37" i="16" s="1"/>
  <c r="N37" i="16"/>
  <c r="M37" i="16"/>
  <c r="N36" i="16"/>
  <c r="M36" i="16"/>
  <c r="O35" i="16"/>
  <c r="P35" i="16" s="1"/>
  <c r="N35" i="16"/>
  <c r="M35" i="16"/>
  <c r="N34" i="16"/>
  <c r="M34" i="16"/>
  <c r="O34" i="16" s="1"/>
  <c r="P34" i="16" s="1"/>
  <c r="N33" i="16"/>
  <c r="M33" i="16"/>
  <c r="O33" i="16" s="1"/>
  <c r="P33" i="16" s="1"/>
  <c r="N32" i="16"/>
  <c r="M32" i="16"/>
  <c r="O32" i="16" s="1"/>
  <c r="P32" i="16" s="1"/>
  <c r="N31" i="16"/>
  <c r="M31" i="16"/>
  <c r="O31" i="16" s="1"/>
  <c r="P31" i="16" s="1"/>
  <c r="N30" i="16"/>
  <c r="M30" i="16"/>
  <c r="O30" i="16" s="1"/>
  <c r="P30" i="16" s="1"/>
  <c r="N29" i="16"/>
  <c r="M29" i="16"/>
  <c r="O29" i="16" s="1"/>
  <c r="P29" i="16" s="1"/>
  <c r="P28" i="16"/>
  <c r="N28" i="16"/>
  <c r="M28" i="16"/>
  <c r="O28" i="16" s="1"/>
  <c r="N27" i="16"/>
  <c r="M27" i="16"/>
  <c r="O26" i="16"/>
  <c r="P26" i="16" s="1"/>
  <c r="N26" i="16"/>
  <c r="M26" i="16"/>
  <c r="P25" i="16"/>
  <c r="O25" i="16"/>
  <c r="N25" i="16"/>
  <c r="M25" i="16"/>
  <c r="N24" i="16"/>
  <c r="M24" i="16"/>
  <c r="N23" i="16"/>
  <c r="M23" i="16"/>
  <c r="O22" i="16"/>
  <c r="P22" i="16" s="1"/>
  <c r="N22" i="16"/>
  <c r="M22" i="16"/>
  <c r="N21" i="16"/>
  <c r="M21" i="16"/>
  <c r="O21" i="16" s="1"/>
  <c r="P21" i="16" s="1"/>
  <c r="N20" i="16"/>
  <c r="M20" i="16"/>
  <c r="O20" i="16" s="1"/>
  <c r="P20" i="16" s="1"/>
  <c r="P19" i="16"/>
  <c r="O19" i="16"/>
  <c r="N19" i="16"/>
  <c r="M19" i="16"/>
  <c r="N18" i="16"/>
  <c r="M18" i="16"/>
  <c r="O18" i="16" s="1"/>
  <c r="P18" i="16" s="1"/>
  <c r="N17" i="16"/>
  <c r="M17" i="16"/>
  <c r="O17" i="16" s="1"/>
  <c r="P17" i="16" s="1"/>
  <c r="N16" i="16"/>
  <c r="M16" i="16"/>
  <c r="O16" i="16" s="1"/>
  <c r="P16" i="16" s="1"/>
  <c r="P15" i="16"/>
  <c r="N15" i="16"/>
  <c r="M15" i="16"/>
  <c r="O15" i="16" s="1"/>
  <c r="O14" i="16"/>
  <c r="P14" i="16" s="1"/>
  <c r="N14" i="16"/>
  <c r="M14" i="16"/>
  <c r="O13" i="16"/>
  <c r="P13" i="16" s="1"/>
  <c r="N13" i="16"/>
  <c r="M13" i="16"/>
  <c r="N12" i="16"/>
  <c r="M12" i="16"/>
  <c r="N11" i="16"/>
  <c r="M11" i="16"/>
  <c r="O11" i="16" s="1"/>
  <c r="P11" i="16" s="1"/>
  <c r="N10" i="16"/>
  <c r="M10" i="16"/>
  <c r="O10" i="16" s="1"/>
  <c r="P10" i="16" s="1"/>
  <c r="N9" i="16"/>
  <c r="M9" i="16"/>
  <c r="N8" i="16"/>
  <c r="M8" i="16"/>
  <c r="O8" i="16" s="1"/>
  <c r="P8" i="16" s="1"/>
  <c r="N7" i="16"/>
  <c r="M7" i="16"/>
  <c r="O7" i="16" s="1"/>
  <c r="P7" i="16" s="1"/>
  <c r="N6" i="16"/>
  <c r="M6" i="16"/>
  <c r="O6" i="16" s="1"/>
  <c r="P6" i="16" s="1"/>
  <c r="P5" i="16"/>
  <c r="N5" i="16"/>
  <c r="M5" i="16"/>
  <c r="O5" i="16" s="1"/>
  <c r="N4" i="16"/>
  <c r="M4" i="16"/>
  <c r="O4" i="16" s="1"/>
  <c r="P4" i="16" s="1"/>
  <c r="N3" i="16"/>
  <c r="M3" i="16"/>
  <c r="O2" i="16"/>
  <c r="P2" i="16" s="1"/>
  <c r="N2" i="16"/>
  <c r="M2" i="16"/>
  <c r="X55" i="15"/>
  <c r="W55" i="15"/>
  <c r="V55" i="15"/>
  <c r="U55" i="15"/>
  <c r="O48" i="15"/>
  <c r="K40" i="15"/>
  <c r="R25" i="15"/>
  <c r="O47" i="13"/>
  <c r="M47" i="13"/>
  <c r="K47" i="13"/>
  <c r="T46" i="13"/>
  <c r="T47" i="13" s="1"/>
  <c r="S46" i="13"/>
  <c r="S47" i="13" s="1"/>
  <c r="R46" i="13"/>
  <c r="R47" i="13" s="1"/>
  <c r="Q46" i="13"/>
  <c r="Q47" i="13" s="1"/>
  <c r="P46" i="13"/>
  <c r="P47" i="13" s="1"/>
  <c r="O46" i="13"/>
  <c r="N46" i="13"/>
  <c r="N47" i="13" s="1"/>
  <c r="M46" i="13"/>
  <c r="L46" i="13"/>
  <c r="L47" i="13" s="1"/>
  <c r="K46" i="13"/>
  <c r="F46" i="13"/>
  <c r="F48" i="13" s="1"/>
  <c r="F50" i="13" s="1"/>
  <c r="G50" i="13" s="1"/>
  <c r="D46" i="13"/>
  <c r="V44" i="13"/>
  <c r="U44" i="13"/>
  <c r="I44" i="13"/>
  <c r="G44" i="13"/>
  <c r="H44" i="13" s="1"/>
  <c r="U43" i="13"/>
  <c r="G43" i="13"/>
  <c r="U42" i="13"/>
  <c r="V42" i="13" s="1"/>
  <c r="I42" i="13"/>
  <c r="H42" i="13"/>
  <c r="G42" i="13"/>
  <c r="V41" i="13"/>
  <c r="U41" i="13"/>
  <c r="I41" i="13"/>
  <c r="H41" i="13"/>
  <c r="G41" i="13"/>
  <c r="U40" i="13"/>
  <c r="G40" i="13"/>
  <c r="I40" i="13" s="1"/>
  <c r="V39" i="13"/>
  <c r="U39" i="13"/>
  <c r="I39" i="13"/>
  <c r="G39" i="13"/>
  <c r="H39" i="13" s="1"/>
  <c r="U38" i="13"/>
  <c r="H38" i="13"/>
  <c r="G38" i="13"/>
  <c r="V37" i="13"/>
  <c r="U37" i="13"/>
  <c r="I37" i="13"/>
  <c r="G37" i="13"/>
  <c r="H37" i="13" s="1"/>
  <c r="U36" i="13"/>
  <c r="V36" i="13" s="1"/>
  <c r="I36" i="13"/>
  <c r="G36" i="13"/>
  <c r="H36" i="13" s="1"/>
  <c r="U35" i="13"/>
  <c r="H35" i="13"/>
  <c r="G35" i="13"/>
  <c r="I35" i="13" s="1"/>
  <c r="V34" i="13"/>
  <c r="U34" i="13"/>
  <c r="I34" i="13"/>
  <c r="G34" i="13"/>
  <c r="H34" i="13" s="1"/>
  <c r="U33" i="13"/>
  <c r="G33" i="13"/>
  <c r="U32" i="13"/>
  <c r="V32" i="13" s="1"/>
  <c r="I32" i="13"/>
  <c r="H32" i="13"/>
  <c r="G32" i="13"/>
  <c r="V31" i="13"/>
  <c r="U31" i="13"/>
  <c r="H31" i="13"/>
  <c r="G31" i="13"/>
  <c r="I31" i="13" s="1"/>
  <c r="U30" i="13"/>
  <c r="G30" i="13"/>
  <c r="I30" i="13" s="1"/>
  <c r="U29" i="13"/>
  <c r="I29" i="13"/>
  <c r="G29" i="13"/>
  <c r="H29" i="13" s="1"/>
  <c r="U28" i="13"/>
  <c r="V28" i="13" s="1"/>
  <c r="I28" i="13"/>
  <c r="H28" i="13"/>
  <c r="G28" i="13"/>
  <c r="U27" i="13"/>
  <c r="I27" i="13"/>
  <c r="H27" i="13"/>
  <c r="G27" i="13"/>
  <c r="V26" i="13"/>
  <c r="U26" i="13"/>
  <c r="H26" i="13"/>
  <c r="G26" i="13"/>
  <c r="I26" i="13" s="1"/>
  <c r="U25" i="13"/>
  <c r="G25" i="13"/>
  <c r="I25" i="13" s="1"/>
  <c r="U24" i="13"/>
  <c r="H24" i="13"/>
  <c r="G24" i="13"/>
  <c r="U23" i="13"/>
  <c r="V23" i="13" s="1"/>
  <c r="I23" i="13"/>
  <c r="G23" i="13"/>
  <c r="H23" i="13" s="1"/>
  <c r="U22" i="13"/>
  <c r="G22" i="13"/>
  <c r="U21" i="13"/>
  <c r="I21" i="13"/>
  <c r="G21" i="13"/>
  <c r="H21" i="13" s="1"/>
  <c r="U20" i="13"/>
  <c r="V20" i="13" s="1"/>
  <c r="I20" i="13"/>
  <c r="H20" i="13"/>
  <c r="G20" i="13"/>
  <c r="U19" i="13"/>
  <c r="V19" i="13" s="1"/>
  <c r="I19" i="13"/>
  <c r="H19" i="13"/>
  <c r="G19" i="13"/>
  <c r="U18" i="13"/>
  <c r="V18" i="13" s="1"/>
  <c r="I18" i="13"/>
  <c r="G18" i="13"/>
  <c r="H18" i="13" s="1"/>
  <c r="U17" i="13"/>
  <c r="V17" i="13" s="1"/>
  <c r="G17" i="13"/>
  <c r="I17" i="13" s="1"/>
  <c r="V16" i="13"/>
  <c r="U16" i="13"/>
  <c r="H16" i="13"/>
  <c r="G16" i="13"/>
  <c r="I16" i="13" s="1"/>
  <c r="V15" i="13"/>
  <c r="U15" i="13"/>
  <c r="I15" i="13"/>
  <c r="G15" i="13"/>
  <c r="H15" i="13" s="1"/>
  <c r="V14" i="13"/>
  <c r="U14" i="13"/>
  <c r="I14" i="13"/>
  <c r="H14" i="13"/>
  <c r="G14" i="13"/>
  <c r="V13" i="13"/>
  <c r="U13" i="13"/>
  <c r="I13" i="13"/>
  <c r="G13" i="13"/>
  <c r="H13" i="13" s="1"/>
  <c r="U12" i="13"/>
  <c r="V12" i="13" s="1"/>
  <c r="G12" i="13"/>
  <c r="I12" i="13" s="1"/>
  <c r="V11" i="13"/>
  <c r="U11" i="13"/>
  <c r="I11" i="13"/>
  <c r="H11" i="13"/>
  <c r="G11" i="13"/>
  <c r="U10" i="13"/>
  <c r="V10" i="13" s="1"/>
  <c r="I10" i="13"/>
  <c r="H10" i="13"/>
  <c r="G10" i="13"/>
  <c r="U9" i="13"/>
  <c r="I9" i="13"/>
  <c r="H9" i="13"/>
  <c r="G9" i="13"/>
  <c r="V8" i="13"/>
  <c r="U8" i="13"/>
  <c r="I8" i="13"/>
  <c r="G8" i="13"/>
  <c r="H8" i="13" s="1"/>
  <c r="U7" i="13"/>
  <c r="V7" i="13" s="1"/>
  <c r="G7" i="13"/>
  <c r="I7" i="13" s="1"/>
  <c r="V6" i="13"/>
  <c r="U6" i="13"/>
  <c r="I6" i="13"/>
  <c r="H6" i="13"/>
  <c r="G6" i="13"/>
  <c r="U5" i="13"/>
  <c r="V5" i="13" s="1"/>
  <c r="I5" i="13"/>
  <c r="H5" i="13"/>
  <c r="G5" i="13"/>
  <c r="U4" i="13"/>
  <c r="I4" i="13"/>
  <c r="H4" i="13"/>
  <c r="G4" i="13"/>
  <c r="C10" i="12"/>
  <c r="P63" i="9"/>
  <c r="O63" i="9"/>
  <c r="N63" i="9"/>
  <c r="I61" i="9"/>
  <c r="F61" i="9"/>
  <c r="I60" i="9"/>
  <c r="F60" i="9"/>
  <c r="D54" i="9"/>
  <c r="G53" i="9"/>
  <c r="H53" i="9" s="1"/>
  <c r="I51" i="9"/>
  <c r="F51" i="9"/>
  <c r="D50" i="9"/>
  <c r="D49" i="9"/>
  <c r="E56" i="9" s="1"/>
  <c r="X47" i="9"/>
  <c r="W47" i="9"/>
  <c r="V47" i="9"/>
  <c r="U47" i="9"/>
  <c r="T47" i="9"/>
  <c r="S47" i="9"/>
  <c r="R47" i="9"/>
  <c r="Q47" i="9"/>
  <c r="P47" i="9"/>
  <c r="O47" i="9"/>
  <c r="I47" i="9"/>
  <c r="F47" i="9"/>
  <c r="E47" i="9"/>
  <c r="D47" i="9"/>
  <c r="Z46" i="9"/>
  <c r="Y46" i="9"/>
  <c r="Z45" i="9"/>
  <c r="Y45" i="9"/>
  <c r="Z44" i="9"/>
  <c r="Y44" i="9"/>
  <c r="Y43" i="9"/>
  <c r="Z43" i="9" s="1"/>
  <c r="Y42" i="9"/>
  <c r="Z42" i="9" s="1"/>
  <c r="Z38" i="9"/>
  <c r="Y38" i="9"/>
  <c r="L38" i="9"/>
  <c r="K38" i="9"/>
  <c r="J38" i="9"/>
  <c r="H38" i="9"/>
  <c r="G38" i="9"/>
  <c r="Y37" i="9"/>
  <c r="J37" i="9"/>
  <c r="K37" i="9" s="1"/>
  <c r="H37" i="9"/>
  <c r="G37" i="9"/>
  <c r="Y36" i="9"/>
  <c r="Z36" i="9" s="1"/>
  <c r="L36" i="9"/>
  <c r="K36" i="9"/>
  <c r="J36" i="9"/>
  <c r="H36" i="9"/>
  <c r="G36" i="9"/>
  <c r="Y35" i="9"/>
  <c r="Z35" i="9" s="1"/>
  <c r="L35" i="9"/>
  <c r="K35" i="9"/>
  <c r="J35" i="9"/>
  <c r="H35" i="9"/>
  <c r="G35" i="9"/>
  <c r="Y34" i="9"/>
  <c r="Z34" i="9" s="1"/>
  <c r="K34" i="9"/>
  <c r="J34" i="9"/>
  <c r="G34" i="9"/>
  <c r="L34" i="9" s="1"/>
  <c r="Y33" i="9"/>
  <c r="Z33" i="9" s="1"/>
  <c r="L33" i="9"/>
  <c r="J33" i="9"/>
  <c r="K33" i="9" s="1"/>
  <c r="G33" i="9"/>
  <c r="H33" i="9" s="1"/>
  <c r="Y32" i="9"/>
  <c r="K32" i="9"/>
  <c r="J32" i="9"/>
  <c r="G32" i="9"/>
  <c r="Z31" i="9"/>
  <c r="Y31" i="9"/>
  <c r="L31" i="9"/>
  <c r="K31" i="9"/>
  <c r="J31" i="9"/>
  <c r="H31" i="9"/>
  <c r="G31" i="9"/>
  <c r="Y30" i="9"/>
  <c r="J30" i="9"/>
  <c r="K30" i="9" s="1"/>
  <c r="G30" i="9"/>
  <c r="Z29" i="9"/>
  <c r="Y29" i="9"/>
  <c r="L29" i="9"/>
  <c r="J29" i="9"/>
  <c r="K29" i="9" s="1"/>
  <c r="G29" i="9"/>
  <c r="H29" i="9" s="1"/>
  <c r="Y28" i="9"/>
  <c r="J28" i="9"/>
  <c r="K28" i="9" s="1"/>
  <c r="G28" i="9"/>
  <c r="Z27" i="9"/>
  <c r="Y27" i="9"/>
  <c r="L27" i="9"/>
  <c r="J27" i="9"/>
  <c r="K27" i="9" s="1"/>
  <c r="G27" i="9"/>
  <c r="H27" i="9" s="1"/>
  <c r="Y26" i="9"/>
  <c r="J26" i="9"/>
  <c r="K26" i="9" s="1"/>
  <c r="G26" i="9"/>
  <c r="Z25" i="9"/>
  <c r="Y25" i="9"/>
  <c r="L25" i="9"/>
  <c r="J25" i="9"/>
  <c r="K25" i="9" s="1"/>
  <c r="H25" i="9"/>
  <c r="G25" i="9"/>
  <c r="Y24" i="9"/>
  <c r="Z24" i="9" s="1"/>
  <c r="L24" i="9"/>
  <c r="J24" i="9"/>
  <c r="K24" i="9" s="1"/>
  <c r="H24" i="9"/>
  <c r="G24" i="9"/>
  <c r="Y23" i="9"/>
  <c r="K23" i="9"/>
  <c r="J23" i="9"/>
  <c r="G23" i="9"/>
  <c r="Z22" i="9"/>
  <c r="Y22" i="9"/>
  <c r="L22" i="9"/>
  <c r="K22" i="9"/>
  <c r="J22" i="9"/>
  <c r="H22" i="9"/>
  <c r="G22" i="9"/>
  <c r="Y21" i="9"/>
  <c r="J21" i="9"/>
  <c r="K21" i="9" s="1"/>
  <c r="G21" i="9"/>
  <c r="Y20" i="9"/>
  <c r="Z20" i="9" s="1"/>
  <c r="J20" i="9"/>
  <c r="K20" i="9" s="1"/>
  <c r="G20" i="9"/>
  <c r="L20" i="9" s="1"/>
  <c r="Y19" i="9"/>
  <c r="J19" i="9"/>
  <c r="K19" i="9" s="1"/>
  <c r="G19" i="9"/>
  <c r="Y18" i="9"/>
  <c r="Z18" i="9" s="1"/>
  <c r="L18" i="9"/>
  <c r="K18" i="9"/>
  <c r="J18" i="9"/>
  <c r="H18" i="9"/>
  <c r="G18" i="9"/>
  <c r="Y17" i="9"/>
  <c r="J17" i="9"/>
  <c r="K17" i="9" s="1"/>
  <c r="G17" i="9"/>
  <c r="Z16" i="9"/>
  <c r="Y16" i="9"/>
  <c r="L16" i="9"/>
  <c r="J16" i="9"/>
  <c r="K16" i="9" s="1"/>
  <c r="H16" i="9"/>
  <c r="G16" i="9"/>
  <c r="Y15" i="9"/>
  <c r="J15" i="9"/>
  <c r="K15" i="9" s="1"/>
  <c r="G15" i="9"/>
  <c r="Y14" i="9"/>
  <c r="Z14" i="9" s="1"/>
  <c r="K14" i="9"/>
  <c r="J14" i="9"/>
  <c r="G14" i="9"/>
  <c r="L14" i="9" s="1"/>
  <c r="Z13" i="9"/>
  <c r="Y13" i="9"/>
  <c r="L13" i="9"/>
  <c r="K13" i="9"/>
  <c r="J13" i="9"/>
  <c r="G13" i="9"/>
  <c r="H13" i="9" s="1"/>
  <c r="Y12" i="9"/>
  <c r="Z12" i="9" s="1"/>
  <c r="L12" i="9"/>
  <c r="J12" i="9"/>
  <c r="K12" i="9" s="1"/>
  <c r="H12" i="9"/>
  <c r="G12" i="9"/>
  <c r="Y11" i="9"/>
  <c r="Z11" i="9" s="1"/>
  <c r="L11" i="9"/>
  <c r="J11" i="9"/>
  <c r="K11" i="9" s="1"/>
  <c r="G11" i="9"/>
  <c r="H11" i="9" s="1"/>
  <c r="Y10" i="9"/>
  <c r="K10" i="9"/>
  <c r="J10" i="9"/>
  <c r="G10" i="9"/>
  <c r="Z9" i="9"/>
  <c r="Y9" i="9"/>
  <c r="L9" i="9"/>
  <c r="J9" i="9"/>
  <c r="K9" i="9" s="1"/>
  <c r="H9" i="9"/>
  <c r="G9" i="9"/>
  <c r="Y8" i="9"/>
  <c r="K8" i="9"/>
  <c r="J8" i="9"/>
  <c r="G8" i="9"/>
  <c r="Y7" i="9"/>
  <c r="Z7" i="9" s="1"/>
  <c r="K7" i="9"/>
  <c r="J7" i="9"/>
  <c r="G7" i="9"/>
  <c r="L7" i="9" s="1"/>
  <c r="Y6" i="9"/>
  <c r="Z6" i="9" s="1"/>
  <c r="L6" i="9"/>
  <c r="K6" i="9"/>
  <c r="J6" i="9"/>
  <c r="H6" i="9"/>
  <c r="G6" i="9"/>
  <c r="Y5" i="9"/>
  <c r="K5" i="9"/>
  <c r="J5" i="9"/>
  <c r="G5" i="9"/>
  <c r="H5" i="9" s="1"/>
  <c r="Y4" i="9"/>
  <c r="Z4" i="9" s="1"/>
  <c r="L4" i="9"/>
  <c r="J4" i="9"/>
  <c r="G4" i="9"/>
  <c r="H4" i="9" s="1"/>
  <c r="F930" i="8"/>
  <c r="G926" i="8"/>
  <c r="F926" i="8"/>
  <c r="G925" i="8"/>
  <c r="G924" i="8"/>
  <c r="J923" i="8"/>
  <c r="G923" i="8"/>
  <c r="G922" i="8"/>
  <c r="G921" i="8"/>
  <c r="G920" i="8"/>
  <c r="G919" i="8"/>
  <c r="G918" i="8"/>
  <c r="G917" i="8"/>
  <c r="F916" i="8"/>
  <c r="F913" i="8"/>
  <c r="G913" i="8" s="1"/>
  <c r="I912" i="8"/>
  <c r="G912" i="8"/>
  <c r="G911" i="8"/>
  <c r="I911" i="8" s="1"/>
  <c r="G910" i="8"/>
  <c r="G909" i="8"/>
  <c r="G908" i="8"/>
  <c r="G907" i="8"/>
  <c r="G906" i="8"/>
  <c r="H904" i="8"/>
  <c r="F903" i="8"/>
  <c r="G905" i="8" s="1"/>
  <c r="S896" i="8"/>
  <c r="R896" i="8"/>
  <c r="Q896" i="8"/>
  <c r="O896" i="8"/>
  <c r="N896" i="8"/>
  <c r="P896" i="8" s="1"/>
  <c r="O895" i="8"/>
  <c r="N895" i="8"/>
  <c r="P895" i="8" s="1"/>
  <c r="S894" i="8"/>
  <c r="R894" i="8"/>
  <c r="Q894" i="8"/>
  <c r="P894" i="8"/>
  <c r="O894" i="8"/>
  <c r="N894" i="8"/>
  <c r="O893" i="8"/>
  <c r="N893" i="8"/>
  <c r="P893" i="8" s="1"/>
  <c r="S892" i="8"/>
  <c r="P892" i="8"/>
  <c r="Q892" i="8" s="1"/>
  <c r="O892" i="8"/>
  <c r="N892" i="8"/>
  <c r="O891" i="8"/>
  <c r="P891" i="8" s="1"/>
  <c r="N891" i="8"/>
  <c r="O890" i="8"/>
  <c r="P890" i="8" s="1"/>
  <c r="N890" i="8"/>
  <c r="O889" i="8"/>
  <c r="N889" i="8"/>
  <c r="P889" i="8" s="1"/>
  <c r="Q888" i="8"/>
  <c r="S888" i="8" s="1"/>
  <c r="P888" i="8"/>
  <c r="R888" i="8" s="1"/>
  <c r="O888" i="8"/>
  <c r="N888" i="8"/>
  <c r="O887" i="8"/>
  <c r="P887" i="8" s="1"/>
  <c r="N887" i="8"/>
  <c r="O886" i="8"/>
  <c r="N886" i="8"/>
  <c r="P886" i="8" s="1"/>
  <c r="R885" i="8"/>
  <c r="O885" i="8"/>
  <c r="N885" i="8"/>
  <c r="P885" i="8" s="1"/>
  <c r="Q885" i="8" s="1"/>
  <c r="S885" i="8" s="1"/>
  <c r="O884" i="8"/>
  <c r="N884" i="8"/>
  <c r="P883" i="8"/>
  <c r="R883" i="8" s="1"/>
  <c r="O883" i="8"/>
  <c r="N883" i="8"/>
  <c r="O882" i="8"/>
  <c r="N882" i="8"/>
  <c r="P882" i="8" s="1"/>
  <c r="P881" i="8"/>
  <c r="O881" i="8"/>
  <c r="N881" i="8"/>
  <c r="O880" i="8"/>
  <c r="N880" i="8"/>
  <c r="P880" i="8" s="1"/>
  <c r="O879" i="8"/>
  <c r="N879" i="8"/>
  <c r="P879" i="8" s="1"/>
  <c r="O878" i="8"/>
  <c r="P878" i="8" s="1"/>
  <c r="N878" i="8"/>
  <c r="Q877" i="8"/>
  <c r="S877" i="8" s="1"/>
  <c r="P877" i="8"/>
  <c r="R877" i="8" s="1"/>
  <c r="O877" i="8"/>
  <c r="N877" i="8"/>
  <c r="P876" i="8"/>
  <c r="R876" i="8" s="1"/>
  <c r="O876" i="8"/>
  <c r="N876" i="8"/>
  <c r="O875" i="8"/>
  <c r="P875" i="8" s="1"/>
  <c r="N875" i="8"/>
  <c r="S874" i="8"/>
  <c r="R874" i="8"/>
  <c r="O874" i="8"/>
  <c r="P874" i="8" s="1"/>
  <c r="Q874" i="8" s="1"/>
  <c r="N874" i="8"/>
  <c r="O873" i="8"/>
  <c r="N873" i="8"/>
  <c r="P873" i="8" s="1"/>
  <c r="O872" i="8"/>
  <c r="N872" i="8"/>
  <c r="P872" i="8" s="1"/>
  <c r="O871" i="8"/>
  <c r="N871" i="8"/>
  <c r="P871" i="8" s="1"/>
  <c r="S870" i="8"/>
  <c r="R870" i="8"/>
  <c r="Q870" i="8"/>
  <c r="P870" i="8"/>
  <c r="O870" i="8"/>
  <c r="N870" i="8"/>
  <c r="O869" i="8"/>
  <c r="N869" i="8"/>
  <c r="P869" i="8" s="1"/>
  <c r="O868" i="8"/>
  <c r="P868" i="8" s="1"/>
  <c r="Q868" i="8" s="1"/>
  <c r="S868" i="8" s="1"/>
  <c r="N868" i="8"/>
  <c r="O867" i="8"/>
  <c r="N867" i="8"/>
  <c r="P867" i="8" s="1"/>
  <c r="O866" i="8"/>
  <c r="P866" i="8" s="1"/>
  <c r="N866" i="8"/>
  <c r="P865" i="8"/>
  <c r="R865" i="8" s="1"/>
  <c r="O865" i="8"/>
  <c r="N865" i="8"/>
  <c r="Q864" i="8"/>
  <c r="S864" i="8" s="1"/>
  <c r="P864" i="8"/>
  <c r="R864" i="8" s="1"/>
  <c r="O864" i="8"/>
  <c r="N864" i="8"/>
  <c r="R863" i="8"/>
  <c r="O863" i="8"/>
  <c r="P863" i="8" s="1"/>
  <c r="Q863" i="8" s="1"/>
  <c r="S863" i="8" s="1"/>
  <c r="N863" i="8"/>
  <c r="P862" i="8"/>
  <c r="O862" i="8"/>
  <c r="N862" i="8"/>
  <c r="Q861" i="8"/>
  <c r="S861" i="8" s="1"/>
  <c r="O861" i="8"/>
  <c r="N861" i="8"/>
  <c r="P861" i="8" s="1"/>
  <c r="R861" i="8" s="1"/>
  <c r="O860" i="8"/>
  <c r="N860" i="8"/>
  <c r="R859" i="8"/>
  <c r="Q859" i="8"/>
  <c r="S859" i="8" s="1"/>
  <c r="P859" i="8"/>
  <c r="O859" i="8"/>
  <c r="N859" i="8"/>
  <c r="O858" i="8"/>
  <c r="N858" i="8"/>
  <c r="P858" i="8" s="1"/>
  <c r="R857" i="8"/>
  <c r="Q857" i="8"/>
  <c r="S857" i="8" s="1"/>
  <c r="P857" i="8"/>
  <c r="O857" i="8"/>
  <c r="N857" i="8"/>
  <c r="O856" i="8"/>
  <c r="N856" i="8"/>
  <c r="P856" i="8" s="1"/>
  <c r="P855" i="8"/>
  <c r="R855" i="8" s="1"/>
  <c r="O855" i="8"/>
  <c r="N855" i="8"/>
  <c r="O854" i="8"/>
  <c r="N854" i="8"/>
  <c r="P854" i="8" s="1"/>
  <c r="O853" i="8"/>
  <c r="N853" i="8"/>
  <c r="P853" i="8" s="1"/>
  <c r="P852" i="8"/>
  <c r="R852" i="8" s="1"/>
  <c r="O852" i="8"/>
  <c r="N852" i="8"/>
  <c r="P851" i="8"/>
  <c r="O851" i="8"/>
  <c r="N851" i="8"/>
  <c r="S850" i="8"/>
  <c r="R850" i="8"/>
  <c r="O850" i="8"/>
  <c r="P850" i="8" s="1"/>
  <c r="Q850" i="8" s="1"/>
  <c r="N850" i="8"/>
  <c r="O849" i="8"/>
  <c r="N849" i="8"/>
  <c r="S848" i="8"/>
  <c r="R848" i="8"/>
  <c r="Q848" i="8"/>
  <c r="O848" i="8"/>
  <c r="N848" i="8"/>
  <c r="P848" i="8" s="1"/>
  <c r="O847" i="8"/>
  <c r="N847" i="8"/>
  <c r="P847" i="8" s="1"/>
  <c r="P846" i="8"/>
  <c r="O846" i="8"/>
  <c r="N846" i="8"/>
  <c r="O845" i="8"/>
  <c r="N845" i="8"/>
  <c r="P845" i="8" s="1"/>
  <c r="Q844" i="8"/>
  <c r="S844" i="8" s="1"/>
  <c r="P844" i="8"/>
  <c r="R844" i="8" s="1"/>
  <c r="O844" i="8"/>
  <c r="N844" i="8"/>
  <c r="O843" i="8"/>
  <c r="N843" i="8"/>
  <c r="P843" i="8" s="1"/>
  <c r="O842" i="8"/>
  <c r="N842" i="8"/>
  <c r="P842" i="8" s="1"/>
  <c r="P841" i="8"/>
  <c r="R841" i="8" s="1"/>
  <c r="O841" i="8"/>
  <c r="N841" i="8"/>
  <c r="O840" i="8"/>
  <c r="N840" i="8"/>
  <c r="P840" i="8" s="1"/>
  <c r="O839" i="8"/>
  <c r="P839" i="8" s="1"/>
  <c r="Q839" i="8" s="1"/>
  <c r="S839" i="8" s="1"/>
  <c r="N839" i="8"/>
  <c r="O838" i="8"/>
  <c r="P838" i="8" s="1"/>
  <c r="N838" i="8"/>
  <c r="R837" i="8"/>
  <c r="Q837" i="8"/>
  <c r="S837" i="8" s="1"/>
  <c r="O837" i="8"/>
  <c r="N837" i="8"/>
  <c r="P837" i="8" s="1"/>
  <c r="O836" i="8"/>
  <c r="N836" i="8"/>
  <c r="P836" i="8" s="1"/>
  <c r="P835" i="8"/>
  <c r="O835" i="8"/>
  <c r="N835" i="8"/>
  <c r="O834" i="8"/>
  <c r="N834" i="8"/>
  <c r="P834" i="8" s="1"/>
  <c r="O833" i="8"/>
  <c r="P833" i="8" s="1"/>
  <c r="Q833" i="8" s="1"/>
  <c r="S833" i="8" s="1"/>
  <c r="N833" i="8"/>
  <c r="O832" i="8"/>
  <c r="N832" i="8"/>
  <c r="P832" i="8" s="1"/>
  <c r="O831" i="8"/>
  <c r="N831" i="8"/>
  <c r="P831" i="8" s="1"/>
  <c r="O830" i="8"/>
  <c r="N830" i="8"/>
  <c r="P830" i="8" s="1"/>
  <c r="O829" i="8"/>
  <c r="N829" i="8"/>
  <c r="P829" i="8" s="1"/>
  <c r="P828" i="8"/>
  <c r="R828" i="8" s="1"/>
  <c r="O828" i="8"/>
  <c r="N828" i="8"/>
  <c r="O827" i="8"/>
  <c r="N827" i="8"/>
  <c r="P827" i="8" s="1"/>
  <c r="S826" i="8"/>
  <c r="O826" i="8"/>
  <c r="P826" i="8" s="1"/>
  <c r="Q826" i="8" s="1"/>
  <c r="N826" i="8"/>
  <c r="O825" i="8"/>
  <c r="N825" i="8"/>
  <c r="P825" i="8" s="1"/>
  <c r="Q824" i="8"/>
  <c r="S824" i="8" s="1"/>
  <c r="O824" i="8"/>
  <c r="N824" i="8"/>
  <c r="P824" i="8" s="1"/>
  <c r="R824" i="8" s="1"/>
  <c r="O823" i="8"/>
  <c r="N823" i="8"/>
  <c r="P823" i="8" s="1"/>
  <c r="P822" i="8"/>
  <c r="O822" i="8"/>
  <c r="N822" i="8"/>
  <c r="O821" i="8"/>
  <c r="N821" i="8"/>
  <c r="P821" i="8" s="1"/>
  <c r="S820" i="8"/>
  <c r="R820" i="8"/>
  <c r="Q820" i="8"/>
  <c r="P820" i="8"/>
  <c r="O820" i="8"/>
  <c r="N820" i="8"/>
  <c r="O819" i="8"/>
  <c r="N819" i="8"/>
  <c r="P819" i="8" s="1"/>
  <c r="O818" i="8"/>
  <c r="N818" i="8"/>
  <c r="P818" i="8" s="1"/>
  <c r="P817" i="8"/>
  <c r="R817" i="8" s="1"/>
  <c r="O817" i="8"/>
  <c r="N817" i="8"/>
  <c r="O816" i="8"/>
  <c r="N816" i="8"/>
  <c r="P816" i="8" s="1"/>
  <c r="O815" i="8"/>
  <c r="P815" i="8" s="1"/>
  <c r="N815" i="8"/>
  <c r="O814" i="8"/>
  <c r="P814" i="8" s="1"/>
  <c r="N814" i="8"/>
  <c r="R813" i="8"/>
  <c r="Q813" i="8"/>
  <c r="S813" i="8" s="1"/>
  <c r="O813" i="8"/>
  <c r="N813" i="8"/>
  <c r="P813" i="8" s="1"/>
  <c r="O812" i="8"/>
  <c r="N812" i="8"/>
  <c r="P811" i="8"/>
  <c r="O811" i="8"/>
  <c r="N811" i="8"/>
  <c r="O810" i="8"/>
  <c r="N810" i="8"/>
  <c r="P810" i="8" s="1"/>
  <c r="O809" i="8"/>
  <c r="P809" i="8" s="1"/>
  <c r="N809" i="8"/>
  <c r="O808" i="8"/>
  <c r="N808" i="8"/>
  <c r="P808" i="8" s="1"/>
  <c r="O807" i="8"/>
  <c r="P807" i="8" s="1"/>
  <c r="N807" i="8"/>
  <c r="O806" i="8"/>
  <c r="N806" i="8"/>
  <c r="P806" i="8" s="1"/>
  <c r="O805" i="8"/>
  <c r="P805" i="8" s="1"/>
  <c r="N805" i="8"/>
  <c r="P804" i="8"/>
  <c r="R804" i="8" s="1"/>
  <c r="O804" i="8"/>
  <c r="N804" i="8"/>
  <c r="O803" i="8"/>
  <c r="P803" i="8" s="1"/>
  <c r="N803" i="8"/>
  <c r="O802" i="8"/>
  <c r="P802" i="8" s="1"/>
  <c r="N802" i="8"/>
  <c r="O801" i="8"/>
  <c r="N801" i="8"/>
  <c r="P801" i="8" s="1"/>
  <c r="Q800" i="8"/>
  <c r="S800" i="8" s="1"/>
  <c r="O800" i="8"/>
  <c r="N800" i="8"/>
  <c r="P800" i="8" s="1"/>
  <c r="R800" i="8" s="1"/>
  <c r="O799" i="8"/>
  <c r="N799" i="8"/>
  <c r="P799" i="8" s="1"/>
  <c r="R798" i="8"/>
  <c r="Q798" i="8"/>
  <c r="S798" i="8" s="1"/>
  <c r="P798" i="8"/>
  <c r="O798" i="8"/>
  <c r="N798" i="8"/>
  <c r="O797" i="8"/>
  <c r="N797" i="8"/>
  <c r="P797" i="8" s="1"/>
  <c r="S796" i="8"/>
  <c r="R796" i="8"/>
  <c r="O796" i="8"/>
  <c r="P796" i="8" s="1"/>
  <c r="Q796" i="8" s="1"/>
  <c r="N796" i="8"/>
  <c r="O795" i="8"/>
  <c r="N795" i="8"/>
  <c r="P795" i="8" s="1"/>
  <c r="O794" i="8"/>
  <c r="P794" i="8" s="1"/>
  <c r="N794" i="8"/>
  <c r="P793" i="8"/>
  <c r="R793" i="8" s="1"/>
  <c r="O793" i="8"/>
  <c r="N793" i="8"/>
  <c r="O792" i="8"/>
  <c r="N792" i="8"/>
  <c r="P792" i="8" s="1"/>
  <c r="O791" i="8"/>
  <c r="P791" i="8" s="1"/>
  <c r="Q791" i="8" s="1"/>
  <c r="S791" i="8" s="1"/>
  <c r="N791" i="8"/>
  <c r="O790" i="8"/>
  <c r="P790" i="8" s="1"/>
  <c r="N790" i="8"/>
  <c r="O789" i="8"/>
  <c r="N789" i="8"/>
  <c r="P789" i="8" s="1"/>
  <c r="O788" i="8"/>
  <c r="N788" i="8"/>
  <c r="P788" i="8" s="1"/>
  <c r="R787" i="8"/>
  <c r="Q787" i="8"/>
  <c r="S787" i="8" s="1"/>
  <c r="P787" i="8"/>
  <c r="O787" i="8"/>
  <c r="N787" i="8"/>
  <c r="O786" i="8"/>
  <c r="N786" i="8"/>
  <c r="P786" i="8" s="1"/>
  <c r="O785" i="8"/>
  <c r="P785" i="8" s="1"/>
  <c r="N785" i="8"/>
  <c r="O784" i="8"/>
  <c r="N784" i="8"/>
  <c r="P784" i="8" s="1"/>
  <c r="R783" i="8"/>
  <c r="Q783" i="8"/>
  <c r="S783" i="8" s="1"/>
  <c r="O783" i="8"/>
  <c r="P783" i="8" s="1"/>
  <c r="N783" i="8"/>
  <c r="O782" i="8"/>
  <c r="N782" i="8"/>
  <c r="P782" i="8" s="1"/>
  <c r="O781" i="8"/>
  <c r="N781" i="8"/>
  <c r="P781" i="8" s="1"/>
  <c r="P780" i="8"/>
  <c r="R780" i="8" s="1"/>
  <c r="O780" i="8"/>
  <c r="N780" i="8"/>
  <c r="O779" i="8"/>
  <c r="N779" i="8"/>
  <c r="P779" i="8" s="1"/>
  <c r="R779" i="8" s="1"/>
  <c r="O778" i="8"/>
  <c r="P778" i="8" s="1"/>
  <c r="N778" i="8"/>
  <c r="O777" i="8"/>
  <c r="N777" i="8"/>
  <c r="P777" i="8" s="1"/>
  <c r="O776" i="8"/>
  <c r="N776" i="8"/>
  <c r="P776" i="8" s="1"/>
  <c r="Q776" i="8" s="1"/>
  <c r="S776" i="8" s="1"/>
  <c r="O775" i="8"/>
  <c r="N775" i="8"/>
  <c r="P774" i="8"/>
  <c r="R774" i="8" s="1"/>
  <c r="O774" i="8"/>
  <c r="N774" i="8"/>
  <c r="O773" i="8"/>
  <c r="N773" i="8"/>
  <c r="P773" i="8" s="1"/>
  <c r="P772" i="8"/>
  <c r="R772" i="8" s="1"/>
  <c r="O772" i="8"/>
  <c r="N772" i="8"/>
  <c r="O771" i="8"/>
  <c r="N771" i="8"/>
  <c r="P771" i="8" s="1"/>
  <c r="R770" i="8"/>
  <c r="Q770" i="8"/>
  <c r="S770" i="8" s="1"/>
  <c r="O770" i="8"/>
  <c r="N770" i="8"/>
  <c r="P770" i="8" s="1"/>
  <c r="P769" i="8"/>
  <c r="R769" i="8" s="1"/>
  <c r="O769" i="8"/>
  <c r="N769" i="8"/>
  <c r="O768" i="8"/>
  <c r="N768" i="8"/>
  <c r="P768" i="8" s="1"/>
  <c r="O767" i="8"/>
  <c r="P767" i="8" s="1"/>
  <c r="Q767" i="8" s="1"/>
  <c r="S767" i="8" s="1"/>
  <c r="N767" i="8"/>
  <c r="O766" i="8"/>
  <c r="P766" i="8" s="1"/>
  <c r="N766" i="8"/>
  <c r="Q765" i="8"/>
  <c r="S765" i="8" s="1"/>
  <c r="O765" i="8"/>
  <c r="N765" i="8"/>
  <c r="P765" i="8" s="1"/>
  <c r="R765" i="8" s="1"/>
  <c r="O764" i="8"/>
  <c r="N764" i="8"/>
  <c r="R763" i="8"/>
  <c r="Q763" i="8"/>
  <c r="S763" i="8" s="1"/>
  <c r="P763" i="8"/>
  <c r="O763" i="8"/>
  <c r="N763" i="8"/>
  <c r="O762" i="8"/>
  <c r="P762" i="8" s="1"/>
  <c r="N762" i="8"/>
  <c r="O761" i="8"/>
  <c r="P761" i="8" s="1"/>
  <c r="N761" i="8"/>
  <c r="O760" i="8"/>
  <c r="O759" i="8"/>
  <c r="N759" i="8"/>
  <c r="P759" i="8" s="1"/>
  <c r="R758" i="8"/>
  <c r="Q758" i="8"/>
  <c r="S758" i="8" s="1"/>
  <c r="O758" i="8"/>
  <c r="N758" i="8"/>
  <c r="P758" i="8" s="1"/>
  <c r="P757" i="8"/>
  <c r="R757" i="8" s="1"/>
  <c r="O757" i="8"/>
  <c r="N757" i="8"/>
  <c r="R756" i="8"/>
  <c r="P756" i="8"/>
  <c r="Q756" i="8" s="1"/>
  <c r="S756" i="8" s="1"/>
  <c r="O756" i="8"/>
  <c r="N756" i="8"/>
  <c r="O755" i="8"/>
  <c r="N755" i="8"/>
  <c r="P755" i="8" s="1"/>
  <c r="O754" i="8"/>
  <c r="Q753" i="8"/>
  <c r="S753" i="8" s="1"/>
  <c r="P753" i="8"/>
  <c r="R753" i="8" s="1"/>
  <c r="O753" i="8"/>
  <c r="N753" i="8"/>
  <c r="O752" i="8"/>
  <c r="N752" i="8"/>
  <c r="P752" i="8" s="1"/>
  <c r="R752" i="8" s="1"/>
  <c r="O751" i="8"/>
  <c r="P750" i="8"/>
  <c r="R750" i="8" s="1"/>
  <c r="O750" i="8"/>
  <c r="N750" i="8"/>
  <c r="O749" i="8"/>
  <c r="N749" i="8"/>
  <c r="P749" i="8" s="1"/>
  <c r="P748" i="8"/>
  <c r="O748" i="8"/>
  <c r="N748" i="8"/>
  <c r="R747" i="8"/>
  <c r="Q747" i="8"/>
  <c r="S747" i="8" s="1"/>
  <c r="O747" i="8"/>
  <c r="N747" i="8"/>
  <c r="P747" i="8" s="1"/>
  <c r="O746" i="8"/>
  <c r="N746" i="8"/>
  <c r="P746" i="8" s="1"/>
  <c r="O745" i="8"/>
  <c r="O744" i="8"/>
  <c r="N744" i="8"/>
  <c r="P744" i="8" s="1"/>
  <c r="O743" i="8"/>
  <c r="P742" i="8"/>
  <c r="R742" i="8" s="1"/>
  <c r="O742" i="8"/>
  <c r="N742" i="8"/>
  <c r="P741" i="8"/>
  <c r="R741" i="8" s="1"/>
  <c r="O741" i="8"/>
  <c r="N741" i="8"/>
  <c r="O740" i="8"/>
  <c r="N740" i="8"/>
  <c r="P740" i="8" s="1"/>
  <c r="O739" i="8"/>
  <c r="N739" i="8"/>
  <c r="P739" i="8" s="1"/>
  <c r="Q739" i="8" s="1"/>
  <c r="S739" i="8" s="1"/>
  <c r="O738" i="8"/>
  <c r="N738" i="8"/>
  <c r="P738" i="8" s="1"/>
  <c r="P737" i="8"/>
  <c r="R737" i="8" s="1"/>
  <c r="O737" i="8"/>
  <c r="N737" i="8"/>
  <c r="O736" i="8"/>
  <c r="O735" i="8"/>
  <c r="P735" i="8" s="1"/>
  <c r="N735" i="8"/>
  <c r="O734" i="8"/>
  <c r="N734" i="8"/>
  <c r="P734" i="8" s="1"/>
  <c r="O733" i="8"/>
  <c r="N733" i="8"/>
  <c r="P733" i="8" s="1"/>
  <c r="O732" i="8"/>
  <c r="O731" i="8"/>
  <c r="N731" i="8"/>
  <c r="P731" i="8" s="1"/>
  <c r="S730" i="8"/>
  <c r="R730" i="8"/>
  <c r="Q730" i="8"/>
  <c r="P730" i="8"/>
  <c r="O730" i="8"/>
  <c r="N730" i="8"/>
  <c r="O729" i="8"/>
  <c r="P729" i="8" s="1"/>
  <c r="N729" i="8"/>
  <c r="O728" i="8"/>
  <c r="N728" i="8"/>
  <c r="P728" i="8" s="1"/>
  <c r="O727" i="8"/>
  <c r="N727" i="8"/>
  <c r="P727" i="8" s="1"/>
  <c r="O726" i="8"/>
  <c r="N726" i="8"/>
  <c r="P726" i="8" s="1"/>
  <c r="R725" i="8"/>
  <c r="Q725" i="8"/>
  <c r="S725" i="8" s="1"/>
  <c r="O725" i="8"/>
  <c r="N725" i="8"/>
  <c r="P725" i="8" s="1"/>
  <c r="O724" i="8"/>
  <c r="P723" i="8"/>
  <c r="O723" i="8"/>
  <c r="N723" i="8"/>
  <c r="O722" i="8"/>
  <c r="O721" i="8"/>
  <c r="P721" i="8" s="1"/>
  <c r="N721" i="8"/>
  <c r="O720" i="8"/>
  <c r="Q719" i="8"/>
  <c r="S719" i="8" s="1"/>
  <c r="P719" i="8"/>
  <c r="R719" i="8" s="1"/>
  <c r="O719" i="8"/>
  <c r="N719" i="8"/>
  <c r="O718" i="8"/>
  <c r="O717" i="8"/>
  <c r="N717" i="8"/>
  <c r="P717" i="8" s="1"/>
  <c r="Q717" i="8" s="1"/>
  <c r="S717" i="8" s="1"/>
  <c r="Q716" i="8"/>
  <c r="S716" i="8" s="1"/>
  <c r="P716" i="8"/>
  <c r="R716" i="8" s="1"/>
  <c r="O716" i="8"/>
  <c r="N716" i="8"/>
  <c r="P715" i="8"/>
  <c r="O715" i="8"/>
  <c r="N715" i="8"/>
  <c r="O714" i="8"/>
  <c r="N714" i="8"/>
  <c r="P714" i="8" s="1"/>
  <c r="O713" i="8"/>
  <c r="N713" i="8"/>
  <c r="P713" i="8" s="1"/>
  <c r="O712" i="8"/>
  <c r="N712" i="8"/>
  <c r="O711" i="8"/>
  <c r="N711" i="8"/>
  <c r="P711" i="8" s="1"/>
  <c r="Q711" i="8" s="1"/>
  <c r="S711" i="8" s="1"/>
  <c r="O710" i="8"/>
  <c r="N710" i="8"/>
  <c r="O709" i="8"/>
  <c r="P709" i="8" s="1"/>
  <c r="N709" i="8"/>
  <c r="O708" i="8"/>
  <c r="N708" i="8"/>
  <c r="P708" i="8" s="1"/>
  <c r="Q708" i="8" s="1"/>
  <c r="S708" i="8" s="1"/>
  <c r="P707" i="8"/>
  <c r="O707" i="8"/>
  <c r="N707" i="8"/>
  <c r="Q706" i="8"/>
  <c r="S706" i="8" s="1"/>
  <c r="O706" i="8"/>
  <c r="N706" i="8"/>
  <c r="P706" i="8" s="1"/>
  <c r="R706" i="8" s="1"/>
  <c r="Q705" i="8"/>
  <c r="S705" i="8" s="1"/>
  <c r="P705" i="8"/>
  <c r="R705" i="8" s="1"/>
  <c r="O705" i="8"/>
  <c r="N705" i="8"/>
  <c r="O704" i="8"/>
  <c r="N704" i="8"/>
  <c r="R703" i="8"/>
  <c r="P703" i="8"/>
  <c r="Q703" i="8" s="1"/>
  <c r="S703" i="8" s="1"/>
  <c r="O703" i="8"/>
  <c r="N703" i="8"/>
  <c r="O702" i="8"/>
  <c r="N702" i="8"/>
  <c r="P702" i="8" s="1"/>
  <c r="O701" i="8"/>
  <c r="N701" i="8"/>
  <c r="O700" i="8"/>
  <c r="N700" i="8"/>
  <c r="P700" i="8" s="1"/>
  <c r="R700" i="8" s="1"/>
  <c r="P699" i="8"/>
  <c r="O699" i="8"/>
  <c r="N699" i="8"/>
  <c r="O698" i="8"/>
  <c r="N698" i="8"/>
  <c r="O697" i="8"/>
  <c r="N697" i="8"/>
  <c r="R696" i="8"/>
  <c r="Q696" i="8"/>
  <c r="S696" i="8" s="1"/>
  <c r="O696" i="8"/>
  <c r="N696" i="8"/>
  <c r="P696" i="8" s="1"/>
  <c r="Q695" i="8"/>
  <c r="S695" i="8" s="1"/>
  <c r="O695" i="8"/>
  <c r="N695" i="8"/>
  <c r="P695" i="8" s="1"/>
  <c r="R695" i="8" s="1"/>
  <c r="O694" i="8"/>
  <c r="N694" i="8"/>
  <c r="P693" i="8"/>
  <c r="O693" i="8"/>
  <c r="N693" i="8"/>
  <c r="O692" i="8"/>
  <c r="N692" i="8"/>
  <c r="P692" i="8" s="1"/>
  <c r="O691" i="8"/>
  <c r="P691" i="8" s="1"/>
  <c r="N691" i="8"/>
  <c r="O690" i="8"/>
  <c r="N690" i="8"/>
  <c r="P690" i="8" s="1"/>
  <c r="O689" i="8"/>
  <c r="N689" i="8"/>
  <c r="P689" i="8" s="1"/>
  <c r="O688" i="8"/>
  <c r="R687" i="8"/>
  <c r="O687" i="8"/>
  <c r="N687" i="8"/>
  <c r="P687" i="8" s="1"/>
  <c r="Q687" i="8" s="1"/>
  <c r="S687" i="8" s="1"/>
  <c r="O686" i="8"/>
  <c r="R685" i="8"/>
  <c r="O685" i="8"/>
  <c r="P685" i="8" s="1"/>
  <c r="Q685" i="8" s="1"/>
  <c r="S685" i="8" s="1"/>
  <c r="N685" i="8"/>
  <c r="O684" i="8"/>
  <c r="R683" i="8"/>
  <c r="Q683" i="8"/>
  <c r="S683" i="8" s="1"/>
  <c r="P683" i="8"/>
  <c r="O683" i="8"/>
  <c r="N683" i="8"/>
  <c r="O682" i="8"/>
  <c r="O681" i="8"/>
  <c r="P681" i="8" s="1"/>
  <c r="N681" i="8"/>
  <c r="O680" i="8"/>
  <c r="N680" i="8"/>
  <c r="O679" i="8"/>
  <c r="O678" i="8"/>
  <c r="N678" i="8"/>
  <c r="P678" i="8" s="1"/>
  <c r="O677" i="8"/>
  <c r="O676" i="8"/>
  <c r="N676" i="8"/>
  <c r="P676" i="8" s="1"/>
  <c r="R676" i="8" s="1"/>
  <c r="O675" i="8"/>
  <c r="N675" i="8"/>
  <c r="O674" i="8"/>
  <c r="N674" i="8"/>
  <c r="R673" i="8"/>
  <c r="O673" i="8"/>
  <c r="N673" i="8"/>
  <c r="P673" i="8" s="1"/>
  <c r="Q673" i="8" s="1"/>
  <c r="S673" i="8" s="1"/>
  <c r="S672" i="8"/>
  <c r="R672" i="8"/>
  <c r="Q672" i="8"/>
  <c r="O672" i="8"/>
  <c r="N672" i="8"/>
  <c r="P672" i="8" s="1"/>
  <c r="O671" i="8"/>
  <c r="N671" i="8"/>
  <c r="P671" i="8" s="1"/>
  <c r="R671" i="8" s="1"/>
  <c r="O670" i="8"/>
  <c r="P669" i="8"/>
  <c r="O669" i="8"/>
  <c r="N669" i="8"/>
  <c r="R668" i="8"/>
  <c r="Q668" i="8"/>
  <c r="S668" i="8" s="1"/>
  <c r="O668" i="8"/>
  <c r="N668" i="8"/>
  <c r="P668" i="8" s="1"/>
  <c r="O667" i="8"/>
  <c r="P667" i="8" s="1"/>
  <c r="N667" i="8"/>
  <c r="O666" i="8"/>
  <c r="O665" i="8"/>
  <c r="N665" i="8"/>
  <c r="P665" i="8" s="1"/>
  <c r="O664" i="8"/>
  <c r="S663" i="8"/>
  <c r="R663" i="8"/>
  <c r="O663" i="8"/>
  <c r="N663" i="8"/>
  <c r="P663" i="8" s="1"/>
  <c r="Q663" i="8" s="1"/>
  <c r="O662" i="8"/>
  <c r="S661" i="8"/>
  <c r="R661" i="8"/>
  <c r="Q661" i="8"/>
  <c r="O661" i="8"/>
  <c r="P661" i="8" s="1"/>
  <c r="N661" i="8"/>
  <c r="O660" i="8"/>
  <c r="R659" i="8"/>
  <c r="P659" i="8"/>
  <c r="Q659" i="8" s="1"/>
  <c r="S659" i="8" s="1"/>
  <c r="O659" i="8"/>
  <c r="N659" i="8"/>
  <c r="Q658" i="8"/>
  <c r="S658" i="8" s="1"/>
  <c r="O658" i="8"/>
  <c r="N658" i="8"/>
  <c r="P658" i="8" s="1"/>
  <c r="R658" i="8" s="1"/>
  <c r="S657" i="8"/>
  <c r="O657" i="8"/>
  <c r="P657" i="8" s="1"/>
  <c r="Q657" i="8" s="1"/>
  <c r="N657" i="8"/>
  <c r="O656" i="8"/>
  <c r="N656" i="8"/>
  <c r="O655" i="8"/>
  <c r="N655" i="8"/>
  <c r="P655" i="8" s="1"/>
  <c r="O654" i="8"/>
  <c r="N654" i="8"/>
  <c r="P654" i="8" s="1"/>
  <c r="P653" i="8"/>
  <c r="R653" i="8" s="1"/>
  <c r="O653" i="8"/>
  <c r="N653" i="8"/>
  <c r="O652" i="8"/>
  <c r="N652" i="8"/>
  <c r="P652" i="8" s="1"/>
  <c r="R652" i="8" s="1"/>
  <c r="O651" i="8"/>
  <c r="N651" i="8"/>
  <c r="P651" i="8" s="1"/>
  <c r="O650" i="8"/>
  <c r="N650" i="8"/>
  <c r="O649" i="8"/>
  <c r="N649" i="8"/>
  <c r="S648" i="8"/>
  <c r="R648" i="8"/>
  <c r="Q648" i="8"/>
  <c r="O648" i="8"/>
  <c r="N648" i="8"/>
  <c r="P648" i="8" s="1"/>
  <c r="O647" i="8"/>
  <c r="O646" i="8"/>
  <c r="N646" i="8"/>
  <c r="O645" i="8"/>
  <c r="S644" i="8"/>
  <c r="R644" i="8"/>
  <c r="O644" i="8"/>
  <c r="N644" i="8"/>
  <c r="P644" i="8" s="1"/>
  <c r="Q644" i="8" s="1"/>
  <c r="O643" i="8"/>
  <c r="P643" i="8" s="1"/>
  <c r="N643" i="8"/>
  <c r="O642" i="8"/>
  <c r="N642" i="8"/>
  <c r="P642" i="8" s="1"/>
  <c r="O641" i="8"/>
  <c r="N641" i="8"/>
  <c r="P641" i="8" s="1"/>
  <c r="O640" i="8"/>
  <c r="N640" i="8"/>
  <c r="P640" i="8" s="1"/>
  <c r="R640" i="8" s="1"/>
  <c r="O639" i="8"/>
  <c r="N639" i="8"/>
  <c r="P639" i="8" s="1"/>
  <c r="O638" i="8"/>
  <c r="N638" i="8"/>
  <c r="P638" i="8" s="1"/>
  <c r="S637" i="8"/>
  <c r="R637" i="8"/>
  <c r="O637" i="8"/>
  <c r="P637" i="8" s="1"/>
  <c r="Q637" i="8" s="1"/>
  <c r="N637" i="8"/>
  <c r="O636" i="8"/>
  <c r="N636" i="8"/>
  <c r="P636" i="8" s="1"/>
  <c r="O635" i="8"/>
  <c r="Q634" i="8"/>
  <c r="S634" i="8" s="1"/>
  <c r="O634" i="8"/>
  <c r="N634" i="8"/>
  <c r="P634" i="8" s="1"/>
  <c r="R634" i="8" s="1"/>
  <c r="O633" i="8"/>
  <c r="P633" i="8" s="1"/>
  <c r="N633" i="8"/>
  <c r="O632" i="8"/>
  <c r="N632" i="8"/>
  <c r="R631" i="8"/>
  <c r="Q631" i="8"/>
  <c r="S631" i="8" s="1"/>
  <c r="O631" i="8"/>
  <c r="N631" i="8"/>
  <c r="P631" i="8" s="1"/>
  <c r="O630" i="8"/>
  <c r="O629" i="8"/>
  <c r="N629" i="8"/>
  <c r="P629" i="8" s="1"/>
  <c r="O628" i="8"/>
  <c r="N628" i="8"/>
  <c r="P628" i="8" s="1"/>
  <c r="O627" i="8"/>
  <c r="O626" i="8"/>
  <c r="N626" i="8"/>
  <c r="O625" i="8"/>
  <c r="N625" i="8"/>
  <c r="P625" i="8" s="1"/>
  <c r="O624" i="8"/>
  <c r="Q623" i="8"/>
  <c r="S623" i="8" s="1"/>
  <c r="O623" i="8"/>
  <c r="N623" i="8"/>
  <c r="P623" i="8" s="1"/>
  <c r="R623" i="8" s="1"/>
  <c r="O622" i="8"/>
  <c r="P621" i="8"/>
  <c r="R621" i="8" s="1"/>
  <c r="O621" i="8"/>
  <c r="N621" i="8"/>
  <c r="O620" i="8"/>
  <c r="N620" i="8"/>
  <c r="P620" i="8" s="1"/>
  <c r="O619" i="8"/>
  <c r="P619" i="8" s="1"/>
  <c r="N619" i="8"/>
  <c r="Q618" i="8"/>
  <c r="S618" i="8" s="1"/>
  <c r="O618" i="8"/>
  <c r="N618" i="8"/>
  <c r="P618" i="8" s="1"/>
  <c r="R618" i="8" s="1"/>
  <c r="O617" i="8"/>
  <c r="O616" i="8"/>
  <c r="N616" i="8"/>
  <c r="O615" i="8"/>
  <c r="O614" i="8"/>
  <c r="N614" i="8"/>
  <c r="P614" i="8" s="1"/>
  <c r="R614" i="8" s="1"/>
  <c r="R613" i="8"/>
  <c r="Q613" i="8"/>
  <c r="S613" i="8" s="1"/>
  <c r="O613" i="8"/>
  <c r="P613" i="8" s="1"/>
  <c r="N613" i="8"/>
  <c r="R612" i="8"/>
  <c r="O612" i="8"/>
  <c r="N612" i="8"/>
  <c r="P612" i="8" s="1"/>
  <c r="Q612" i="8" s="1"/>
  <c r="S612" i="8" s="1"/>
  <c r="P611" i="8"/>
  <c r="R611" i="8" s="1"/>
  <c r="O611" i="8"/>
  <c r="N611" i="8"/>
  <c r="R610" i="8"/>
  <c r="O610" i="8"/>
  <c r="N610" i="8"/>
  <c r="P610" i="8" s="1"/>
  <c r="Q610" i="8" s="1"/>
  <c r="S610" i="8" s="1"/>
  <c r="Q609" i="8"/>
  <c r="S609" i="8" s="1"/>
  <c r="P609" i="8"/>
  <c r="R609" i="8" s="1"/>
  <c r="O609" i="8"/>
  <c r="N609" i="8"/>
  <c r="O608" i="8"/>
  <c r="N608" i="8"/>
  <c r="O607" i="8"/>
  <c r="N607" i="8"/>
  <c r="P607" i="8" s="1"/>
  <c r="O606" i="8"/>
  <c r="N606" i="8"/>
  <c r="P606" i="8" s="1"/>
  <c r="O605" i="8"/>
  <c r="O604" i="8"/>
  <c r="N604" i="8"/>
  <c r="P604" i="8" s="1"/>
  <c r="O603" i="8"/>
  <c r="N603" i="8"/>
  <c r="P603" i="8" s="1"/>
  <c r="O602" i="8"/>
  <c r="N602" i="8"/>
  <c r="O601" i="8"/>
  <c r="S600" i="8"/>
  <c r="R600" i="8"/>
  <c r="Q600" i="8"/>
  <c r="O600" i="8"/>
  <c r="N600" i="8"/>
  <c r="P600" i="8" s="1"/>
  <c r="R599" i="8"/>
  <c r="O599" i="8"/>
  <c r="N599" i="8"/>
  <c r="P599" i="8" s="1"/>
  <c r="Q599" i="8" s="1"/>
  <c r="S599" i="8" s="1"/>
  <c r="O598" i="8"/>
  <c r="N598" i="8"/>
  <c r="O597" i="8"/>
  <c r="Q596" i="8"/>
  <c r="S596" i="8" s="1"/>
  <c r="O596" i="8"/>
  <c r="N596" i="8"/>
  <c r="P596" i="8" s="1"/>
  <c r="R596" i="8" s="1"/>
  <c r="O595" i="8"/>
  <c r="O594" i="8"/>
  <c r="N594" i="8"/>
  <c r="O593" i="8"/>
  <c r="N593" i="8"/>
  <c r="O592" i="8"/>
  <c r="N592" i="8"/>
  <c r="P592" i="8" s="1"/>
  <c r="R592" i="8" s="1"/>
  <c r="S591" i="8"/>
  <c r="R591" i="8"/>
  <c r="O591" i="8"/>
  <c r="N591" i="8"/>
  <c r="P591" i="8" s="1"/>
  <c r="Q591" i="8" s="1"/>
  <c r="O590" i="8"/>
  <c r="O589" i="8"/>
  <c r="P589" i="8" s="1"/>
  <c r="R589" i="8" s="1"/>
  <c r="N589" i="8"/>
  <c r="O588" i="8"/>
  <c r="R587" i="8"/>
  <c r="Q587" i="8"/>
  <c r="S587" i="8" s="1"/>
  <c r="P587" i="8"/>
  <c r="O587" i="8"/>
  <c r="N587" i="8"/>
  <c r="O586" i="8"/>
  <c r="N586" i="8"/>
  <c r="O585" i="8"/>
  <c r="P585" i="8" s="1"/>
  <c r="N585" i="8"/>
  <c r="S584" i="8"/>
  <c r="Q584" i="8"/>
  <c r="O584" i="8"/>
  <c r="N584" i="8"/>
  <c r="P584" i="8" s="1"/>
  <c r="R584" i="8" s="1"/>
  <c r="O583" i="8"/>
  <c r="N583" i="8"/>
  <c r="P583" i="8" s="1"/>
  <c r="O582" i="8"/>
  <c r="N582" i="8"/>
  <c r="P582" i="8" s="1"/>
  <c r="R581" i="8"/>
  <c r="Q581" i="8"/>
  <c r="S581" i="8" s="1"/>
  <c r="O581" i="8"/>
  <c r="N581" i="8"/>
  <c r="P581" i="8" s="1"/>
  <c r="O580" i="8"/>
  <c r="O579" i="8"/>
  <c r="P579" i="8" s="1"/>
  <c r="N579" i="8"/>
  <c r="O578" i="8"/>
  <c r="N578" i="8"/>
  <c r="R577" i="8"/>
  <c r="P577" i="8"/>
  <c r="Q577" i="8" s="1"/>
  <c r="S577" i="8" s="1"/>
  <c r="O577" i="8"/>
  <c r="N577" i="8"/>
  <c r="O576" i="8"/>
  <c r="O575" i="8"/>
  <c r="N575" i="8"/>
  <c r="P575" i="8" s="1"/>
  <c r="O574" i="8"/>
  <c r="N574" i="8"/>
  <c r="O573" i="8"/>
  <c r="N573" i="8"/>
  <c r="P573" i="8" s="1"/>
  <c r="O572" i="8"/>
  <c r="O571" i="8"/>
  <c r="N571" i="8"/>
  <c r="P571" i="8" s="1"/>
  <c r="O570" i="8"/>
  <c r="O569" i="8"/>
  <c r="N569" i="8"/>
  <c r="O568" i="8"/>
  <c r="N568" i="8"/>
  <c r="P568" i="8" s="1"/>
  <c r="O567" i="8"/>
  <c r="N567" i="8"/>
  <c r="P567" i="8" s="1"/>
  <c r="Q567" i="8" s="1"/>
  <c r="S567" i="8" s="1"/>
  <c r="O566" i="8"/>
  <c r="N566" i="8"/>
  <c r="R565" i="8"/>
  <c r="Q565" i="8"/>
  <c r="S565" i="8" s="1"/>
  <c r="O565" i="8"/>
  <c r="P565" i="8" s="1"/>
  <c r="N565" i="8"/>
  <c r="O564" i="8"/>
  <c r="N564" i="8"/>
  <c r="O563" i="8"/>
  <c r="N563" i="8"/>
  <c r="P563" i="8" s="1"/>
  <c r="O562" i="8"/>
  <c r="N562" i="8"/>
  <c r="P562" i="8" s="1"/>
  <c r="O561" i="8"/>
  <c r="P561" i="8" s="1"/>
  <c r="N561" i="8"/>
  <c r="O560" i="8"/>
  <c r="R559" i="8"/>
  <c r="O559" i="8"/>
  <c r="N559" i="8"/>
  <c r="P559" i="8" s="1"/>
  <c r="Q559" i="8" s="1"/>
  <c r="S559" i="8" s="1"/>
  <c r="O558" i="8"/>
  <c r="N558" i="8"/>
  <c r="P558" i="8" s="1"/>
  <c r="R557" i="8"/>
  <c r="P557" i="8"/>
  <c r="Q557" i="8" s="1"/>
  <c r="S557" i="8" s="1"/>
  <c r="O557" i="8"/>
  <c r="N557" i="8"/>
  <c r="Q556" i="8"/>
  <c r="S556" i="8" s="1"/>
  <c r="O556" i="8"/>
  <c r="N556" i="8"/>
  <c r="P556" i="8" s="1"/>
  <c r="R556" i="8" s="1"/>
  <c r="P555" i="8"/>
  <c r="R555" i="8" s="1"/>
  <c r="O555" i="8"/>
  <c r="N555" i="8"/>
  <c r="O554" i="8"/>
  <c r="O553" i="8"/>
  <c r="N553" i="8"/>
  <c r="P553" i="8" s="1"/>
  <c r="R552" i="8"/>
  <c r="Q552" i="8"/>
  <c r="S552" i="8" s="1"/>
  <c r="O552" i="8"/>
  <c r="N552" i="8"/>
  <c r="P552" i="8" s="1"/>
  <c r="O551" i="8"/>
  <c r="O550" i="8"/>
  <c r="N550" i="8"/>
  <c r="O549" i="8"/>
  <c r="O548" i="8"/>
  <c r="N548" i="8"/>
  <c r="P548" i="8" s="1"/>
  <c r="P547" i="8"/>
  <c r="Q547" i="8" s="1"/>
  <c r="S547" i="8" s="1"/>
  <c r="O547" i="8"/>
  <c r="N547" i="8"/>
  <c r="O546" i="8"/>
  <c r="N546" i="8"/>
  <c r="P546" i="8" s="1"/>
  <c r="O545" i="8"/>
  <c r="N545" i="8"/>
  <c r="P545" i="8" s="1"/>
  <c r="S544" i="8"/>
  <c r="O544" i="8"/>
  <c r="N544" i="8"/>
  <c r="P544" i="8" s="1"/>
  <c r="Q544" i="8" s="1"/>
  <c r="O543" i="8"/>
  <c r="O542" i="8"/>
  <c r="N542" i="8"/>
  <c r="R541" i="8"/>
  <c r="O541" i="8"/>
  <c r="P541" i="8" s="1"/>
  <c r="Q541" i="8" s="1"/>
  <c r="S541" i="8" s="1"/>
  <c r="N541" i="8"/>
  <c r="O540" i="8"/>
  <c r="N540" i="8"/>
  <c r="P539" i="8"/>
  <c r="O539" i="8"/>
  <c r="N539" i="8"/>
  <c r="O538" i="8"/>
  <c r="N538" i="8"/>
  <c r="O537" i="8"/>
  <c r="O536" i="8"/>
  <c r="N536" i="8"/>
  <c r="P536" i="8" s="1"/>
  <c r="S535" i="8"/>
  <c r="R535" i="8"/>
  <c r="P535" i="8"/>
  <c r="Q535" i="8" s="1"/>
  <c r="O535" i="8"/>
  <c r="N535" i="8"/>
  <c r="O534" i="8"/>
  <c r="N534" i="8"/>
  <c r="P534" i="8" s="1"/>
  <c r="O533" i="8"/>
  <c r="N533" i="8"/>
  <c r="P533" i="8" s="1"/>
  <c r="R533" i="8" s="1"/>
  <c r="S532" i="8"/>
  <c r="R532" i="8"/>
  <c r="Q532" i="8"/>
  <c r="O532" i="8"/>
  <c r="N532" i="8"/>
  <c r="P532" i="8" s="1"/>
  <c r="O531" i="8"/>
  <c r="N531" i="8"/>
  <c r="O530" i="8"/>
  <c r="N530" i="8"/>
  <c r="O529" i="8"/>
  <c r="N529" i="8"/>
  <c r="O528" i="8"/>
  <c r="P527" i="8"/>
  <c r="O527" i="8"/>
  <c r="N527" i="8"/>
  <c r="O526" i="8"/>
  <c r="N526" i="8"/>
  <c r="O525" i="8"/>
  <c r="O524" i="8"/>
  <c r="N524" i="8"/>
  <c r="P524" i="8" s="1"/>
  <c r="R524" i="8" s="1"/>
  <c r="R523" i="8"/>
  <c r="P523" i="8"/>
  <c r="Q523" i="8" s="1"/>
  <c r="S523" i="8" s="1"/>
  <c r="O523" i="8"/>
  <c r="N523" i="8"/>
  <c r="O522" i="8"/>
  <c r="N522" i="8"/>
  <c r="P522" i="8" s="1"/>
  <c r="O521" i="8"/>
  <c r="N521" i="8"/>
  <c r="O520" i="8"/>
  <c r="N520" i="8"/>
  <c r="O519" i="8"/>
  <c r="S518" i="8"/>
  <c r="O518" i="8"/>
  <c r="N518" i="8"/>
  <c r="P518" i="8" s="1"/>
  <c r="Q518" i="8" s="1"/>
  <c r="R517" i="8"/>
  <c r="O517" i="8"/>
  <c r="P517" i="8" s="1"/>
  <c r="Q517" i="8" s="1"/>
  <c r="S517" i="8" s="1"/>
  <c r="N517" i="8"/>
  <c r="O516" i="8"/>
  <c r="P515" i="8"/>
  <c r="O515" i="8"/>
  <c r="N515" i="8"/>
  <c r="O514" i="8"/>
  <c r="O513" i="8"/>
  <c r="N513" i="8"/>
  <c r="O512" i="8"/>
  <c r="N512" i="8"/>
  <c r="O511" i="8"/>
  <c r="N511" i="8"/>
  <c r="O510" i="8"/>
  <c r="N510" i="8"/>
  <c r="O509" i="8"/>
  <c r="O508" i="8"/>
  <c r="N508" i="8"/>
  <c r="P508" i="8" s="1"/>
  <c r="R508" i="8" s="1"/>
  <c r="O507" i="8"/>
  <c r="O506" i="8"/>
  <c r="N506" i="8"/>
  <c r="O505" i="8"/>
  <c r="P505" i="8" s="1"/>
  <c r="N505" i="8"/>
  <c r="O504" i="8"/>
  <c r="N504" i="8"/>
  <c r="P504" i="8" s="1"/>
  <c r="R504" i="8" s="1"/>
  <c r="O503" i="8"/>
  <c r="N503" i="8"/>
  <c r="O502" i="8"/>
  <c r="O501" i="8"/>
  <c r="P501" i="8" s="1"/>
  <c r="N501" i="8"/>
  <c r="O500" i="8"/>
  <c r="N500" i="8"/>
  <c r="P500" i="8" s="1"/>
  <c r="O499" i="8"/>
  <c r="N499" i="8"/>
  <c r="P499" i="8" s="1"/>
  <c r="Q499" i="8" s="1"/>
  <c r="S499" i="8" s="1"/>
  <c r="O498" i="8"/>
  <c r="O497" i="8"/>
  <c r="N497" i="8"/>
  <c r="O496" i="8"/>
  <c r="N496" i="8"/>
  <c r="P496" i="8" s="1"/>
  <c r="O495" i="8"/>
  <c r="O494" i="8"/>
  <c r="N494" i="8"/>
  <c r="P494" i="8" s="1"/>
  <c r="O493" i="8"/>
  <c r="O492" i="8"/>
  <c r="N492" i="8"/>
  <c r="O491" i="8"/>
  <c r="N491" i="8"/>
  <c r="P491" i="8" s="1"/>
  <c r="O490" i="8"/>
  <c r="N490" i="8"/>
  <c r="S489" i="8"/>
  <c r="R489" i="8"/>
  <c r="O489" i="8"/>
  <c r="N489" i="8"/>
  <c r="P489" i="8" s="1"/>
  <c r="Q489" i="8" s="1"/>
  <c r="O488" i="8"/>
  <c r="O487" i="8"/>
  <c r="N487" i="8"/>
  <c r="P487" i="8" s="1"/>
  <c r="O486" i="8"/>
  <c r="P485" i="8"/>
  <c r="R485" i="8" s="1"/>
  <c r="O485" i="8"/>
  <c r="N485" i="8"/>
  <c r="O484" i="8"/>
  <c r="N484" i="8"/>
  <c r="P484" i="8" s="1"/>
  <c r="R484" i="8" s="1"/>
  <c r="S483" i="8"/>
  <c r="O483" i="8"/>
  <c r="N483" i="8"/>
  <c r="P483" i="8" s="1"/>
  <c r="Q483" i="8" s="1"/>
  <c r="O482" i="8"/>
  <c r="N482" i="8"/>
  <c r="O481" i="8"/>
  <c r="N481" i="8"/>
  <c r="S480" i="8"/>
  <c r="O480" i="8"/>
  <c r="N480" i="8"/>
  <c r="P480" i="8" s="1"/>
  <c r="Q480" i="8" s="1"/>
  <c r="O479" i="8"/>
  <c r="P479" i="8" s="1"/>
  <c r="N479" i="8"/>
  <c r="O478" i="8"/>
  <c r="N478" i="8"/>
  <c r="O477" i="8"/>
  <c r="N477" i="8"/>
  <c r="P477" i="8" s="1"/>
  <c r="O476" i="8"/>
  <c r="N476" i="8"/>
  <c r="O475" i="8"/>
  <c r="N475" i="8"/>
  <c r="P475" i="8" s="1"/>
  <c r="O474" i="8"/>
  <c r="N474" i="8"/>
  <c r="P474" i="8" s="1"/>
  <c r="R474" i="8" s="1"/>
  <c r="O473" i="8"/>
  <c r="N473" i="8"/>
  <c r="O472" i="8"/>
  <c r="N472" i="8"/>
  <c r="P471" i="8"/>
  <c r="R471" i="8" s="1"/>
  <c r="O471" i="8"/>
  <c r="N471" i="8"/>
  <c r="O470" i="8"/>
  <c r="N470" i="8"/>
  <c r="P469" i="8"/>
  <c r="R469" i="8" s="1"/>
  <c r="O469" i="8"/>
  <c r="N469" i="8"/>
  <c r="R468" i="8"/>
  <c r="Q468" i="8"/>
  <c r="S468" i="8" s="1"/>
  <c r="O468" i="8"/>
  <c r="N468" i="8"/>
  <c r="P468" i="8" s="1"/>
  <c r="Q467" i="8"/>
  <c r="S467" i="8" s="1"/>
  <c r="P467" i="8"/>
  <c r="R467" i="8" s="1"/>
  <c r="O467" i="8"/>
  <c r="N467" i="8"/>
  <c r="S466" i="8"/>
  <c r="Q466" i="8"/>
  <c r="P466" i="8"/>
  <c r="R466" i="8" s="1"/>
  <c r="O466" i="8"/>
  <c r="N466" i="8"/>
  <c r="O465" i="8"/>
  <c r="S464" i="8"/>
  <c r="R464" i="8"/>
  <c r="P464" i="8"/>
  <c r="Q464" i="8" s="1"/>
  <c r="O464" i="8"/>
  <c r="N464" i="8"/>
  <c r="O463" i="8"/>
  <c r="P463" i="8" s="1"/>
  <c r="N463" i="8"/>
  <c r="O462" i="8"/>
  <c r="N462" i="8"/>
  <c r="P462" i="8" s="1"/>
  <c r="R462" i="8" s="1"/>
  <c r="O461" i="8"/>
  <c r="N461" i="8"/>
  <c r="P461" i="8" s="1"/>
  <c r="P460" i="8"/>
  <c r="O460" i="8"/>
  <c r="N460" i="8"/>
  <c r="O459" i="8"/>
  <c r="N459" i="8"/>
  <c r="P458" i="8"/>
  <c r="R458" i="8" s="1"/>
  <c r="O458" i="8"/>
  <c r="N458" i="8"/>
  <c r="S457" i="8"/>
  <c r="Q457" i="8"/>
  <c r="P457" i="8"/>
  <c r="R457" i="8" s="1"/>
  <c r="O457" i="8"/>
  <c r="N457" i="8"/>
  <c r="O456" i="8"/>
  <c r="P456" i="8" s="1"/>
  <c r="N456" i="8"/>
  <c r="O455" i="8"/>
  <c r="N455" i="8"/>
  <c r="P455" i="8" s="1"/>
  <c r="S454" i="8"/>
  <c r="R454" i="8"/>
  <c r="O454" i="8"/>
  <c r="N454" i="8"/>
  <c r="P454" i="8" s="1"/>
  <c r="Q454" i="8" s="1"/>
  <c r="O453" i="8"/>
  <c r="N453" i="8"/>
  <c r="P453" i="8" s="1"/>
  <c r="P452" i="8"/>
  <c r="R452" i="8" s="1"/>
  <c r="O452" i="8"/>
  <c r="N452" i="8"/>
  <c r="O451" i="8"/>
  <c r="N451" i="8"/>
  <c r="O450" i="8"/>
  <c r="N450" i="8"/>
  <c r="P450" i="8" s="1"/>
  <c r="O449" i="8"/>
  <c r="N449" i="8"/>
  <c r="P449" i="8" s="1"/>
  <c r="O448" i="8"/>
  <c r="P448" i="8" s="1"/>
  <c r="N448" i="8"/>
  <c r="O447" i="8"/>
  <c r="P447" i="8" s="1"/>
  <c r="N447" i="8"/>
  <c r="O446" i="8"/>
  <c r="N446" i="8"/>
  <c r="P446" i="8" s="1"/>
  <c r="O445" i="8"/>
  <c r="N445" i="8"/>
  <c r="P445" i="8" s="1"/>
  <c r="O444" i="8"/>
  <c r="N444" i="8"/>
  <c r="O443" i="8"/>
  <c r="P443" i="8" s="1"/>
  <c r="N443" i="8"/>
  <c r="O442" i="8"/>
  <c r="P442" i="8" s="1"/>
  <c r="N442" i="8"/>
  <c r="P441" i="8"/>
  <c r="R441" i="8" s="1"/>
  <c r="O441" i="8"/>
  <c r="N441" i="8"/>
  <c r="O440" i="8"/>
  <c r="N440" i="8"/>
  <c r="P440" i="8" s="1"/>
  <c r="O439" i="8"/>
  <c r="N439" i="8"/>
  <c r="P439" i="8" s="1"/>
  <c r="O438" i="8"/>
  <c r="N438" i="8"/>
  <c r="O437" i="8"/>
  <c r="N437" i="8"/>
  <c r="P437" i="8" s="1"/>
  <c r="P436" i="8"/>
  <c r="O436" i="8"/>
  <c r="N436" i="8"/>
  <c r="O435" i="8"/>
  <c r="P435" i="8" s="1"/>
  <c r="N435" i="8"/>
  <c r="O434" i="8"/>
  <c r="P434" i="8" s="1"/>
  <c r="N434" i="8"/>
  <c r="O433" i="8"/>
  <c r="N433" i="8"/>
  <c r="P433" i="8" s="1"/>
  <c r="O432" i="8"/>
  <c r="N432" i="8"/>
  <c r="P432" i="8" s="1"/>
  <c r="R431" i="8"/>
  <c r="O431" i="8"/>
  <c r="N431" i="8"/>
  <c r="P431" i="8" s="1"/>
  <c r="Q431" i="8" s="1"/>
  <c r="S431" i="8" s="1"/>
  <c r="O430" i="8"/>
  <c r="N430" i="8"/>
  <c r="P430" i="8" s="1"/>
  <c r="R429" i="8"/>
  <c r="Q429" i="8"/>
  <c r="S429" i="8" s="1"/>
  <c r="O429" i="8"/>
  <c r="N429" i="8"/>
  <c r="P429" i="8" s="1"/>
  <c r="P428" i="8"/>
  <c r="O428" i="8"/>
  <c r="N428" i="8"/>
  <c r="P427" i="8"/>
  <c r="R427" i="8" s="1"/>
  <c r="O427" i="8"/>
  <c r="N427" i="8"/>
  <c r="O426" i="8"/>
  <c r="N426" i="8"/>
  <c r="P425" i="8"/>
  <c r="R425" i="8" s="1"/>
  <c r="O425" i="8"/>
  <c r="N425" i="8"/>
  <c r="O424" i="8"/>
  <c r="N424" i="8"/>
  <c r="P424" i="8" s="1"/>
  <c r="O423" i="8"/>
  <c r="P423" i="8" s="1"/>
  <c r="N423" i="8"/>
  <c r="O422" i="8"/>
  <c r="P422" i="8" s="1"/>
  <c r="N422" i="8"/>
  <c r="R421" i="8"/>
  <c r="Q421" i="8"/>
  <c r="S421" i="8" s="1"/>
  <c r="P421" i="8"/>
  <c r="O421" i="8"/>
  <c r="N421" i="8"/>
  <c r="O420" i="8"/>
  <c r="N420" i="8"/>
  <c r="P420" i="8" s="1"/>
  <c r="P419" i="8"/>
  <c r="R419" i="8" s="1"/>
  <c r="O419" i="8"/>
  <c r="N419" i="8"/>
  <c r="S418" i="8"/>
  <c r="R418" i="8"/>
  <c r="O418" i="8"/>
  <c r="N418" i="8"/>
  <c r="P418" i="8" s="1"/>
  <c r="Q418" i="8" s="1"/>
  <c r="O417" i="8"/>
  <c r="N417" i="8"/>
  <c r="P417" i="8" s="1"/>
  <c r="Q416" i="8"/>
  <c r="S416" i="8" s="1"/>
  <c r="O416" i="8"/>
  <c r="N416" i="8"/>
  <c r="P416" i="8" s="1"/>
  <c r="R416" i="8" s="1"/>
  <c r="O415" i="8"/>
  <c r="N415" i="8"/>
  <c r="P414" i="8"/>
  <c r="R414" i="8" s="1"/>
  <c r="O414" i="8"/>
  <c r="N414" i="8"/>
  <c r="O413" i="8"/>
  <c r="N413" i="8"/>
  <c r="P413" i="8" s="1"/>
  <c r="R412" i="8"/>
  <c r="Q412" i="8"/>
  <c r="S412" i="8" s="1"/>
  <c r="P412" i="8"/>
  <c r="O412" i="8"/>
  <c r="N412" i="8"/>
  <c r="O411" i="8"/>
  <c r="P411" i="8" s="1"/>
  <c r="N411" i="8"/>
  <c r="O410" i="8"/>
  <c r="N410" i="8"/>
  <c r="P410" i="8" s="1"/>
  <c r="O409" i="8"/>
  <c r="N409" i="8"/>
  <c r="P409" i="8" s="1"/>
  <c r="O408" i="8"/>
  <c r="N408" i="8"/>
  <c r="P408" i="8" s="1"/>
  <c r="R407" i="8"/>
  <c r="O407" i="8"/>
  <c r="N407" i="8"/>
  <c r="P407" i="8" s="1"/>
  <c r="Q407" i="8" s="1"/>
  <c r="S407" i="8" s="1"/>
  <c r="P406" i="8"/>
  <c r="R406" i="8" s="1"/>
  <c r="O406" i="8"/>
  <c r="N406" i="8"/>
  <c r="O405" i="8"/>
  <c r="N405" i="8"/>
  <c r="P405" i="8" s="1"/>
  <c r="R405" i="8" s="1"/>
  <c r="O404" i="8"/>
  <c r="N404" i="8"/>
  <c r="R403" i="8"/>
  <c r="Q403" i="8"/>
  <c r="S403" i="8" s="1"/>
  <c r="P403" i="8"/>
  <c r="O403" i="8"/>
  <c r="N403" i="8"/>
  <c r="O402" i="8"/>
  <c r="N402" i="8"/>
  <c r="O401" i="8"/>
  <c r="P401" i="8" s="1"/>
  <c r="N401" i="8"/>
  <c r="O400" i="8"/>
  <c r="N400" i="8"/>
  <c r="P400" i="8" s="1"/>
  <c r="R399" i="8"/>
  <c r="Q399" i="8"/>
  <c r="S399" i="8" s="1"/>
  <c r="P399" i="8"/>
  <c r="O399" i="8"/>
  <c r="N399" i="8"/>
  <c r="O398" i="8"/>
  <c r="P398" i="8" s="1"/>
  <c r="N398" i="8"/>
  <c r="P397" i="8"/>
  <c r="O397" i="8"/>
  <c r="N397" i="8"/>
  <c r="O396" i="8"/>
  <c r="Q395" i="8"/>
  <c r="S395" i="8" s="1"/>
  <c r="P395" i="8"/>
  <c r="R395" i="8" s="1"/>
  <c r="O395" i="8"/>
  <c r="N395" i="8"/>
  <c r="O394" i="8"/>
  <c r="N394" i="8"/>
  <c r="P394" i="8" s="1"/>
  <c r="O393" i="8"/>
  <c r="N393" i="8"/>
  <c r="P393" i="8" s="1"/>
  <c r="S392" i="8"/>
  <c r="R392" i="8"/>
  <c r="Q392" i="8"/>
  <c r="O392" i="8"/>
  <c r="N392" i="8"/>
  <c r="P392" i="8" s="1"/>
  <c r="O391" i="8"/>
  <c r="N391" i="8"/>
  <c r="P391" i="8" s="1"/>
  <c r="P390" i="8"/>
  <c r="O390" i="8"/>
  <c r="N390" i="8"/>
  <c r="O389" i="8"/>
  <c r="N389" i="8"/>
  <c r="P389" i="8" s="1"/>
  <c r="O388" i="8"/>
  <c r="P388" i="8" s="1"/>
  <c r="N388" i="8"/>
  <c r="O387" i="8"/>
  <c r="R386" i="8"/>
  <c r="Q386" i="8"/>
  <c r="S386" i="8" s="1"/>
  <c r="O386" i="8"/>
  <c r="P386" i="8" s="1"/>
  <c r="N386" i="8"/>
  <c r="O385" i="8"/>
  <c r="N385" i="8"/>
  <c r="P385" i="8" s="1"/>
  <c r="O384" i="8"/>
  <c r="P384" i="8" s="1"/>
  <c r="N384" i="8"/>
  <c r="R383" i="8"/>
  <c r="O383" i="8"/>
  <c r="N383" i="8"/>
  <c r="P383" i="8" s="1"/>
  <c r="Q383" i="8" s="1"/>
  <c r="S383" i="8" s="1"/>
  <c r="O382" i="8"/>
  <c r="O381" i="8"/>
  <c r="N381" i="8"/>
  <c r="P381" i="8" s="1"/>
  <c r="O380" i="8"/>
  <c r="P380" i="8" s="1"/>
  <c r="N380" i="8"/>
  <c r="R379" i="8"/>
  <c r="Q379" i="8"/>
  <c r="S379" i="8" s="1"/>
  <c r="P379" i="8"/>
  <c r="O379" i="8"/>
  <c r="N379" i="8"/>
  <c r="O378" i="8"/>
  <c r="N378" i="8"/>
  <c r="P378" i="8" s="1"/>
  <c r="O377" i="8"/>
  <c r="P377" i="8" s="1"/>
  <c r="N377" i="8"/>
  <c r="O376" i="8"/>
  <c r="N376" i="8"/>
  <c r="P376" i="8" s="1"/>
  <c r="O375" i="8"/>
  <c r="N375" i="8"/>
  <c r="P375" i="8" s="1"/>
  <c r="O374" i="8"/>
  <c r="P374" i="8" s="1"/>
  <c r="N374" i="8"/>
  <c r="P373" i="8"/>
  <c r="R373" i="8" s="1"/>
  <c r="O373" i="8"/>
  <c r="N373" i="8"/>
  <c r="O372" i="8"/>
  <c r="N372" i="8"/>
  <c r="P372" i="8" s="1"/>
  <c r="P371" i="8"/>
  <c r="O371" i="8"/>
  <c r="N371" i="8"/>
  <c r="S370" i="8"/>
  <c r="R370" i="8"/>
  <c r="O370" i="8"/>
  <c r="N370" i="8"/>
  <c r="P370" i="8" s="1"/>
  <c r="Q370" i="8" s="1"/>
  <c r="P369" i="8"/>
  <c r="O369" i="8"/>
  <c r="N369" i="8"/>
  <c r="Q368" i="8"/>
  <c r="S368" i="8" s="1"/>
  <c r="O368" i="8"/>
  <c r="N368" i="8"/>
  <c r="P368" i="8" s="1"/>
  <c r="R368" i="8" s="1"/>
  <c r="O367" i="8"/>
  <c r="N367" i="8"/>
  <c r="P367" i="8" s="1"/>
  <c r="S366" i="8"/>
  <c r="R366" i="8"/>
  <c r="Q366" i="8"/>
  <c r="P366" i="8"/>
  <c r="O366" i="8"/>
  <c r="N366" i="8"/>
  <c r="O365" i="8"/>
  <c r="N365" i="8"/>
  <c r="P365" i="8" s="1"/>
  <c r="P364" i="8"/>
  <c r="R364" i="8" s="1"/>
  <c r="O364" i="8"/>
  <c r="N364" i="8"/>
  <c r="O363" i="8"/>
  <c r="P363" i="8" s="1"/>
  <c r="N363" i="8"/>
  <c r="P362" i="8"/>
  <c r="O362" i="8"/>
  <c r="N362" i="8"/>
  <c r="O361" i="8"/>
  <c r="N361" i="8"/>
  <c r="P361" i="8" s="1"/>
  <c r="R360" i="8"/>
  <c r="P360" i="8"/>
  <c r="Q360" i="8" s="1"/>
  <c r="S360" i="8" s="1"/>
  <c r="O360" i="8"/>
  <c r="N360" i="8"/>
  <c r="O359" i="8"/>
  <c r="N359" i="8"/>
  <c r="P359" i="8" s="1"/>
  <c r="P358" i="8"/>
  <c r="R358" i="8" s="1"/>
  <c r="O358" i="8"/>
  <c r="N358" i="8"/>
  <c r="R357" i="8"/>
  <c r="Q357" i="8"/>
  <c r="S357" i="8" s="1"/>
  <c r="O357" i="8"/>
  <c r="N357" i="8"/>
  <c r="P357" i="8" s="1"/>
  <c r="O356" i="8"/>
  <c r="N356" i="8"/>
  <c r="P356" i="8" s="1"/>
  <c r="P355" i="8"/>
  <c r="O355" i="8"/>
  <c r="N355" i="8"/>
  <c r="O354" i="8"/>
  <c r="N354" i="8"/>
  <c r="O353" i="8"/>
  <c r="P353" i="8" s="1"/>
  <c r="N353" i="8"/>
  <c r="O352" i="8"/>
  <c r="N352" i="8"/>
  <c r="P352" i="8" s="1"/>
  <c r="O351" i="8"/>
  <c r="P351" i="8" s="1"/>
  <c r="N351" i="8"/>
  <c r="O350" i="8"/>
  <c r="P350" i="8" s="1"/>
  <c r="N350" i="8"/>
  <c r="O349" i="8"/>
  <c r="N349" i="8"/>
  <c r="O348" i="8"/>
  <c r="N348" i="8"/>
  <c r="P348" i="8" s="1"/>
  <c r="O347" i="8"/>
  <c r="P347" i="8" s="1"/>
  <c r="R347" i="8" s="1"/>
  <c r="N347" i="8"/>
  <c r="O346" i="8"/>
  <c r="N346" i="8"/>
  <c r="P346" i="8" s="1"/>
  <c r="O345" i="8"/>
  <c r="N345" i="8"/>
  <c r="P345" i="8" s="1"/>
  <c r="S344" i="8"/>
  <c r="R344" i="8"/>
  <c r="Q344" i="8"/>
  <c r="O344" i="8"/>
  <c r="N344" i="8"/>
  <c r="P344" i="8" s="1"/>
  <c r="O343" i="8"/>
  <c r="N343" i="8"/>
  <c r="P343" i="8" s="1"/>
  <c r="R342" i="8"/>
  <c r="Q342" i="8"/>
  <c r="S342" i="8" s="1"/>
  <c r="P342" i="8"/>
  <c r="O342" i="8"/>
  <c r="N342" i="8"/>
  <c r="O341" i="8"/>
  <c r="N341" i="8"/>
  <c r="P341" i="8" s="1"/>
  <c r="O340" i="8"/>
  <c r="P340" i="8" s="1"/>
  <c r="N340" i="8"/>
  <c r="O339" i="8"/>
  <c r="P339" i="8" s="1"/>
  <c r="N339" i="8"/>
  <c r="O338" i="8"/>
  <c r="P338" i="8" s="1"/>
  <c r="R338" i="8" s="1"/>
  <c r="N338" i="8"/>
  <c r="O337" i="8"/>
  <c r="N337" i="8"/>
  <c r="P337" i="8" s="1"/>
  <c r="O336" i="8"/>
  <c r="N336" i="8"/>
  <c r="P336" i="8" s="1"/>
  <c r="R335" i="8"/>
  <c r="O335" i="8"/>
  <c r="N335" i="8"/>
  <c r="P335" i="8" s="1"/>
  <c r="Q335" i="8" s="1"/>
  <c r="S335" i="8" s="1"/>
  <c r="O334" i="8"/>
  <c r="N334" i="8"/>
  <c r="P334" i="8" s="1"/>
  <c r="Q333" i="8"/>
  <c r="S333" i="8" s="1"/>
  <c r="O333" i="8"/>
  <c r="N333" i="8"/>
  <c r="P333" i="8" s="1"/>
  <c r="R333" i="8" s="1"/>
  <c r="O332" i="8"/>
  <c r="N332" i="8"/>
  <c r="P332" i="8" s="1"/>
  <c r="R331" i="8"/>
  <c r="Q331" i="8"/>
  <c r="S331" i="8" s="1"/>
  <c r="P331" i="8"/>
  <c r="O331" i="8"/>
  <c r="N331" i="8"/>
  <c r="O330" i="8"/>
  <c r="N330" i="8"/>
  <c r="P330" i="8" s="1"/>
  <c r="R329" i="8"/>
  <c r="Q329" i="8"/>
  <c r="S329" i="8" s="1"/>
  <c r="O329" i="8"/>
  <c r="P329" i="8" s="1"/>
  <c r="N329" i="8"/>
  <c r="O328" i="8"/>
  <c r="N328" i="8"/>
  <c r="P328" i="8" s="1"/>
  <c r="O327" i="8"/>
  <c r="N327" i="8"/>
  <c r="P327" i="8" s="1"/>
  <c r="O326" i="8"/>
  <c r="P326" i="8" s="1"/>
  <c r="N326" i="8"/>
  <c r="P325" i="8"/>
  <c r="R325" i="8" s="1"/>
  <c r="O325" i="8"/>
  <c r="N325" i="8"/>
  <c r="O324" i="8"/>
  <c r="N324" i="8"/>
  <c r="P324" i="8" s="1"/>
  <c r="O323" i="8"/>
  <c r="N323" i="8"/>
  <c r="P323" i="8" s="1"/>
  <c r="S322" i="8"/>
  <c r="R322" i="8"/>
  <c r="O322" i="8"/>
  <c r="N322" i="8"/>
  <c r="P322" i="8" s="1"/>
  <c r="Q322" i="8" s="1"/>
  <c r="P321" i="8"/>
  <c r="O321" i="8"/>
  <c r="N321" i="8"/>
  <c r="Q320" i="8"/>
  <c r="S320" i="8" s="1"/>
  <c r="O320" i="8"/>
  <c r="N320" i="8"/>
  <c r="P320" i="8" s="1"/>
  <c r="R320" i="8" s="1"/>
  <c r="O319" i="8"/>
  <c r="N319" i="8"/>
  <c r="P319" i="8" s="1"/>
  <c r="S318" i="8"/>
  <c r="R318" i="8"/>
  <c r="Q318" i="8"/>
  <c r="P318" i="8"/>
  <c r="O318" i="8"/>
  <c r="N318" i="8"/>
  <c r="O317" i="8"/>
  <c r="N317" i="8"/>
  <c r="P317" i="8" s="1"/>
  <c r="O316" i="8"/>
  <c r="P316" i="8" s="1"/>
  <c r="N316" i="8"/>
  <c r="O315" i="8"/>
  <c r="P315" i="8" s="1"/>
  <c r="N315" i="8"/>
  <c r="P314" i="8"/>
  <c r="O314" i="8"/>
  <c r="N314" i="8"/>
  <c r="O313" i="8"/>
  <c r="N313" i="8"/>
  <c r="P313" i="8" s="1"/>
  <c r="R312" i="8"/>
  <c r="P312" i="8"/>
  <c r="Q312" i="8" s="1"/>
  <c r="S312" i="8" s="1"/>
  <c r="O312" i="8"/>
  <c r="N312" i="8"/>
  <c r="O311" i="8"/>
  <c r="N311" i="8"/>
  <c r="P311" i="8" s="1"/>
  <c r="P310" i="8"/>
  <c r="R310" i="8" s="1"/>
  <c r="O310" i="8"/>
  <c r="N310" i="8"/>
  <c r="R309" i="8"/>
  <c r="Q309" i="8"/>
  <c r="S309" i="8" s="1"/>
  <c r="O309" i="8"/>
  <c r="N309" i="8"/>
  <c r="P309" i="8" s="1"/>
  <c r="O308" i="8"/>
  <c r="N308" i="8"/>
  <c r="P308" i="8" s="1"/>
  <c r="R307" i="8"/>
  <c r="Q307" i="8"/>
  <c r="S307" i="8" s="1"/>
  <c r="P307" i="8"/>
  <c r="O307" i="8"/>
  <c r="N307" i="8"/>
  <c r="O306" i="8"/>
  <c r="N306" i="8"/>
  <c r="O305" i="8"/>
  <c r="P305" i="8" s="1"/>
  <c r="N305" i="8"/>
  <c r="O304" i="8"/>
  <c r="N304" i="8"/>
  <c r="P304" i="8" s="1"/>
  <c r="R303" i="8"/>
  <c r="P303" i="8"/>
  <c r="Q303" i="8" s="1"/>
  <c r="S303" i="8" s="1"/>
  <c r="O303" i="8"/>
  <c r="N303" i="8"/>
  <c r="O302" i="8"/>
  <c r="P302" i="8" s="1"/>
  <c r="N302" i="8"/>
  <c r="O301" i="8"/>
  <c r="N301" i="8"/>
  <c r="O300" i="8"/>
  <c r="N300" i="8"/>
  <c r="P300" i="8" s="1"/>
  <c r="O299" i="8"/>
  <c r="P299" i="8" s="1"/>
  <c r="R299" i="8" s="1"/>
  <c r="N299" i="8"/>
  <c r="O298" i="8"/>
  <c r="N298" i="8"/>
  <c r="P298" i="8" s="1"/>
  <c r="O297" i="8"/>
  <c r="P297" i="8" s="1"/>
  <c r="N297" i="8"/>
  <c r="S296" i="8"/>
  <c r="R296" i="8"/>
  <c r="Q296" i="8"/>
  <c r="O296" i="8"/>
  <c r="N296" i="8"/>
  <c r="P296" i="8" s="1"/>
  <c r="O295" i="8"/>
  <c r="N295" i="8"/>
  <c r="P295" i="8" s="1"/>
  <c r="P294" i="8"/>
  <c r="R294" i="8" s="1"/>
  <c r="O294" i="8"/>
  <c r="N294" i="8"/>
  <c r="P293" i="8"/>
  <c r="O293" i="8"/>
  <c r="N293" i="8"/>
  <c r="P292" i="8"/>
  <c r="R292" i="8" s="1"/>
  <c r="O292" i="8"/>
  <c r="N292" i="8"/>
  <c r="O291" i="8"/>
  <c r="N291" i="8"/>
  <c r="P291" i="8" s="1"/>
  <c r="O290" i="8"/>
  <c r="N290" i="8"/>
  <c r="P290" i="8" s="1"/>
  <c r="O289" i="8"/>
  <c r="N289" i="8"/>
  <c r="P289" i="8" s="1"/>
  <c r="O288" i="8"/>
  <c r="P288" i="8" s="1"/>
  <c r="N288" i="8"/>
  <c r="R287" i="8"/>
  <c r="O287" i="8"/>
  <c r="N287" i="8"/>
  <c r="P287" i="8" s="1"/>
  <c r="Q287" i="8" s="1"/>
  <c r="S287" i="8" s="1"/>
  <c r="P286" i="8"/>
  <c r="O286" i="8"/>
  <c r="N286" i="8"/>
  <c r="R285" i="8"/>
  <c r="Q285" i="8"/>
  <c r="S285" i="8" s="1"/>
  <c r="O285" i="8"/>
  <c r="N285" i="8"/>
  <c r="P285" i="8" s="1"/>
  <c r="O284" i="8"/>
  <c r="N284" i="8"/>
  <c r="P284" i="8" s="1"/>
  <c r="Q283" i="8"/>
  <c r="S283" i="8" s="1"/>
  <c r="P283" i="8"/>
  <c r="R283" i="8" s="1"/>
  <c r="O283" i="8"/>
  <c r="N283" i="8"/>
  <c r="O282" i="8"/>
  <c r="N282" i="8"/>
  <c r="P281" i="8"/>
  <c r="R281" i="8" s="1"/>
  <c r="O281" i="8"/>
  <c r="N281" i="8"/>
  <c r="P280" i="8"/>
  <c r="O280" i="8"/>
  <c r="N280" i="8"/>
  <c r="P279" i="8"/>
  <c r="R279" i="8" s="1"/>
  <c r="O279" i="8"/>
  <c r="N279" i="8"/>
  <c r="O278" i="8"/>
  <c r="N278" i="8"/>
  <c r="P278" i="8" s="1"/>
  <c r="P277" i="8"/>
  <c r="O277" i="8"/>
  <c r="N277" i="8"/>
  <c r="O276" i="8"/>
  <c r="N276" i="8"/>
  <c r="P276" i="8" s="1"/>
  <c r="O275" i="8"/>
  <c r="N275" i="8"/>
  <c r="P275" i="8" s="1"/>
  <c r="O274" i="8"/>
  <c r="N274" i="8"/>
  <c r="P274" i="8" s="1"/>
  <c r="O273" i="8"/>
  <c r="N273" i="8"/>
  <c r="P273" i="8" s="1"/>
  <c r="O272" i="8"/>
  <c r="N272" i="8"/>
  <c r="P272" i="8" s="1"/>
  <c r="R272" i="8" s="1"/>
  <c r="O271" i="8"/>
  <c r="N271" i="8"/>
  <c r="S270" i="8"/>
  <c r="R270" i="8"/>
  <c r="Q270" i="8"/>
  <c r="P270" i="8"/>
  <c r="O270" i="8"/>
  <c r="N270" i="8"/>
  <c r="O269" i="8"/>
  <c r="N269" i="8"/>
  <c r="P269" i="8" s="1"/>
  <c r="S268" i="8"/>
  <c r="R268" i="8"/>
  <c r="Q268" i="8"/>
  <c r="P268" i="8"/>
  <c r="O268" i="8"/>
  <c r="N268" i="8"/>
  <c r="O267" i="8"/>
  <c r="P267" i="8" s="1"/>
  <c r="N267" i="8"/>
  <c r="O266" i="8"/>
  <c r="N266" i="8"/>
  <c r="P266" i="8" s="1"/>
  <c r="O265" i="8"/>
  <c r="N265" i="8"/>
  <c r="P265" i="8" s="1"/>
  <c r="P264" i="8"/>
  <c r="O264" i="8"/>
  <c r="N264" i="8"/>
  <c r="O263" i="8"/>
  <c r="N263" i="8"/>
  <c r="O262" i="8"/>
  <c r="N262" i="8"/>
  <c r="P262" i="8" s="1"/>
  <c r="O261" i="8"/>
  <c r="N261" i="8"/>
  <c r="P261" i="8" s="1"/>
  <c r="Q261" i="8" s="1"/>
  <c r="S261" i="8" s="1"/>
  <c r="O260" i="8"/>
  <c r="N260" i="8"/>
  <c r="P260" i="8" s="1"/>
  <c r="Q259" i="8"/>
  <c r="S259" i="8" s="1"/>
  <c r="P259" i="8"/>
  <c r="R259" i="8" s="1"/>
  <c r="O259" i="8"/>
  <c r="N259" i="8"/>
  <c r="S258" i="8"/>
  <c r="R258" i="8"/>
  <c r="O258" i="8"/>
  <c r="N258" i="8"/>
  <c r="P258" i="8" s="1"/>
  <c r="Q258" i="8" s="1"/>
  <c r="P257" i="8"/>
  <c r="O257" i="8"/>
  <c r="N257" i="8"/>
  <c r="P256" i="8"/>
  <c r="R256" i="8" s="1"/>
  <c r="O256" i="8"/>
  <c r="N256" i="8"/>
  <c r="O255" i="8"/>
  <c r="N255" i="8"/>
  <c r="P255" i="8" s="1"/>
  <c r="P254" i="8"/>
  <c r="R254" i="8" s="1"/>
  <c r="O254" i="8"/>
  <c r="N254" i="8"/>
  <c r="O253" i="8"/>
  <c r="N253" i="8"/>
  <c r="P253" i="8" s="1"/>
  <c r="P252" i="8"/>
  <c r="O252" i="8"/>
  <c r="N252" i="8"/>
  <c r="R251" i="8"/>
  <c r="Q251" i="8"/>
  <c r="S251" i="8" s="1"/>
  <c r="P251" i="8"/>
  <c r="O251" i="8"/>
  <c r="N251" i="8"/>
  <c r="O250" i="8"/>
  <c r="N250" i="8"/>
  <c r="P250" i="8" s="1"/>
  <c r="O249" i="8"/>
  <c r="P249" i="8" s="1"/>
  <c r="N249" i="8"/>
  <c r="O248" i="8"/>
  <c r="N248" i="8"/>
  <c r="P248" i="8" s="1"/>
  <c r="O247" i="8"/>
  <c r="N247" i="8"/>
  <c r="P247" i="8" s="1"/>
  <c r="P246" i="8"/>
  <c r="R246" i="8" s="1"/>
  <c r="O246" i="8"/>
  <c r="N246" i="8"/>
  <c r="O245" i="8"/>
  <c r="P245" i="8" s="1"/>
  <c r="N245" i="8"/>
  <c r="O244" i="8"/>
  <c r="N244" i="8"/>
  <c r="P244" i="8" s="1"/>
  <c r="O243" i="8"/>
  <c r="N243" i="8"/>
  <c r="P243" i="8" s="1"/>
  <c r="R242" i="8"/>
  <c r="Q242" i="8"/>
  <c r="S242" i="8" s="1"/>
  <c r="P242" i="8"/>
  <c r="O242" i="8"/>
  <c r="N242" i="8"/>
  <c r="O241" i="8"/>
  <c r="N241" i="8"/>
  <c r="P241" i="8" s="1"/>
  <c r="P240" i="8"/>
  <c r="R240" i="8" s="1"/>
  <c r="O240" i="8"/>
  <c r="N240" i="8"/>
  <c r="O239" i="8"/>
  <c r="N239" i="8"/>
  <c r="O238" i="8"/>
  <c r="P238" i="8" s="1"/>
  <c r="N238" i="8"/>
  <c r="R237" i="8"/>
  <c r="O237" i="8"/>
  <c r="N237" i="8"/>
  <c r="P237" i="8" s="1"/>
  <c r="Q237" i="8" s="1"/>
  <c r="S237" i="8" s="1"/>
  <c r="O236" i="8"/>
  <c r="P236" i="8" s="1"/>
  <c r="N236" i="8"/>
  <c r="R235" i="8"/>
  <c r="Q235" i="8"/>
  <c r="S235" i="8" s="1"/>
  <c r="P235" i="8"/>
  <c r="O235" i="8"/>
  <c r="N235" i="8"/>
  <c r="P234" i="8"/>
  <c r="O234" i="8"/>
  <c r="N234" i="8"/>
  <c r="P233" i="8"/>
  <c r="R233" i="8" s="1"/>
  <c r="O233" i="8"/>
  <c r="N233" i="8"/>
  <c r="O232" i="8"/>
  <c r="N232" i="8"/>
  <c r="P232" i="8" s="1"/>
  <c r="O231" i="8"/>
  <c r="N231" i="8"/>
  <c r="P231" i="8" s="1"/>
  <c r="O230" i="8"/>
  <c r="N230" i="8"/>
  <c r="P230" i="8" s="1"/>
  <c r="Q229" i="8"/>
  <c r="S229" i="8" s="1"/>
  <c r="O229" i="8"/>
  <c r="P229" i="8" s="1"/>
  <c r="R229" i="8" s="1"/>
  <c r="N229" i="8"/>
  <c r="S228" i="8"/>
  <c r="R228" i="8"/>
  <c r="P228" i="8"/>
  <c r="Q228" i="8" s="1"/>
  <c r="O228" i="8"/>
  <c r="N228" i="8"/>
  <c r="O227" i="8"/>
  <c r="N227" i="8"/>
  <c r="P227" i="8" s="1"/>
  <c r="O226" i="8"/>
  <c r="N226" i="8"/>
  <c r="O225" i="8"/>
  <c r="N225" i="8"/>
  <c r="P225" i="8" s="1"/>
  <c r="O224" i="8"/>
  <c r="O223" i="8"/>
  <c r="N223" i="8"/>
  <c r="P223" i="8" s="1"/>
  <c r="O222" i="8"/>
  <c r="P222" i="8" s="1"/>
  <c r="N222" i="8"/>
  <c r="O221" i="8"/>
  <c r="N221" i="8"/>
  <c r="P221" i="8" s="1"/>
  <c r="Q221" i="8" s="1"/>
  <c r="S221" i="8" s="1"/>
  <c r="P220" i="8"/>
  <c r="R220" i="8" s="1"/>
  <c r="O220" i="8"/>
  <c r="N220" i="8"/>
  <c r="Q219" i="8"/>
  <c r="S219" i="8" s="1"/>
  <c r="P219" i="8"/>
  <c r="R219" i="8" s="1"/>
  <c r="O219" i="8"/>
  <c r="N219" i="8"/>
  <c r="O218" i="8"/>
  <c r="N218" i="8"/>
  <c r="P217" i="8"/>
  <c r="Q217" i="8" s="1"/>
  <c r="S217" i="8" s="1"/>
  <c r="O217" i="8"/>
  <c r="N217" i="8"/>
  <c r="O216" i="8"/>
  <c r="P216" i="8" s="1"/>
  <c r="N216" i="8"/>
  <c r="O215" i="8"/>
  <c r="N215" i="8"/>
  <c r="S214" i="8"/>
  <c r="R214" i="8"/>
  <c r="O214" i="8"/>
  <c r="N214" i="8"/>
  <c r="P214" i="8" s="1"/>
  <c r="Q214" i="8" s="1"/>
  <c r="R213" i="8"/>
  <c r="P213" i="8"/>
  <c r="Q213" i="8" s="1"/>
  <c r="S213" i="8" s="1"/>
  <c r="O213" i="8"/>
  <c r="N213" i="8"/>
  <c r="S212" i="8"/>
  <c r="R212" i="8"/>
  <c r="Q212" i="8"/>
  <c r="P212" i="8"/>
  <c r="O212" i="8"/>
  <c r="N212" i="8"/>
  <c r="O211" i="8"/>
  <c r="N211" i="8"/>
  <c r="P211" i="8" s="1"/>
  <c r="R210" i="8"/>
  <c r="Q210" i="8"/>
  <c r="S210" i="8" s="1"/>
  <c r="P210" i="8"/>
  <c r="O210" i="8"/>
  <c r="N210" i="8"/>
  <c r="Q209" i="8"/>
  <c r="S209" i="8" s="1"/>
  <c r="O209" i="8"/>
  <c r="P209" i="8" s="1"/>
  <c r="R209" i="8" s="1"/>
  <c r="N209" i="8"/>
  <c r="P208" i="8"/>
  <c r="O208" i="8"/>
  <c r="N208" i="8"/>
  <c r="O207" i="8"/>
  <c r="N207" i="8"/>
  <c r="P207" i="8" s="1"/>
  <c r="O206" i="8"/>
  <c r="P206" i="8" s="1"/>
  <c r="N206" i="8"/>
  <c r="O205" i="8"/>
  <c r="N205" i="8"/>
  <c r="R204" i="8"/>
  <c r="Q204" i="8"/>
  <c r="S204" i="8" s="1"/>
  <c r="O204" i="8"/>
  <c r="P204" i="8" s="1"/>
  <c r="N204" i="8"/>
  <c r="O203" i="8"/>
  <c r="N203" i="8"/>
  <c r="P203" i="8" s="1"/>
  <c r="R202" i="8"/>
  <c r="Q202" i="8"/>
  <c r="S202" i="8" s="1"/>
  <c r="P202" i="8"/>
  <c r="O202" i="8"/>
  <c r="N202" i="8"/>
  <c r="S201" i="8"/>
  <c r="O201" i="8"/>
  <c r="N201" i="8"/>
  <c r="P201" i="8" s="1"/>
  <c r="Q201" i="8" s="1"/>
  <c r="O200" i="8"/>
  <c r="N200" i="8"/>
  <c r="P200" i="8" s="1"/>
  <c r="O199" i="8"/>
  <c r="N199" i="8"/>
  <c r="O198" i="8"/>
  <c r="N198" i="8"/>
  <c r="P198" i="8" s="1"/>
  <c r="O197" i="8"/>
  <c r="N197" i="8"/>
  <c r="O196" i="8"/>
  <c r="N196" i="8"/>
  <c r="P196" i="8" s="1"/>
  <c r="O195" i="8"/>
  <c r="N195" i="8"/>
  <c r="O194" i="8"/>
  <c r="N194" i="8"/>
  <c r="P194" i="8" s="1"/>
  <c r="O193" i="8"/>
  <c r="N193" i="8"/>
  <c r="P193" i="8" s="1"/>
  <c r="Q193" i="8" s="1"/>
  <c r="S193" i="8" s="1"/>
  <c r="R192" i="8"/>
  <c r="Q192" i="8"/>
  <c r="S192" i="8" s="1"/>
  <c r="O192" i="8"/>
  <c r="P192" i="8" s="1"/>
  <c r="N192" i="8"/>
  <c r="O191" i="8"/>
  <c r="N191" i="8"/>
  <c r="P191" i="8" s="1"/>
  <c r="O190" i="8"/>
  <c r="P190" i="8" s="1"/>
  <c r="N190" i="8"/>
  <c r="O189" i="8"/>
  <c r="O188" i="8"/>
  <c r="N188" i="8"/>
  <c r="P188" i="8" s="1"/>
  <c r="Q188" i="8" s="1"/>
  <c r="S188" i="8" s="1"/>
  <c r="O187" i="8"/>
  <c r="N187" i="8"/>
  <c r="O186" i="8"/>
  <c r="P186" i="8" s="1"/>
  <c r="N186" i="8"/>
  <c r="O185" i="8"/>
  <c r="N185" i="8"/>
  <c r="O184" i="8"/>
  <c r="N184" i="8"/>
  <c r="P184" i="8" s="1"/>
  <c r="O183" i="8"/>
  <c r="N183" i="8"/>
  <c r="P183" i="8" s="1"/>
  <c r="Q183" i="8" s="1"/>
  <c r="S183" i="8" s="1"/>
  <c r="O182" i="8"/>
  <c r="N182" i="8"/>
  <c r="P182" i="8" s="1"/>
  <c r="O181" i="8"/>
  <c r="N181" i="8"/>
  <c r="R180" i="8"/>
  <c r="Q180" i="8"/>
  <c r="S180" i="8" s="1"/>
  <c r="O180" i="8"/>
  <c r="P180" i="8" s="1"/>
  <c r="N180" i="8"/>
  <c r="O179" i="8"/>
  <c r="N179" i="8"/>
  <c r="P179" i="8" s="1"/>
  <c r="O178" i="8"/>
  <c r="P178" i="8" s="1"/>
  <c r="N178" i="8"/>
  <c r="S177" i="8"/>
  <c r="O177" i="8"/>
  <c r="N177" i="8"/>
  <c r="P177" i="8" s="1"/>
  <c r="Q177" i="8" s="1"/>
  <c r="O176" i="8"/>
  <c r="N176" i="8"/>
  <c r="P176" i="8" s="1"/>
  <c r="O175" i="8"/>
  <c r="N175" i="8"/>
  <c r="O174" i="8"/>
  <c r="N174" i="8"/>
  <c r="P174" i="8" s="1"/>
  <c r="O173" i="8"/>
  <c r="N173" i="8"/>
  <c r="O172" i="8"/>
  <c r="N172" i="8"/>
  <c r="P172" i="8" s="1"/>
  <c r="O171" i="8"/>
  <c r="N171" i="8"/>
  <c r="O170" i="8"/>
  <c r="N170" i="8"/>
  <c r="P170" i="8" s="1"/>
  <c r="O169" i="8"/>
  <c r="N169" i="8"/>
  <c r="P169" i="8" s="1"/>
  <c r="Q169" i="8" s="1"/>
  <c r="S169" i="8" s="1"/>
  <c r="R168" i="8"/>
  <c r="Q168" i="8"/>
  <c r="S168" i="8" s="1"/>
  <c r="O168" i="8"/>
  <c r="P168" i="8" s="1"/>
  <c r="N168" i="8"/>
  <c r="O167" i="8"/>
  <c r="N167" i="8"/>
  <c r="P167" i="8" s="1"/>
  <c r="O166" i="8"/>
  <c r="P166" i="8" s="1"/>
  <c r="N166" i="8"/>
  <c r="S165" i="8"/>
  <c r="O165" i="8"/>
  <c r="N165" i="8"/>
  <c r="P165" i="8" s="1"/>
  <c r="Q165" i="8" s="1"/>
  <c r="P164" i="8"/>
  <c r="R164" i="8" s="1"/>
  <c r="O164" i="8"/>
  <c r="N164" i="8"/>
  <c r="O163" i="8"/>
  <c r="N163" i="8"/>
  <c r="O162" i="8"/>
  <c r="N162" i="8"/>
  <c r="O161" i="8"/>
  <c r="N161" i="8"/>
  <c r="O160" i="8"/>
  <c r="N160" i="8"/>
  <c r="P160" i="8" s="1"/>
  <c r="O159" i="8"/>
  <c r="N159" i="8"/>
  <c r="O158" i="8"/>
  <c r="N158" i="8"/>
  <c r="P158" i="8" s="1"/>
  <c r="O157" i="8"/>
  <c r="N157" i="8"/>
  <c r="P157" i="8" s="1"/>
  <c r="Q157" i="8" s="1"/>
  <c r="S157" i="8" s="1"/>
  <c r="O156" i="8"/>
  <c r="P156" i="8" s="1"/>
  <c r="R156" i="8" s="1"/>
  <c r="N156" i="8"/>
  <c r="O155" i="8"/>
  <c r="N155" i="8"/>
  <c r="P155" i="8" s="1"/>
  <c r="O154" i="8"/>
  <c r="P154" i="8" s="1"/>
  <c r="N154" i="8"/>
  <c r="S153" i="8"/>
  <c r="O153" i="8"/>
  <c r="N153" i="8"/>
  <c r="P153" i="8" s="1"/>
  <c r="Q153" i="8" s="1"/>
  <c r="O152" i="8"/>
  <c r="O151" i="8"/>
  <c r="N151" i="8"/>
  <c r="O150" i="8"/>
  <c r="O149" i="8"/>
  <c r="N149" i="8"/>
  <c r="O148" i="8"/>
  <c r="O147" i="8"/>
  <c r="N147" i="8"/>
  <c r="O146" i="8"/>
  <c r="N146" i="8"/>
  <c r="P146" i="8" s="1"/>
  <c r="O145" i="8"/>
  <c r="N145" i="8"/>
  <c r="P145" i="8" s="1"/>
  <c r="S144" i="8"/>
  <c r="R144" i="8"/>
  <c r="Q144" i="8"/>
  <c r="O144" i="8"/>
  <c r="P144" i="8" s="1"/>
  <c r="N144" i="8"/>
  <c r="O143" i="8"/>
  <c r="N143" i="8"/>
  <c r="P143" i="8" s="1"/>
  <c r="O142" i="8"/>
  <c r="P142" i="8" s="1"/>
  <c r="N142" i="8"/>
  <c r="S141" i="8"/>
  <c r="O141" i="8"/>
  <c r="N141" i="8"/>
  <c r="P141" i="8" s="1"/>
  <c r="Q141" i="8" s="1"/>
  <c r="O140" i="8"/>
  <c r="N140" i="8"/>
  <c r="P140" i="8" s="1"/>
  <c r="O139" i="8"/>
  <c r="N139" i="8"/>
  <c r="P138" i="8"/>
  <c r="O138" i="8"/>
  <c r="N138" i="8"/>
  <c r="O137" i="8"/>
  <c r="N137" i="8"/>
  <c r="O136" i="8"/>
  <c r="N136" i="8"/>
  <c r="P136" i="8" s="1"/>
  <c r="O135" i="8"/>
  <c r="N135" i="8"/>
  <c r="O134" i="8"/>
  <c r="N134" i="8"/>
  <c r="P134" i="8" s="1"/>
  <c r="O133" i="8"/>
  <c r="N133" i="8"/>
  <c r="R132" i="8"/>
  <c r="Q132" i="8"/>
  <c r="S132" i="8" s="1"/>
  <c r="O132" i="8"/>
  <c r="P132" i="8" s="1"/>
  <c r="N132" i="8"/>
  <c r="O131" i="8"/>
  <c r="N131" i="8"/>
  <c r="P131" i="8" s="1"/>
  <c r="Q130" i="8"/>
  <c r="S130" i="8" s="1"/>
  <c r="P130" i="8"/>
  <c r="R130" i="8" s="1"/>
  <c r="O130" i="8"/>
  <c r="N130" i="8"/>
  <c r="S129" i="8"/>
  <c r="O129" i="8"/>
  <c r="N129" i="8"/>
  <c r="P129" i="8" s="1"/>
  <c r="Q129" i="8" s="1"/>
  <c r="R128" i="8"/>
  <c r="Q128" i="8"/>
  <c r="S128" i="8" s="1"/>
  <c r="P128" i="8"/>
  <c r="O128" i="8"/>
  <c r="N128" i="8"/>
  <c r="O127" i="8"/>
  <c r="N127" i="8"/>
  <c r="O126" i="8"/>
  <c r="N126" i="8"/>
  <c r="P126" i="8" s="1"/>
  <c r="O125" i="8"/>
  <c r="N125" i="8"/>
  <c r="O124" i="8"/>
  <c r="N124" i="8"/>
  <c r="P124" i="8" s="1"/>
  <c r="O123" i="8"/>
  <c r="N123" i="8"/>
  <c r="P123" i="8" s="1"/>
  <c r="Q123" i="8" s="1"/>
  <c r="S123" i="8" s="1"/>
  <c r="O122" i="8"/>
  <c r="N122" i="8"/>
  <c r="P122" i="8" s="1"/>
  <c r="O121" i="8"/>
  <c r="N121" i="8"/>
  <c r="Q120" i="8"/>
  <c r="S120" i="8" s="1"/>
  <c r="O120" i="8"/>
  <c r="P120" i="8" s="1"/>
  <c r="R120" i="8" s="1"/>
  <c r="N120" i="8"/>
  <c r="O119" i="8"/>
  <c r="N119" i="8"/>
  <c r="P119" i="8" s="1"/>
  <c r="P118" i="8"/>
  <c r="R118" i="8" s="1"/>
  <c r="O118" i="8"/>
  <c r="N118" i="8"/>
  <c r="S117" i="8"/>
  <c r="O117" i="8"/>
  <c r="N117" i="8"/>
  <c r="P117" i="8" s="1"/>
  <c r="Q117" i="8" s="1"/>
  <c r="O116" i="8"/>
  <c r="P116" i="8" s="1"/>
  <c r="N116" i="8"/>
  <c r="O115" i="8"/>
  <c r="N115" i="8"/>
  <c r="O114" i="8"/>
  <c r="N114" i="8"/>
  <c r="P114" i="8" s="1"/>
  <c r="O113" i="8"/>
  <c r="N113" i="8"/>
  <c r="O112" i="8"/>
  <c r="N112" i="8"/>
  <c r="P112" i="8" s="1"/>
  <c r="O111" i="8"/>
  <c r="N111" i="8"/>
  <c r="O110" i="8"/>
  <c r="N110" i="8"/>
  <c r="P110" i="8" s="1"/>
  <c r="O109" i="8"/>
  <c r="N109" i="8"/>
  <c r="P109" i="8" s="1"/>
  <c r="Q109" i="8" s="1"/>
  <c r="S109" i="8" s="1"/>
  <c r="O108" i="8"/>
  <c r="P108" i="8" s="1"/>
  <c r="R108" i="8" s="1"/>
  <c r="N108" i="8"/>
  <c r="O107" i="8"/>
  <c r="N107" i="8"/>
  <c r="P107" i="8" s="1"/>
  <c r="O106" i="8"/>
  <c r="P106" i="8" s="1"/>
  <c r="N106" i="8"/>
  <c r="S105" i="8"/>
  <c r="O105" i="8"/>
  <c r="N105" i="8"/>
  <c r="P105" i="8" s="1"/>
  <c r="Q105" i="8" s="1"/>
  <c r="O104" i="8"/>
  <c r="N104" i="8"/>
  <c r="P104" i="8" s="1"/>
  <c r="O103" i="8"/>
  <c r="N103" i="8"/>
  <c r="O102" i="8"/>
  <c r="N102" i="8"/>
  <c r="P102" i="8" s="1"/>
  <c r="O101" i="8"/>
  <c r="N101" i="8"/>
  <c r="O100" i="8"/>
  <c r="N100" i="8"/>
  <c r="P100" i="8" s="1"/>
  <c r="O99" i="8"/>
  <c r="N99" i="8"/>
  <c r="P99" i="8" s="1"/>
  <c r="Q99" i="8" s="1"/>
  <c r="S99" i="8" s="1"/>
  <c r="O98" i="8"/>
  <c r="N98" i="8"/>
  <c r="P98" i="8" s="1"/>
  <c r="O97" i="8"/>
  <c r="N97" i="8"/>
  <c r="O96" i="8"/>
  <c r="P96" i="8" s="1"/>
  <c r="R96" i="8" s="1"/>
  <c r="N96" i="8"/>
  <c r="O95" i="8"/>
  <c r="N95" i="8"/>
  <c r="P95" i="8" s="1"/>
  <c r="R94" i="8"/>
  <c r="P94" i="8"/>
  <c r="Q94" i="8" s="1"/>
  <c r="S94" i="8" s="1"/>
  <c r="O94" i="8"/>
  <c r="N94" i="8"/>
  <c r="S93" i="8"/>
  <c r="O93" i="8"/>
  <c r="N93" i="8"/>
  <c r="P93" i="8" s="1"/>
  <c r="Q93" i="8" s="1"/>
  <c r="O92" i="8"/>
  <c r="N92" i="8"/>
  <c r="P92" i="8" s="1"/>
  <c r="O91" i="8"/>
  <c r="N91" i="8"/>
  <c r="P90" i="8"/>
  <c r="O90" i="8"/>
  <c r="N90" i="8"/>
  <c r="O89" i="8"/>
  <c r="N89" i="8"/>
  <c r="O88" i="8"/>
  <c r="N88" i="8"/>
  <c r="P88" i="8" s="1"/>
  <c r="O87" i="8"/>
  <c r="N87" i="8"/>
  <c r="P87" i="8" s="1"/>
  <c r="Q87" i="8" s="1"/>
  <c r="S87" i="8" s="1"/>
  <c r="O86" i="8"/>
  <c r="N86" i="8"/>
  <c r="P86" i="8" s="1"/>
  <c r="O85" i="8"/>
  <c r="N85" i="8"/>
  <c r="R84" i="8"/>
  <c r="O84" i="8"/>
  <c r="P84" i="8" s="1"/>
  <c r="Q84" i="8" s="1"/>
  <c r="S84" i="8" s="1"/>
  <c r="N84" i="8"/>
  <c r="O83" i="8"/>
  <c r="N83" i="8"/>
  <c r="P83" i="8" s="1"/>
  <c r="P82" i="8"/>
  <c r="R82" i="8" s="1"/>
  <c r="O82" i="8"/>
  <c r="N82" i="8"/>
  <c r="S81" i="8"/>
  <c r="O81" i="8"/>
  <c r="N81" i="8"/>
  <c r="P81" i="8" s="1"/>
  <c r="Q81" i="8" s="1"/>
  <c r="O80" i="8"/>
  <c r="N80" i="8"/>
  <c r="P80" i="8" s="1"/>
  <c r="O79" i="8"/>
  <c r="N79" i="8"/>
  <c r="O78" i="8"/>
  <c r="P78" i="8" s="1"/>
  <c r="N78" i="8"/>
  <c r="O77" i="8"/>
  <c r="N77" i="8"/>
  <c r="O76" i="8"/>
  <c r="N76" i="8"/>
  <c r="P76" i="8" s="1"/>
  <c r="O75" i="8"/>
  <c r="N75" i="8"/>
  <c r="P75" i="8" s="1"/>
  <c r="O74" i="8"/>
  <c r="N74" i="8"/>
  <c r="P74" i="8" s="1"/>
  <c r="O73" i="8"/>
  <c r="N73" i="8"/>
  <c r="O72" i="8"/>
  <c r="P72" i="8" s="1"/>
  <c r="R72" i="8" s="1"/>
  <c r="N72" i="8"/>
  <c r="O71" i="8"/>
  <c r="N71" i="8"/>
  <c r="P71" i="8" s="1"/>
  <c r="P70" i="8"/>
  <c r="R70" i="8" s="1"/>
  <c r="O70" i="8"/>
  <c r="N70" i="8"/>
  <c r="S69" i="8"/>
  <c r="O69" i="8"/>
  <c r="N69" i="8"/>
  <c r="P69" i="8" s="1"/>
  <c r="Q69" i="8" s="1"/>
  <c r="P68" i="8"/>
  <c r="R68" i="8" s="1"/>
  <c r="O68" i="8"/>
  <c r="N68" i="8"/>
  <c r="O67" i="8"/>
  <c r="N67" i="8"/>
  <c r="O66" i="8"/>
  <c r="N66" i="8"/>
  <c r="P66" i="8" s="1"/>
  <c r="O65" i="8"/>
  <c r="N65" i="8"/>
  <c r="O64" i="8"/>
  <c r="N64" i="8"/>
  <c r="P64" i="8" s="1"/>
  <c r="O63" i="8"/>
  <c r="N63" i="8"/>
  <c r="O62" i="8"/>
  <c r="N62" i="8"/>
  <c r="P62" i="8" s="1"/>
  <c r="O61" i="8"/>
  <c r="N61" i="8"/>
  <c r="O60" i="8"/>
  <c r="O59" i="8"/>
  <c r="N59" i="8"/>
  <c r="P59" i="8" s="1"/>
  <c r="O58" i="8"/>
  <c r="S57" i="8"/>
  <c r="O57" i="8"/>
  <c r="N57" i="8"/>
  <c r="P57" i="8" s="1"/>
  <c r="Q57" i="8" s="1"/>
  <c r="O56" i="8"/>
  <c r="N56" i="8"/>
  <c r="P56" i="8" s="1"/>
  <c r="O55" i="8"/>
  <c r="N55" i="8"/>
  <c r="O54" i="8"/>
  <c r="O53" i="8"/>
  <c r="N53" i="8"/>
  <c r="O52" i="8"/>
  <c r="O51" i="8"/>
  <c r="N51" i="8"/>
  <c r="P51" i="8" s="1"/>
  <c r="O50" i="8"/>
  <c r="N50" i="8"/>
  <c r="P50" i="8" s="1"/>
  <c r="O49" i="8"/>
  <c r="N49" i="8"/>
  <c r="O48" i="8"/>
  <c r="P48" i="8" s="1"/>
  <c r="R48" i="8" s="1"/>
  <c r="N48" i="8"/>
  <c r="O47" i="8"/>
  <c r="N47" i="8"/>
  <c r="P47" i="8" s="1"/>
  <c r="P46" i="8"/>
  <c r="R46" i="8" s="1"/>
  <c r="O46" i="8"/>
  <c r="N46" i="8"/>
  <c r="S45" i="8"/>
  <c r="O45" i="8"/>
  <c r="N45" i="8"/>
  <c r="P45" i="8" s="1"/>
  <c r="Q45" i="8" s="1"/>
  <c r="P44" i="8"/>
  <c r="R44" i="8" s="1"/>
  <c r="O44" i="8"/>
  <c r="N44" i="8"/>
  <c r="O43" i="8"/>
  <c r="N43" i="8"/>
  <c r="O42" i="8"/>
  <c r="N42" i="8"/>
  <c r="P42" i="8" s="1"/>
  <c r="O41" i="8"/>
  <c r="N41" i="8"/>
  <c r="O40" i="8"/>
  <c r="N40" i="8"/>
  <c r="P40" i="8" s="1"/>
  <c r="O39" i="8"/>
  <c r="N39" i="8"/>
  <c r="P39" i="8" s="1"/>
  <c r="Q39" i="8" s="1"/>
  <c r="S39" i="8" s="1"/>
  <c r="O38" i="8"/>
  <c r="N38" i="8"/>
  <c r="P38" i="8" s="1"/>
  <c r="O37" i="8"/>
  <c r="N37" i="8"/>
  <c r="P37" i="8" s="1"/>
  <c r="O36" i="8"/>
  <c r="P36" i="8" s="1"/>
  <c r="R36" i="8" s="1"/>
  <c r="N36" i="8"/>
  <c r="O35" i="8"/>
  <c r="N35" i="8"/>
  <c r="P35" i="8" s="1"/>
  <c r="P34" i="8"/>
  <c r="O34" i="8"/>
  <c r="N34" i="8"/>
  <c r="O33" i="8"/>
  <c r="O32" i="8"/>
  <c r="N32" i="8"/>
  <c r="P32" i="8" s="1"/>
  <c r="O31" i="8"/>
  <c r="N31" i="8"/>
  <c r="O30" i="8"/>
  <c r="P30" i="8" s="1"/>
  <c r="N30" i="8"/>
  <c r="O29" i="8"/>
  <c r="N29" i="8"/>
  <c r="O28" i="8"/>
  <c r="N28" i="8"/>
  <c r="P28" i="8" s="1"/>
  <c r="O27" i="8"/>
  <c r="N27" i="8"/>
  <c r="O26" i="8"/>
  <c r="N26" i="8"/>
  <c r="P26" i="8" s="1"/>
  <c r="R26" i="8" s="1"/>
  <c r="O25" i="8"/>
  <c r="N25" i="8"/>
  <c r="P25" i="8" s="1"/>
  <c r="Q25" i="8" s="1"/>
  <c r="S25" i="8" s="1"/>
  <c r="O24" i="8"/>
  <c r="P24" i="8" s="1"/>
  <c r="N24" i="8"/>
  <c r="O23" i="8"/>
  <c r="N23" i="8"/>
  <c r="P23" i="8" s="1"/>
  <c r="O22" i="8"/>
  <c r="P22" i="8" s="1"/>
  <c r="N22" i="8"/>
  <c r="O21" i="8"/>
  <c r="N21" i="8"/>
  <c r="P21" i="8" s="1"/>
  <c r="O20" i="8"/>
  <c r="N20" i="8"/>
  <c r="P20" i="8" s="1"/>
  <c r="Q20" i="8" s="1"/>
  <c r="S20" i="8" s="1"/>
  <c r="O19" i="8"/>
  <c r="N19" i="8"/>
  <c r="O18" i="8"/>
  <c r="N18" i="8"/>
  <c r="P18" i="8" s="1"/>
  <c r="O17" i="8"/>
  <c r="N17" i="8"/>
  <c r="O16" i="8"/>
  <c r="N16" i="8"/>
  <c r="P16" i="8" s="1"/>
  <c r="O15" i="8"/>
  <c r="E15" i="8"/>
  <c r="E898" i="8" s="1"/>
  <c r="H900" i="8" s="1"/>
  <c r="H901" i="8" s="1"/>
  <c r="S14" i="8"/>
  <c r="R14" i="8"/>
  <c r="O14" i="8"/>
  <c r="P14" i="8" s="1"/>
  <c r="Q14" i="8" s="1"/>
  <c r="N14" i="8"/>
  <c r="O13" i="8"/>
  <c r="N13" i="8"/>
  <c r="P13" i="8" s="1"/>
  <c r="P12" i="8"/>
  <c r="R12" i="8" s="1"/>
  <c r="O12" i="8"/>
  <c r="N12" i="8"/>
  <c r="O11" i="8"/>
  <c r="N11" i="8"/>
  <c r="O10" i="8"/>
  <c r="N10" i="8"/>
  <c r="P10" i="8" s="1"/>
  <c r="O9" i="8"/>
  <c r="P9" i="8" s="1"/>
  <c r="N9" i="8"/>
  <c r="O8" i="8"/>
  <c r="N8" i="8"/>
  <c r="P8" i="8" s="1"/>
  <c r="P7" i="8"/>
  <c r="O7" i="8"/>
  <c r="N7" i="8"/>
  <c r="O6" i="8"/>
  <c r="N6" i="8"/>
  <c r="P6" i="8" s="1"/>
  <c r="O5" i="8"/>
  <c r="N5" i="8"/>
  <c r="P5" i="8" s="1"/>
  <c r="O4" i="8"/>
  <c r="N4" i="8"/>
  <c r="P4" i="8" s="1"/>
  <c r="O3" i="8"/>
  <c r="N3" i="8"/>
  <c r="P3" i="8" s="1"/>
  <c r="O2" i="8"/>
  <c r="P2" i="8" s="1"/>
  <c r="Q2" i="8" s="1"/>
  <c r="S2" i="8" s="1"/>
  <c r="N2" i="8"/>
  <c r="B40" i="7"/>
  <c r="F35" i="7"/>
  <c r="E35" i="7"/>
  <c r="D35" i="7"/>
  <c r="C35" i="7"/>
  <c r="B35" i="7"/>
  <c r="J33" i="7"/>
  <c r="I33" i="7"/>
  <c r="H33" i="7"/>
  <c r="G33" i="7"/>
  <c r="L32" i="7"/>
  <c r="K32" i="7"/>
  <c r="J32" i="7"/>
  <c r="I32" i="7"/>
  <c r="H32" i="7"/>
  <c r="G32" i="7"/>
  <c r="J31" i="7"/>
  <c r="I31" i="7"/>
  <c r="H31" i="7"/>
  <c r="K31" i="7" s="1"/>
  <c r="G31" i="7"/>
  <c r="J30" i="7"/>
  <c r="I30" i="7"/>
  <c r="H30" i="7"/>
  <c r="G30" i="7"/>
  <c r="J29" i="7"/>
  <c r="I29" i="7"/>
  <c r="H29" i="7"/>
  <c r="G29" i="7"/>
  <c r="J28" i="7"/>
  <c r="I28" i="7"/>
  <c r="H28" i="7"/>
  <c r="K28" i="7" s="1"/>
  <c r="L28" i="7" s="1"/>
  <c r="G28" i="7"/>
  <c r="J27" i="7"/>
  <c r="I27" i="7"/>
  <c r="H27" i="7"/>
  <c r="K27" i="7" s="1"/>
  <c r="L27" i="7" s="1"/>
  <c r="G27" i="7"/>
  <c r="J26" i="7"/>
  <c r="I26" i="7"/>
  <c r="H26" i="7"/>
  <c r="K26" i="7" s="1"/>
  <c r="L26" i="7" s="1"/>
  <c r="G26" i="7"/>
  <c r="G35" i="7" s="1"/>
  <c r="L25" i="7"/>
  <c r="J25" i="7"/>
  <c r="I25" i="7"/>
  <c r="H25" i="7"/>
  <c r="K25" i="7" s="1"/>
  <c r="G25" i="7"/>
  <c r="J24" i="7"/>
  <c r="I24" i="7"/>
  <c r="H24" i="7"/>
  <c r="K24" i="7" s="1"/>
  <c r="L24" i="7" s="1"/>
  <c r="G24" i="7"/>
  <c r="J23" i="7"/>
  <c r="I23" i="7"/>
  <c r="H23" i="7"/>
  <c r="G23" i="7"/>
  <c r="J22" i="7"/>
  <c r="I22" i="7"/>
  <c r="H22" i="7"/>
  <c r="K22" i="7" s="1"/>
  <c r="L22" i="7" s="1"/>
  <c r="G22" i="7"/>
  <c r="J21" i="7"/>
  <c r="I21" i="7"/>
  <c r="H21" i="7"/>
  <c r="K21" i="7" s="1"/>
  <c r="L21" i="7" s="1"/>
  <c r="G21" i="7"/>
  <c r="J20" i="7"/>
  <c r="I20" i="7"/>
  <c r="H20" i="7"/>
  <c r="K20" i="7" s="1"/>
  <c r="L20" i="7" s="1"/>
  <c r="G20" i="7"/>
  <c r="J19" i="7"/>
  <c r="I19" i="7"/>
  <c r="H19" i="7"/>
  <c r="G19" i="7"/>
  <c r="J18" i="7"/>
  <c r="I18" i="7"/>
  <c r="H18" i="7"/>
  <c r="G18" i="7"/>
  <c r="J17" i="7"/>
  <c r="I17" i="7"/>
  <c r="H17" i="7"/>
  <c r="K17" i="7" s="1"/>
  <c r="L17" i="7" s="1"/>
  <c r="G17" i="7"/>
  <c r="J16" i="7"/>
  <c r="I16" i="7"/>
  <c r="H16" i="7"/>
  <c r="K16" i="7" s="1"/>
  <c r="G16" i="7"/>
  <c r="J15" i="7"/>
  <c r="I15" i="7"/>
  <c r="H15" i="7"/>
  <c r="K15" i="7" s="1"/>
  <c r="L15" i="7" s="1"/>
  <c r="G15" i="7"/>
  <c r="J14" i="7"/>
  <c r="I14" i="7"/>
  <c r="H14" i="7"/>
  <c r="K14" i="7" s="1"/>
  <c r="L14" i="7" s="1"/>
  <c r="G14" i="7"/>
  <c r="J13" i="7"/>
  <c r="I13" i="7"/>
  <c r="H13" i="7"/>
  <c r="G13" i="7"/>
  <c r="J12" i="7"/>
  <c r="K12" i="7" s="1"/>
  <c r="L12" i="7" s="1"/>
  <c r="I12" i="7"/>
  <c r="H12" i="7"/>
  <c r="G12" i="7"/>
  <c r="J11" i="7"/>
  <c r="I11" i="7"/>
  <c r="H11" i="7"/>
  <c r="G11" i="7"/>
  <c r="J10" i="7"/>
  <c r="I10" i="7"/>
  <c r="K10" i="7" s="1"/>
  <c r="L10" i="7" s="1"/>
  <c r="H10" i="7"/>
  <c r="G10" i="7"/>
  <c r="J9" i="7"/>
  <c r="I9" i="7"/>
  <c r="H9" i="7"/>
  <c r="K9" i="7" s="1"/>
  <c r="L9" i="7" s="1"/>
  <c r="G9" i="7"/>
  <c r="J8" i="7"/>
  <c r="I8" i="7"/>
  <c r="H8" i="7"/>
  <c r="K8" i="7" s="1"/>
  <c r="L8" i="7" s="1"/>
  <c r="G8" i="7"/>
  <c r="J7" i="7"/>
  <c r="I7" i="7"/>
  <c r="H7" i="7"/>
  <c r="K7" i="7" s="1"/>
  <c r="G7" i="7"/>
  <c r="J6" i="7"/>
  <c r="I6" i="7"/>
  <c r="H6" i="7"/>
  <c r="K6" i="7" s="1"/>
  <c r="L6" i="7" s="1"/>
  <c r="G6" i="7"/>
  <c r="J5" i="7"/>
  <c r="I5" i="7"/>
  <c r="H5" i="7"/>
  <c r="G5" i="7"/>
  <c r="J4" i="7"/>
  <c r="J35" i="7" s="1"/>
  <c r="I4" i="7"/>
  <c r="H4" i="7"/>
  <c r="G4" i="7"/>
  <c r="J25" i="6"/>
  <c r="D25" i="6"/>
  <c r="C25" i="6"/>
  <c r="B25" i="6"/>
  <c r="E30" i="5"/>
  <c r="M45" i="4"/>
  <c r="N46" i="4" s="1"/>
  <c r="M43" i="4"/>
  <c r="Q38" i="4"/>
  <c r="N38" i="4"/>
  <c r="O38" i="4" s="1"/>
  <c r="L38" i="4"/>
  <c r="Q37" i="4"/>
  <c r="O37" i="4"/>
  <c r="N37" i="4"/>
  <c r="L37" i="4"/>
  <c r="Q36" i="4"/>
  <c r="N36" i="4"/>
  <c r="O36" i="4" s="1"/>
  <c r="L36" i="4"/>
  <c r="Q35" i="4"/>
  <c r="N35" i="4"/>
  <c r="O35" i="4" s="1"/>
  <c r="L35" i="4"/>
  <c r="Q34" i="4"/>
  <c r="N34" i="4"/>
  <c r="O34" i="4" s="1"/>
  <c r="L34" i="4"/>
  <c r="Q33" i="4"/>
  <c r="N33" i="4"/>
  <c r="O33" i="4" s="1"/>
  <c r="L33" i="4"/>
  <c r="Q32" i="4"/>
  <c r="N32" i="4"/>
  <c r="O32" i="4" s="1"/>
  <c r="L32" i="4"/>
  <c r="Q31" i="4"/>
  <c r="O31" i="4"/>
  <c r="N31" i="4"/>
  <c r="L31" i="4"/>
  <c r="Q30" i="4"/>
  <c r="O30" i="4"/>
  <c r="N30" i="4"/>
  <c r="L30" i="4"/>
  <c r="Q29" i="4"/>
  <c r="N29" i="4"/>
  <c r="O29" i="4" s="1"/>
  <c r="L29" i="4"/>
  <c r="Q28" i="4"/>
  <c r="O28" i="4"/>
  <c r="N28" i="4"/>
  <c r="L28" i="4"/>
  <c r="Q27" i="4"/>
  <c r="N27" i="4"/>
  <c r="O27" i="4" s="1"/>
  <c r="L27" i="4"/>
  <c r="Q26" i="4"/>
  <c r="N26" i="4"/>
  <c r="O26" i="4" s="1"/>
  <c r="L26" i="4"/>
  <c r="Q25" i="4"/>
  <c r="N25" i="4"/>
  <c r="O25" i="4" s="1"/>
  <c r="L25" i="4"/>
  <c r="Q24" i="4"/>
  <c r="O24" i="4"/>
  <c r="N24" i="4"/>
  <c r="L24" i="4"/>
  <c r="Q23" i="4"/>
  <c r="N23" i="4"/>
  <c r="O23" i="4" s="1"/>
  <c r="L23" i="4"/>
  <c r="Q22" i="4"/>
  <c r="O22" i="4"/>
  <c r="N22" i="4"/>
  <c r="L22" i="4"/>
  <c r="Q21" i="4"/>
  <c r="N21" i="4"/>
  <c r="O21" i="4" s="1"/>
  <c r="L21" i="4"/>
  <c r="Q20" i="4"/>
  <c r="N20" i="4"/>
  <c r="O20" i="4" s="1"/>
  <c r="L20" i="4"/>
  <c r="Q19" i="4"/>
  <c r="O19" i="4"/>
  <c r="N19" i="4"/>
  <c r="L19" i="4"/>
  <c r="Q18" i="4"/>
  <c r="O18" i="4"/>
  <c r="N18" i="4"/>
  <c r="L18" i="4"/>
  <c r="Q17" i="4"/>
  <c r="N17" i="4"/>
  <c r="O17" i="4" s="1"/>
  <c r="L17" i="4"/>
  <c r="Q16" i="4"/>
  <c r="N16" i="4"/>
  <c r="O16" i="4" s="1"/>
  <c r="L16" i="4"/>
  <c r="Q15" i="4"/>
  <c r="N15" i="4"/>
  <c r="O15" i="4" s="1"/>
  <c r="L15" i="4"/>
  <c r="Q14" i="4"/>
  <c r="N14" i="4"/>
  <c r="O14" i="4" s="1"/>
  <c r="L14" i="4"/>
  <c r="Q13" i="4"/>
  <c r="N13" i="4"/>
  <c r="O13" i="4" s="1"/>
  <c r="L13" i="4"/>
  <c r="Q12" i="4"/>
  <c r="N12" i="4"/>
  <c r="O12" i="4" s="1"/>
  <c r="L12" i="4"/>
  <c r="Q11" i="4"/>
  <c r="N11" i="4"/>
  <c r="O11" i="4" s="1"/>
  <c r="L11" i="4"/>
  <c r="Q10" i="4"/>
  <c r="N10" i="4"/>
  <c r="O10" i="4" s="1"/>
  <c r="L10" i="4"/>
  <c r="Q9" i="4"/>
  <c r="O9" i="4"/>
  <c r="N9" i="4"/>
  <c r="L9" i="4"/>
  <c r="Q8" i="4"/>
  <c r="N8" i="4"/>
  <c r="O8" i="4" s="1"/>
  <c r="L8" i="4"/>
  <c r="Q7" i="4"/>
  <c r="O7" i="4"/>
  <c r="N7" i="4"/>
  <c r="L7" i="4"/>
  <c r="Q6" i="4"/>
  <c r="O6" i="4"/>
  <c r="N6" i="4"/>
  <c r="L6" i="4"/>
  <c r="Q5" i="4"/>
  <c r="N5" i="4"/>
  <c r="O5" i="4" s="1"/>
  <c r="L5" i="4"/>
  <c r="F1164" i="3"/>
  <c r="F1160" i="3"/>
  <c r="G1154" i="3"/>
  <c r="G1153" i="3"/>
  <c r="F1150" i="3"/>
  <c r="G1159" i="3" s="1"/>
  <c r="F1147" i="3"/>
  <c r="M1145" i="3"/>
  <c r="M1142" i="3"/>
  <c r="G1140" i="3"/>
  <c r="F1137" i="3"/>
  <c r="J1135" i="3"/>
  <c r="N1130" i="3"/>
  <c r="O1130" i="3" s="1"/>
  <c r="P1130" i="3" s="1"/>
  <c r="M1130" i="3"/>
  <c r="N1129" i="3"/>
  <c r="M1129" i="3"/>
  <c r="O1129" i="3" s="1"/>
  <c r="P1129" i="3" s="1"/>
  <c r="O1128" i="3"/>
  <c r="P1128" i="3" s="1"/>
  <c r="N1128" i="3"/>
  <c r="M1128" i="3"/>
  <c r="M1127" i="3"/>
  <c r="M1126" i="3"/>
  <c r="M1125" i="3"/>
  <c r="N1124" i="3"/>
  <c r="M1124" i="3"/>
  <c r="N1123" i="3"/>
  <c r="M1123" i="3"/>
  <c r="O1123" i="3" s="1"/>
  <c r="P1123" i="3" s="1"/>
  <c r="N1122" i="3"/>
  <c r="M1122" i="3"/>
  <c r="O1122" i="3" s="1"/>
  <c r="P1122" i="3" s="1"/>
  <c r="M1121" i="3"/>
  <c r="M1120" i="3"/>
  <c r="N1119" i="3"/>
  <c r="M1119" i="3"/>
  <c r="O1119" i="3" s="1"/>
  <c r="P1119" i="3" s="1"/>
  <c r="N1118" i="3"/>
  <c r="M1118" i="3"/>
  <c r="O1118" i="3" s="1"/>
  <c r="P1118" i="3" s="1"/>
  <c r="N1117" i="3"/>
  <c r="M1117" i="3"/>
  <c r="O1117" i="3" s="1"/>
  <c r="P1117" i="3" s="1"/>
  <c r="N1116" i="3"/>
  <c r="M1116" i="3"/>
  <c r="O1116" i="3" s="1"/>
  <c r="P1116" i="3" s="1"/>
  <c r="N1115" i="3"/>
  <c r="M1115" i="3"/>
  <c r="N1114" i="3"/>
  <c r="M1114" i="3"/>
  <c r="O1114" i="3" s="1"/>
  <c r="P1114" i="3" s="1"/>
  <c r="P1113" i="3"/>
  <c r="O1113" i="3"/>
  <c r="N1113" i="3"/>
  <c r="M1113" i="3"/>
  <c r="N1112" i="3"/>
  <c r="M1112" i="3"/>
  <c r="N1111" i="3"/>
  <c r="M1111" i="3"/>
  <c r="O1111" i="3" s="1"/>
  <c r="P1111" i="3" s="1"/>
  <c r="N1110" i="3"/>
  <c r="M1110" i="3"/>
  <c r="O1110" i="3" s="1"/>
  <c r="P1110" i="3" s="1"/>
  <c r="N1109" i="3"/>
  <c r="M1109" i="3"/>
  <c r="O1109" i="3" s="1"/>
  <c r="P1109" i="3" s="1"/>
  <c r="N1108" i="3"/>
  <c r="M1108" i="3"/>
  <c r="O1108" i="3" s="1"/>
  <c r="P1108" i="3" s="1"/>
  <c r="N1107" i="3"/>
  <c r="M1107" i="3"/>
  <c r="O1107" i="3" s="1"/>
  <c r="P1107" i="3" s="1"/>
  <c r="N1106" i="3"/>
  <c r="M1106" i="3"/>
  <c r="N1105" i="3"/>
  <c r="M1105" i="3"/>
  <c r="O1105" i="3" s="1"/>
  <c r="P1105" i="3" s="1"/>
  <c r="N1104" i="3"/>
  <c r="M1104" i="3"/>
  <c r="O1104" i="3" s="1"/>
  <c r="P1104" i="3" s="1"/>
  <c r="M1103" i="3"/>
  <c r="O1102" i="3"/>
  <c r="P1102" i="3" s="1"/>
  <c r="N1102" i="3"/>
  <c r="M1102" i="3"/>
  <c r="N1101" i="3"/>
  <c r="M1101" i="3"/>
  <c r="O1101" i="3" s="1"/>
  <c r="P1101" i="3" s="1"/>
  <c r="N1100" i="3"/>
  <c r="M1100" i="3"/>
  <c r="O1100" i="3" s="1"/>
  <c r="P1100" i="3" s="1"/>
  <c r="O1099" i="3"/>
  <c r="P1099" i="3" s="1"/>
  <c r="N1099" i="3"/>
  <c r="M1099" i="3"/>
  <c r="N1098" i="3"/>
  <c r="M1098" i="3"/>
  <c r="O1098" i="3" s="1"/>
  <c r="P1098" i="3" s="1"/>
  <c r="N1097" i="3"/>
  <c r="M1097" i="3"/>
  <c r="N1096" i="3"/>
  <c r="M1096" i="3"/>
  <c r="O1096" i="3" s="1"/>
  <c r="P1096" i="3" s="1"/>
  <c r="O1095" i="3"/>
  <c r="P1095" i="3" s="1"/>
  <c r="N1095" i="3"/>
  <c r="M1095" i="3"/>
  <c r="N1094" i="3"/>
  <c r="M1094" i="3"/>
  <c r="N1093" i="3"/>
  <c r="M1093" i="3"/>
  <c r="O1093" i="3" s="1"/>
  <c r="P1093" i="3" s="1"/>
  <c r="M1092" i="3"/>
  <c r="N1091" i="3"/>
  <c r="M1091" i="3"/>
  <c r="N1090" i="3"/>
  <c r="M1090" i="3"/>
  <c r="O1090" i="3" s="1"/>
  <c r="P1090" i="3" s="1"/>
  <c r="N1089" i="3"/>
  <c r="M1089" i="3"/>
  <c r="O1089" i="3" s="1"/>
  <c r="P1089" i="3" s="1"/>
  <c r="N1088" i="3"/>
  <c r="M1088" i="3"/>
  <c r="N1087" i="3"/>
  <c r="M1087" i="3"/>
  <c r="O1087" i="3" s="1"/>
  <c r="P1087" i="3" s="1"/>
  <c r="N1086" i="3"/>
  <c r="M1086" i="3"/>
  <c r="O1086" i="3" s="1"/>
  <c r="P1086" i="3" s="1"/>
  <c r="N1085" i="3"/>
  <c r="M1085" i="3"/>
  <c r="O1084" i="3"/>
  <c r="P1084" i="3" s="1"/>
  <c r="N1084" i="3"/>
  <c r="M1084" i="3"/>
  <c r="N1083" i="3"/>
  <c r="M1083" i="3"/>
  <c r="O1083" i="3" s="1"/>
  <c r="P1083" i="3" s="1"/>
  <c r="N1082" i="3"/>
  <c r="M1082" i="3"/>
  <c r="N1081" i="3"/>
  <c r="M1081" i="3"/>
  <c r="O1081" i="3" s="1"/>
  <c r="P1081" i="3" s="1"/>
  <c r="M1080" i="3"/>
  <c r="O1080" i="3" s="1"/>
  <c r="P1080" i="3" s="1"/>
  <c r="E1080" i="3"/>
  <c r="N1080" i="3" s="1"/>
  <c r="O1079" i="3"/>
  <c r="P1079" i="3" s="1"/>
  <c r="N1079" i="3"/>
  <c r="M1079" i="3"/>
  <c r="N1078" i="3"/>
  <c r="M1078" i="3"/>
  <c r="O1078" i="3" s="1"/>
  <c r="P1078" i="3" s="1"/>
  <c r="N1077" i="3"/>
  <c r="M1077" i="3"/>
  <c r="O1077" i="3" s="1"/>
  <c r="P1077" i="3" s="1"/>
  <c r="N1076" i="3"/>
  <c r="O1076" i="3" s="1"/>
  <c r="P1076" i="3" s="1"/>
  <c r="M1076" i="3"/>
  <c r="E1076" i="3"/>
  <c r="N1120" i="3" s="1"/>
  <c r="O1120" i="3" s="1"/>
  <c r="P1120" i="3" s="1"/>
  <c r="N1075" i="3"/>
  <c r="O1075" i="3" s="1"/>
  <c r="P1075" i="3" s="1"/>
  <c r="M1075" i="3"/>
  <c r="E1075" i="3"/>
  <c r="N1074" i="3"/>
  <c r="M1074" i="3"/>
  <c r="O1074" i="3" s="1"/>
  <c r="P1074" i="3" s="1"/>
  <c r="N1073" i="3"/>
  <c r="O1073" i="3" s="1"/>
  <c r="P1073" i="3" s="1"/>
  <c r="M1073" i="3"/>
  <c r="P1072" i="3"/>
  <c r="O1072" i="3"/>
  <c r="N1072" i="3"/>
  <c r="M1072" i="3"/>
  <c r="N1071" i="3"/>
  <c r="M1071" i="3"/>
  <c r="O1071" i="3" s="1"/>
  <c r="P1071" i="3" s="1"/>
  <c r="N1070" i="3"/>
  <c r="M1070" i="3"/>
  <c r="O1070" i="3" s="1"/>
  <c r="P1070" i="3" s="1"/>
  <c r="P1069" i="3"/>
  <c r="N1069" i="3"/>
  <c r="O1069" i="3" s="1"/>
  <c r="M1069" i="3"/>
  <c r="N1068" i="3"/>
  <c r="M1068" i="3"/>
  <c r="O1068" i="3" s="1"/>
  <c r="P1068" i="3" s="1"/>
  <c r="N1067" i="3"/>
  <c r="M1067" i="3"/>
  <c r="O1067" i="3" s="1"/>
  <c r="P1067" i="3" s="1"/>
  <c r="O1066" i="3"/>
  <c r="P1066" i="3" s="1"/>
  <c r="N1066" i="3"/>
  <c r="M1066" i="3"/>
  <c r="N1065" i="3"/>
  <c r="M1065" i="3"/>
  <c r="N1064" i="3"/>
  <c r="M1064" i="3"/>
  <c r="O1064" i="3" s="1"/>
  <c r="P1064" i="3" s="1"/>
  <c r="N1063" i="3"/>
  <c r="O1063" i="3" s="1"/>
  <c r="P1063" i="3" s="1"/>
  <c r="M1063" i="3"/>
  <c r="N1062" i="3"/>
  <c r="M1062" i="3"/>
  <c r="P1061" i="3"/>
  <c r="N1061" i="3"/>
  <c r="M1061" i="3"/>
  <c r="O1061" i="3" s="1"/>
  <c r="N1060" i="3"/>
  <c r="M1060" i="3"/>
  <c r="O1060" i="3" s="1"/>
  <c r="P1060" i="3" s="1"/>
  <c r="M1059" i="3"/>
  <c r="E1059" i="3"/>
  <c r="M1058" i="3"/>
  <c r="E1058" i="3"/>
  <c r="N1126" i="3" s="1"/>
  <c r="O1126" i="3" s="1"/>
  <c r="P1126" i="3" s="1"/>
  <c r="M1057" i="3"/>
  <c r="E1057" i="3"/>
  <c r="N1057" i="3" s="1"/>
  <c r="O1057" i="3" s="1"/>
  <c r="P1057" i="3" s="1"/>
  <c r="N1056" i="3"/>
  <c r="O1056" i="3" s="1"/>
  <c r="P1056" i="3" s="1"/>
  <c r="M1056" i="3"/>
  <c r="N1055" i="3"/>
  <c r="M1055" i="3"/>
  <c r="O1055" i="3" s="1"/>
  <c r="P1055" i="3" s="1"/>
  <c r="M1054" i="3"/>
  <c r="E1054" i="3"/>
  <c r="N1054" i="3" s="1"/>
  <c r="N1053" i="3"/>
  <c r="M1053" i="3"/>
  <c r="O1052" i="3"/>
  <c r="P1052" i="3" s="1"/>
  <c r="N1052" i="3"/>
  <c r="M1052" i="3"/>
  <c r="E1052" i="3"/>
  <c r="N1051" i="3"/>
  <c r="M1051" i="3"/>
  <c r="O1051" i="3" s="1"/>
  <c r="P1051" i="3" s="1"/>
  <c r="N1050" i="3"/>
  <c r="M1050" i="3"/>
  <c r="O1050" i="3" s="1"/>
  <c r="P1050" i="3" s="1"/>
  <c r="O1049" i="3"/>
  <c r="P1049" i="3" s="1"/>
  <c r="N1049" i="3"/>
  <c r="M1049" i="3"/>
  <c r="N1048" i="3"/>
  <c r="M1048" i="3"/>
  <c r="O1048" i="3" s="1"/>
  <c r="P1048" i="3" s="1"/>
  <c r="N1047" i="3"/>
  <c r="M1047" i="3"/>
  <c r="O1047" i="3" s="1"/>
  <c r="P1047" i="3" s="1"/>
  <c r="P1046" i="3"/>
  <c r="N1046" i="3"/>
  <c r="O1046" i="3" s="1"/>
  <c r="M1046" i="3"/>
  <c r="N1045" i="3"/>
  <c r="O1045" i="3" s="1"/>
  <c r="P1045" i="3" s="1"/>
  <c r="M1045" i="3"/>
  <c r="O1044" i="3"/>
  <c r="P1044" i="3" s="1"/>
  <c r="N1044" i="3"/>
  <c r="M1044" i="3"/>
  <c r="P1043" i="3"/>
  <c r="O1043" i="3"/>
  <c r="N1043" i="3"/>
  <c r="M1043" i="3"/>
  <c r="N1042" i="3"/>
  <c r="M1042" i="3"/>
  <c r="O1042" i="3" s="1"/>
  <c r="P1042" i="3" s="1"/>
  <c r="N1041" i="3"/>
  <c r="M1041" i="3"/>
  <c r="O1041" i="3" s="1"/>
  <c r="P1041" i="3" s="1"/>
  <c r="N1040" i="3"/>
  <c r="O1040" i="3" s="1"/>
  <c r="P1040" i="3" s="1"/>
  <c r="M1040" i="3"/>
  <c r="O1039" i="3"/>
  <c r="P1039" i="3" s="1"/>
  <c r="N1039" i="3"/>
  <c r="M1039" i="3"/>
  <c r="M1038" i="3"/>
  <c r="N1037" i="3"/>
  <c r="M1037" i="3"/>
  <c r="N1036" i="3"/>
  <c r="M1036" i="3"/>
  <c r="O1036" i="3" s="1"/>
  <c r="P1036" i="3" s="1"/>
  <c r="N1035" i="3"/>
  <c r="M1035" i="3"/>
  <c r="O1035" i="3" s="1"/>
  <c r="P1035" i="3" s="1"/>
  <c r="N1034" i="3"/>
  <c r="M1034" i="3"/>
  <c r="O1034" i="3" s="1"/>
  <c r="P1034" i="3" s="1"/>
  <c r="N1033" i="3"/>
  <c r="M1033" i="3"/>
  <c r="O1033" i="3" s="1"/>
  <c r="P1033" i="3" s="1"/>
  <c r="N1032" i="3"/>
  <c r="O1032" i="3" s="1"/>
  <c r="P1032" i="3" s="1"/>
  <c r="M1032" i="3"/>
  <c r="O1031" i="3"/>
  <c r="P1031" i="3" s="1"/>
  <c r="N1031" i="3"/>
  <c r="M1031" i="3"/>
  <c r="N1030" i="3"/>
  <c r="O1030" i="3" s="1"/>
  <c r="P1030" i="3" s="1"/>
  <c r="M1030" i="3"/>
  <c r="N1029" i="3"/>
  <c r="M1029" i="3"/>
  <c r="O1029" i="3" s="1"/>
  <c r="P1029" i="3" s="1"/>
  <c r="N1028" i="3"/>
  <c r="M1028" i="3"/>
  <c r="N1027" i="3"/>
  <c r="M1027" i="3"/>
  <c r="O1026" i="3"/>
  <c r="P1026" i="3" s="1"/>
  <c r="N1026" i="3"/>
  <c r="M1026" i="3"/>
  <c r="N1025" i="3"/>
  <c r="M1025" i="3"/>
  <c r="O1025" i="3" s="1"/>
  <c r="P1025" i="3" s="1"/>
  <c r="N1024" i="3"/>
  <c r="M1024" i="3"/>
  <c r="O1024" i="3" s="1"/>
  <c r="P1024" i="3" s="1"/>
  <c r="N1023" i="3"/>
  <c r="M1023" i="3"/>
  <c r="N1022" i="3"/>
  <c r="M1022" i="3"/>
  <c r="O1022" i="3" s="1"/>
  <c r="P1022" i="3" s="1"/>
  <c r="O1021" i="3"/>
  <c r="P1021" i="3" s="1"/>
  <c r="N1021" i="3"/>
  <c r="M1021" i="3"/>
  <c r="N1020" i="3"/>
  <c r="M1020" i="3"/>
  <c r="O1020" i="3" s="1"/>
  <c r="P1020" i="3" s="1"/>
  <c r="N1019" i="3"/>
  <c r="O1019" i="3" s="1"/>
  <c r="P1019" i="3" s="1"/>
  <c r="M1019" i="3"/>
  <c r="N1018" i="3"/>
  <c r="M1018" i="3"/>
  <c r="N1017" i="3"/>
  <c r="O1017" i="3" s="1"/>
  <c r="P1017" i="3" s="1"/>
  <c r="M1017" i="3"/>
  <c r="N1016" i="3"/>
  <c r="M1016" i="3"/>
  <c r="O1016" i="3" s="1"/>
  <c r="P1016" i="3" s="1"/>
  <c r="N1015" i="3"/>
  <c r="M1015" i="3"/>
  <c r="O1015" i="3" s="1"/>
  <c r="P1015" i="3" s="1"/>
  <c r="N1014" i="3"/>
  <c r="M1014" i="3"/>
  <c r="O1014" i="3" s="1"/>
  <c r="P1014" i="3" s="1"/>
  <c r="O1013" i="3"/>
  <c r="P1013" i="3" s="1"/>
  <c r="N1013" i="3"/>
  <c r="M1013" i="3"/>
  <c r="M1012" i="3"/>
  <c r="N1011" i="3"/>
  <c r="M1011" i="3"/>
  <c r="O1011" i="3" s="1"/>
  <c r="P1011" i="3" s="1"/>
  <c r="N1010" i="3"/>
  <c r="M1010" i="3"/>
  <c r="O1010" i="3" s="1"/>
  <c r="P1010" i="3" s="1"/>
  <c r="N1009" i="3"/>
  <c r="O1009" i="3" s="1"/>
  <c r="P1009" i="3" s="1"/>
  <c r="M1009" i="3"/>
  <c r="M1008" i="3"/>
  <c r="O1007" i="3"/>
  <c r="P1007" i="3" s="1"/>
  <c r="N1007" i="3"/>
  <c r="M1007" i="3"/>
  <c r="N1006" i="3"/>
  <c r="M1006" i="3"/>
  <c r="O1006" i="3" s="1"/>
  <c r="P1006" i="3" s="1"/>
  <c r="N1005" i="3"/>
  <c r="M1005" i="3"/>
  <c r="O1005" i="3" s="1"/>
  <c r="P1005" i="3" s="1"/>
  <c r="N1004" i="3"/>
  <c r="O1004" i="3" s="1"/>
  <c r="P1004" i="3" s="1"/>
  <c r="M1004" i="3"/>
  <c r="O1003" i="3"/>
  <c r="P1003" i="3" s="1"/>
  <c r="N1003" i="3"/>
  <c r="M1003" i="3"/>
  <c r="N1002" i="3"/>
  <c r="M1002" i="3"/>
  <c r="O1002" i="3" s="1"/>
  <c r="P1002" i="3" s="1"/>
  <c r="N1001" i="3"/>
  <c r="M1001" i="3"/>
  <c r="O1001" i="3" s="1"/>
  <c r="P1001" i="3" s="1"/>
  <c r="N1000" i="3"/>
  <c r="M1000" i="3"/>
  <c r="O1000" i="3" s="1"/>
  <c r="P1000" i="3" s="1"/>
  <c r="N999" i="3"/>
  <c r="M999" i="3"/>
  <c r="O999" i="3" s="1"/>
  <c r="P999" i="3" s="1"/>
  <c r="P998" i="3"/>
  <c r="N998" i="3"/>
  <c r="M998" i="3"/>
  <c r="O998" i="3" s="1"/>
  <c r="O997" i="3"/>
  <c r="P997" i="3" s="1"/>
  <c r="N997" i="3"/>
  <c r="M997" i="3"/>
  <c r="N996" i="3"/>
  <c r="O996" i="3" s="1"/>
  <c r="P996" i="3" s="1"/>
  <c r="M996" i="3"/>
  <c r="O995" i="3"/>
  <c r="P995" i="3" s="1"/>
  <c r="N995" i="3"/>
  <c r="M995" i="3"/>
  <c r="N994" i="3"/>
  <c r="O994" i="3" s="1"/>
  <c r="P994" i="3" s="1"/>
  <c r="M994" i="3"/>
  <c r="P993" i="3"/>
  <c r="N993" i="3"/>
  <c r="M993" i="3"/>
  <c r="O993" i="3" s="1"/>
  <c r="N992" i="3"/>
  <c r="M992" i="3"/>
  <c r="N991" i="3"/>
  <c r="M991" i="3"/>
  <c r="O990" i="3"/>
  <c r="P990" i="3" s="1"/>
  <c r="N990" i="3"/>
  <c r="M990" i="3"/>
  <c r="N989" i="3"/>
  <c r="M989" i="3"/>
  <c r="O989" i="3" s="1"/>
  <c r="P989" i="3" s="1"/>
  <c r="N988" i="3"/>
  <c r="M988" i="3"/>
  <c r="O988" i="3" s="1"/>
  <c r="P988" i="3" s="1"/>
  <c r="N987" i="3"/>
  <c r="M987" i="3"/>
  <c r="N986" i="3"/>
  <c r="M986" i="3"/>
  <c r="O986" i="3" s="1"/>
  <c r="P986" i="3" s="1"/>
  <c r="O985" i="3"/>
  <c r="P985" i="3" s="1"/>
  <c r="N985" i="3"/>
  <c r="M985" i="3"/>
  <c r="P984" i="3"/>
  <c r="O984" i="3"/>
  <c r="N984" i="3"/>
  <c r="M984" i="3"/>
  <c r="N983" i="3"/>
  <c r="O983" i="3" s="1"/>
  <c r="P983" i="3" s="1"/>
  <c r="M983" i="3"/>
  <c r="N982" i="3"/>
  <c r="M982" i="3"/>
  <c r="O982" i="3" s="1"/>
  <c r="P982" i="3" s="1"/>
  <c r="N981" i="3"/>
  <c r="O981" i="3" s="1"/>
  <c r="P981" i="3" s="1"/>
  <c r="M981" i="3"/>
  <c r="P980" i="3"/>
  <c r="N980" i="3"/>
  <c r="M980" i="3"/>
  <c r="O980" i="3" s="1"/>
  <c r="N979" i="3"/>
  <c r="M979" i="3"/>
  <c r="O979" i="3" s="1"/>
  <c r="P979" i="3" s="1"/>
  <c r="N978" i="3"/>
  <c r="M978" i="3"/>
  <c r="O978" i="3" s="1"/>
  <c r="P978" i="3" s="1"/>
  <c r="O977" i="3"/>
  <c r="P977" i="3" s="1"/>
  <c r="N977" i="3"/>
  <c r="M977" i="3"/>
  <c r="N976" i="3"/>
  <c r="M976" i="3"/>
  <c r="O976" i="3" s="1"/>
  <c r="P976" i="3" s="1"/>
  <c r="P975" i="3"/>
  <c r="N975" i="3"/>
  <c r="M975" i="3"/>
  <c r="O975" i="3" s="1"/>
  <c r="N974" i="3"/>
  <c r="M974" i="3"/>
  <c r="N973" i="3"/>
  <c r="O973" i="3" s="1"/>
  <c r="P973" i="3" s="1"/>
  <c r="M973" i="3"/>
  <c r="O972" i="3"/>
  <c r="P972" i="3" s="1"/>
  <c r="N972" i="3"/>
  <c r="M972" i="3"/>
  <c r="O971" i="3"/>
  <c r="P971" i="3" s="1"/>
  <c r="N971" i="3"/>
  <c r="M971" i="3"/>
  <c r="N970" i="3"/>
  <c r="M970" i="3"/>
  <c r="O970" i="3" s="1"/>
  <c r="P970" i="3" s="1"/>
  <c r="N969" i="3"/>
  <c r="M969" i="3"/>
  <c r="O969" i="3" s="1"/>
  <c r="P969" i="3" s="1"/>
  <c r="N968" i="3"/>
  <c r="O968" i="3" s="1"/>
  <c r="P968" i="3" s="1"/>
  <c r="M968" i="3"/>
  <c r="O967" i="3"/>
  <c r="P967" i="3" s="1"/>
  <c r="N967" i="3"/>
  <c r="M967" i="3"/>
  <c r="N966" i="3"/>
  <c r="M966" i="3"/>
  <c r="O966" i="3" s="1"/>
  <c r="P966" i="3" s="1"/>
  <c r="N965" i="3"/>
  <c r="M965" i="3"/>
  <c r="O965" i="3" s="1"/>
  <c r="P965" i="3" s="1"/>
  <c r="N964" i="3"/>
  <c r="M964" i="3"/>
  <c r="O964" i="3" s="1"/>
  <c r="P964" i="3" s="1"/>
  <c r="N963" i="3"/>
  <c r="M963" i="3"/>
  <c r="O963" i="3" s="1"/>
  <c r="P963" i="3" s="1"/>
  <c r="N962" i="3"/>
  <c r="M962" i="3"/>
  <c r="O962" i="3" s="1"/>
  <c r="P962" i="3" s="1"/>
  <c r="O961" i="3"/>
  <c r="P961" i="3" s="1"/>
  <c r="N961" i="3"/>
  <c r="M961" i="3"/>
  <c r="N960" i="3"/>
  <c r="O960" i="3" s="1"/>
  <c r="P960" i="3" s="1"/>
  <c r="M960" i="3"/>
  <c r="O959" i="3"/>
  <c r="P959" i="3" s="1"/>
  <c r="N959" i="3"/>
  <c r="M959" i="3"/>
  <c r="O958" i="3"/>
  <c r="P958" i="3" s="1"/>
  <c r="N958" i="3"/>
  <c r="M958" i="3"/>
  <c r="P957" i="3"/>
  <c r="N957" i="3"/>
  <c r="M957" i="3"/>
  <c r="O957" i="3" s="1"/>
  <c r="N956" i="3"/>
  <c r="M956" i="3"/>
  <c r="N955" i="3"/>
  <c r="M955" i="3"/>
  <c r="O954" i="3"/>
  <c r="P954" i="3" s="1"/>
  <c r="N954" i="3"/>
  <c r="M954" i="3"/>
  <c r="N953" i="3"/>
  <c r="M953" i="3"/>
  <c r="O953" i="3" s="1"/>
  <c r="P953" i="3" s="1"/>
  <c r="N952" i="3"/>
  <c r="M952" i="3"/>
  <c r="O952" i="3" s="1"/>
  <c r="P952" i="3" s="1"/>
  <c r="N951" i="3"/>
  <c r="M951" i="3"/>
  <c r="N950" i="3"/>
  <c r="M950" i="3"/>
  <c r="O950" i="3" s="1"/>
  <c r="P950" i="3" s="1"/>
  <c r="O949" i="3"/>
  <c r="P949" i="3" s="1"/>
  <c r="N949" i="3"/>
  <c r="M949" i="3"/>
  <c r="O948" i="3"/>
  <c r="P948" i="3" s="1"/>
  <c r="N948" i="3"/>
  <c r="M948" i="3"/>
  <c r="N947" i="3"/>
  <c r="O947" i="3" s="1"/>
  <c r="P947" i="3" s="1"/>
  <c r="M947" i="3"/>
  <c r="N946" i="3"/>
  <c r="M946" i="3"/>
  <c r="O946" i="3" s="1"/>
  <c r="P946" i="3" s="1"/>
  <c r="N945" i="3"/>
  <c r="O945" i="3" s="1"/>
  <c r="P945" i="3" s="1"/>
  <c r="M945" i="3"/>
  <c r="N944" i="3"/>
  <c r="M944" i="3"/>
  <c r="O944" i="3" s="1"/>
  <c r="P944" i="3" s="1"/>
  <c r="N943" i="3"/>
  <c r="M943" i="3"/>
  <c r="O943" i="3" s="1"/>
  <c r="P943" i="3" s="1"/>
  <c r="N942" i="3"/>
  <c r="M942" i="3"/>
  <c r="O941" i="3"/>
  <c r="P941" i="3" s="1"/>
  <c r="N941" i="3"/>
  <c r="M941" i="3"/>
  <c r="N940" i="3"/>
  <c r="M940" i="3"/>
  <c r="O940" i="3" s="1"/>
  <c r="P940" i="3" s="1"/>
  <c r="N939" i="3"/>
  <c r="M939" i="3"/>
  <c r="O939" i="3" s="1"/>
  <c r="P939" i="3" s="1"/>
  <c r="N938" i="3"/>
  <c r="M938" i="3"/>
  <c r="N937" i="3"/>
  <c r="O937" i="3" s="1"/>
  <c r="P937" i="3" s="1"/>
  <c r="M937" i="3"/>
  <c r="O936" i="3"/>
  <c r="P936" i="3" s="1"/>
  <c r="N936" i="3"/>
  <c r="M936" i="3"/>
  <c r="N935" i="3"/>
  <c r="M935" i="3"/>
  <c r="O935" i="3" s="1"/>
  <c r="P935" i="3" s="1"/>
  <c r="N934" i="3"/>
  <c r="M934" i="3"/>
  <c r="O934" i="3" s="1"/>
  <c r="P934" i="3" s="1"/>
  <c r="N933" i="3"/>
  <c r="M933" i="3"/>
  <c r="N932" i="3"/>
  <c r="O932" i="3" s="1"/>
  <c r="P932" i="3" s="1"/>
  <c r="M932" i="3"/>
  <c r="O931" i="3"/>
  <c r="P931" i="3" s="1"/>
  <c r="N931" i="3"/>
  <c r="M931" i="3"/>
  <c r="N930" i="3"/>
  <c r="M930" i="3"/>
  <c r="O930" i="3" s="1"/>
  <c r="P930" i="3" s="1"/>
  <c r="N929" i="3"/>
  <c r="M929" i="3"/>
  <c r="O929" i="3" s="1"/>
  <c r="P929" i="3" s="1"/>
  <c r="N928" i="3"/>
  <c r="M928" i="3"/>
  <c r="N927" i="3"/>
  <c r="M927" i="3"/>
  <c r="O927" i="3" s="1"/>
  <c r="P927" i="3" s="1"/>
  <c r="P926" i="3"/>
  <c r="N926" i="3"/>
  <c r="M926" i="3"/>
  <c r="O926" i="3" s="1"/>
  <c r="N925" i="3"/>
  <c r="M925" i="3"/>
  <c r="O925" i="3" s="1"/>
  <c r="P925" i="3" s="1"/>
  <c r="N924" i="3"/>
  <c r="O924" i="3" s="1"/>
  <c r="P924" i="3" s="1"/>
  <c r="M924" i="3"/>
  <c r="O923" i="3"/>
  <c r="P923" i="3" s="1"/>
  <c r="N923" i="3"/>
  <c r="M923" i="3"/>
  <c r="O922" i="3"/>
  <c r="P922" i="3" s="1"/>
  <c r="N922" i="3"/>
  <c r="M922" i="3"/>
  <c r="N921" i="3"/>
  <c r="M921" i="3"/>
  <c r="O921" i="3" s="1"/>
  <c r="P921" i="3" s="1"/>
  <c r="N920" i="3"/>
  <c r="M920" i="3"/>
  <c r="O920" i="3" s="1"/>
  <c r="P920" i="3" s="1"/>
  <c r="N919" i="3"/>
  <c r="M919" i="3"/>
  <c r="O919" i="3" s="1"/>
  <c r="P919" i="3" s="1"/>
  <c r="O918" i="3"/>
  <c r="P918" i="3" s="1"/>
  <c r="N918" i="3"/>
  <c r="M918" i="3"/>
  <c r="N917" i="3"/>
  <c r="M917" i="3"/>
  <c r="O917" i="3" s="1"/>
  <c r="P917" i="3" s="1"/>
  <c r="N916" i="3"/>
  <c r="M916" i="3"/>
  <c r="O916" i="3" s="1"/>
  <c r="P916" i="3" s="1"/>
  <c r="N915" i="3"/>
  <c r="M915" i="3"/>
  <c r="N914" i="3"/>
  <c r="M914" i="3"/>
  <c r="O914" i="3" s="1"/>
  <c r="P914" i="3" s="1"/>
  <c r="O913" i="3"/>
  <c r="P913" i="3" s="1"/>
  <c r="N913" i="3"/>
  <c r="M913" i="3"/>
  <c r="N912" i="3"/>
  <c r="M912" i="3"/>
  <c r="O912" i="3" s="1"/>
  <c r="P912" i="3" s="1"/>
  <c r="N911" i="3"/>
  <c r="O911" i="3" s="1"/>
  <c r="P911" i="3" s="1"/>
  <c r="M911" i="3"/>
  <c r="N910" i="3"/>
  <c r="M910" i="3"/>
  <c r="O910" i="3" s="1"/>
  <c r="P910" i="3" s="1"/>
  <c r="O909" i="3"/>
  <c r="P909" i="3" s="1"/>
  <c r="N909" i="3"/>
  <c r="M909" i="3"/>
  <c r="P908" i="3"/>
  <c r="N908" i="3"/>
  <c r="M908" i="3"/>
  <c r="O908" i="3" s="1"/>
  <c r="N907" i="3"/>
  <c r="M907" i="3"/>
  <c r="O907" i="3" s="1"/>
  <c r="P907" i="3" s="1"/>
  <c r="N906" i="3"/>
  <c r="M906" i="3"/>
  <c r="O906" i="3" s="1"/>
  <c r="P906" i="3" s="1"/>
  <c r="O905" i="3"/>
  <c r="P905" i="3" s="1"/>
  <c r="N905" i="3"/>
  <c r="M905" i="3"/>
  <c r="N904" i="3"/>
  <c r="M904" i="3"/>
  <c r="O904" i="3" s="1"/>
  <c r="P904" i="3" s="1"/>
  <c r="P903" i="3"/>
  <c r="N903" i="3"/>
  <c r="M903" i="3"/>
  <c r="O903" i="3" s="1"/>
  <c r="N902" i="3"/>
  <c r="M902" i="3"/>
  <c r="N901" i="3"/>
  <c r="O901" i="3" s="1"/>
  <c r="P901" i="3" s="1"/>
  <c r="M901" i="3"/>
  <c r="O900" i="3"/>
  <c r="P900" i="3" s="1"/>
  <c r="N900" i="3"/>
  <c r="M900" i="3"/>
  <c r="O899" i="3"/>
  <c r="P899" i="3" s="1"/>
  <c r="N899" i="3"/>
  <c r="M899" i="3"/>
  <c r="N898" i="3"/>
  <c r="M898" i="3"/>
  <c r="O898" i="3" s="1"/>
  <c r="P898" i="3" s="1"/>
  <c r="N897" i="3"/>
  <c r="M897" i="3"/>
  <c r="O897" i="3" s="1"/>
  <c r="P897" i="3" s="1"/>
  <c r="N896" i="3"/>
  <c r="O896" i="3" s="1"/>
  <c r="P896" i="3" s="1"/>
  <c r="M896" i="3"/>
  <c r="O895" i="3"/>
  <c r="P895" i="3" s="1"/>
  <c r="N895" i="3"/>
  <c r="M895" i="3"/>
  <c r="N894" i="3"/>
  <c r="M894" i="3"/>
  <c r="O894" i="3" s="1"/>
  <c r="P894" i="3" s="1"/>
  <c r="N893" i="3"/>
  <c r="M893" i="3"/>
  <c r="O893" i="3" s="1"/>
  <c r="P893" i="3" s="1"/>
  <c r="N892" i="3"/>
  <c r="M892" i="3"/>
  <c r="O892" i="3" s="1"/>
  <c r="P892" i="3" s="1"/>
  <c r="N891" i="3"/>
  <c r="M891" i="3"/>
  <c r="O891" i="3" s="1"/>
  <c r="P891" i="3" s="1"/>
  <c r="P890" i="3"/>
  <c r="N890" i="3"/>
  <c r="M890" i="3"/>
  <c r="O890" i="3" s="1"/>
  <c r="O889" i="3"/>
  <c r="P889" i="3" s="1"/>
  <c r="N889" i="3"/>
  <c r="M889" i="3"/>
  <c r="N888" i="3"/>
  <c r="O888" i="3" s="1"/>
  <c r="P888" i="3" s="1"/>
  <c r="M888" i="3"/>
  <c r="O887" i="3"/>
  <c r="P887" i="3" s="1"/>
  <c r="N887" i="3"/>
  <c r="M887" i="3"/>
  <c r="O886" i="3"/>
  <c r="P886" i="3" s="1"/>
  <c r="N886" i="3"/>
  <c r="M886" i="3"/>
  <c r="N885" i="3"/>
  <c r="M885" i="3"/>
  <c r="O885" i="3" s="1"/>
  <c r="P885" i="3" s="1"/>
  <c r="N884" i="3"/>
  <c r="M884" i="3"/>
  <c r="N883" i="3"/>
  <c r="M883" i="3"/>
  <c r="O882" i="3"/>
  <c r="P882" i="3" s="1"/>
  <c r="N882" i="3"/>
  <c r="M882" i="3"/>
  <c r="N881" i="3"/>
  <c r="M881" i="3"/>
  <c r="O881" i="3" s="1"/>
  <c r="P881" i="3" s="1"/>
  <c r="N880" i="3"/>
  <c r="M880" i="3"/>
  <c r="O880" i="3" s="1"/>
  <c r="P880" i="3" s="1"/>
  <c r="N879" i="3"/>
  <c r="M879" i="3"/>
  <c r="N878" i="3"/>
  <c r="M878" i="3"/>
  <c r="O878" i="3" s="1"/>
  <c r="P878" i="3" s="1"/>
  <c r="O877" i="3"/>
  <c r="P877" i="3" s="1"/>
  <c r="N877" i="3"/>
  <c r="M877" i="3"/>
  <c r="P876" i="3"/>
  <c r="O876" i="3"/>
  <c r="N876" i="3"/>
  <c r="M876" i="3"/>
  <c r="N875" i="3"/>
  <c r="O875" i="3" s="1"/>
  <c r="P875" i="3" s="1"/>
  <c r="M875" i="3"/>
  <c r="N874" i="3"/>
  <c r="M874" i="3"/>
  <c r="O874" i="3" s="1"/>
  <c r="P874" i="3" s="1"/>
  <c r="N873" i="3"/>
  <c r="O873" i="3" s="1"/>
  <c r="P873" i="3" s="1"/>
  <c r="M873" i="3"/>
  <c r="P872" i="3"/>
  <c r="N872" i="3"/>
  <c r="M872" i="3"/>
  <c r="O872" i="3" s="1"/>
  <c r="N871" i="3"/>
  <c r="M871" i="3"/>
  <c r="O871" i="3" s="1"/>
  <c r="P871" i="3" s="1"/>
  <c r="N870" i="3"/>
  <c r="M870" i="3"/>
  <c r="O870" i="3" s="1"/>
  <c r="P870" i="3" s="1"/>
  <c r="O869" i="3"/>
  <c r="P869" i="3" s="1"/>
  <c r="N869" i="3"/>
  <c r="M869" i="3"/>
  <c r="N868" i="3"/>
  <c r="M868" i="3"/>
  <c r="O868" i="3" s="1"/>
  <c r="P868" i="3" s="1"/>
  <c r="P867" i="3"/>
  <c r="N867" i="3"/>
  <c r="M867" i="3"/>
  <c r="O867" i="3" s="1"/>
  <c r="N866" i="3"/>
  <c r="M866" i="3"/>
  <c r="N865" i="3"/>
  <c r="O865" i="3" s="1"/>
  <c r="P865" i="3" s="1"/>
  <c r="M865" i="3"/>
  <c r="O864" i="3"/>
  <c r="P864" i="3" s="1"/>
  <c r="N864" i="3"/>
  <c r="M864" i="3"/>
  <c r="O863" i="3"/>
  <c r="P863" i="3" s="1"/>
  <c r="N863" i="3"/>
  <c r="M863" i="3"/>
  <c r="N862" i="3"/>
  <c r="M862" i="3"/>
  <c r="O862" i="3" s="1"/>
  <c r="P862" i="3" s="1"/>
  <c r="N861" i="3"/>
  <c r="M861" i="3"/>
  <c r="O861" i="3" s="1"/>
  <c r="P861" i="3" s="1"/>
  <c r="N860" i="3"/>
  <c r="O860" i="3" s="1"/>
  <c r="P860" i="3" s="1"/>
  <c r="M860" i="3"/>
  <c r="O859" i="3"/>
  <c r="P859" i="3" s="1"/>
  <c r="N859" i="3"/>
  <c r="M859" i="3"/>
  <c r="N858" i="3"/>
  <c r="M858" i="3"/>
  <c r="O858" i="3" s="1"/>
  <c r="P858" i="3" s="1"/>
  <c r="N857" i="3"/>
  <c r="M857" i="3"/>
  <c r="O857" i="3" s="1"/>
  <c r="P857" i="3" s="1"/>
  <c r="N856" i="3"/>
  <c r="M856" i="3"/>
  <c r="O856" i="3" s="1"/>
  <c r="P856" i="3" s="1"/>
  <c r="N855" i="3"/>
  <c r="M855" i="3"/>
  <c r="O855" i="3" s="1"/>
  <c r="P855" i="3" s="1"/>
  <c r="N854" i="3"/>
  <c r="M854" i="3"/>
  <c r="O854" i="3" s="1"/>
  <c r="P854" i="3" s="1"/>
  <c r="O853" i="3"/>
  <c r="P853" i="3" s="1"/>
  <c r="N853" i="3"/>
  <c r="M853" i="3"/>
  <c r="N852" i="3"/>
  <c r="O852" i="3" s="1"/>
  <c r="P852" i="3" s="1"/>
  <c r="M852" i="3"/>
  <c r="O851" i="3"/>
  <c r="P851" i="3" s="1"/>
  <c r="N851" i="3"/>
  <c r="M851" i="3"/>
  <c r="O850" i="3"/>
  <c r="P850" i="3" s="1"/>
  <c r="N850" i="3"/>
  <c r="M850" i="3"/>
  <c r="N849" i="3"/>
  <c r="M849" i="3"/>
  <c r="O849" i="3" s="1"/>
  <c r="P849" i="3" s="1"/>
  <c r="N848" i="3"/>
  <c r="M848" i="3"/>
  <c r="N847" i="3"/>
  <c r="M847" i="3"/>
  <c r="O846" i="3"/>
  <c r="P846" i="3" s="1"/>
  <c r="N846" i="3"/>
  <c r="M846" i="3"/>
  <c r="N845" i="3"/>
  <c r="M845" i="3"/>
  <c r="O845" i="3" s="1"/>
  <c r="P845" i="3" s="1"/>
  <c r="N844" i="3"/>
  <c r="M844" i="3"/>
  <c r="O844" i="3" s="1"/>
  <c r="P844" i="3" s="1"/>
  <c r="N843" i="3"/>
  <c r="M843" i="3"/>
  <c r="N842" i="3"/>
  <c r="M842" i="3"/>
  <c r="O842" i="3" s="1"/>
  <c r="P842" i="3" s="1"/>
  <c r="O841" i="3"/>
  <c r="P841" i="3" s="1"/>
  <c r="N841" i="3"/>
  <c r="M841" i="3"/>
  <c r="N840" i="3"/>
  <c r="M840" i="3"/>
  <c r="O840" i="3" s="1"/>
  <c r="P840" i="3" s="1"/>
  <c r="N839" i="3"/>
  <c r="O839" i="3" s="1"/>
  <c r="P839" i="3" s="1"/>
  <c r="M839" i="3"/>
  <c r="N838" i="3"/>
  <c r="M838" i="3"/>
  <c r="O838" i="3" s="1"/>
  <c r="P838" i="3" s="1"/>
  <c r="N837" i="3"/>
  <c r="O837" i="3" s="1"/>
  <c r="P837" i="3" s="1"/>
  <c r="M837" i="3"/>
  <c r="N836" i="3"/>
  <c r="M836" i="3"/>
  <c r="O836" i="3" s="1"/>
  <c r="P836" i="3" s="1"/>
  <c r="N835" i="3"/>
  <c r="M835" i="3"/>
  <c r="O835" i="3" s="1"/>
  <c r="P835" i="3" s="1"/>
  <c r="N834" i="3"/>
  <c r="M834" i="3"/>
  <c r="O833" i="3"/>
  <c r="P833" i="3" s="1"/>
  <c r="N833" i="3"/>
  <c r="M833" i="3"/>
  <c r="N832" i="3"/>
  <c r="M832" i="3"/>
  <c r="O832" i="3" s="1"/>
  <c r="P832" i="3" s="1"/>
  <c r="N831" i="3"/>
  <c r="M831" i="3"/>
  <c r="O831" i="3" s="1"/>
  <c r="P831" i="3" s="1"/>
  <c r="N830" i="3"/>
  <c r="M830" i="3"/>
  <c r="N829" i="3"/>
  <c r="O829" i="3" s="1"/>
  <c r="P829" i="3" s="1"/>
  <c r="M829" i="3"/>
  <c r="O828" i="3"/>
  <c r="P828" i="3" s="1"/>
  <c r="N828" i="3"/>
  <c r="M828" i="3"/>
  <c r="N827" i="3"/>
  <c r="M827" i="3"/>
  <c r="O827" i="3" s="1"/>
  <c r="P827" i="3" s="1"/>
  <c r="N826" i="3"/>
  <c r="M826" i="3"/>
  <c r="O826" i="3" s="1"/>
  <c r="P826" i="3" s="1"/>
  <c r="N825" i="3"/>
  <c r="M825" i="3"/>
  <c r="N824" i="3"/>
  <c r="O824" i="3" s="1"/>
  <c r="P824" i="3" s="1"/>
  <c r="M824" i="3"/>
  <c r="O823" i="3"/>
  <c r="P823" i="3" s="1"/>
  <c r="N823" i="3"/>
  <c r="M823" i="3"/>
  <c r="N822" i="3"/>
  <c r="M822" i="3"/>
  <c r="O822" i="3" s="1"/>
  <c r="P822" i="3" s="1"/>
  <c r="N821" i="3"/>
  <c r="M821" i="3"/>
  <c r="O821" i="3" s="1"/>
  <c r="P821" i="3" s="1"/>
  <c r="N820" i="3"/>
  <c r="M820" i="3"/>
  <c r="N819" i="3"/>
  <c r="M819" i="3"/>
  <c r="O819" i="3" s="1"/>
  <c r="P819" i="3" s="1"/>
  <c r="P818" i="3"/>
  <c r="N818" i="3"/>
  <c r="M818" i="3"/>
  <c r="O818" i="3" s="1"/>
  <c r="N817" i="3"/>
  <c r="M817" i="3"/>
  <c r="O817" i="3" s="1"/>
  <c r="P817" i="3" s="1"/>
  <c r="N816" i="3"/>
  <c r="O816" i="3" s="1"/>
  <c r="P816" i="3" s="1"/>
  <c r="M816" i="3"/>
  <c r="O815" i="3"/>
  <c r="P815" i="3" s="1"/>
  <c r="N815" i="3"/>
  <c r="M815" i="3"/>
  <c r="O814" i="3"/>
  <c r="P814" i="3" s="1"/>
  <c r="N814" i="3"/>
  <c r="M814" i="3"/>
  <c r="N813" i="3"/>
  <c r="M813" i="3"/>
  <c r="O813" i="3" s="1"/>
  <c r="P813" i="3" s="1"/>
  <c r="N812" i="3"/>
  <c r="M812" i="3"/>
  <c r="O812" i="3" s="1"/>
  <c r="P812" i="3" s="1"/>
  <c r="N811" i="3"/>
  <c r="O811" i="3" s="1"/>
  <c r="P811" i="3" s="1"/>
  <c r="M811" i="3"/>
  <c r="O810" i="3"/>
  <c r="P810" i="3" s="1"/>
  <c r="N810" i="3"/>
  <c r="M810" i="3"/>
  <c r="N809" i="3"/>
  <c r="M809" i="3"/>
  <c r="O809" i="3" s="1"/>
  <c r="P809" i="3" s="1"/>
  <c r="N808" i="3"/>
  <c r="M808" i="3"/>
  <c r="O808" i="3" s="1"/>
  <c r="P808" i="3" s="1"/>
  <c r="N807" i="3"/>
  <c r="M807" i="3"/>
  <c r="O807" i="3" s="1"/>
  <c r="P807" i="3" s="1"/>
  <c r="N806" i="3"/>
  <c r="M806" i="3"/>
  <c r="O806" i="3" s="1"/>
  <c r="P806" i="3" s="1"/>
  <c r="O805" i="3"/>
  <c r="P805" i="3" s="1"/>
  <c r="N805" i="3"/>
  <c r="M805" i="3"/>
  <c r="N804" i="3"/>
  <c r="M804" i="3"/>
  <c r="O804" i="3" s="1"/>
  <c r="P804" i="3" s="1"/>
  <c r="N803" i="3"/>
  <c r="O803" i="3" s="1"/>
  <c r="P803" i="3" s="1"/>
  <c r="M803" i="3"/>
  <c r="N802" i="3"/>
  <c r="M802" i="3"/>
  <c r="O801" i="3"/>
  <c r="P801" i="3" s="1"/>
  <c r="N801" i="3"/>
  <c r="M801" i="3"/>
  <c r="N800" i="3"/>
  <c r="M800" i="3"/>
  <c r="O800" i="3" s="1"/>
  <c r="P800" i="3" s="1"/>
  <c r="N799" i="3"/>
  <c r="M799" i="3"/>
  <c r="O799" i="3" s="1"/>
  <c r="P799" i="3" s="1"/>
  <c r="P798" i="3"/>
  <c r="O798" i="3"/>
  <c r="N798" i="3"/>
  <c r="M798" i="3"/>
  <c r="O797" i="3"/>
  <c r="P797" i="3" s="1"/>
  <c r="N797" i="3"/>
  <c r="M797" i="3"/>
  <c r="N796" i="3"/>
  <c r="M796" i="3"/>
  <c r="O796" i="3" s="1"/>
  <c r="P796" i="3" s="1"/>
  <c r="N795" i="3"/>
  <c r="O795" i="3" s="1"/>
  <c r="P795" i="3" s="1"/>
  <c r="M795" i="3"/>
  <c r="N794" i="3"/>
  <c r="M794" i="3"/>
  <c r="N793" i="3"/>
  <c r="O793" i="3" s="1"/>
  <c r="P793" i="3" s="1"/>
  <c r="M793" i="3"/>
  <c r="O792" i="3"/>
  <c r="P792" i="3" s="1"/>
  <c r="N792" i="3"/>
  <c r="M792" i="3"/>
  <c r="O791" i="3"/>
  <c r="P791" i="3" s="1"/>
  <c r="N791" i="3"/>
  <c r="M791" i="3"/>
  <c r="N790" i="3"/>
  <c r="M790" i="3"/>
  <c r="O790" i="3" s="1"/>
  <c r="P790" i="3" s="1"/>
  <c r="N789" i="3"/>
  <c r="M789" i="3"/>
  <c r="O789" i="3" s="1"/>
  <c r="P789" i="3" s="1"/>
  <c r="O788" i="3"/>
  <c r="P788" i="3" s="1"/>
  <c r="N788" i="3"/>
  <c r="M788" i="3"/>
  <c r="O787" i="3"/>
  <c r="P787" i="3" s="1"/>
  <c r="N787" i="3"/>
  <c r="M787" i="3"/>
  <c r="N786" i="3"/>
  <c r="M786" i="3"/>
  <c r="O786" i="3" s="1"/>
  <c r="P786" i="3" s="1"/>
  <c r="N785" i="3"/>
  <c r="M785" i="3"/>
  <c r="O785" i="3" s="1"/>
  <c r="P785" i="3" s="1"/>
  <c r="N784" i="3"/>
  <c r="M784" i="3"/>
  <c r="N783" i="3"/>
  <c r="M783" i="3"/>
  <c r="O783" i="3" s="1"/>
  <c r="P783" i="3" s="1"/>
  <c r="O782" i="3"/>
  <c r="P782" i="3" s="1"/>
  <c r="N782" i="3"/>
  <c r="M782" i="3"/>
  <c r="O781" i="3"/>
  <c r="P781" i="3" s="1"/>
  <c r="N781" i="3"/>
  <c r="M781" i="3"/>
  <c r="N780" i="3"/>
  <c r="O780" i="3" s="1"/>
  <c r="P780" i="3" s="1"/>
  <c r="M780" i="3"/>
  <c r="N779" i="3"/>
  <c r="M779" i="3"/>
  <c r="O779" i="3" s="1"/>
  <c r="P779" i="3" s="1"/>
  <c r="N778" i="3"/>
  <c r="O778" i="3" s="1"/>
  <c r="P778" i="3" s="1"/>
  <c r="M778" i="3"/>
  <c r="P777" i="3"/>
  <c r="N777" i="3"/>
  <c r="M777" i="3"/>
  <c r="O777" i="3" s="1"/>
  <c r="N776" i="3"/>
  <c r="M776" i="3"/>
  <c r="N775" i="3"/>
  <c r="M775" i="3"/>
  <c r="O775" i="3" s="1"/>
  <c r="P775" i="3" s="1"/>
  <c r="O774" i="3"/>
  <c r="P774" i="3" s="1"/>
  <c r="N774" i="3"/>
  <c r="M774" i="3"/>
  <c r="N773" i="3"/>
  <c r="M773" i="3"/>
  <c r="O773" i="3" s="1"/>
  <c r="P773" i="3" s="1"/>
  <c r="O772" i="3"/>
  <c r="P772" i="3" s="1"/>
  <c r="N772" i="3"/>
  <c r="M772" i="3"/>
  <c r="N771" i="3"/>
  <c r="M771" i="3"/>
  <c r="N770" i="3"/>
  <c r="M770" i="3"/>
  <c r="O770" i="3" s="1"/>
  <c r="P770" i="3" s="1"/>
  <c r="N769" i="3"/>
  <c r="M769" i="3"/>
  <c r="O769" i="3" s="1"/>
  <c r="P769" i="3" s="1"/>
  <c r="P768" i="3"/>
  <c r="O768" i="3"/>
  <c r="N768" i="3"/>
  <c r="M768" i="3"/>
  <c r="N767" i="3"/>
  <c r="O767" i="3" s="1"/>
  <c r="P767" i="3" s="1"/>
  <c r="M767" i="3"/>
  <c r="N766" i="3"/>
  <c r="M766" i="3"/>
  <c r="O766" i="3" s="1"/>
  <c r="P766" i="3" s="1"/>
  <c r="N765" i="3"/>
  <c r="O765" i="3" s="1"/>
  <c r="P765" i="3" s="1"/>
  <c r="M765" i="3"/>
  <c r="P764" i="3"/>
  <c r="N764" i="3"/>
  <c r="M764" i="3"/>
  <c r="O764" i="3" s="1"/>
  <c r="N763" i="3"/>
  <c r="M763" i="3"/>
  <c r="O763" i="3" s="1"/>
  <c r="P763" i="3" s="1"/>
  <c r="N762" i="3"/>
  <c r="M762" i="3"/>
  <c r="O762" i="3" s="1"/>
  <c r="P762" i="3" s="1"/>
  <c r="O761" i="3"/>
  <c r="P761" i="3" s="1"/>
  <c r="N761" i="3"/>
  <c r="M761" i="3"/>
  <c r="N760" i="3"/>
  <c r="M760" i="3"/>
  <c r="O760" i="3" s="1"/>
  <c r="P760" i="3" s="1"/>
  <c r="O759" i="3"/>
  <c r="P759" i="3" s="1"/>
  <c r="N759" i="3"/>
  <c r="M759" i="3"/>
  <c r="N758" i="3"/>
  <c r="M758" i="3"/>
  <c r="N757" i="3"/>
  <c r="O757" i="3" s="1"/>
  <c r="P757" i="3" s="1"/>
  <c r="M757" i="3"/>
  <c r="N756" i="3"/>
  <c r="O756" i="3" s="1"/>
  <c r="P756" i="3" s="1"/>
  <c r="M756" i="3"/>
  <c r="O755" i="3"/>
  <c r="P755" i="3" s="1"/>
  <c r="N755" i="3"/>
  <c r="M755" i="3"/>
  <c r="N754" i="3"/>
  <c r="M754" i="3"/>
  <c r="O754" i="3" s="1"/>
  <c r="P754" i="3" s="1"/>
  <c r="N753" i="3"/>
  <c r="M753" i="3"/>
  <c r="O753" i="3" s="1"/>
  <c r="P753" i="3" s="1"/>
  <c r="O752" i="3"/>
  <c r="P752" i="3" s="1"/>
  <c r="N752" i="3"/>
  <c r="M752" i="3"/>
  <c r="N751" i="3"/>
  <c r="M751" i="3"/>
  <c r="O751" i="3" s="1"/>
  <c r="P751" i="3" s="1"/>
  <c r="N750" i="3"/>
  <c r="M750" i="3"/>
  <c r="N749" i="3"/>
  <c r="O749" i="3" s="1"/>
  <c r="P749" i="3" s="1"/>
  <c r="M749" i="3"/>
  <c r="P748" i="3"/>
  <c r="N748" i="3"/>
  <c r="M748" i="3"/>
  <c r="O748" i="3" s="1"/>
  <c r="N747" i="3"/>
  <c r="M747" i="3"/>
  <c r="O747" i="3" s="1"/>
  <c r="P747" i="3" s="1"/>
  <c r="O746" i="3"/>
  <c r="P746" i="3" s="1"/>
  <c r="N746" i="3"/>
  <c r="M746" i="3"/>
  <c r="N745" i="3"/>
  <c r="M745" i="3"/>
  <c r="O745" i="3" s="1"/>
  <c r="P745" i="3" s="1"/>
  <c r="N744" i="3"/>
  <c r="M744" i="3"/>
  <c r="O744" i="3" s="1"/>
  <c r="P744" i="3" s="1"/>
  <c r="N743" i="3"/>
  <c r="O743" i="3" s="1"/>
  <c r="P743" i="3" s="1"/>
  <c r="M743" i="3"/>
  <c r="N742" i="3"/>
  <c r="M742" i="3"/>
  <c r="O742" i="3" s="1"/>
  <c r="P742" i="3" s="1"/>
  <c r="N741" i="3"/>
  <c r="M741" i="3"/>
  <c r="O741" i="3" s="1"/>
  <c r="P741" i="3" s="1"/>
  <c r="N740" i="3"/>
  <c r="O740" i="3" s="1"/>
  <c r="P740" i="3" s="1"/>
  <c r="M740" i="3"/>
  <c r="N739" i="3"/>
  <c r="M739" i="3"/>
  <c r="N738" i="3"/>
  <c r="M738" i="3"/>
  <c r="N737" i="3"/>
  <c r="O737" i="3" s="1"/>
  <c r="P737" i="3" s="1"/>
  <c r="M737" i="3"/>
  <c r="N736" i="3"/>
  <c r="M736" i="3"/>
  <c r="N735" i="3"/>
  <c r="M735" i="3"/>
  <c r="O735" i="3" s="1"/>
  <c r="P735" i="3" s="1"/>
  <c r="O734" i="3"/>
  <c r="P734" i="3" s="1"/>
  <c r="N734" i="3"/>
  <c r="M734" i="3"/>
  <c r="N733" i="3"/>
  <c r="M733" i="3"/>
  <c r="O733" i="3" s="1"/>
  <c r="P733" i="3" s="1"/>
  <c r="N732" i="3"/>
  <c r="M732" i="3"/>
  <c r="O732" i="3" s="1"/>
  <c r="P732" i="3" s="1"/>
  <c r="N731" i="3"/>
  <c r="M731" i="3"/>
  <c r="O731" i="3" s="1"/>
  <c r="P731" i="3" s="1"/>
  <c r="N730" i="3"/>
  <c r="M730" i="3"/>
  <c r="O730" i="3" s="1"/>
  <c r="P730" i="3" s="1"/>
  <c r="N729" i="3"/>
  <c r="M729" i="3"/>
  <c r="O729" i="3" s="1"/>
  <c r="P729" i="3" s="1"/>
  <c r="N728" i="3"/>
  <c r="O728" i="3" s="1"/>
  <c r="P728" i="3" s="1"/>
  <c r="M728" i="3"/>
  <c r="N727" i="3"/>
  <c r="M727" i="3"/>
  <c r="N726" i="3"/>
  <c r="M726" i="3"/>
  <c r="N725" i="3"/>
  <c r="M725" i="3"/>
  <c r="O725" i="3" s="1"/>
  <c r="P725" i="3" s="1"/>
  <c r="N724" i="3"/>
  <c r="M724" i="3"/>
  <c r="N723" i="3"/>
  <c r="M723" i="3"/>
  <c r="O723" i="3" s="1"/>
  <c r="P723" i="3" s="1"/>
  <c r="N722" i="3"/>
  <c r="M722" i="3"/>
  <c r="O722" i="3" s="1"/>
  <c r="P722" i="3" s="1"/>
  <c r="N721" i="3"/>
  <c r="M721" i="3"/>
  <c r="N720" i="3"/>
  <c r="M720" i="3"/>
  <c r="N719" i="3"/>
  <c r="M719" i="3"/>
  <c r="O719" i="3" s="1"/>
  <c r="P719" i="3" s="1"/>
  <c r="N718" i="3"/>
  <c r="M718" i="3"/>
  <c r="O718" i="3" s="1"/>
  <c r="P718" i="3" s="1"/>
  <c r="N717" i="3"/>
  <c r="M717" i="3"/>
  <c r="O717" i="3" s="1"/>
  <c r="P717" i="3" s="1"/>
  <c r="N716" i="3"/>
  <c r="O716" i="3" s="1"/>
  <c r="P716" i="3" s="1"/>
  <c r="M716" i="3"/>
  <c r="N715" i="3"/>
  <c r="M715" i="3"/>
  <c r="N714" i="3"/>
  <c r="M714" i="3"/>
  <c r="N713" i="3"/>
  <c r="M713" i="3"/>
  <c r="O713" i="3" s="1"/>
  <c r="P713" i="3" s="1"/>
  <c r="N712" i="3"/>
  <c r="M712" i="3"/>
  <c r="N711" i="3"/>
  <c r="M711" i="3"/>
  <c r="O711" i="3" s="1"/>
  <c r="P711" i="3" s="1"/>
  <c r="N710" i="3"/>
  <c r="M710" i="3"/>
  <c r="O710" i="3" s="1"/>
  <c r="P710" i="3" s="1"/>
  <c r="N709" i="3"/>
  <c r="M709" i="3"/>
  <c r="O709" i="3" s="1"/>
  <c r="P709" i="3" s="1"/>
  <c r="N708" i="3"/>
  <c r="M708" i="3"/>
  <c r="O708" i="3" s="1"/>
  <c r="P708" i="3" s="1"/>
  <c r="N707" i="3"/>
  <c r="M707" i="3"/>
  <c r="O707" i="3" s="1"/>
  <c r="P707" i="3" s="1"/>
  <c r="N706" i="3"/>
  <c r="M706" i="3"/>
  <c r="O706" i="3" s="1"/>
  <c r="P706" i="3" s="1"/>
  <c r="N705" i="3"/>
  <c r="M705" i="3"/>
  <c r="O705" i="3" s="1"/>
  <c r="P705" i="3" s="1"/>
  <c r="O704" i="3"/>
  <c r="P704" i="3" s="1"/>
  <c r="N704" i="3"/>
  <c r="M704" i="3"/>
  <c r="N703" i="3"/>
  <c r="M703" i="3"/>
  <c r="N702" i="3"/>
  <c r="M702" i="3"/>
  <c r="N701" i="3"/>
  <c r="M701" i="3"/>
  <c r="O701" i="3" s="1"/>
  <c r="P701" i="3" s="1"/>
  <c r="N700" i="3"/>
  <c r="M700" i="3"/>
  <c r="N699" i="3"/>
  <c r="M699" i="3"/>
  <c r="O699" i="3" s="1"/>
  <c r="P699" i="3" s="1"/>
  <c r="N698" i="3"/>
  <c r="M698" i="3"/>
  <c r="O698" i="3" s="1"/>
  <c r="P698" i="3" s="1"/>
  <c r="N697" i="3"/>
  <c r="M697" i="3"/>
  <c r="O697" i="3" s="1"/>
  <c r="P697" i="3" s="1"/>
  <c r="N696" i="3"/>
  <c r="M696" i="3"/>
  <c r="N695" i="3"/>
  <c r="M695" i="3"/>
  <c r="O695" i="3" s="1"/>
  <c r="P695" i="3" s="1"/>
  <c r="N694" i="3"/>
  <c r="M694" i="3"/>
  <c r="O694" i="3" s="1"/>
  <c r="P694" i="3" s="1"/>
  <c r="N693" i="3"/>
  <c r="M693" i="3"/>
  <c r="O693" i="3" s="1"/>
  <c r="P693" i="3" s="1"/>
  <c r="N692" i="3"/>
  <c r="O692" i="3" s="1"/>
  <c r="P692" i="3" s="1"/>
  <c r="M692" i="3"/>
  <c r="N691" i="3"/>
  <c r="M691" i="3"/>
  <c r="N690" i="3"/>
  <c r="M690" i="3"/>
  <c r="O690" i="3" s="1"/>
  <c r="P690" i="3" s="1"/>
  <c r="N689" i="3"/>
  <c r="M689" i="3"/>
  <c r="N688" i="3"/>
  <c r="M688" i="3"/>
  <c r="N687" i="3"/>
  <c r="M687" i="3"/>
  <c r="O687" i="3" s="1"/>
  <c r="P687" i="3" s="1"/>
  <c r="N686" i="3"/>
  <c r="M686" i="3"/>
  <c r="O686" i="3" s="1"/>
  <c r="P686" i="3" s="1"/>
  <c r="N685" i="3"/>
  <c r="M685" i="3"/>
  <c r="N684" i="3"/>
  <c r="M684" i="3"/>
  <c r="O684" i="3" s="1"/>
  <c r="P684" i="3" s="1"/>
  <c r="N683" i="3"/>
  <c r="M683" i="3"/>
  <c r="O683" i="3" s="1"/>
  <c r="P683" i="3" s="1"/>
  <c r="N682" i="3"/>
  <c r="M682" i="3"/>
  <c r="O682" i="3" s="1"/>
  <c r="P682" i="3" s="1"/>
  <c r="N681" i="3"/>
  <c r="M681" i="3"/>
  <c r="O681" i="3" s="1"/>
  <c r="P681" i="3" s="1"/>
  <c r="N680" i="3"/>
  <c r="O680" i="3" s="1"/>
  <c r="P680" i="3" s="1"/>
  <c r="M680" i="3"/>
  <c r="N679" i="3"/>
  <c r="M679" i="3"/>
  <c r="N678" i="3"/>
  <c r="M678" i="3"/>
  <c r="O678" i="3" s="1"/>
  <c r="P678" i="3" s="1"/>
  <c r="N677" i="3"/>
  <c r="M677" i="3"/>
  <c r="N676" i="3"/>
  <c r="M676" i="3"/>
  <c r="N675" i="3"/>
  <c r="M675" i="3"/>
  <c r="O675" i="3" s="1"/>
  <c r="P675" i="3" s="1"/>
  <c r="N674" i="3"/>
  <c r="M674" i="3"/>
  <c r="O674" i="3" s="1"/>
  <c r="P674" i="3" s="1"/>
  <c r="N673" i="3"/>
  <c r="M673" i="3"/>
  <c r="N672" i="3"/>
  <c r="O672" i="3" s="1"/>
  <c r="P672" i="3" s="1"/>
  <c r="M672" i="3"/>
  <c r="O671" i="3"/>
  <c r="P671" i="3" s="1"/>
  <c r="N671" i="3"/>
  <c r="M671" i="3"/>
  <c r="N670" i="3"/>
  <c r="M670" i="3"/>
  <c r="O669" i="3"/>
  <c r="P669" i="3" s="1"/>
  <c r="N669" i="3"/>
  <c r="M669" i="3"/>
  <c r="N668" i="3"/>
  <c r="M668" i="3"/>
  <c r="O668" i="3" s="1"/>
  <c r="P668" i="3" s="1"/>
  <c r="N667" i="3"/>
  <c r="M667" i="3"/>
  <c r="O667" i="3" s="1"/>
  <c r="P667" i="3" s="1"/>
  <c r="N666" i="3"/>
  <c r="M666" i="3"/>
  <c r="O666" i="3" s="1"/>
  <c r="P666" i="3" s="1"/>
  <c r="N665" i="3"/>
  <c r="O665" i="3" s="1"/>
  <c r="P665" i="3" s="1"/>
  <c r="M665" i="3"/>
  <c r="N664" i="3"/>
  <c r="M664" i="3"/>
  <c r="N663" i="3"/>
  <c r="M663" i="3"/>
  <c r="O663" i="3" s="1"/>
  <c r="P663" i="3" s="1"/>
  <c r="N662" i="3"/>
  <c r="M662" i="3"/>
  <c r="O662" i="3" s="1"/>
  <c r="P662" i="3" s="1"/>
  <c r="N661" i="3"/>
  <c r="M661" i="3"/>
  <c r="O660" i="3"/>
  <c r="P660" i="3" s="1"/>
  <c r="N660" i="3"/>
  <c r="M660" i="3"/>
  <c r="N659" i="3"/>
  <c r="M659" i="3"/>
  <c r="O659" i="3" s="1"/>
  <c r="P659" i="3" s="1"/>
  <c r="N658" i="3"/>
  <c r="M658" i="3"/>
  <c r="O658" i="3" s="1"/>
  <c r="P658" i="3" s="1"/>
  <c r="N657" i="3"/>
  <c r="M657" i="3"/>
  <c r="O657" i="3" s="1"/>
  <c r="P657" i="3" s="1"/>
  <c r="N656" i="3"/>
  <c r="M656" i="3"/>
  <c r="O656" i="3" s="1"/>
  <c r="P656" i="3" s="1"/>
  <c r="N655" i="3"/>
  <c r="M655" i="3"/>
  <c r="O654" i="3"/>
  <c r="P654" i="3" s="1"/>
  <c r="N654" i="3"/>
  <c r="M654" i="3"/>
  <c r="O653" i="3"/>
  <c r="P653" i="3" s="1"/>
  <c r="N653" i="3"/>
  <c r="M653" i="3"/>
  <c r="N652" i="3"/>
  <c r="M652" i="3"/>
  <c r="N651" i="3"/>
  <c r="M651" i="3"/>
  <c r="O651" i="3" s="1"/>
  <c r="P651" i="3" s="1"/>
  <c r="P650" i="3"/>
  <c r="N650" i="3"/>
  <c r="M650" i="3"/>
  <c r="O650" i="3" s="1"/>
  <c r="N649" i="3"/>
  <c r="M649" i="3"/>
  <c r="O649" i="3" s="1"/>
  <c r="P649" i="3" s="1"/>
  <c r="N648" i="3"/>
  <c r="M648" i="3"/>
  <c r="O648" i="3" s="1"/>
  <c r="P648" i="3" s="1"/>
  <c r="N647" i="3"/>
  <c r="O647" i="3" s="1"/>
  <c r="P647" i="3" s="1"/>
  <c r="M647" i="3"/>
  <c r="N646" i="3"/>
  <c r="M646" i="3"/>
  <c r="N645" i="3"/>
  <c r="M645" i="3"/>
  <c r="O645" i="3" s="1"/>
  <c r="P645" i="3" s="1"/>
  <c r="N644" i="3"/>
  <c r="M644" i="3"/>
  <c r="O644" i="3" s="1"/>
  <c r="P644" i="3" s="1"/>
  <c r="N643" i="3"/>
  <c r="M643" i="3"/>
  <c r="O642" i="3"/>
  <c r="P642" i="3" s="1"/>
  <c r="N642" i="3"/>
  <c r="M642" i="3"/>
  <c r="N641" i="3"/>
  <c r="M641" i="3"/>
  <c r="O641" i="3" s="1"/>
  <c r="P641" i="3" s="1"/>
  <c r="N640" i="3"/>
  <c r="M640" i="3"/>
  <c r="O640" i="3" s="1"/>
  <c r="P640" i="3" s="1"/>
  <c r="N639" i="3"/>
  <c r="M639" i="3"/>
  <c r="O639" i="3" s="1"/>
  <c r="P639" i="3" s="1"/>
  <c r="N638" i="3"/>
  <c r="M638" i="3"/>
  <c r="O638" i="3" s="1"/>
  <c r="P638" i="3" s="1"/>
  <c r="N637" i="3"/>
  <c r="M637" i="3"/>
  <c r="O636" i="3"/>
  <c r="P636" i="3" s="1"/>
  <c r="N636" i="3"/>
  <c r="M636" i="3"/>
  <c r="O635" i="3"/>
  <c r="P635" i="3" s="1"/>
  <c r="N635" i="3"/>
  <c r="M635" i="3"/>
  <c r="N634" i="3"/>
  <c r="M634" i="3"/>
  <c r="N633" i="3"/>
  <c r="M633" i="3"/>
  <c r="P632" i="3"/>
  <c r="N632" i="3"/>
  <c r="M632" i="3"/>
  <c r="O632" i="3" s="1"/>
  <c r="N631" i="3"/>
  <c r="M631" i="3"/>
  <c r="O631" i="3" s="1"/>
  <c r="P631" i="3" s="1"/>
  <c r="N630" i="3"/>
  <c r="M630" i="3"/>
  <c r="O630" i="3" s="1"/>
  <c r="P630" i="3" s="1"/>
  <c r="N629" i="3"/>
  <c r="O629" i="3" s="1"/>
  <c r="P629" i="3" s="1"/>
  <c r="M629" i="3"/>
  <c r="N628" i="3"/>
  <c r="M628" i="3"/>
  <c r="N627" i="3"/>
  <c r="M627" i="3"/>
  <c r="O627" i="3" s="1"/>
  <c r="P627" i="3" s="1"/>
  <c r="O626" i="3"/>
  <c r="P626" i="3" s="1"/>
  <c r="N626" i="3"/>
  <c r="M626" i="3"/>
  <c r="N625" i="3"/>
  <c r="M625" i="3"/>
  <c r="O624" i="3"/>
  <c r="P624" i="3" s="1"/>
  <c r="N624" i="3"/>
  <c r="M624" i="3"/>
  <c r="N623" i="3"/>
  <c r="M623" i="3"/>
  <c r="O623" i="3" s="1"/>
  <c r="P623" i="3" s="1"/>
  <c r="N622" i="3"/>
  <c r="M622" i="3"/>
  <c r="N621" i="3"/>
  <c r="M621" i="3"/>
  <c r="O621" i="3" s="1"/>
  <c r="P621" i="3" s="1"/>
  <c r="N620" i="3"/>
  <c r="M620" i="3"/>
  <c r="O620" i="3" s="1"/>
  <c r="P620" i="3" s="1"/>
  <c r="N619" i="3"/>
  <c r="M619" i="3"/>
  <c r="O619" i="3" s="1"/>
  <c r="P619" i="3" s="1"/>
  <c r="N618" i="3"/>
  <c r="O618" i="3" s="1"/>
  <c r="P618" i="3" s="1"/>
  <c r="M618" i="3"/>
  <c r="O617" i="3"/>
  <c r="P617" i="3" s="1"/>
  <c r="N617" i="3"/>
  <c r="M617" i="3"/>
  <c r="N616" i="3"/>
  <c r="M616" i="3"/>
  <c r="N615" i="3"/>
  <c r="M615" i="3"/>
  <c r="O615" i="3" s="1"/>
  <c r="P615" i="3" s="1"/>
  <c r="N614" i="3"/>
  <c r="M614" i="3"/>
  <c r="O614" i="3" s="1"/>
  <c r="P614" i="3" s="1"/>
  <c r="N613" i="3"/>
  <c r="M613" i="3"/>
  <c r="O613" i="3" s="1"/>
  <c r="P613" i="3" s="1"/>
  <c r="N612" i="3"/>
  <c r="M612" i="3"/>
  <c r="O612" i="3" s="1"/>
  <c r="P612" i="3" s="1"/>
  <c r="O611" i="3"/>
  <c r="P611" i="3" s="1"/>
  <c r="N611" i="3"/>
  <c r="M611" i="3"/>
  <c r="N610" i="3"/>
  <c r="M610" i="3"/>
  <c r="N609" i="3"/>
  <c r="M609" i="3"/>
  <c r="O609" i="3" s="1"/>
  <c r="P609" i="3" s="1"/>
  <c r="O608" i="3"/>
  <c r="P608" i="3" s="1"/>
  <c r="N608" i="3"/>
  <c r="M608" i="3"/>
  <c r="N607" i="3"/>
  <c r="M607" i="3"/>
  <c r="O606" i="3"/>
  <c r="P606" i="3" s="1"/>
  <c r="N606" i="3"/>
  <c r="M606" i="3"/>
  <c r="N605" i="3"/>
  <c r="M605" i="3"/>
  <c r="O605" i="3" s="1"/>
  <c r="P605" i="3" s="1"/>
  <c r="N604" i="3"/>
  <c r="M604" i="3"/>
  <c r="N603" i="3"/>
  <c r="M603" i="3"/>
  <c r="O603" i="3" s="1"/>
  <c r="P603" i="3" s="1"/>
  <c r="N602" i="3"/>
  <c r="M602" i="3"/>
  <c r="O602" i="3" s="1"/>
  <c r="P602" i="3" s="1"/>
  <c r="N601" i="3"/>
  <c r="M601" i="3"/>
  <c r="O601" i="3" s="1"/>
  <c r="P601" i="3" s="1"/>
  <c r="N600" i="3"/>
  <c r="O600" i="3" s="1"/>
  <c r="P600" i="3" s="1"/>
  <c r="M600" i="3"/>
  <c r="O599" i="3"/>
  <c r="P599" i="3" s="1"/>
  <c r="N599" i="3"/>
  <c r="M599" i="3"/>
  <c r="N598" i="3"/>
  <c r="M598" i="3"/>
  <c r="N597" i="3"/>
  <c r="M597" i="3"/>
  <c r="O597" i="3" s="1"/>
  <c r="P597" i="3" s="1"/>
  <c r="N596" i="3"/>
  <c r="M596" i="3"/>
  <c r="O596" i="3" s="1"/>
  <c r="P596" i="3" s="1"/>
  <c r="N595" i="3"/>
  <c r="M595" i="3"/>
  <c r="O595" i="3" s="1"/>
  <c r="P595" i="3" s="1"/>
  <c r="N594" i="3"/>
  <c r="M594" i="3"/>
  <c r="O594" i="3" s="1"/>
  <c r="P594" i="3" s="1"/>
  <c r="N593" i="3"/>
  <c r="O593" i="3" s="1"/>
  <c r="P593" i="3" s="1"/>
  <c r="M593" i="3"/>
  <c r="N592" i="3"/>
  <c r="M592" i="3"/>
  <c r="N591" i="3"/>
  <c r="M591" i="3"/>
  <c r="O591" i="3" s="1"/>
  <c r="P591" i="3" s="1"/>
  <c r="O590" i="3"/>
  <c r="P590" i="3" s="1"/>
  <c r="N590" i="3"/>
  <c r="M590" i="3"/>
  <c r="N589" i="3"/>
  <c r="M589" i="3"/>
  <c r="O588" i="3"/>
  <c r="P588" i="3" s="1"/>
  <c r="N588" i="3"/>
  <c r="M588" i="3"/>
  <c r="N587" i="3"/>
  <c r="M587" i="3"/>
  <c r="O587" i="3" s="1"/>
  <c r="P587" i="3" s="1"/>
  <c r="N586" i="3"/>
  <c r="M586" i="3"/>
  <c r="N585" i="3"/>
  <c r="M585" i="3"/>
  <c r="O585" i="3" s="1"/>
  <c r="P585" i="3" s="1"/>
  <c r="N584" i="3"/>
  <c r="M584" i="3"/>
  <c r="O584" i="3" s="1"/>
  <c r="P584" i="3" s="1"/>
  <c r="N583" i="3"/>
  <c r="M583" i="3"/>
  <c r="O583" i="3" s="1"/>
  <c r="P583" i="3" s="1"/>
  <c r="N582" i="3"/>
  <c r="O582" i="3" s="1"/>
  <c r="P582" i="3" s="1"/>
  <c r="M582" i="3"/>
  <c r="O581" i="3"/>
  <c r="P581" i="3" s="1"/>
  <c r="N581" i="3"/>
  <c r="M581" i="3"/>
  <c r="N580" i="3"/>
  <c r="M580" i="3"/>
  <c r="O579" i="3"/>
  <c r="P579" i="3" s="1"/>
  <c r="N579" i="3"/>
  <c r="M579" i="3"/>
  <c r="N578" i="3"/>
  <c r="M578" i="3"/>
  <c r="O578" i="3" s="1"/>
  <c r="P578" i="3" s="1"/>
  <c r="N577" i="3"/>
  <c r="M577" i="3"/>
  <c r="O577" i="3" s="1"/>
  <c r="P577" i="3" s="1"/>
  <c r="N576" i="3"/>
  <c r="M576" i="3"/>
  <c r="O576" i="3" s="1"/>
  <c r="P576" i="3" s="1"/>
  <c r="P575" i="3"/>
  <c r="N575" i="3"/>
  <c r="O575" i="3" s="1"/>
  <c r="M575" i="3"/>
  <c r="N574" i="3"/>
  <c r="M574" i="3"/>
  <c r="N573" i="3"/>
  <c r="M573" i="3"/>
  <c r="O573" i="3" s="1"/>
  <c r="P573" i="3" s="1"/>
  <c r="N572" i="3"/>
  <c r="M572" i="3"/>
  <c r="O572" i="3" s="1"/>
  <c r="P572" i="3" s="1"/>
  <c r="N571" i="3"/>
  <c r="M571" i="3"/>
  <c r="O570" i="3"/>
  <c r="P570" i="3" s="1"/>
  <c r="N570" i="3"/>
  <c r="M570" i="3"/>
  <c r="N569" i="3"/>
  <c r="M569" i="3"/>
  <c r="O569" i="3" s="1"/>
  <c r="P569" i="3" s="1"/>
  <c r="N568" i="3"/>
  <c r="M568" i="3"/>
  <c r="O568" i="3" s="1"/>
  <c r="P568" i="3" s="1"/>
  <c r="N567" i="3"/>
  <c r="M567" i="3"/>
  <c r="O567" i="3" s="1"/>
  <c r="P567" i="3" s="1"/>
  <c r="N566" i="3"/>
  <c r="M566" i="3"/>
  <c r="O566" i="3" s="1"/>
  <c r="P566" i="3" s="1"/>
  <c r="N565" i="3"/>
  <c r="M565" i="3"/>
  <c r="N564" i="3"/>
  <c r="O564" i="3" s="1"/>
  <c r="P564" i="3" s="1"/>
  <c r="M564" i="3"/>
  <c r="O563" i="3"/>
  <c r="P563" i="3" s="1"/>
  <c r="N563" i="3"/>
  <c r="M563" i="3"/>
  <c r="N562" i="3"/>
  <c r="M562" i="3"/>
  <c r="O561" i="3"/>
  <c r="P561" i="3" s="1"/>
  <c r="N561" i="3"/>
  <c r="M561" i="3"/>
  <c r="N560" i="3"/>
  <c r="M560" i="3"/>
  <c r="O560" i="3" s="1"/>
  <c r="P560" i="3" s="1"/>
  <c r="N559" i="3"/>
  <c r="M559" i="3"/>
  <c r="O559" i="3" s="1"/>
  <c r="P559" i="3" s="1"/>
  <c r="N558" i="3"/>
  <c r="M558" i="3"/>
  <c r="O558" i="3" s="1"/>
  <c r="P558" i="3" s="1"/>
  <c r="N557" i="3"/>
  <c r="O557" i="3" s="1"/>
  <c r="P557" i="3" s="1"/>
  <c r="M557" i="3"/>
  <c r="N556" i="3"/>
  <c r="M556" i="3"/>
  <c r="N555" i="3"/>
  <c r="M555" i="3"/>
  <c r="O555" i="3" s="1"/>
  <c r="P555" i="3" s="1"/>
  <c r="N554" i="3"/>
  <c r="M554" i="3"/>
  <c r="O554" i="3" s="1"/>
  <c r="P554" i="3" s="1"/>
  <c r="N553" i="3"/>
  <c r="M553" i="3"/>
  <c r="O552" i="3"/>
  <c r="P552" i="3" s="1"/>
  <c r="N552" i="3"/>
  <c r="M552" i="3"/>
  <c r="N551" i="3"/>
  <c r="M551" i="3"/>
  <c r="O551" i="3" s="1"/>
  <c r="P551" i="3" s="1"/>
  <c r="N550" i="3"/>
  <c r="M550" i="3"/>
  <c r="O550" i="3" s="1"/>
  <c r="P550" i="3" s="1"/>
  <c r="N549" i="3"/>
  <c r="M549" i="3"/>
  <c r="O549" i="3" s="1"/>
  <c r="P549" i="3" s="1"/>
  <c r="N548" i="3"/>
  <c r="M548" i="3"/>
  <c r="O548" i="3" s="1"/>
  <c r="P548" i="3" s="1"/>
  <c r="N547" i="3"/>
  <c r="M547" i="3"/>
  <c r="O546" i="3"/>
  <c r="P546" i="3" s="1"/>
  <c r="N546" i="3"/>
  <c r="M546" i="3"/>
  <c r="O545" i="3"/>
  <c r="P545" i="3" s="1"/>
  <c r="N545" i="3"/>
  <c r="M545" i="3"/>
  <c r="N544" i="3"/>
  <c r="M544" i="3"/>
  <c r="N543" i="3"/>
  <c r="M543" i="3"/>
  <c r="O543" i="3" s="1"/>
  <c r="P543" i="3" s="1"/>
  <c r="P542" i="3"/>
  <c r="N542" i="3"/>
  <c r="M542" i="3"/>
  <c r="O542" i="3" s="1"/>
  <c r="N541" i="3"/>
  <c r="M541" i="3"/>
  <c r="O541" i="3" s="1"/>
  <c r="P541" i="3" s="1"/>
  <c r="N540" i="3"/>
  <c r="M540" i="3"/>
  <c r="O540" i="3" s="1"/>
  <c r="P540" i="3" s="1"/>
  <c r="O539" i="3"/>
  <c r="P539" i="3" s="1"/>
  <c r="N539" i="3"/>
  <c r="M539" i="3"/>
  <c r="N538" i="3"/>
  <c r="M538" i="3"/>
  <c r="N537" i="3"/>
  <c r="M537" i="3"/>
  <c r="O537" i="3" s="1"/>
  <c r="P537" i="3" s="1"/>
  <c r="N536" i="3"/>
  <c r="M536" i="3"/>
  <c r="O536" i="3" s="1"/>
  <c r="P536" i="3" s="1"/>
  <c r="N535" i="3"/>
  <c r="M535" i="3"/>
  <c r="O534" i="3"/>
  <c r="P534" i="3" s="1"/>
  <c r="N534" i="3"/>
  <c r="M534" i="3"/>
  <c r="N533" i="3"/>
  <c r="M533" i="3"/>
  <c r="O533" i="3" s="1"/>
  <c r="P533" i="3" s="1"/>
  <c r="N532" i="3"/>
  <c r="M532" i="3"/>
  <c r="O532" i="3" s="1"/>
  <c r="P532" i="3" s="1"/>
  <c r="N531" i="3"/>
  <c r="M531" i="3"/>
  <c r="O531" i="3" s="1"/>
  <c r="P531" i="3" s="1"/>
  <c r="N530" i="3"/>
  <c r="M530" i="3"/>
  <c r="O530" i="3" s="1"/>
  <c r="P530" i="3" s="1"/>
  <c r="N529" i="3"/>
  <c r="M529" i="3"/>
  <c r="O529" i="3" s="1"/>
  <c r="P529" i="3" s="1"/>
  <c r="O528" i="3"/>
  <c r="P528" i="3" s="1"/>
  <c r="N528" i="3"/>
  <c r="M528" i="3"/>
  <c r="O527" i="3"/>
  <c r="P527" i="3" s="1"/>
  <c r="N527" i="3"/>
  <c r="M527" i="3"/>
  <c r="N526" i="3"/>
  <c r="M526" i="3"/>
  <c r="N525" i="3"/>
  <c r="M525" i="3"/>
  <c r="O525" i="3" s="1"/>
  <c r="P525" i="3" s="1"/>
  <c r="P524" i="3"/>
  <c r="N524" i="3"/>
  <c r="M524" i="3"/>
  <c r="O524" i="3" s="1"/>
  <c r="N523" i="3"/>
  <c r="M523" i="3"/>
  <c r="O523" i="3" s="1"/>
  <c r="P523" i="3" s="1"/>
  <c r="N522" i="3"/>
  <c r="M522" i="3"/>
  <c r="O522" i="3" s="1"/>
  <c r="P522" i="3" s="1"/>
  <c r="N521" i="3"/>
  <c r="O521" i="3" s="1"/>
  <c r="P521" i="3" s="1"/>
  <c r="M521" i="3"/>
  <c r="N520" i="3"/>
  <c r="M520" i="3"/>
  <c r="N519" i="3"/>
  <c r="M519" i="3"/>
  <c r="O519" i="3" s="1"/>
  <c r="P519" i="3" s="1"/>
  <c r="O518" i="3"/>
  <c r="P518" i="3" s="1"/>
  <c r="N518" i="3"/>
  <c r="M518" i="3"/>
  <c r="N517" i="3"/>
  <c r="M517" i="3"/>
  <c r="O516" i="3"/>
  <c r="P516" i="3" s="1"/>
  <c r="N516" i="3"/>
  <c r="M516" i="3"/>
  <c r="N515" i="3"/>
  <c r="M515" i="3"/>
  <c r="O515" i="3" s="1"/>
  <c r="P515" i="3" s="1"/>
  <c r="N514" i="3"/>
  <c r="M514" i="3"/>
  <c r="N513" i="3"/>
  <c r="M513" i="3"/>
  <c r="O513" i="3" s="1"/>
  <c r="P513" i="3" s="1"/>
  <c r="N512" i="3"/>
  <c r="M512" i="3"/>
  <c r="O512" i="3" s="1"/>
  <c r="P512" i="3" s="1"/>
  <c r="N511" i="3"/>
  <c r="M511" i="3"/>
  <c r="O511" i="3" s="1"/>
  <c r="P511" i="3" s="1"/>
  <c r="N510" i="3"/>
  <c r="O510" i="3" s="1"/>
  <c r="P510" i="3" s="1"/>
  <c r="M510" i="3"/>
  <c r="O509" i="3"/>
  <c r="P509" i="3" s="1"/>
  <c r="N509" i="3"/>
  <c r="M509" i="3"/>
  <c r="N508" i="3"/>
  <c r="M508" i="3"/>
  <c r="N507" i="3"/>
  <c r="M507" i="3"/>
  <c r="O507" i="3" s="1"/>
  <c r="P507" i="3" s="1"/>
  <c r="N506" i="3"/>
  <c r="M506" i="3"/>
  <c r="O506" i="3" s="1"/>
  <c r="P506" i="3" s="1"/>
  <c r="N505" i="3"/>
  <c r="M505" i="3"/>
  <c r="O505" i="3" s="1"/>
  <c r="P505" i="3" s="1"/>
  <c r="N504" i="3"/>
  <c r="M504" i="3"/>
  <c r="O504" i="3" s="1"/>
  <c r="P504" i="3" s="1"/>
  <c r="O503" i="3"/>
  <c r="P503" i="3" s="1"/>
  <c r="N503" i="3"/>
  <c r="M503" i="3"/>
  <c r="N502" i="3"/>
  <c r="M502" i="3"/>
  <c r="N501" i="3"/>
  <c r="M501" i="3"/>
  <c r="O501" i="3" s="1"/>
  <c r="P501" i="3" s="1"/>
  <c r="O500" i="3"/>
  <c r="P500" i="3" s="1"/>
  <c r="N500" i="3"/>
  <c r="M500" i="3"/>
  <c r="N499" i="3"/>
  <c r="M499" i="3"/>
  <c r="O498" i="3"/>
  <c r="P498" i="3" s="1"/>
  <c r="N498" i="3"/>
  <c r="M498" i="3"/>
  <c r="N497" i="3"/>
  <c r="M497" i="3"/>
  <c r="O497" i="3" s="1"/>
  <c r="P497" i="3" s="1"/>
  <c r="N496" i="3"/>
  <c r="M496" i="3"/>
  <c r="O495" i="3"/>
  <c r="P495" i="3" s="1"/>
  <c r="N495" i="3"/>
  <c r="M495" i="3"/>
  <c r="N494" i="3"/>
  <c r="M494" i="3"/>
  <c r="O494" i="3" s="1"/>
  <c r="P494" i="3" s="1"/>
  <c r="N493" i="3"/>
  <c r="M493" i="3"/>
  <c r="O493" i="3" s="1"/>
  <c r="P493" i="3" s="1"/>
  <c r="N492" i="3"/>
  <c r="M492" i="3"/>
  <c r="O492" i="3" s="1"/>
  <c r="P492" i="3" s="1"/>
  <c r="O491" i="3"/>
  <c r="P491" i="3" s="1"/>
  <c r="N491" i="3"/>
  <c r="M491" i="3"/>
  <c r="N490" i="3"/>
  <c r="M490" i="3"/>
  <c r="N489" i="3"/>
  <c r="M489" i="3"/>
  <c r="O489" i="3" s="1"/>
  <c r="P489" i="3" s="1"/>
  <c r="N488" i="3"/>
  <c r="M488" i="3"/>
  <c r="O488" i="3" s="1"/>
  <c r="P488" i="3" s="1"/>
  <c r="N487" i="3"/>
  <c r="M487" i="3"/>
  <c r="O487" i="3" s="1"/>
  <c r="P487" i="3" s="1"/>
  <c r="N486" i="3"/>
  <c r="M486" i="3"/>
  <c r="O486" i="3" s="1"/>
  <c r="P486" i="3" s="1"/>
  <c r="N485" i="3"/>
  <c r="M485" i="3"/>
  <c r="O485" i="3" s="1"/>
  <c r="P485" i="3" s="1"/>
  <c r="N484" i="3"/>
  <c r="M484" i="3"/>
  <c r="N483" i="3"/>
  <c r="M483" i="3"/>
  <c r="O483" i="3" s="1"/>
  <c r="P483" i="3" s="1"/>
  <c r="O482" i="3"/>
  <c r="P482" i="3" s="1"/>
  <c r="N482" i="3"/>
  <c r="M482" i="3"/>
  <c r="N481" i="3"/>
  <c r="M481" i="3"/>
  <c r="O480" i="3"/>
  <c r="P480" i="3" s="1"/>
  <c r="N480" i="3"/>
  <c r="M480" i="3"/>
  <c r="N479" i="3"/>
  <c r="M479" i="3"/>
  <c r="O479" i="3" s="1"/>
  <c r="P479" i="3" s="1"/>
  <c r="N478" i="3"/>
  <c r="M478" i="3"/>
  <c r="O477" i="3"/>
  <c r="P477" i="3" s="1"/>
  <c r="N477" i="3"/>
  <c r="M477" i="3"/>
  <c r="N476" i="3"/>
  <c r="M476" i="3"/>
  <c r="O476" i="3" s="1"/>
  <c r="P476" i="3" s="1"/>
  <c r="N475" i="3"/>
  <c r="M475" i="3"/>
  <c r="O475" i="3" s="1"/>
  <c r="P475" i="3" s="1"/>
  <c r="O474" i="3"/>
  <c r="P474" i="3" s="1"/>
  <c r="N474" i="3"/>
  <c r="M474" i="3"/>
  <c r="O473" i="3"/>
  <c r="P473" i="3" s="1"/>
  <c r="N473" i="3"/>
  <c r="M473" i="3"/>
  <c r="N472" i="3"/>
  <c r="M472" i="3"/>
  <c r="N471" i="3"/>
  <c r="M471" i="3"/>
  <c r="O471" i="3" s="1"/>
  <c r="P471" i="3" s="1"/>
  <c r="P470" i="3"/>
  <c r="O470" i="3"/>
  <c r="N470" i="3"/>
  <c r="M470" i="3"/>
  <c r="N469" i="3"/>
  <c r="M469" i="3"/>
  <c r="O469" i="3" s="1"/>
  <c r="P469" i="3" s="1"/>
  <c r="N468" i="3"/>
  <c r="M468" i="3"/>
  <c r="O468" i="3" s="1"/>
  <c r="P468" i="3" s="1"/>
  <c r="N467" i="3"/>
  <c r="M467" i="3"/>
  <c r="O467" i="3" s="1"/>
  <c r="P467" i="3" s="1"/>
  <c r="N466" i="3"/>
  <c r="M466" i="3"/>
  <c r="N465" i="3"/>
  <c r="M465" i="3"/>
  <c r="O465" i="3" s="1"/>
  <c r="P465" i="3" s="1"/>
  <c r="O464" i="3"/>
  <c r="P464" i="3" s="1"/>
  <c r="N464" i="3"/>
  <c r="M464" i="3"/>
  <c r="N463" i="3"/>
  <c r="M463" i="3"/>
  <c r="O462" i="3"/>
  <c r="P462" i="3" s="1"/>
  <c r="N462" i="3"/>
  <c r="M462" i="3"/>
  <c r="N461" i="3"/>
  <c r="M461" i="3"/>
  <c r="O461" i="3" s="1"/>
  <c r="P461" i="3" s="1"/>
  <c r="N460" i="3"/>
  <c r="M460" i="3"/>
  <c r="O459" i="3"/>
  <c r="P459" i="3" s="1"/>
  <c r="N459" i="3"/>
  <c r="M459" i="3"/>
  <c r="N458" i="3"/>
  <c r="M458" i="3"/>
  <c r="O458" i="3" s="1"/>
  <c r="P458" i="3" s="1"/>
  <c r="N457" i="3"/>
  <c r="M457" i="3"/>
  <c r="O457" i="3" s="1"/>
  <c r="P457" i="3" s="1"/>
  <c r="N456" i="3"/>
  <c r="M456" i="3"/>
  <c r="O456" i="3" s="1"/>
  <c r="P456" i="3" s="1"/>
  <c r="O455" i="3"/>
  <c r="P455" i="3" s="1"/>
  <c r="N455" i="3"/>
  <c r="M455" i="3"/>
  <c r="N454" i="3"/>
  <c r="M454" i="3"/>
  <c r="N453" i="3"/>
  <c r="M453" i="3"/>
  <c r="O453" i="3" s="1"/>
  <c r="P453" i="3" s="1"/>
  <c r="N452" i="3"/>
  <c r="M452" i="3"/>
  <c r="O452" i="3" s="1"/>
  <c r="P452" i="3" s="1"/>
  <c r="N451" i="3"/>
  <c r="M451" i="3"/>
  <c r="O451" i="3" s="1"/>
  <c r="P451" i="3" s="1"/>
  <c r="N450" i="3"/>
  <c r="M450" i="3"/>
  <c r="O450" i="3" s="1"/>
  <c r="P450" i="3" s="1"/>
  <c r="N449" i="3"/>
  <c r="M449" i="3"/>
  <c r="O449" i="3" s="1"/>
  <c r="P449" i="3" s="1"/>
  <c r="N448" i="3"/>
  <c r="M448" i="3"/>
  <c r="N447" i="3"/>
  <c r="M447" i="3"/>
  <c r="O447" i="3" s="1"/>
  <c r="P447" i="3" s="1"/>
  <c r="O446" i="3"/>
  <c r="P446" i="3" s="1"/>
  <c r="N446" i="3"/>
  <c r="M446" i="3"/>
  <c r="N445" i="3"/>
  <c r="M445" i="3"/>
  <c r="O444" i="3"/>
  <c r="P444" i="3" s="1"/>
  <c r="N444" i="3"/>
  <c r="M444" i="3"/>
  <c r="N443" i="3"/>
  <c r="M443" i="3"/>
  <c r="O443" i="3" s="1"/>
  <c r="P443" i="3" s="1"/>
  <c r="N442" i="3"/>
  <c r="M442" i="3"/>
  <c r="O441" i="3"/>
  <c r="P441" i="3" s="1"/>
  <c r="N441" i="3"/>
  <c r="M441" i="3"/>
  <c r="N440" i="3"/>
  <c r="M440" i="3"/>
  <c r="O440" i="3" s="1"/>
  <c r="P440" i="3" s="1"/>
  <c r="N439" i="3"/>
  <c r="M439" i="3"/>
  <c r="O439" i="3" s="1"/>
  <c r="P439" i="3" s="1"/>
  <c r="N438" i="3"/>
  <c r="M438" i="3"/>
  <c r="O438" i="3" s="1"/>
  <c r="P438" i="3" s="1"/>
  <c r="O437" i="3"/>
  <c r="P437" i="3" s="1"/>
  <c r="N437" i="3"/>
  <c r="M437" i="3"/>
  <c r="N436" i="3"/>
  <c r="M436" i="3"/>
  <c r="N435" i="3"/>
  <c r="M435" i="3"/>
  <c r="O435" i="3" s="1"/>
  <c r="P435" i="3" s="1"/>
  <c r="N434" i="3"/>
  <c r="M434" i="3"/>
  <c r="O434" i="3" s="1"/>
  <c r="P434" i="3" s="1"/>
  <c r="N433" i="3"/>
  <c r="M433" i="3"/>
  <c r="O433" i="3" s="1"/>
  <c r="P433" i="3" s="1"/>
  <c r="N432" i="3"/>
  <c r="M432" i="3"/>
  <c r="O432" i="3" s="1"/>
  <c r="P432" i="3" s="1"/>
  <c r="N431" i="3"/>
  <c r="M431" i="3"/>
  <c r="O431" i="3" s="1"/>
  <c r="P431" i="3" s="1"/>
  <c r="N430" i="3"/>
  <c r="M430" i="3"/>
  <c r="N429" i="3"/>
  <c r="M429" i="3"/>
  <c r="O429" i="3" s="1"/>
  <c r="P429" i="3" s="1"/>
  <c r="O428" i="3"/>
  <c r="P428" i="3" s="1"/>
  <c r="N428" i="3"/>
  <c r="M428" i="3"/>
  <c r="N427" i="3"/>
  <c r="M427" i="3"/>
  <c r="O426" i="3"/>
  <c r="P426" i="3" s="1"/>
  <c r="N426" i="3"/>
  <c r="M426" i="3"/>
  <c r="N425" i="3"/>
  <c r="M425" i="3"/>
  <c r="O425" i="3" s="1"/>
  <c r="P425" i="3" s="1"/>
  <c r="N424" i="3"/>
  <c r="M424" i="3"/>
  <c r="O423" i="3"/>
  <c r="P423" i="3" s="1"/>
  <c r="N423" i="3"/>
  <c r="M423" i="3"/>
  <c r="N422" i="3"/>
  <c r="M422" i="3"/>
  <c r="O422" i="3" s="1"/>
  <c r="P422" i="3" s="1"/>
  <c r="N421" i="3"/>
  <c r="M421" i="3"/>
  <c r="O421" i="3" s="1"/>
  <c r="P421" i="3" s="1"/>
  <c r="O420" i="3"/>
  <c r="P420" i="3" s="1"/>
  <c r="N420" i="3"/>
  <c r="M420" i="3"/>
  <c r="O419" i="3"/>
  <c r="P419" i="3" s="1"/>
  <c r="N419" i="3"/>
  <c r="M419" i="3"/>
  <c r="N418" i="3"/>
  <c r="M418" i="3"/>
  <c r="N417" i="3"/>
  <c r="M417" i="3"/>
  <c r="O417" i="3" s="1"/>
  <c r="P417" i="3" s="1"/>
  <c r="P416" i="3"/>
  <c r="O416" i="3"/>
  <c r="N416" i="3"/>
  <c r="M416" i="3"/>
  <c r="N415" i="3"/>
  <c r="M415" i="3"/>
  <c r="O415" i="3" s="1"/>
  <c r="P415" i="3" s="1"/>
  <c r="O414" i="3"/>
  <c r="P414" i="3" s="1"/>
  <c r="N414" i="3"/>
  <c r="M414" i="3"/>
  <c r="N413" i="3"/>
  <c r="M413" i="3"/>
  <c r="O413" i="3" s="1"/>
  <c r="P413" i="3" s="1"/>
  <c r="N412" i="3"/>
  <c r="M412" i="3"/>
  <c r="N411" i="3"/>
  <c r="M411" i="3"/>
  <c r="N410" i="3"/>
  <c r="O410" i="3" s="1"/>
  <c r="P410" i="3" s="1"/>
  <c r="M410" i="3"/>
  <c r="N409" i="3"/>
  <c r="M409" i="3"/>
  <c r="O408" i="3"/>
  <c r="P408" i="3" s="1"/>
  <c r="N408" i="3"/>
  <c r="M408" i="3"/>
  <c r="O407" i="3"/>
  <c r="P407" i="3" s="1"/>
  <c r="N407" i="3"/>
  <c r="M407" i="3"/>
  <c r="P406" i="3"/>
  <c r="N406" i="3"/>
  <c r="M406" i="3"/>
  <c r="O406" i="3" s="1"/>
  <c r="N405" i="3"/>
  <c r="M405" i="3"/>
  <c r="O405" i="3" s="1"/>
  <c r="P405" i="3" s="1"/>
  <c r="N404" i="3"/>
  <c r="M404" i="3"/>
  <c r="N403" i="3"/>
  <c r="M403" i="3"/>
  <c r="O403" i="3" s="1"/>
  <c r="P403" i="3" s="1"/>
  <c r="O402" i="3"/>
  <c r="P402" i="3" s="1"/>
  <c r="N402" i="3"/>
  <c r="M402" i="3"/>
  <c r="O401" i="3"/>
  <c r="P401" i="3" s="1"/>
  <c r="N401" i="3"/>
  <c r="M401" i="3"/>
  <c r="N400" i="3"/>
  <c r="M400" i="3"/>
  <c r="N399" i="3"/>
  <c r="M399" i="3"/>
  <c r="O399" i="3" s="1"/>
  <c r="P399" i="3" s="1"/>
  <c r="P398" i="3"/>
  <c r="O398" i="3"/>
  <c r="N398" i="3"/>
  <c r="M398" i="3"/>
  <c r="N397" i="3"/>
  <c r="M397" i="3"/>
  <c r="O397" i="3" s="1"/>
  <c r="P397" i="3" s="1"/>
  <c r="N396" i="3"/>
  <c r="M396" i="3"/>
  <c r="O396" i="3" s="1"/>
  <c r="P396" i="3" s="1"/>
  <c r="N395" i="3"/>
  <c r="M395" i="3"/>
  <c r="O395" i="3" s="1"/>
  <c r="P395" i="3" s="1"/>
  <c r="N394" i="3"/>
  <c r="M394" i="3"/>
  <c r="O394" i="3" s="1"/>
  <c r="P394" i="3" s="1"/>
  <c r="N393" i="3"/>
  <c r="M393" i="3"/>
  <c r="O393" i="3" s="1"/>
  <c r="P393" i="3" s="1"/>
  <c r="N392" i="3"/>
  <c r="M392" i="3"/>
  <c r="O392" i="3" s="1"/>
  <c r="P392" i="3" s="1"/>
  <c r="N391" i="3"/>
  <c r="M391" i="3"/>
  <c r="N390" i="3"/>
  <c r="O390" i="3" s="1"/>
  <c r="P390" i="3" s="1"/>
  <c r="M390" i="3"/>
  <c r="P389" i="3"/>
  <c r="O389" i="3"/>
  <c r="N389" i="3"/>
  <c r="M389" i="3"/>
  <c r="N388" i="3"/>
  <c r="M388" i="3"/>
  <c r="O388" i="3" s="1"/>
  <c r="P388" i="3" s="1"/>
  <c r="O387" i="3"/>
  <c r="P387" i="3" s="1"/>
  <c r="N387" i="3"/>
  <c r="M387" i="3"/>
  <c r="N386" i="3"/>
  <c r="O386" i="3" s="1"/>
  <c r="P386" i="3" s="1"/>
  <c r="M386" i="3"/>
  <c r="N385" i="3"/>
  <c r="M385" i="3"/>
  <c r="N384" i="3"/>
  <c r="M384" i="3"/>
  <c r="O384" i="3" s="1"/>
  <c r="P384" i="3" s="1"/>
  <c r="O383" i="3"/>
  <c r="P383" i="3" s="1"/>
  <c r="N383" i="3"/>
  <c r="M383" i="3"/>
  <c r="N382" i="3"/>
  <c r="M382" i="3"/>
  <c r="N381" i="3"/>
  <c r="O381" i="3" s="1"/>
  <c r="P381" i="3" s="1"/>
  <c r="M381" i="3"/>
  <c r="N380" i="3"/>
  <c r="M380" i="3"/>
  <c r="O380" i="3" s="1"/>
  <c r="P380" i="3" s="1"/>
  <c r="N379" i="3"/>
  <c r="M379" i="3"/>
  <c r="O378" i="3"/>
  <c r="P378" i="3" s="1"/>
  <c r="N378" i="3"/>
  <c r="M378" i="3"/>
  <c r="N377" i="3"/>
  <c r="M377" i="3"/>
  <c r="O377" i="3" s="1"/>
  <c r="P377" i="3" s="1"/>
  <c r="N376" i="3"/>
  <c r="M376" i="3"/>
  <c r="O376" i="3" s="1"/>
  <c r="P376" i="3" s="1"/>
  <c r="N375" i="3"/>
  <c r="M375" i="3"/>
  <c r="O375" i="3" s="1"/>
  <c r="P375" i="3" s="1"/>
  <c r="N374" i="3"/>
  <c r="O374" i="3" s="1"/>
  <c r="P374" i="3" s="1"/>
  <c r="M374" i="3"/>
  <c r="N373" i="3"/>
  <c r="M373" i="3"/>
  <c r="N372" i="3"/>
  <c r="M372" i="3"/>
  <c r="O371" i="3"/>
  <c r="P371" i="3" s="1"/>
  <c r="N371" i="3"/>
  <c r="M371" i="3"/>
  <c r="N370" i="3"/>
  <c r="M370" i="3"/>
  <c r="N369" i="3"/>
  <c r="M369" i="3"/>
  <c r="O369" i="3" s="1"/>
  <c r="P369" i="3" s="1"/>
  <c r="N368" i="3"/>
  <c r="O368" i="3" s="1"/>
  <c r="P368" i="3" s="1"/>
  <c r="M368" i="3"/>
  <c r="N367" i="3"/>
  <c r="M367" i="3"/>
  <c r="N366" i="3"/>
  <c r="O366" i="3" s="1"/>
  <c r="P366" i="3" s="1"/>
  <c r="M366" i="3"/>
  <c r="N365" i="3"/>
  <c r="M365" i="3"/>
  <c r="O365" i="3" s="1"/>
  <c r="P365" i="3" s="1"/>
  <c r="N364" i="3"/>
  <c r="M364" i="3"/>
  <c r="N363" i="3"/>
  <c r="O363" i="3" s="1"/>
  <c r="P363" i="3" s="1"/>
  <c r="M363" i="3"/>
  <c r="O362" i="3"/>
  <c r="P362" i="3" s="1"/>
  <c r="N362" i="3"/>
  <c r="M362" i="3"/>
  <c r="N361" i="3"/>
  <c r="M361" i="3"/>
  <c r="O361" i="3" s="1"/>
  <c r="P361" i="3" s="1"/>
  <c r="N360" i="3"/>
  <c r="M360" i="3"/>
  <c r="O360" i="3" s="1"/>
  <c r="P360" i="3" s="1"/>
  <c r="N359" i="3"/>
  <c r="M359" i="3"/>
  <c r="O359" i="3" s="1"/>
  <c r="P359" i="3" s="1"/>
  <c r="N358" i="3"/>
  <c r="M358" i="3"/>
  <c r="N357" i="3"/>
  <c r="M357" i="3"/>
  <c r="O357" i="3" s="1"/>
  <c r="P357" i="3" s="1"/>
  <c r="N356" i="3"/>
  <c r="M356" i="3"/>
  <c r="O356" i="3" s="1"/>
  <c r="P356" i="3" s="1"/>
  <c r="N355" i="3"/>
  <c r="M355" i="3"/>
  <c r="O354" i="3"/>
  <c r="P354" i="3" s="1"/>
  <c r="N354" i="3"/>
  <c r="M354" i="3"/>
  <c r="N353" i="3"/>
  <c r="M353" i="3"/>
  <c r="O353" i="3" s="1"/>
  <c r="P353" i="3" s="1"/>
  <c r="N352" i="3"/>
  <c r="M352" i="3"/>
  <c r="O352" i="3" s="1"/>
  <c r="P352" i="3" s="1"/>
  <c r="N351" i="3"/>
  <c r="M351" i="3"/>
  <c r="O351" i="3" s="1"/>
  <c r="P351" i="3" s="1"/>
  <c r="N350" i="3"/>
  <c r="M350" i="3"/>
  <c r="O350" i="3" s="1"/>
  <c r="P350" i="3" s="1"/>
  <c r="N349" i="3"/>
  <c r="M349" i="3"/>
  <c r="O349" i="3" s="1"/>
  <c r="P349" i="3" s="1"/>
  <c r="N348" i="3"/>
  <c r="M348" i="3"/>
  <c r="O348" i="3" s="1"/>
  <c r="P348" i="3" s="1"/>
  <c r="N347" i="3"/>
  <c r="M347" i="3"/>
  <c r="O347" i="3" s="1"/>
  <c r="P347" i="3" s="1"/>
  <c r="N346" i="3"/>
  <c r="M346" i="3"/>
  <c r="O346" i="3" s="1"/>
  <c r="P346" i="3" s="1"/>
  <c r="N345" i="3"/>
  <c r="M345" i="3"/>
  <c r="O345" i="3" s="1"/>
  <c r="P345" i="3" s="1"/>
  <c r="O344" i="3"/>
  <c r="P344" i="3" s="1"/>
  <c r="N344" i="3"/>
  <c r="M344" i="3"/>
  <c r="N343" i="3"/>
  <c r="M343" i="3"/>
  <c r="N342" i="3"/>
  <c r="M342" i="3"/>
  <c r="O342" i="3" s="1"/>
  <c r="P342" i="3" s="1"/>
  <c r="N341" i="3"/>
  <c r="M341" i="3"/>
  <c r="O341" i="3" s="1"/>
  <c r="P341" i="3" s="1"/>
  <c r="N340" i="3"/>
  <c r="M340" i="3"/>
  <c r="N339" i="3"/>
  <c r="M339" i="3"/>
  <c r="O339" i="3" s="1"/>
  <c r="P339" i="3" s="1"/>
  <c r="N338" i="3"/>
  <c r="M338" i="3"/>
  <c r="O338" i="3" s="1"/>
  <c r="P338" i="3" s="1"/>
  <c r="N337" i="3"/>
  <c r="M337" i="3"/>
  <c r="O336" i="3"/>
  <c r="P336" i="3" s="1"/>
  <c r="N336" i="3"/>
  <c r="M336" i="3"/>
  <c r="N335" i="3"/>
  <c r="M335" i="3"/>
  <c r="O335" i="3" s="1"/>
  <c r="P335" i="3" s="1"/>
  <c r="N334" i="3"/>
  <c r="M334" i="3"/>
  <c r="N333" i="3"/>
  <c r="M333" i="3"/>
  <c r="O333" i="3" s="1"/>
  <c r="P333" i="3" s="1"/>
  <c r="N332" i="3"/>
  <c r="M332" i="3"/>
  <c r="O332" i="3" s="1"/>
  <c r="P332" i="3" s="1"/>
  <c r="N331" i="3"/>
  <c r="M331" i="3"/>
  <c r="O331" i="3" s="1"/>
  <c r="P331" i="3" s="1"/>
  <c r="O330" i="3"/>
  <c r="P330" i="3" s="1"/>
  <c r="N330" i="3"/>
  <c r="M330" i="3"/>
  <c r="P329" i="3"/>
  <c r="O329" i="3"/>
  <c r="N329" i="3"/>
  <c r="M329" i="3"/>
  <c r="N328" i="3"/>
  <c r="M328" i="3"/>
  <c r="N327" i="3"/>
  <c r="M327" i="3"/>
  <c r="O327" i="3" s="1"/>
  <c r="P327" i="3" s="1"/>
  <c r="O326" i="3"/>
  <c r="P326" i="3" s="1"/>
  <c r="N326" i="3"/>
  <c r="M326" i="3"/>
  <c r="N325" i="3"/>
  <c r="M325" i="3"/>
  <c r="O325" i="3" s="1"/>
  <c r="P325" i="3" s="1"/>
  <c r="N324" i="3"/>
  <c r="M324" i="3"/>
  <c r="O324" i="3" s="1"/>
  <c r="P324" i="3" s="1"/>
  <c r="N323" i="3"/>
  <c r="M323" i="3"/>
  <c r="O323" i="3" s="1"/>
  <c r="P323" i="3" s="1"/>
  <c r="N322" i="3"/>
  <c r="M322" i="3"/>
  <c r="N321" i="3"/>
  <c r="M321" i="3"/>
  <c r="O321" i="3" s="1"/>
  <c r="P321" i="3" s="1"/>
  <c r="N320" i="3"/>
  <c r="M320" i="3"/>
  <c r="O320" i="3" s="1"/>
  <c r="P320" i="3" s="1"/>
  <c r="N319" i="3"/>
  <c r="M319" i="3"/>
  <c r="O319" i="3" s="1"/>
  <c r="P319" i="3" s="1"/>
  <c r="O318" i="3"/>
  <c r="P318" i="3" s="1"/>
  <c r="N318" i="3"/>
  <c r="M318" i="3"/>
  <c r="N317" i="3"/>
  <c r="M317" i="3"/>
  <c r="O317" i="3" s="1"/>
  <c r="P317" i="3" s="1"/>
  <c r="N316" i="3"/>
  <c r="M316" i="3"/>
  <c r="O316" i="3" s="1"/>
  <c r="P316" i="3" s="1"/>
  <c r="O315" i="3"/>
  <c r="P315" i="3" s="1"/>
  <c r="N315" i="3"/>
  <c r="M315" i="3"/>
  <c r="N314" i="3"/>
  <c r="M314" i="3"/>
  <c r="O314" i="3" s="1"/>
  <c r="P314" i="3" s="1"/>
  <c r="N313" i="3"/>
  <c r="M313" i="3"/>
  <c r="O313" i="3" s="1"/>
  <c r="P313" i="3" s="1"/>
  <c r="N312" i="3"/>
  <c r="M312" i="3"/>
  <c r="O312" i="3" s="1"/>
  <c r="P312" i="3" s="1"/>
  <c r="O311" i="3"/>
  <c r="P311" i="3" s="1"/>
  <c r="N311" i="3"/>
  <c r="M311" i="3"/>
  <c r="N310" i="3"/>
  <c r="M310" i="3"/>
  <c r="N309" i="3"/>
  <c r="M309" i="3"/>
  <c r="O309" i="3" s="1"/>
  <c r="P309" i="3" s="1"/>
  <c r="N308" i="3"/>
  <c r="M308" i="3"/>
  <c r="O308" i="3" s="1"/>
  <c r="P308" i="3" s="1"/>
  <c r="N307" i="3"/>
  <c r="M307" i="3"/>
  <c r="O307" i="3" s="1"/>
  <c r="P307" i="3" s="1"/>
  <c r="N306" i="3"/>
  <c r="M306" i="3"/>
  <c r="O306" i="3" s="1"/>
  <c r="P306" i="3" s="1"/>
  <c r="N305" i="3"/>
  <c r="M305" i="3"/>
  <c r="O305" i="3" s="1"/>
  <c r="P305" i="3" s="1"/>
  <c r="N304" i="3"/>
  <c r="M304" i="3"/>
  <c r="N303" i="3"/>
  <c r="M303" i="3"/>
  <c r="O303" i="3" s="1"/>
  <c r="P303" i="3" s="1"/>
  <c r="N302" i="3"/>
  <c r="M302" i="3"/>
  <c r="O302" i="3" s="1"/>
  <c r="P302" i="3" s="1"/>
  <c r="P301" i="3"/>
  <c r="N301" i="3"/>
  <c r="M301" i="3"/>
  <c r="O301" i="3" s="1"/>
  <c r="O300" i="3"/>
  <c r="P300" i="3" s="1"/>
  <c r="N300" i="3"/>
  <c r="M300" i="3"/>
  <c r="N299" i="3"/>
  <c r="M299" i="3"/>
  <c r="O299" i="3" s="1"/>
  <c r="P299" i="3" s="1"/>
  <c r="N298" i="3"/>
  <c r="M298" i="3"/>
  <c r="N297" i="3"/>
  <c r="M297" i="3"/>
  <c r="O297" i="3" s="1"/>
  <c r="P297" i="3" s="1"/>
  <c r="N296" i="3"/>
  <c r="M296" i="3"/>
  <c r="O296" i="3" s="1"/>
  <c r="P296" i="3" s="1"/>
  <c r="N295" i="3"/>
  <c r="M295" i="3"/>
  <c r="O295" i="3" s="1"/>
  <c r="P295" i="3" s="1"/>
  <c r="N294" i="3"/>
  <c r="M294" i="3"/>
  <c r="O294" i="3" s="1"/>
  <c r="P294" i="3" s="1"/>
  <c r="P293" i="3"/>
  <c r="O293" i="3"/>
  <c r="N293" i="3"/>
  <c r="M293" i="3"/>
  <c r="N292" i="3"/>
  <c r="M292" i="3"/>
  <c r="N291" i="3"/>
  <c r="M291" i="3"/>
  <c r="O291" i="3" s="1"/>
  <c r="P291" i="3" s="1"/>
  <c r="N290" i="3"/>
  <c r="M290" i="3"/>
  <c r="O290" i="3" s="1"/>
  <c r="P290" i="3" s="1"/>
  <c r="N289" i="3"/>
  <c r="M289" i="3"/>
  <c r="O289" i="3" s="1"/>
  <c r="P289" i="3" s="1"/>
  <c r="N288" i="3"/>
  <c r="M288" i="3"/>
  <c r="O288" i="3" s="1"/>
  <c r="P288" i="3" s="1"/>
  <c r="O287" i="3"/>
  <c r="P287" i="3" s="1"/>
  <c r="N287" i="3"/>
  <c r="M287" i="3"/>
  <c r="N286" i="3"/>
  <c r="M286" i="3"/>
  <c r="N285" i="3"/>
  <c r="M285" i="3"/>
  <c r="O285" i="3" s="1"/>
  <c r="P285" i="3" s="1"/>
  <c r="N284" i="3"/>
  <c r="M284" i="3"/>
  <c r="O284" i="3" s="1"/>
  <c r="P284" i="3" s="1"/>
  <c r="N283" i="3"/>
  <c r="M283" i="3"/>
  <c r="O283" i="3" s="1"/>
  <c r="P283" i="3" s="1"/>
  <c r="O282" i="3"/>
  <c r="P282" i="3" s="1"/>
  <c r="N282" i="3"/>
  <c r="M282" i="3"/>
  <c r="N281" i="3"/>
  <c r="M281" i="3"/>
  <c r="O281" i="3" s="1"/>
  <c r="P281" i="3" s="1"/>
  <c r="N280" i="3"/>
  <c r="M280" i="3"/>
  <c r="O280" i="3" s="1"/>
  <c r="P280" i="3" s="1"/>
  <c r="N279" i="3"/>
  <c r="O279" i="3" s="1"/>
  <c r="P279" i="3" s="1"/>
  <c r="M279" i="3"/>
  <c r="N278" i="3"/>
  <c r="M278" i="3"/>
  <c r="O278" i="3" s="1"/>
  <c r="P278" i="3" s="1"/>
  <c r="N277" i="3"/>
  <c r="M277" i="3"/>
  <c r="O277" i="3" s="1"/>
  <c r="P277" i="3" s="1"/>
  <c r="N276" i="3"/>
  <c r="M276" i="3"/>
  <c r="O276" i="3" s="1"/>
  <c r="P276" i="3" s="1"/>
  <c r="O275" i="3"/>
  <c r="P275" i="3" s="1"/>
  <c r="N275" i="3"/>
  <c r="M275" i="3"/>
  <c r="N274" i="3"/>
  <c r="M274" i="3"/>
  <c r="N273" i="3"/>
  <c r="M273" i="3"/>
  <c r="O273" i="3" s="1"/>
  <c r="P273" i="3" s="1"/>
  <c r="N272" i="3"/>
  <c r="M272" i="3"/>
  <c r="O272" i="3" s="1"/>
  <c r="P272" i="3" s="1"/>
  <c r="N271" i="3"/>
  <c r="M271" i="3"/>
  <c r="O271" i="3" s="1"/>
  <c r="P271" i="3" s="1"/>
  <c r="O270" i="3"/>
  <c r="P270" i="3" s="1"/>
  <c r="N270" i="3"/>
  <c r="M270" i="3"/>
  <c r="N269" i="3"/>
  <c r="O269" i="3" s="1"/>
  <c r="P269" i="3" s="1"/>
  <c r="M269" i="3"/>
  <c r="N268" i="3"/>
  <c r="M268" i="3"/>
  <c r="N267" i="3"/>
  <c r="M267" i="3"/>
  <c r="O267" i="3" s="1"/>
  <c r="P267" i="3" s="1"/>
  <c r="N266" i="3"/>
  <c r="M266" i="3"/>
  <c r="O266" i="3" s="1"/>
  <c r="P266" i="3" s="1"/>
  <c r="P265" i="3"/>
  <c r="N265" i="3"/>
  <c r="M265" i="3"/>
  <c r="O265" i="3" s="1"/>
  <c r="O264" i="3"/>
  <c r="P264" i="3" s="1"/>
  <c r="N264" i="3"/>
  <c r="M264" i="3"/>
  <c r="P263" i="3"/>
  <c r="O263" i="3"/>
  <c r="N263" i="3"/>
  <c r="M263" i="3"/>
  <c r="N262" i="3"/>
  <c r="M262" i="3"/>
  <c r="O262" i="3" s="1"/>
  <c r="P262" i="3" s="1"/>
  <c r="O261" i="3"/>
  <c r="P261" i="3" s="1"/>
  <c r="N261" i="3"/>
  <c r="M261" i="3"/>
  <c r="N260" i="3"/>
  <c r="M260" i="3"/>
  <c r="O260" i="3" s="1"/>
  <c r="P260" i="3" s="1"/>
  <c r="N259" i="3"/>
  <c r="M259" i="3"/>
  <c r="O259" i="3" s="1"/>
  <c r="P259" i="3" s="1"/>
  <c r="N258" i="3"/>
  <c r="M258" i="3"/>
  <c r="O258" i="3" s="1"/>
  <c r="P258" i="3" s="1"/>
  <c r="O257" i="3"/>
  <c r="P257" i="3" s="1"/>
  <c r="N257" i="3"/>
  <c r="M257" i="3"/>
  <c r="N256" i="3"/>
  <c r="M256" i="3"/>
  <c r="N255" i="3"/>
  <c r="M255" i="3"/>
  <c r="O255" i="3" s="1"/>
  <c r="P255" i="3" s="1"/>
  <c r="N254" i="3"/>
  <c r="M254" i="3"/>
  <c r="O254" i="3" s="1"/>
  <c r="P254" i="3" s="1"/>
  <c r="N253" i="3"/>
  <c r="M253" i="3"/>
  <c r="O253" i="3" s="1"/>
  <c r="P253" i="3" s="1"/>
  <c r="O252" i="3"/>
  <c r="P252" i="3" s="1"/>
  <c r="N252" i="3"/>
  <c r="M252" i="3"/>
  <c r="O251" i="3"/>
  <c r="P251" i="3" s="1"/>
  <c r="N251" i="3"/>
  <c r="M251" i="3"/>
  <c r="N250" i="3"/>
  <c r="M250" i="3"/>
  <c r="N249" i="3"/>
  <c r="M249" i="3"/>
  <c r="O249" i="3" s="1"/>
  <c r="P249" i="3" s="1"/>
  <c r="N248" i="3"/>
  <c r="M248" i="3"/>
  <c r="O248" i="3" s="1"/>
  <c r="P248" i="3" s="1"/>
  <c r="N247" i="3"/>
  <c r="M247" i="3"/>
  <c r="O246" i="3"/>
  <c r="P246" i="3" s="1"/>
  <c r="N246" i="3"/>
  <c r="M246" i="3"/>
  <c r="P245" i="3"/>
  <c r="O245" i="3"/>
  <c r="N245" i="3"/>
  <c r="M245" i="3"/>
  <c r="N244" i="3"/>
  <c r="M244" i="3"/>
  <c r="O244" i="3" s="1"/>
  <c r="P244" i="3" s="1"/>
  <c r="N243" i="3"/>
  <c r="M243" i="3"/>
  <c r="O243" i="3" s="1"/>
  <c r="P243" i="3" s="1"/>
  <c r="N242" i="3"/>
  <c r="M242" i="3"/>
  <c r="O242" i="3" s="1"/>
  <c r="P242" i="3" s="1"/>
  <c r="N241" i="3"/>
  <c r="M241" i="3"/>
  <c r="O241" i="3" s="1"/>
  <c r="P241" i="3" s="1"/>
  <c r="N240" i="3"/>
  <c r="M240" i="3"/>
  <c r="O240" i="3" s="1"/>
  <c r="P240" i="3" s="1"/>
  <c r="O239" i="3"/>
  <c r="P239" i="3" s="1"/>
  <c r="N239" i="3"/>
  <c r="M239" i="3"/>
  <c r="N238" i="3"/>
  <c r="M238" i="3"/>
  <c r="N237" i="3"/>
  <c r="M237" i="3"/>
  <c r="O237" i="3" s="1"/>
  <c r="P237" i="3" s="1"/>
  <c r="N236" i="3"/>
  <c r="M236" i="3"/>
  <c r="O236" i="3" s="1"/>
  <c r="P236" i="3" s="1"/>
  <c r="N235" i="3"/>
  <c r="M235" i="3"/>
  <c r="O235" i="3" s="1"/>
  <c r="P235" i="3" s="1"/>
  <c r="O234" i="3"/>
  <c r="P234" i="3" s="1"/>
  <c r="N234" i="3"/>
  <c r="M234" i="3"/>
  <c r="N233" i="3"/>
  <c r="M233" i="3"/>
  <c r="O233" i="3" s="1"/>
  <c r="P233" i="3" s="1"/>
  <c r="N232" i="3"/>
  <c r="M232" i="3"/>
  <c r="N231" i="3"/>
  <c r="M231" i="3"/>
  <c r="O231" i="3" s="1"/>
  <c r="P231" i="3" s="1"/>
  <c r="N230" i="3"/>
  <c r="M230" i="3"/>
  <c r="O230" i="3" s="1"/>
  <c r="P230" i="3" s="1"/>
  <c r="N229" i="3"/>
  <c r="M229" i="3"/>
  <c r="O228" i="3"/>
  <c r="P228" i="3" s="1"/>
  <c r="N228" i="3"/>
  <c r="M228" i="3"/>
  <c r="P227" i="3"/>
  <c r="O227" i="3"/>
  <c r="N227" i="3"/>
  <c r="M227" i="3"/>
  <c r="N226" i="3"/>
  <c r="M226" i="3"/>
  <c r="N225" i="3"/>
  <c r="O225" i="3" s="1"/>
  <c r="P225" i="3" s="1"/>
  <c r="M225" i="3"/>
  <c r="N224" i="3"/>
  <c r="M224" i="3"/>
  <c r="O224" i="3" s="1"/>
  <c r="P224" i="3" s="1"/>
  <c r="N223" i="3"/>
  <c r="M223" i="3"/>
  <c r="O223" i="3" s="1"/>
  <c r="P223" i="3" s="1"/>
  <c r="N222" i="3"/>
  <c r="M222" i="3"/>
  <c r="O222" i="3" s="1"/>
  <c r="P222" i="3" s="1"/>
  <c r="P221" i="3"/>
  <c r="O221" i="3"/>
  <c r="N221" i="3"/>
  <c r="M221" i="3"/>
  <c r="N220" i="3"/>
  <c r="M220" i="3"/>
  <c r="N219" i="3"/>
  <c r="M219" i="3"/>
  <c r="O219" i="3" s="1"/>
  <c r="P219" i="3" s="1"/>
  <c r="N218" i="3"/>
  <c r="M218" i="3"/>
  <c r="O218" i="3" s="1"/>
  <c r="P218" i="3" s="1"/>
  <c r="N217" i="3"/>
  <c r="M217" i="3"/>
  <c r="O217" i="3" s="1"/>
  <c r="P217" i="3" s="1"/>
  <c r="O216" i="3"/>
  <c r="P216" i="3" s="1"/>
  <c r="N216" i="3"/>
  <c r="M216" i="3"/>
  <c r="N215" i="3"/>
  <c r="M215" i="3"/>
  <c r="O215" i="3" s="1"/>
  <c r="P215" i="3" s="1"/>
  <c r="N214" i="3"/>
  <c r="M214" i="3"/>
  <c r="N213" i="3"/>
  <c r="M213" i="3"/>
  <c r="O213" i="3" s="1"/>
  <c r="P213" i="3" s="1"/>
  <c r="N212" i="3"/>
  <c r="M212" i="3"/>
  <c r="O212" i="3" s="1"/>
  <c r="P212" i="3" s="1"/>
  <c r="N211" i="3"/>
  <c r="M211" i="3"/>
  <c r="O210" i="3"/>
  <c r="P210" i="3" s="1"/>
  <c r="N210" i="3"/>
  <c r="M210" i="3"/>
  <c r="P209" i="3"/>
  <c r="O209" i="3"/>
  <c r="N209" i="3"/>
  <c r="M209" i="3"/>
  <c r="N208" i="3"/>
  <c r="M208" i="3"/>
  <c r="O208" i="3" s="1"/>
  <c r="P208" i="3" s="1"/>
  <c r="O207" i="3"/>
  <c r="P207" i="3" s="1"/>
  <c r="N207" i="3"/>
  <c r="M207" i="3"/>
  <c r="N206" i="3"/>
  <c r="M206" i="3"/>
  <c r="O206" i="3" s="1"/>
  <c r="P206" i="3" s="1"/>
  <c r="N205" i="3"/>
  <c r="M205" i="3"/>
  <c r="O205" i="3" s="1"/>
  <c r="P205" i="3" s="1"/>
  <c r="N204" i="3"/>
  <c r="M204" i="3"/>
  <c r="O204" i="3" s="1"/>
  <c r="P204" i="3" s="1"/>
  <c r="O203" i="3"/>
  <c r="P203" i="3" s="1"/>
  <c r="N203" i="3"/>
  <c r="M203" i="3"/>
  <c r="N202" i="3"/>
  <c r="M202" i="3"/>
  <c r="N201" i="3"/>
  <c r="M201" i="3"/>
  <c r="O201" i="3" s="1"/>
  <c r="P201" i="3" s="1"/>
  <c r="N200" i="3"/>
  <c r="M200" i="3"/>
  <c r="O200" i="3" s="1"/>
  <c r="P200" i="3" s="1"/>
  <c r="N199" i="3"/>
  <c r="M199" i="3"/>
  <c r="O199" i="3" s="1"/>
  <c r="P199" i="3" s="1"/>
  <c r="O198" i="3"/>
  <c r="P198" i="3" s="1"/>
  <c r="N198" i="3"/>
  <c r="M198" i="3"/>
  <c r="N197" i="3"/>
  <c r="M197" i="3"/>
  <c r="O197" i="3" s="1"/>
  <c r="P197" i="3" s="1"/>
  <c r="N196" i="3"/>
  <c r="M196" i="3"/>
  <c r="N195" i="3"/>
  <c r="M195" i="3"/>
  <c r="O195" i="3" s="1"/>
  <c r="P195" i="3" s="1"/>
  <c r="N194" i="3"/>
  <c r="M194" i="3"/>
  <c r="O194" i="3" s="1"/>
  <c r="P194" i="3" s="1"/>
  <c r="N193" i="3"/>
  <c r="M193" i="3"/>
  <c r="O193" i="3" s="1"/>
  <c r="P193" i="3" s="1"/>
  <c r="O192" i="3"/>
  <c r="P192" i="3" s="1"/>
  <c r="N192" i="3"/>
  <c r="M192" i="3"/>
  <c r="P191" i="3"/>
  <c r="O191" i="3"/>
  <c r="N191" i="3"/>
  <c r="M191" i="3"/>
  <c r="N190" i="3"/>
  <c r="M190" i="3"/>
  <c r="O190" i="3" s="1"/>
  <c r="P190" i="3" s="1"/>
  <c r="N189" i="3"/>
  <c r="M189" i="3"/>
  <c r="O189" i="3" s="1"/>
  <c r="P189" i="3" s="1"/>
  <c r="N188" i="3"/>
  <c r="M188" i="3"/>
  <c r="O188" i="3" s="1"/>
  <c r="P188" i="3" s="1"/>
  <c r="N187" i="3"/>
  <c r="M187" i="3"/>
  <c r="O187" i="3" s="1"/>
  <c r="P187" i="3" s="1"/>
  <c r="N186" i="3"/>
  <c r="O186" i="3" s="1"/>
  <c r="P186" i="3" s="1"/>
  <c r="M186" i="3"/>
  <c r="O185" i="3"/>
  <c r="P185" i="3" s="1"/>
  <c r="N185" i="3"/>
  <c r="M185" i="3"/>
  <c r="N184" i="3"/>
  <c r="M184" i="3"/>
  <c r="N183" i="3"/>
  <c r="M183" i="3"/>
  <c r="O183" i="3" s="1"/>
  <c r="P183" i="3" s="1"/>
  <c r="N182" i="3"/>
  <c r="O182" i="3" s="1"/>
  <c r="P182" i="3" s="1"/>
  <c r="M182" i="3"/>
  <c r="N181" i="3"/>
  <c r="M181" i="3"/>
  <c r="O181" i="3" s="1"/>
  <c r="P181" i="3" s="1"/>
  <c r="O180" i="3"/>
  <c r="P180" i="3" s="1"/>
  <c r="N180" i="3"/>
  <c r="M180" i="3"/>
  <c r="N179" i="3"/>
  <c r="M179" i="3"/>
  <c r="O179" i="3" s="1"/>
  <c r="P179" i="3" s="1"/>
  <c r="N178" i="3"/>
  <c r="M178" i="3"/>
  <c r="N177" i="3"/>
  <c r="M177" i="3"/>
  <c r="O177" i="3" s="1"/>
  <c r="P177" i="3" s="1"/>
  <c r="N176" i="3"/>
  <c r="M176" i="3"/>
  <c r="O176" i="3" s="1"/>
  <c r="P176" i="3" s="1"/>
  <c r="N175" i="3"/>
  <c r="M175" i="3"/>
  <c r="O175" i="3" s="1"/>
  <c r="P175" i="3" s="1"/>
  <c r="O174" i="3"/>
  <c r="P174" i="3" s="1"/>
  <c r="N174" i="3"/>
  <c r="M174" i="3"/>
  <c r="P173" i="3"/>
  <c r="O173" i="3"/>
  <c r="N173" i="3"/>
  <c r="M173" i="3"/>
  <c r="N172" i="3"/>
  <c r="M172" i="3"/>
  <c r="N171" i="3"/>
  <c r="M171" i="3"/>
  <c r="O171" i="3" s="1"/>
  <c r="P171" i="3" s="1"/>
  <c r="N170" i="3"/>
  <c r="M170" i="3"/>
  <c r="O170" i="3" s="1"/>
  <c r="P170" i="3" s="1"/>
  <c r="N169" i="3"/>
  <c r="M169" i="3"/>
  <c r="O169" i="3" s="1"/>
  <c r="P169" i="3" s="1"/>
  <c r="O168" i="3"/>
  <c r="P168" i="3" s="1"/>
  <c r="N168" i="3"/>
  <c r="M168" i="3"/>
  <c r="P167" i="3"/>
  <c r="O167" i="3"/>
  <c r="N167" i="3"/>
  <c r="M167" i="3"/>
  <c r="N166" i="3"/>
  <c r="M166" i="3"/>
  <c r="N165" i="3"/>
  <c r="M165" i="3"/>
  <c r="O165" i="3" s="1"/>
  <c r="P165" i="3" s="1"/>
  <c r="O164" i="3"/>
  <c r="P164" i="3" s="1"/>
  <c r="N164" i="3"/>
  <c r="M164" i="3"/>
  <c r="N163" i="3"/>
  <c r="M163" i="3"/>
  <c r="O163" i="3" s="1"/>
  <c r="P163" i="3" s="1"/>
  <c r="O162" i="3"/>
  <c r="P162" i="3" s="1"/>
  <c r="N162" i="3"/>
  <c r="M162" i="3"/>
  <c r="N161" i="3"/>
  <c r="M161" i="3"/>
  <c r="O161" i="3" s="1"/>
  <c r="P161" i="3" s="1"/>
  <c r="N160" i="3"/>
  <c r="M160" i="3"/>
  <c r="N159" i="3"/>
  <c r="M159" i="3"/>
  <c r="O159" i="3" s="1"/>
  <c r="P159" i="3" s="1"/>
  <c r="N158" i="3"/>
  <c r="M158" i="3"/>
  <c r="O158" i="3" s="1"/>
  <c r="P158" i="3" s="1"/>
  <c r="N157" i="3"/>
  <c r="M157" i="3"/>
  <c r="O157" i="3" s="1"/>
  <c r="P157" i="3" s="1"/>
  <c r="O156" i="3"/>
  <c r="P156" i="3" s="1"/>
  <c r="N156" i="3"/>
  <c r="M156" i="3"/>
  <c r="P155" i="3"/>
  <c r="O155" i="3"/>
  <c r="N155" i="3"/>
  <c r="M155" i="3"/>
  <c r="N154" i="3"/>
  <c r="M154" i="3"/>
  <c r="O154" i="3" s="1"/>
  <c r="P154" i="3" s="1"/>
  <c r="N153" i="3"/>
  <c r="M153" i="3"/>
  <c r="O153" i="3" s="1"/>
  <c r="P153" i="3" s="1"/>
  <c r="N152" i="3"/>
  <c r="M152" i="3"/>
  <c r="O152" i="3" s="1"/>
  <c r="P152" i="3" s="1"/>
  <c r="N151" i="3"/>
  <c r="M151" i="3"/>
  <c r="O151" i="3" s="1"/>
  <c r="P151" i="3" s="1"/>
  <c r="N150" i="3"/>
  <c r="M150" i="3"/>
  <c r="O150" i="3" s="1"/>
  <c r="P150" i="3" s="1"/>
  <c r="O149" i="3"/>
  <c r="P149" i="3" s="1"/>
  <c r="N149" i="3"/>
  <c r="M149" i="3"/>
  <c r="N148" i="3"/>
  <c r="M148" i="3"/>
  <c r="N147" i="3"/>
  <c r="M147" i="3"/>
  <c r="O147" i="3" s="1"/>
  <c r="P147" i="3" s="1"/>
  <c r="N146" i="3"/>
  <c r="M146" i="3"/>
  <c r="O146" i="3" s="1"/>
  <c r="P146" i="3" s="1"/>
  <c r="N145" i="3"/>
  <c r="M145" i="3"/>
  <c r="O145" i="3" s="1"/>
  <c r="P145" i="3" s="1"/>
  <c r="O144" i="3"/>
  <c r="P144" i="3" s="1"/>
  <c r="N144" i="3"/>
  <c r="M144" i="3"/>
  <c r="N143" i="3"/>
  <c r="M143" i="3"/>
  <c r="O143" i="3" s="1"/>
  <c r="P143" i="3" s="1"/>
  <c r="N142" i="3"/>
  <c r="M142" i="3"/>
  <c r="N141" i="3"/>
  <c r="M141" i="3"/>
  <c r="O141" i="3" s="1"/>
  <c r="P141" i="3" s="1"/>
  <c r="N140" i="3"/>
  <c r="M140" i="3"/>
  <c r="O140" i="3" s="1"/>
  <c r="P140" i="3" s="1"/>
  <c r="N139" i="3"/>
  <c r="M139" i="3"/>
  <c r="O139" i="3" s="1"/>
  <c r="P139" i="3" s="1"/>
  <c r="O138" i="3"/>
  <c r="P138" i="3" s="1"/>
  <c r="N138" i="3"/>
  <c r="M138" i="3"/>
  <c r="P137" i="3"/>
  <c r="O137" i="3"/>
  <c r="N137" i="3"/>
  <c r="M137" i="3"/>
  <c r="N136" i="3"/>
  <c r="M136" i="3"/>
  <c r="O136" i="3" s="1"/>
  <c r="P136" i="3" s="1"/>
  <c r="N135" i="3"/>
  <c r="M135" i="3"/>
  <c r="O135" i="3" s="1"/>
  <c r="P135" i="3" s="1"/>
  <c r="N134" i="3"/>
  <c r="M134" i="3"/>
  <c r="O134" i="3" s="1"/>
  <c r="P134" i="3" s="1"/>
  <c r="N133" i="3"/>
  <c r="M133" i="3"/>
  <c r="O133" i="3" s="1"/>
  <c r="P133" i="3" s="1"/>
  <c r="N132" i="3"/>
  <c r="O132" i="3" s="1"/>
  <c r="P132" i="3" s="1"/>
  <c r="M132" i="3"/>
  <c r="O131" i="3"/>
  <c r="P131" i="3" s="1"/>
  <c r="N131" i="3"/>
  <c r="M131" i="3"/>
  <c r="N130" i="3"/>
  <c r="M130" i="3"/>
  <c r="N129" i="3"/>
  <c r="M129" i="3"/>
  <c r="O129" i="3" s="1"/>
  <c r="P129" i="3" s="1"/>
  <c r="N128" i="3"/>
  <c r="O128" i="3" s="1"/>
  <c r="P128" i="3" s="1"/>
  <c r="M128" i="3"/>
  <c r="N127" i="3"/>
  <c r="M127" i="3"/>
  <c r="O127" i="3" s="1"/>
  <c r="P127" i="3" s="1"/>
  <c r="O126" i="3"/>
  <c r="P126" i="3" s="1"/>
  <c r="N126" i="3"/>
  <c r="M126" i="3"/>
  <c r="N125" i="3"/>
  <c r="M125" i="3"/>
  <c r="O125" i="3" s="1"/>
  <c r="P125" i="3" s="1"/>
  <c r="N124" i="3"/>
  <c r="M124" i="3"/>
  <c r="N123" i="3"/>
  <c r="M123" i="3"/>
  <c r="O123" i="3" s="1"/>
  <c r="P123" i="3" s="1"/>
  <c r="N122" i="3"/>
  <c r="M122" i="3"/>
  <c r="O122" i="3" s="1"/>
  <c r="P122" i="3" s="1"/>
  <c r="N121" i="3"/>
  <c r="M121" i="3"/>
  <c r="O121" i="3" s="1"/>
  <c r="P121" i="3" s="1"/>
  <c r="O120" i="3"/>
  <c r="P120" i="3" s="1"/>
  <c r="N120" i="3"/>
  <c r="M120" i="3"/>
  <c r="P119" i="3"/>
  <c r="O119" i="3"/>
  <c r="N119" i="3"/>
  <c r="M119" i="3"/>
  <c r="N118" i="3"/>
  <c r="M118" i="3"/>
  <c r="O118" i="3" s="1"/>
  <c r="P118" i="3" s="1"/>
  <c r="N117" i="3"/>
  <c r="M117" i="3"/>
  <c r="O117" i="3" s="1"/>
  <c r="P117" i="3" s="1"/>
  <c r="N116" i="3"/>
  <c r="M116" i="3"/>
  <c r="O116" i="3" s="1"/>
  <c r="P116" i="3" s="1"/>
  <c r="N115" i="3"/>
  <c r="M115" i="3"/>
  <c r="O115" i="3" s="1"/>
  <c r="P115" i="3" s="1"/>
  <c r="O114" i="3"/>
  <c r="P114" i="3" s="1"/>
  <c r="N114" i="3"/>
  <c r="M114" i="3"/>
  <c r="O113" i="3"/>
  <c r="P113" i="3" s="1"/>
  <c r="N113" i="3"/>
  <c r="M113" i="3"/>
  <c r="N112" i="3"/>
  <c r="M112" i="3"/>
  <c r="N111" i="3"/>
  <c r="M111" i="3"/>
  <c r="O111" i="3" s="1"/>
  <c r="P111" i="3" s="1"/>
  <c r="O110" i="3"/>
  <c r="P110" i="3" s="1"/>
  <c r="N110" i="3"/>
  <c r="M110" i="3"/>
  <c r="N109" i="3"/>
  <c r="M109" i="3"/>
  <c r="O109" i="3" s="1"/>
  <c r="P109" i="3" s="1"/>
  <c r="O108" i="3"/>
  <c r="P108" i="3" s="1"/>
  <c r="N108" i="3"/>
  <c r="M108" i="3"/>
  <c r="N107" i="3"/>
  <c r="O107" i="3" s="1"/>
  <c r="P107" i="3" s="1"/>
  <c r="M107" i="3"/>
  <c r="N106" i="3"/>
  <c r="M106" i="3"/>
  <c r="N105" i="3"/>
  <c r="M105" i="3"/>
  <c r="O105" i="3" s="1"/>
  <c r="P105" i="3" s="1"/>
  <c r="N104" i="3"/>
  <c r="M104" i="3"/>
  <c r="O104" i="3" s="1"/>
  <c r="P104" i="3" s="1"/>
  <c r="N103" i="3"/>
  <c r="M103" i="3"/>
  <c r="O103" i="3" s="1"/>
  <c r="P103" i="3" s="1"/>
  <c r="O102" i="3"/>
  <c r="P102" i="3" s="1"/>
  <c r="N102" i="3"/>
  <c r="M102" i="3"/>
  <c r="P101" i="3"/>
  <c r="O101" i="3"/>
  <c r="N101" i="3"/>
  <c r="M101" i="3"/>
  <c r="N100" i="3"/>
  <c r="M100" i="3"/>
  <c r="O100" i="3" s="1"/>
  <c r="P100" i="3" s="1"/>
  <c r="N99" i="3"/>
  <c r="M99" i="3"/>
  <c r="O99" i="3" s="1"/>
  <c r="P99" i="3" s="1"/>
  <c r="N98" i="3"/>
  <c r="M98" i="3"/>
  <c r="O98" i="3" s="1"/>
  <c r="P98" i="3" s="1"/>
  <c r="N97" i="3"/>
  <c r="M97" i="3"/>
  <c r="O97" i="3" s="1"/>
  <c r="P97" i="3" s="1"/>
  <c r="N96" i="3"/>
  <c r="M96" i="3"/>
  <c r="O96" i="3" s="1"/>
  <c r="P96" i="3" s="1"/>
  <c r="O95" i="3"/>
  <c r="P95" i="3" s="1"/>
  <c r="N95" i="3"/>
  <c r="M95" i="3"/>
  <c r="N94" i="3"/>
  <c r="M94" i="3"/>
  <c r="N93" i="3"/>
  <c r="M93" i="3"/>
  <c r="O93" i="3" s="1"/>
  <c r="P93" i="3" s="1"/>
  <c r="N92" i="3"/>
  <c r="M92" i="3"/>
  <c r="O92" i="3" s="1"/>
  <c r="P92" i="3" s="1"/>
  <c r="N91" i="3"/>
  <c r="M91" i="3"/>
  <c r="O91" i="3" s="1"/>
  <c r="P91" i="3" s="1"/>
  <c r="O90" i="3"/>
  <c r="P90" i="3" s="1"/>
  <c r="N90" i="3"/>
  <c r="M90" i="3"/>
  <c r="O89" i="3"/>
  <c r="P89" i="3" s="1"/>
  <c r="N89" i="3"/>
  <c r="M89" i="3"/>
  <c r="N88" i="3"/>
  <c r="M88" i="3"/>
  <c r="N87" i="3"/>
  <c r="M87" i="3"/>
  <c r="O87" i="3" s="1"/>
  <c r="P87" i="3" s="1"/>
  <c r="N86" i="3"/>
  <c r="M86" i="3"/>
  <c r="O86" i="3" s="1"/>
  <c r="P86" i="3" s="1"/>
  <c r="N85" i="3"/>
  <c r="M85" i="3"/>
  <c r="O84" i="3"/>
  <c r="P84" i="3" s="1"/>
  <c r="N84" i="3"/>
  <c r="M84" i="3"/>
  <c r="P83" i="3"/>
  <c r="O83" i="3"/>
  <c r="N83" i="3"/>
  <c r="M83" i="3"/>
  <c r="N82" i="3"/>
  <c r="M82" i="3"/>
  <c r="O82" i="3" s="1"/>
  <c r="P82" i="3" s="1"/>
  <c r="N81" i="3"/>
  <c r="M81" i="3"/>
  <c r="O81" i="3" s="1"/>
  <c r="P81" i="3" s="1"/>
  <c r="N80" i="3"/>
  <c r="M80" i="3"/>
  <c r="O80" i="3" s="1"/>
  <c r="P80" i="3" s="1"/>
  <c r="N79" i="3"/>
  <c r="M79" i="3"/>
  <c r="O79" i="3" s="1"/>
  <c r="P79" i="3" s="1"/>
  <c r="N78" i="3"/>
  <c r="M78" i="3"/>
  <c r="O78" i="3" s="1"/>
  <c r="P78" i="3" s="1"/>
  <c r="O77" i="3"/>
  <c r="P77" i="3" s="1"/>
  <c r="N77" i="3"/>
  <c r="M77" i="3"/>
  <c r="N76" i="3"/>
  <c r="M76" i="3"/>
  <c r="N75" i="3"/>
  <c r="M75" i="3"/>
  <c r="O75" i="3" s="1"/>
  <c r="P75" i="3" s="1"/>
  <c r="N74" i="3"/>
  <c r="M74" i="3"/>
  <c r="O74" i="3" s="1"/>
  <c r="P74" i="3" s="1"/>
  <c r="N73" i="3"/>
  <c r="M73" i="3"/>
  <c r="O73" i="3" s="1"/>
  <c r="P73" i="3" s="1"/>
  <c r="O72" i="3"/>
  <c r="P72" i="3" s="1"/>
  <c r="N72" i="3"/>
  <c r="M72" i="3"/>
  <c r="N71" i="3"/>
  <c r="M71" i="3"/>
  <c r="O71" i="3" s="1"/>
  <c r="P71" i="3" s="1"/>
  <c r="N70" i="3"/>
  <c r="M70" i="3"/>
  <c r="N69" i="3"/>
  <c r="M69" i="3"/>
  <c r="O69" i="3" s="1"/>
  <c r="P69" i="3" s="1"/>
  <c r="N68" i="3"/>
  <c r="M68" i="3"/>
  <c r="O68" i="3" s="1"/>
  <c r="P68" i="3" s="1"/>
  <c r="N67" i="3"/>
  <c r="M67" i="3"/>
  <c r="O66" i="3"/>
  <c r="P66" i="3" s="1"/>
  <c r="N66" i="3"/>
  <c r="M66" i="3"/>
  <c r="P65" i="3"/>
  <c r="O65" i="3"/>
  <c r="N65" i="3"/>
  <c r="M65" i="3"/>
  <c r="N64" i="3"/>
  <c r="M64" i="3"/>
  <c r="O64" i="3" s="1"/>
  <c r="P64" i="3" s="1"/>
  <c r="N63" i="3"/>
  <c r="O63" i="3" s="1"/>
  <c r="P63" i="3" s="1"/>
  <c r="M63" i="3"/>
  <c r="N62" i="3"/>
  <c r="M62" i="3"/>
  <c r="O62" i="3" s="1"/>
  <c r="P62" i="3" s="1"/>
  <c r="N61" i="3"/>
  <c r="M61" i="3"/>
  <c r="O61" i="3" s="1"/>
  <c r="P61" i="3" s="1"/>
  <c r="N60" i="3"/>
  <c r="M60" i="3"/>
  <c r="O60" i="3" s="1"/>
  <c r="P60" i="3" s="1"/>
  <c r="O59" i="3"/>
  <c r="P59" i="3" s="1"/>
  <c r="N59" i="3"/>
  <c r="M59" i="3"/>
  <c r="N58" i="3"/>
  <c r="M58" i="3"/>
  <c r="N57" i="3"/>
  <c r="M57" i="3"/>
  <c r="O57" i="3" s="1"/>
  <c r="P57" i="3" s="1"/>
  <c r="N56" i="3"/>
  <c r="M56" i="3"/>
  <c r="O56" i="3" s="1"/>
  <c r="P56" i="3" s="1"/>
  <c r="N55" i="3"/>
  <c r="M55" i="3"/>
  <c r="O55" i="3" s="1"/>
  <c r="P55" i="3" s="1"/>
  <c r="O54" i="3"/>
  <c r="P54" i="3" s="1"/>
  <c r="N54" i="3"/>
  <c r="M54" i="3"/>
  <c r="N53" i="3"/>
  <c r="O53" i="3" s="1"/>
  <c r="P53" i="3" s="1"/>
  <c r="M53" i="3"/>
  <c r="N52" i="3"/>
  <c r="M52" i="3"/>
  <c r="N51" i="3"/>
  <c r="M51" i="3"/>
  <c r="O51" i="3" s="1"/>
  <c r="P51" i="3" s="1"/>
  <c r="N50" i="3"/>
  <c r="M50" i="3"/>
  <c r="O50" i="3" s="1"/>
  <c r="P50" i="3" s="1"/>
  <c r="P49" i="3"/>
  <c r="N49" i="3"/>
  <c r="M49" i="3"/>
  <c r="O49" i="3" s="1"/>
  <c r="O48" i="3"/>
  <c r="P48" i="3" s="1"/>
  <c r="N48" i="3"/>
  <c r="M48" i="3"/>
  <c r="P47" i="3"/>
  <c r="O47" i="3"/>
  <c r="N47" i="3"/>
  <c r="M47" i="3"/>
  <c r="N46" i="3"/>
  <c r="M46" i="3"/>
  <c r="O46" i="3" s="1"/>
  <c r="P46" i="3" s="1"/>
  <c r="O45" i="3"/>
  <c r="P45" i="3" s="1"/>
  <c r="N45" i="3"/>
  <c r="M45" i="3"/>
  <c r="N44" i="3"/>
  <c r="M44" i="3"/>
  <c r="O44" i="3" s="1"/>
  <c r="P44" i="3" s="1"/>
  <c r="N43" i="3"/>
  <c r="M43" i="3"/>
  <c r="O43" i="3" s="1"/>
  <c r="P43" i="3" s="1"/>
  <c r="N42" i="3"/>
  <c r="M42" i="3"/>
  <c r="O42" i="3" s="1"/>
  <c r="P42" i="3" s="1"/>
  <c r="O41" i="3"/>
  <c r="P41" i="3" s="1"/>
  <c r="N41" i="3"/>
  <c r="M41" i="3"/>
  <c r="N40" i="3"/>
  <c r="M40" i="3"/>
  <c r="N39" i="3"/>
  <c r="M39" i="3"/>
  <c r="O39" i="3" s="1"/>
  <c r="P39" i="3" s="1"/>
  <c r="N38" i="3"/>
  <c r="M38" i="3"/>
  <c r="O38" i="3" s="1"/>
  <c r="P38" i="3" s="1"/>
  <c r="N37" i="3"/>
  <c r="M37" i="3"/>
  <c r="O37" i="3" s="1"/>
  <c r="P37" i="3" s="1"/>
  <c r="O36" i="3"/>
  <c r="P36" i="3" s="1"/>
  <c r="N36" i="3"/>
  <c r="M36" i="3"/>
  <c r="O35" i="3"/>
  <c r="P35" i="3" s="1"/>
  <c r="N35" i="3"/>
  <c r="M35" i="3"/>
  <c r="N34" i="3"/>
  <c r="M34" i="3"/>
  <c r="N33" i="3"/>
  <c r="M33" i="3"/>
  <c r="O33" i="3" s="1"/>
  <c r="P33" i="3" s="1"/>
  <c r="N32" i="3"/>
  <c r="M32" i="3"/>
  <c r="O32" i="3" s="1"/>
  <c r="P32" i="3" s="1"/>
  <c r="N31" i="3"/>
  <c r="M31" i="3"/>
  <c r="O31" i="3" s="1"/>
  <c r="P31" i="3" s="1"/>
  <c r="O30" i="3"/>
  <c r="P30" i="3" s="1"/>
  <c r="N30" i="3"/>
  <c r="M30" i="3"/>
  <c r="P29" i="3"/>
  <c r="O29" i="3"/>
  <c r="N29" i="3"/>
  <c r="M29" i="3"/>
  <c r="N28" i="3"/>
  <c r="M28" i="3"/>
  <c r="O28" i="3" s="1"/>
  <c r="P28" i="3" s="1"/>
  <c r="N27" i="3"/>
  <c r="M27" i="3"/>
  <c r="O27" i="3" s="1"/>
  <c r="P27" i="3" s="1"/>
  <c r="N26" i="3"/>
  <c r="M26" i="3"/>
  <c r="O26" i="3" s="1"/>
  <c r="P26" i="3" s="1"/>
  <c r="N25" i="3"/>
  <c r="M25" i="3"/>
  <c r="O25" i="3" s="1"/>
  <c r="P25" i="3" s="1"/>
  <c r="N24" i="3"/>
  <c r="M24" i="3"/>
  <c r="O24" i="3" s="1"/>
  <c r="P24" i="3" s="1"/>
  <c r="O23" i="3"/>
  <c r="P23" i="3" s="1"/>
  <c r="N23" i="3"/>
  <c r="M23" i="3"/>
  <c r="N22" i="3"/>
  <c r="M22" i="3"/>
  <c r="N21" i="3"/>
  <c r="M21" i="3"/>
  <c r="O21" i="3" s="1"/>
  <c r="P21" i="3" s="1"/>
  <c r="N20" i="3"/>
  <c r="M20" i="3"/>
  <c r="O20" i="3" s="1"/>
  <c r="P20" i="3" s="1"/>
  <c r="N19" i="3"/>
  <c r="M19" i="3"/>
  <c r="O19" i="3" s="1"/>
  <c r="P19" i="3" s="1"/>
  <c r="O18" i="3"/>
  <c r="P18" i="3" s="1"/>
  <c r="N18" i="3"/>
  <c r="M18" i="3"/>
  <c r="N17" i="3"/>
  <c r="M17" i="3"/>
  <c r="O17" i="3" s="1"/>
  <c r="P17" i="3" s="1"/>
  <c r="N16" i="3"/>
  <c r="M16" i="3"/>
  <c r="N15" i="3"/>
  <c r="M15" i="3"/>
  <c r="O15" i="3" s="1"/>
  <c r="P15" i="3" s="1"/>
  <c r="N14" i="3"/>
  <c r="M14" i="3"/>
  <c r="O14" i="3" s="1"/>
  <c r="P14" i="3" s="1"/>
  <c r="N13" i="3"/>
  <c r="M13" i="3"/>
  <c r="O12" i="3"/>
  <c r="P12" i="3" s="1"/>
  <c r="N12" i="3"/>
  <c r="M12" i="3"/>
  <c r="P11" i="3"/>
  <c r="O11" i="3"/>
  <c r="N11" i="3"/>
  <c r="M11" i="3"/>
  <c r="N10" i="3"/>
  <c r="M10" i="3"/>
  <c r="N9" i="3"/>
  <c r="O9" i="3" s="1"/>
  <c r="P9" i="3" s="1"/>
  <c r="M9" i="3"/>
  <c r="N8" i="3"/>
  <c r="M8" i="3"/>
  <c r="O8" i="3" s="1"/>
  <c r="P8" i="3" s="1"/>
  <c r="N7" i="3"/>
  <c r="M7" i="3"/>
  <c r="O7" i="3" s="1"/>
  <c r="P7" i="3" s="1"/>
  <c r="N6" i="3"/>
  <c r="M6" i="3"/>
  <c r="P5" i="3"/>
  <c r="O5" i="3"/>
  <c r="N5" i="3"/>
  <c r="M5" i="3"/>
  <c r="N4" i="3"/>
  <c r="M4" i="3"/>
  <c r="N3" i="3"/>
  <c r="M3" i="3"/>
  <c r="O3" i="3" s="1"/>
  <c r="P3" i="3" s="1"/>
  <c r="N2" i="3"/>
  <c r="M2" i="3"/>
  <c r="O2" i="3" s="1"/>
  <c r="P2" i="3" s="1"/>
  <c r="F1164" i="2"/>
  <c r="F1160" i="2"/>
  <c r="G1155" i="2"/>
  <c r="G1154" i="2"/>
  <c r="F1150" i="2"/>
  <c r="F1147" i="2"/>
  <c r="G1146" i="2"/>
  <c r="M1145" i="2"/>
  <c r="G1145" i="2"/>
  <c r="G1144" i="2"/>
  <c r="G1143" i="2"/>
  <c r="I1145" i="2" s="1"/>
  <c r="M1142" i="2"/>
  <c r="G1141" i="2"/>
  <c r="G1140" i="2"/>
  <c r="G1138" i="2"/>
  <c r="F1137" i="2"/>
  <c r="J1135" i="2"/>
  <c r="E1132" i="2"/>
  <c r="N1130" i="2"/>
  <c r="M1130" i="2"/>
  <c r="O1130" i="2" s="1"/>
  <c r="P1130" i="2" s="1"/>
  <c r="N1129" i="2"/>
  <c r="O1129" i="2" s="1"/>
  <c r="P1129" i="2" s="1"/>
  <c r="M1129" i="2"/>
  <c r="N1128" i="2"/>
  <c r="M1128" i="2"/>
  <c r="O1128" i="2" s="1"/>
  <c r="P1128" i="2" s="1"/>
  <c r="M1127" i="2"/>
  <c r="M1126" i="2"/>
  <c r="O1125" i="2"/>
  <c r="P1125" i="2" s="1"/>
  <c r="M1125" i="2"/>
  <c r="N1124" i="2"/>
  <c r="M1124" i="2"/>
  <c r="O1124" i="2" s="1"/>
  <c r="P1124" i="2" s="1"/>
  <c r="N1123" i="2"/>
  <c r="M1123" i="2"/>
  <c r="O1123" i="2" s="1"/>
  <c r="P1123" i="2" s="1"/>
  <c r="P1122" i="2"/>
  <c r="O1122" i="2"/>
  <c r="N1122" i="2"/>
  <c r="M1122" i="2"/>
  <c r="M1121" i="2"/>
  <c r="M1120" i="2"/>
  <c r="O1120" i="2" s="1"/>
  <c r="P1120" i="2" s="1"/>
  <c r="O1119" i="2"/>
  <c r="P1119" i="2" s="1"/>
  <c r="N1119" i="2"/>
  <c r="M1119" i="2"/>
  <c r="N1118" i="2"/>
  <c r="M1118" i="2"/>
  <c r="O1118" i="2" s="1"/>
  <c r="P1118" i="2" s="1"/>
  <c r="M1117" i="2"/>
  <c r="N1116" i="2"/>
  <c r="M1116" i="2"/>
  <c r="O1116" i="2" s="1"/>
  <c r="P1116" i="2" s="1"/>
  <c r="O1115" i="2"/>
  <c r="P1115" i="2" s="1"/>
  <c r="N1115" i="2"/>
  <c r="M1115" i="2"/>
  <c r="O1114" i="2"/>
  <c r="P1114" i="2" s="1"/>
  <c r="N1114" i="2"/>
  <c r="M1114" i="2"/>
  <c r="N1113" i="2"/>
  <c r="M1113" i="2"/>
  <c r="O1113" i="2" s="1"/>
  <c r="P1113" i="2" s="1"/>
  <c r="N1112" i="2"/>
  <c r="O1112" i="2" s="1"/>
  <c r="P1112" i="2" s="1"/>
  <c r="M1112" i="2"/>
  <c r="N1111" i="2"/>
  <c r="M1111" i="2"/>
  <c r="O1111" i="2" s="1"/>
  <c r="P1111" i="2" s="1"/>
  <c r="M1110" i="2"/>
  <c r="N1109" i="2"/>
  <c r="M1109" i="2"/>
  <c r="O1109" i="2" s="1"/>
  <c r="P1109" i="2" s="1"/>
  <c r="N1108" i="2"/>
  <c r="M1108" i="2"/>
  <c r="O1108" i="2" s="1"/>
  <c r="P1108" i="2" s="1"/>
  <c r="N1107" i="2"/>
  <c r="M1107" i="2"/>
  <c r="O1107" i="2" s="1"/>
  <c r="P1107" i="2" s="1"/>
  <c r="O1106" i="2"/>
  <c r="P1106" i="2" s="1"/>
  <c r="N1106" i="2"/>
  <c r="M1106" i="2"/>
  <c r="O1105" i="2"/>
  <c r="P1105" i="2" s="1"/>
  <c r="N1105" i="2"/>
  <c r="M1105" i="2"/>
  <c r="N1104" i="2"/>
  <c r="M1104" i="2"/>
  <c r="O1104" i="2" s="1"/>
  <c r="P1104" i="2" s="1"/>
  <c r="N1103" i="2"/>
  <c r="M1103" i="2"/>
  <c r="O1102" i="2"/>
  <c r="P1102" i="2" s="1"/>
  <c r="N1102" i="2"/>
  <c r="M1102" i="2"/>
  <c r="O1101" i="2"/>
  <c r="P1101" i="2" s="1"/>
  <c r="N1101" i="2"/>
  <c r="M1101" i="2"/>
  <c r="N1100" i="2"/>
  <c r="M1100" i="2"/>
  <c r="O1100" i="2" s="1"/>
  <c r="P1100" i="2" s="1"/>
  <c r="N1099" i="2"/>
  <c r="M1099" i="2"/>
  <c r="O1099" i="2" s="1"/>
  <c r="P1099" i="2" s="1"/>
  <c r="N1098" i="2"/>
  <c r="M1098" i="2"/>
  <c r="O1098" i="2" s="1"/>
  <c r="P1098" i="2" s="1"/>
  <c r="N1097" i="2"/>
  <c r="M1097" i="2"/>
  <c r="O1097" i="2" s="1"/>
  <c r="P1097" i="2" s="1"/>
  <c r="N1096" i="2"/>
  <c r="M1096" i="2"/>
  <c r="O1096" i="2" s="1"/>
  <c r="P1096" i="2" s="1"/>
  <c r="N1095" i="2"/>
  <c r="M1095" i="2"/>
  <c r="O1095" i="2" s="1"/>
  <c r="P1095" i="2" s="1"/>
  <c r="N1094" i="2"/>
  <c r="M1094" i="2"/>
  <c r="O1094" i="2" s="1"/>
  <c r="P1094" i="2" s="1"/>
  <c r="O1093" i="2"/>
  <c r="P1093" i="2" s="1"/>
  <c r="N1093" i="2"/>
  <c r="M1093" i="2"/>
  <c r="M1092" i="2"/>
  <c r="N1091" i="2"/>
  <c r="M1091" i="2"/>
  <c r="O1091" i="2" s="1"/>
  <c r="P1091" i="2" s="1"/>
  <c r="N1090" i="2"/>
  <c r="M1090" i="2"/>
  <c r="O1090" i="2" s="1"/>
  <c r="P1090" i="2" s="1"/>
  <c r="O1089" i="2"/>
  <c r="P1089" i="2" s="1"/>
  <c r="N1089" i="2"/>
  <c r="M1089" i="2"/>
  <c r="P1088" i="2"/>
  <c r="O1088" i="2"/>
  <c r="N1088" i="2"/>
  <c r="M1088" i="2"/>
  <c r="N1087" i="2"/>
  <c r="M1087" i="2"/>
  <c r="O1087" i="2" s="1"/>
  <c r="P1087" i="2" s="1"/>
  <c r="N1086" i="2"/>
  <c r="M1086" i="2"/>
  <c r="O1086" i="2" s="1"/>
  <c r="P1086" i="2" s="1"/>
  <c r="N1085" i="2"/>
  <c r="M1085" i="2"/>
  <c r="O1085" i="2" s="1"/>
  <c r="P1085" i="2" s="1"/>
  <c r="N1084" i="2"/>
  <c r="M1084" i="2"/>
  <c r="O1084" i="2" s="1"/>
  <c r="P1084" i="2" s="1"/>
  <c r="N1083" i="2"/>
  <c r="M1083" i="2"/>
  <c r="O1083" i="2" s="1"/>
  <c r="P1083" i="2" s="1"/>
  <c r="N1082" i="2"/>
  <c r="M1082" i="2"/>
  <c r="O1082" i="2" s="1"/>
  <c r="P1082" i="2" s="1"/>
  <c r="N1081" i="2"/>
  <c r="M1081" i="2"/>
  <c r="O1081" i="2" s="1"/>
  <c r="P1081" i="2" s="1"/>
  <c r="M1080" i="2"/>
  <c r="E1080" i="2"/>
  <c r="N1110" i="2" s="1"/>
  <c r="N1079" i="2"/>
  <c r="O1079" i="2" s="1"/>
  <c r="P1079" i="2" s="1"/>
  <c r="M1079" i="2"/>
  <c r="N1078" i="2"/>
  <c r="M1078" i="2"/>
  <c r="O1078" i="2" s="1"/>
  <c r="P1078" i="2" s="1"/>
  <c r="P1077" i="2"/>
  <c r="N1077" i="2"/>
  <c r="M1077" i="2"/>
  <c r="O1077" i="2" s="1"/>
  <c r="N1076" i="2"/>
  <c r="M1076" i="2"/>
  <c r="O1076" i="2" s="1"/>
  <c r="P1076" i="2" s="1"/>
  <c r="E1076" i="2"/>
  <c r="N1120" i="2" s="1"/>
  <c r="M1075" i="2"/>
  <c r="E1075" i="2"/>
  <c r="N1074" i="2"/>
  <c r="O1074" i="2" s="1"/>
  <c r="P1074" i="2" s="1"/>
  <c r="M1074" i="2"/>
  <c r="M1073" i="2"/>
  <c r="N1072" i="2"/>
  <c r="M1072" i="2"/>
  <c r="O1072" i="2" s="1"/>
  <c r="P1072" i="2" s="1"/>
  <c r="N1071" i="2"/>
  <c r="O1071" i="2" s="1"/>
  <c r="P1071" i="2" s="1"/>
  <c r="M1071" i="2"/>
  <c r="O1070" i="2"/>
  <c r="P1070" i="2" s="1"/>
  <c r="N1070" i="2"/>
  <c r="M1070" i="2"/>
  <c r="N1069" i="2"/>
  <c r="M1069" i="2"/>
  <c r="O1069" i="2" s="1"/>
  <c r="P1069" i="2" s="1"/>
  <c r="N1068" i="2"/>
  <c r="O1068" i="2" s="1"/>
  <c r="P1068" i="2" s="1"/>
  <c r="M1068" i="2"/>
  <c r="N1067" i="2"/>
  <c r="M1067" i="2"/>
  <c r="O1067" i="2" s="1"/>
  <c r="P1067" i="2" s="1"/>
  <c r="O1066" i="2"/>
  <c r="P1066" i="2" s="1"/>
  <c r="N1066" i="2"/>
  <c r="M1066" i="2"/>
  <c r="N1065" i="2"/>
  <c r="O1065" i="2" s="1"/>
  <c r="P1065" i="2" s="1"/>
  <c r="M1065" i="2"/>
  <c r="N1064" i="2"/>
  <c r="M1064" i="2"/>
  <c r="O1064" i="2" s="1"/>
  <c r="P1064" i="2" s="1"/>
  <c r="P1063" i="2"/>
  <c r="N1063" i="2"/>
  <c r="M1063" i="2"/>
  <c r="O1063" i="2" s="1"/>
  <c r="N1062" i="2"/>
  <c r="O1062" i="2" s="1"/>
  <c r="P1062" i="2" s="1"/>
  <c r="M1062" i="2"/>
  <c r="N1061" i="2"/>
  <c r="M1061" i="2"/>
  <c r="O1061" i="2" s="1"/>
  <c r="P1061" i="2" s="1"/>
  <c r="N1060" i="2"/>
  <c r="O1060" i="2" s="1"/>
  <c r="P1060" i="2" s="1"/>
  <c r="M1060" i="2"/>
  <c r="O1059" i="2"/>
  <c r="P1059" i="2" s="1"/>
  <c r="N1059" i="2"/>
  <c r="M1059" i="2"/>
  <c r="E1059" i="2"/>
  <c r="N1121" i="2" s="1"/>
  <c r="M1058" i="2"/>
  <c r="E1058" i="2"/>
  <c r="M1057" i="2"/>
  <c r="E1057" i="2"/>
  <c r="N1125" i="2" s="1"/>
  <c r="N1056" i="2"/>
  <c r="M1056" i="2"/>
  <c r="O1056" i="2" s="1"/>
  <c r="P1056" i="2" s="1"/>
  <c r="N1055" i="2"/>
  <c r="M1055" i="2"/>
  <c r="O1055" i="2" s="1"/>
  <c r="P1055" i="2" s="1"/>
  <c r="M1054" i="2"/>
  <c r="E1054" i="2"/>
  <c r="N1053" i="2"/>
  <c r="M1053" i="2"/>
  <c r="O1053" i="2" s="1"/>
  <c r="P1053" i="2" s="1"/>
  <c r="M1052" i="2"/>
  <c r="E1052" i="2"/>
  <c r="O1051" i="2"/>
  <c r="P1051" i="2" s="1"/>
  <c r="N1051" i="2"/>
  <c r="M1051" i="2"/>
  <c r="O1050" i="2"/>
  <c r="P1050" i="2" s="1"/>
  <c r="N1050" i="2"/>
  <c r="M1050" i="2"/>
  <c r="N1049" i="2"/>
  <c r="M1049" i="2"/>
  <c r="O1049" i="2" s="1"/>
  <c r="P1049" i="2" s="1"/>
  <c r="N1048" i="2"/>
  <c r="O1048" i="2" s="1"/>
  <c r="P1048" i="2" s="1"/>
  <c r="M1048" i="2"/>
  <c r="M1047" i="2"/>
  <c r="N1046" i="2"/>
  <c r="M1046" i="2"/>
  <c r="O1046" i="2" s="1"/>
  <c r="P1046" i="2" s="1"/>
  <c r="N1045" i="2"/>
  <c r="M1045" i="2"/>
  <c r="O1045" i="2" s="1"/>
  <c r="P1045" i="2" s="1"/>
  <c r="N1044" i="2"/>
  <c r="M1044" i="2"/>
  <c r="O1044" i="2" s="1"/>
  <c r="P1044" i="2" s="1"/>
  <c r="N1043" i="2"/>
  <c r="M1043" i="2"/>
  <c r="O1043" i="2" s="1"/>
  <c r="P1043" i="2" s="1"/>
  <c r="N1042" i="2"/>
  <c r="M1042" i="2"/>
  <c r="O1042" i="2" s="1"/>
  <c r="P1042" i="2" s="1"/>
  <c r="O1041" i="2"/>
  <c r="P1041" i="2" s="1"/>
  <c r="N1041" i="2"/>
  <c r="M1041" i="2"/>
  <c r="M1040" i="2"/>
  <c r="N1039" i="2"/>
  <c r="M1039" i="2"/>
  <c r="O1039" i="2" s="1"/>
  <c r="P1039" i="2" s="1"/>
  <c r="N1038" i="2"/>
  <c r="O1038" i="2" s="1"/>
  <c r="P1038" i="2" s="1"/>
  <c r="M1038" i="2"/>
  <c r="M1037" i="2"/>
  <c r="N1036" i="2"/>
  <c r="M1036" i="2"/>
  <c r="O1036" i="2" s="1"/>
  <c r="P1036" i="2" s="1"/>
  <c r="N1035" i="2"/>
  <c r="M1035" i="2"/>
  <c r="O1035" i="2" s="1"/>
  <c r="P1035" i="2" s="1"/>
  <c r="N1034" i="2"/>
  <c r="O1034" i="2" s="1"/>
  <c r="P1034" i="2" s="1"/>
  <c r="M1034" i="2"/>
  <c r="N1033" i="2"/>
  <c r="M1033" i="2"/>
  <c r="O1033" i="2" s="1"/>
  <c r="P1033" i="2" s="1"/>
  <c r="N1032" i="2"/>
  <c r="M1032" i="2"/>
  <c r="N1031" i="2"/>
  <c r="M1031" i="2"/>
  <c r="O1031" i="2" s="1"/>
  <c r="P1031" i="2" s="1"/>
  <c r="N1030" i="2"/>
  <c r="M1030" i="2"/>
  <c r="O1030" i="2" s="1"/>
  <c r="P1030" i="2" s="1"/>
  <c r="N1029" i="2"/>
  <c r="M1029" i="2"/>
  <c r="O1029" i="2" s="1"/>
  <c r="P1029" i="2" s="1"/>
  <c r="O1028" i="2"/>
  <c r="P1028" i="2" s="1"/>
  <c r="N1028" i="2"/>
  <c r="M1028" i="2"/>
  <c r="N1027" i="2"/>
  <c r="M1027" i="2"/>
  <c r="O1027" i="2" s="1"/>
  <c r="P1027" i="2" s="1"/>
  <c r="N1026" i="2"/>
  <c r="M1026" i="2"/>
  <c r="O1026" i="2" s="1"/>
  <c r="P1026" i="2" s="1"/>
  <c r="N1025" i="2"/>
  <c r="O1025" i="2" s="1"/>
  <c r="P1025" i="2" s="1"/>
  <c r="M1025" i="2"/>
  <c r="O1024" i="2"/>
  <c r="P1024" i="2" s="1"/>
  <c r="N1024" i="2"/>
  <c r="M1024" i="2"/>
  <c r="N1023" i="2"/>
  <c r="M1023" i="2"/>
  <c r="O1023" i="2" s="1"/>
  <c r="P1023" i="2" s="1"/>
  <c r="N1022" i="2"/>
  <c r="M1022" i="2"/>
  <c r="O1022" i="2" s="1"/>
  <c r="P1022" i="2" s="1"/>
  <c r="N1021" i="2"/>
  <c r="O1021" i="2" s="1"/>
  <c r="P1021" i="2" s="1"/>
  <c r="M1021" i="2"/>
  <c r="N1020" i="2"/>
  <c r="M1020" i="2"/>
  <c r="O1020" i="2" s="1"/>
  <c r="P1020" i="2" s="1"/>
  <c r="N1019" i="2"/>
  <c r="M1019" i="2"/>
  <c r="O1019" i="2" s="1"/>
  <c r="P1019" i="2" s="1"/>
  <c r="N1018" i="2"/>
  <c r="M1018" i="2"/>
  <c r="O1018" i="2" s="1"/>
  <c r="P1018" i="2" s="1"/>
  <c r="N1017" i="2"/>
  <c r="M1017" i="2"/>
  <c r="O1017" i="2" s="1"/>
  <c r="P1017" i="2" s="1"/>
  <c r="N1016" i="2"/>
  <c r="M1016" i="2"/>
  <c r="O1016" i="2" s="1"/>
  <c r="P1016" i="2" s="1"/>
  <c r="O1015" i="2"/>
  <c r="P1015" i="2" s="1"/>
  <c r="N1015" i="2"/>
  <c r="M1015" i="2"/>
  <c r="O1014" i="2"/>
  <c r="P1014" i="2" s="1"/>
  <c r="N1014" i="2"/>
  <c r="M1014" i="2"/>
  <c r="M1013" i="2"/>
  <c r="N1012" i="2"/>
  <c r="O1012" i="2" s="1"/>
  <c r="P1012" i="2" s="1"/>
  <c r="M1012" i="2"/>
  <c r="N1011" i="2"/>
  <c r="O1011" i="2" s="1"/>
  <c r="P1011" i="2" s="1"/>
  <c r="M1011" i="2"/>
  <c r="M1010" i="2"/>
  <c r="N1009" i="2"/>
  <c r="M1009" i="2"/>
  <c r="O1009" i="2" s="1"/>
  <c r="P1009" i="2" s="1"/>
  <c r="N1008" i="2"/>
  <c r="M1008" i="2"/>
  <c r="O1008" i="2" s="1"/>
  <c r="P1008" i="2" s="1"/>
  <c r="N1007" i="2"/>
  <c r="M1007" i="2"/>
  <c r="O1007" i="2" s="1"/>
  <c r="P1007" i="2" s="1"/>
  <c r="N1006" i="2"/>
  <c r="M1006" i="2"/>
  <c r="O1006" i="2" s="1"/>
  <c r="P1006" i="2" s="1"/>
  <c r="O1005" i="2"/>
  <c r="P1005" i="2" s="1"/>
  <c r="N1005" i="2"/>
  <c r="M1005" i="2"/>
  <c r="N1004" i="2"/>
  <c r="M1004" i="2"/>
  <c r="O1004" i="2" s="1"/>
  <c r="P1004" i="2" s="1"/>
  <c r="N1003" i="2"/>
  <c r="M1003" i="2"/>
  <c r="O1003" i="2" s="1"/>
  <c r="P1003" i="2" s="1"/>
  <c r="O1002" i="2"/>
  <c r="P1002" i="2" s="1"/>
  <c r="N1002" i="2"/>
  <c r="M1002" i="2"/>
  <c r="O1001" i="2"/>
  <c r="P1001" i="2" s="1"/>
  <c r="N1001" i="2"/>
  <c r="M1001" i="2"/>
  <c r="N1000" i="2"/>
  <c r="M1000" i="2"/>
  <c r="O1000" i="2" s="1"/>
  <c r="P1000" i="2" s="1"/>
  <c r="N999" i="2"/>
  <c r="M999" i="2"/>
  <c r="O999" i="2" s="1"/>
  <c r="P999" i="2" s="1"/>
  <c r="N998" i="2"/>
  <c r="O998" i="2" s="1"/>
  <c r="P998" i="2" s="1"/>
  <c r="M998" i="2"/>
  <c r="M997" i="2"/>
  <c r="N996" i="2"/>
  <c r="M996" i="2"/>
  <c r="O996" i="2" s="1"/>
  <c r="P996" i="2" s="1"/>
  <c r="N995" i="2"/>
  <c r="M995" i="2"/>
  <c r="O995" i="2" s="1"/>
  <c r="P995" i="2" s="1"/>
  <c r="N994" i="2"/>
  <c r="M994" i="2"/>
  <c r="O994" i="2" s="1"/>
  <c r="P994" i="2" s="1"/>
  <c r="N993" i="2"/>
  <c r="M993" i="2"/>
  <c r="O993" i="2" s="1"/>
  <c r="P993" i="2" s="1"/>
  <c r="P992" i="2"/>
  <c r="O992" i="2"/>
  <c r="N992" i="2"/>
  <c r="M992" i="2"/>
  <c r="N991" i="2"/>
  <c r="M991" i="2"/>
  <c r="O991" i="2" s="1"/>
  <c r="P991" i="2" s="1"/>
  <c r="N990" i="2"/>
  <c r="M990" i="2"/>
  <c r="O990" i="2" s="1"/>
  <c r="P990" i="2" s="1"/>
  <c r="N989" i="2"/>
  <c r="O989" i="2" s="1"/>
  <c r="P989" i="2" s="1"/>
  <c r="M989" i="2"/>
  <c r="M988" i="2"/>
  <c r="N987" i="2"/>
  <c r="M987" i="2"/>
  <c r="O987" i="2" s="1"/>
  <c r="P987" i="2" s="1"/>
  <c r="N986" i="2"/>
  <c r="M986" i="2"/>
  <c r="O986" i="2" s="1"/>
  <c r="P986" i="2" s="1"/>
  <c r="N985" i="2"/>
  <c r="O985" i="2" s="1"/>
  <c r="P985" i="2" s="1"/>
  <c r="M985" i="2"/>
  <c r="N984" i="2"/>
  <c r="M984" i="2"/>
  <c r="O984" i="2" s="1"/>
  <c r="P984" i="2" s="1"/>
  <c r="N983" i="2"/>
  <c r="M983" i="2"/>
  <c r="P982" i="2"/>
  <c r="N982" i="2"/>
  <c r="M982" i="2"/>
  <c r="O982" i="2" s="1"/>
  <c r="N981" i="2"/>
  <c r="M981" i="2"/>
  <c r="O981" i="2" s="1"/>
  <c r="P981" i="2" s="1"/>
  <c r="N980" i="2"/>
  <c r="M980" i="2"/>
  <c r="O980" i="2" s="1"/>
  <c r="P980" i="2" s="1"/>
  <c r="P979" i="2"/>
  <c r="O979" i="2"/>
  <c r="N979" i="2"/>
  <c r="M979" i="2"/>
  <c r="O978" i="2"/>
  <c r="P978" i="2" s="1"/>
  <c r="N978" i="2"/>
  <c r="M978" i="2"/>
  <c r="N977" i="2"/>
  <c r="M977" i="2"/>
  <c r="O977" i="2" s="1"/>
  <c r="P977" i="2" s="1"/>
  <c r="N976" i="2"/>
  <c r="O976" i="2" s="1"/>
  <c r="P976" i="2" s="1"/>
  <c r="M976" i="2"/>
  <c r="N975" i="2"/>
  <c r="O975" i="2" s="1"/>
  <c r="P975" i="2" s="1"/>
  <c r="M975" i="2"/>
  <c r="N974" i="2"/>
  <c r="M974" i="2"/>
  <c r="O974" i="2" s="1"/>
  <c r="P974" i="2" s="1"/>
  <c r="O973" i="2"/>
  <c r="P973" i="2" s="1"/>
  <c r="N973" i="2"/>
  <c r="M973" i="2"/>
  <c r="N972" i="2"/>
  <c r="M972" i="2"/>
  <c r="O972" i="2" s="1"/>
  <c r="P972" i="2" s="1"/>
  <c r="N971" i="2"/>
  <c r="M971" i="2"/>
  <c r="O971" i="2" s="1"/>
  <c r="P971" i="2" s="1"/>
  <c r="N970" i="2"/>
  <c r="M970" i="2"/>
  <c r="O969" i="2"/>
  <c r="P969" i="2" s="1"/>
  <c r="N969" i="2"/>
  <c r="M969" i="2"/>
  <c r="N968" i="2"/>
  <c r="M968" i="2"/>
  <c r="O968" i="2" s="1"/>
  <c r="P968" i="2" s="1"/>
  <c r="N967" i="2"/>
  <c r="M967" i="2"/>
  <c r="O967" i="2" s="1"/>
  <c r="P967" i="2" s="1"/>
  <c r="N966" i="2"/>
  <c r="O966" i="2" s="1"/>
  <c r="P966" i="2" s="1"/>
  <c r="M966" i="2"/>
  <c r="O965" i="2"/>
  <c r="P965" i="2" s="1"/>
  <c r="N965" i="2"/>
  <c r="M965" i="2"/>
  <c r="N964" i="2"/>
  <c r="M964" i="2"/>
  <c r="O964" i="2" s="1"/>
  <c r="P964" i="2" s="1"/>
  <c r="N963" i="2"/>
  <c r="O963" i="2" s="1"/>
  <c r="P963" i="2" s="1"/>
  <c r="M963" i="2"/>
  <c r="N962" i="2"/>
  <c r="O962" i="2" s="1"/>
  <c r="P962" i="2" s="1"/>
  <c r="M962" i="2"/>
  <c r="N961" i="2"/>
  <c r="M961" i="2"/>
  <c r="O961" i="2" s="1"/>
  <c r="P961" i="2" s="1"/>
  <c r="N960" i="2"/>
  <c r="M960" i="2"/>
  <c r="N959" i="2"/>
  <c r="M959" i="2"/>
  <c r="O959" i="2" s="1"/>
  <c r="P959" i="2" s="1"/>
  <c r="N958" i="2"/>
  <c r="M958" i="2"/>
  <c r="O958" i="2" s="1"/>
  <c r="P958" i="2" s="1"/>
  <c r="N957" i="2"/>
  <c r="M957" i="2"/>
  <c r="O957" i="2" s="1"/>
  <c r="P957" i="2" s="1"/>
  <c r="O956" i="2"/>
  <c r="P956" i="2" s="1"/>
  <c r="N956" i="2"/>
  <c r="M956" i="2"/>
  <c r="N955" i="2"/>
  <c r="M955" i="2"/>
  <c r="O955" i="2" s="1"/>
  <c r="P955" i="2" s="1"/>
  <c r="N954" i="2"/>
  <c r="M954" i="2"/>
  <c r="O954" i="2" s="1"/>
  <c r="P954" i="2" s="1"/>
  <c r="O953" i="2"/>
  <c r="P953" i="2" s="1"/>
  <c r="N953" i="2"/>
  <c r="M953" i="2"/>
  <c r="O952" i="2"/>
  <c r="P952" i="2" s="1"/>
  <c r="N952" i="2"/>
  <c r="M952" i="2"/>
  <c r="N951" i="2"/>
  <c r="M951" i="2"/>
  <c r="O951" i="2" s="1"/>
  <c r="P951" i="2" s="1"/>
  <c r="N950" i="2"/>
  <c r="M950" i="2"/>
  <c r="O950" i="2" s="1"/>
  <c r="P950" i="2" s="1"/>
  <c r="N949" i="2"/>
  <c r="O949" i="2" s="1"/>
  <c r="P949" i="2" s="1"/>
  <c r="M949" i="2"/>
  <c r="N948" i="2"/>
  <c r="M948" i="2"/>
  <c r="O948" i="2" s="1"/>
  <c r="P948" i="2" s="1"/>
  <c r="N947" i="2"/>
  <c r="M947" i="2"/>
  <c r="O947" i="2" s="1"/>
  <c r="P947" i="2" s="1"/>
  <c r="P946" i="2"/>
  <c r="N946" i="2"/>
  <c r="M946" i="2"/>
  <c r="O946" i="2" s="1"/>
  <c r="N945" i="2"/>
  <c r="M945" i="2"/>
  <c r="O945" i="2" s="1"/>
  <c r="P945" i="2" s="1"/>
  <c r="N944" i="2"/>
  <c r="M944" i="2"/>
  <c r="O944" i="2" s="1"/>
  <c r="P944" i="2" s="1"/>
  <c r="P943" i="2"/>
  <c r="O943" i="2"/>
  <c r="N943" i="2"/>
  <c r="M943" i="2"/>
  <c r="O942" i="2"/>
  <c r="P942" i="2" s="1"/>
  <c r="N942" i="2"/>
  <c r="M942" i="2"/>
  <c r="N941" i="2"/>
  <c r="M941" i="2"/>
  <c r="O941" i="2" s="1"/>
  <c r="P941" i="2" s="1"/>
  <c r="P940" i="2"/>
  <c r="O940" i="2"/>
  <c r="N940" i="2"/>
  <c r="M940" i="2"/>
  <c r="N939" i="2"/>
  <c r="O939" i="2" s="1"/>
  <c r="P939" i="2" s="1"/>
  <c r="M939" i="2"/>
  <c r="N938" i="2"/>
  <c r="M938" i="2"/>
  <c r="O938" i="2" s="1"/>
  <c r="P938" i="2" s="1"/>
  <c r="N937" i="2"/>
  <c r="O937" i="2" s="1"/>
  <c r="P937" i="2" s="1"/>
  <c r="M937" i="2"/>
  <c r="M936" i="2"/>
  <c r="M935" i="2"/>
  <c r="M934" i="2"/>
  <c r="M933" i="2"/>
  <c r="N932" i="2"/>
  <c r="M932" i="2"/>
  <c r="O932" i="2" s="1"/>
  <c r="P932" i="2" s="1"/>
  <c r="N931" i="2"/>
  <c r="M931" i="2"/>
  <c r="O931" i="2" s="1"/>
  <c r="P931" i="2" s="1"/>
  <c r="O930" i="2"/>
  <c r="P930" i="2" s="1"/>
  <c r="N930" i="2"/>
  <c r="M930" i="2"/>
  <c r="O929" i="2"/>
  <c r="P929" i="2" s="1"/>
  <c r="N929" i="2"/>
  <c r="M929" i="2"/>
  <c r="N928" i="2"/>
  <c r="M928" i="2"/>
  <c r="O928" i="2" s="1"/>
  <c r="P928" i="2" s="1"/>
  <c r="N927" i="2"/>
  <c r="M927" i="2"/>
  <c r="O927" i="2" s="1"/>
  <c r="P927" i="2" s="1"/>
  <c r="N926" i="2"/>
  <c r="O926" i="2" s="1"/>
  <c r="P926" i="2" s="1"/>
  <c r="M926" i="2"/>
  <c r="N925" i="2"/>
  <c r="M925" i="2"/>
  <c r="O925" i="2" s="1"/>
  <c r="P925" i="2" s="1"/>
  <c r="N924" i="2"/>
  <c r="M924" i="2"/>
  <c r="P923" i="2"/>
  <c r="N923" i="2"/>
  <c r="M923" i="2"/>
  <c r="O923" i="2" s="1"/>
  <c r="N922" i="2"/>
  <c r="M922" i="2"/>
  <c r="O922" i="2" s="1"/>
  <c r="P922" i="2" s="1"/>
  <c r="M921" i="2"/>
  <c r="M920" i="2"/>
  <c r="N919" i="2"/>
  <c r="M919" i="2"/>
  <c r="O919" i="2" s="1"/>
  <c r="P919" i="2" s="1"/>
  <c r="N918" i="2"/>
  <c r="M918" i="2"/>
  <c r="O918" i="2" s="1"/>
  <c r="P918" i="2" s="1"/>
  <c r="N917" i="2"/>
  <c r="O917" i="2" s="1"/>
  <c r="P917" i="2" s="1"/>
  <c r="M917" i="2"/>
  <c r="M916" i="2"/>
  <c r="M915" i="2"/>
  <c r="O914" i="2"/>
  <c r="P914" i="2" s="1"/>
  <c r="N914" i="2"/>
  <c r="M914" i="2"/>
  <c r="M913" i="2"/>
  <c r="M912" i="2"/>
  <c r="N911" i="2"/>
  <c r="M911" i="2"/>
  <c r="N910" i="2"/>
  <c r="M910" i="2"/>
  <c r="O910" i="2" s="1"/>
  <c r="P910" i="2" s="1"/>
  <c r="N909" i="2"/>
  <c r="M909" i="2"/>
  <c r="O909" i="2" s="1"/>
  <c r="P909" i="2" s="1"/>
  <c r="N908" i="2"/>
  <c r="M908" i="2"/>
  <c r="O908" i="2" s="1"/>
  <c r="P908" i="2" s="1"/>
  <c r="O907" i="2"/>
  <c r="P907" i="2" s="1"/>
  <c r="N907" i="2"/>
  <c r="M907" i="2"/>
  <c r="O906" i="2"/>
  <c r="P906" i="2" s="1"/>
  <c r="N906" i="2"/>
  <c r="M906" i="2"/>
  <c r="N905" i="2"/>
  <c r="M905" i="2"/>
  <c r="O905" i="2" s="1"/>
  <c r="P905" i="2" s="1"/>
  <c r="O904" i="2"/>
  <c r="P904" i="2" s="1"/>
  <c r="N904" i="2"/>
  <c r="M904" i="2"/>
  <c r="N903" i="2"/>
  <c r="O903" i="2" s="1"/>
  <c r="P903" i="2" s="1"/>
  <c r="M903" i="2"/>
  <c r="N902" i="2"/>
  <c r="M902" i="2"/>
  <c r="O902" i="2" s="1"/>
  <c r="P902" i="2" s="1"/>
  <c r="N901" i="2"/>
  <c r="M901" i="2"/>
  <c r="O901" i="2" s="1"/>
  <c r="P901" i="2" s="1"/>
  <c r="N900" i="2"/>
  <c r="M900" i="2"/>
  <c r="O900" i="2" s="1"/>
  <c r="P900" i="2" s="1"/>
  <c r="N899" i="2"/>
  <c r="M899" i="2"/>
  <c r="O899" i="2" s="1"/>
  <c r="P899" i="2" s="1"/>
  <c r="N898" i="2"/>
  <c r="M898" i="2"/>
  <c r="O898" i="2" s="1"/>
  <c r="P898" i="2" s="1"/>
  <c r="O897" i="2"/>
  <c r="P897" i="2" s="1"/>
  <c r="N897" i="2"/>
  <c r="M897" i="2"/>
  <c r="N896" i="2"/>
  <c r="M896" i="2"/>
  <c r="O896" i="2" s="1"/>
  <c r="P896" i="2" s="1"/>
  <c r="N895" i="2"/>
  <c r="M895" i="2"/>
  <c r="O895" i="2" s="1"/>
  <c r="P895" i="2" s="1"/>
  <c r="N894" i="2"/>
  <c r="O894" i="2" s="1"/>
  <c r="P894" i="2" s="1"/>
  <c r="M894" i="2"/>
  <c r="O893" i="2"/>
  <c r="P893" i="2" s="1"/>
  <c r="N893" i="2"/>
  <c r="M893" i="2"/>
  <c r="N892" i="2"/>
  <c r="M892" i="2"/>
  <c r="O892" i="2" s="1"/>
  <c r="P892" i="2" s="1"/>
  <c r="N891" i="2"/>
  <c r="M891" i="2"/>
  <c r="O891" i="2" s="1"/>
  <c r="P891" i="2" s="1"/>
  <c r="N890" i="2"/>
  <c r="O890" i="2" s="1"/>
  <c r="P890" i="2" s="1"/>
  <c r="M890" i="2"/>
  <c r="N889" i="2"/>
  <c r="M889" i="2"/>
  <c r="O889" i="2" s="1"/>
  <c r="P889" i="2" s="1"/>
  <c r="N888" i="2"/>
  <c r="M888" i="2"/>
  <c r="O888" i="2" s="1"/>
  <c r="P888" i="2" s="1"/>
  <c r="P887" i="2"/>
  <c r="N887" i="2"/>
  <c r="M887" i="2"/>
  <c r="O887" i="2" s="1"/>
  <c r="N886" i="2"/>
  <c r="M886" i="2"/>
  <c r="O886" i="2" s="1"/>
  <c r="P886" i="2" s="1"/>
  <c r="N885" i="2"/>
  <c r="M885" i="2"/>
  <c r="O885" i="2" s="1"/>
  <c r="P885" i="2" s="1"/>
  <c r="O884" i="2"/>
  <c r="P884" i="2" s="1"/>
  <c r="N884" i="2"/>
  <c r="M884" i="2"/>
  <c r="N883" i="2"/>
  <c r="M883" i="2"/>
  <c r="O883" i="2" s="1"/>
  <c r="P883" i="2" s="1"/>
  <c r="N882" i="2"/>
  <c r="M882" i="2"/>
  <c r="O882" i="2" s="1"/>
  <c r="P882" i="2" s="1"/>
  <c r="N881" i="2"/>
  <c r="O881" i="2" s="1"/>
  <c r="P881" i="2" s="1"/>
  <c r="M881" i="2"/>
  <c r="O880" i="2"/>
  <c r="P880" i="2" s="1"/>
  <c r="N880" i="2"/>
  <c r="M880" i="2"/>
  <c r="N879" i="2"/>
  <c r="M879" i="2"/>
  <c r="O879" i="2" s="1"/>
  <c r="P879" i="2" s="1"/>
  <c r="N878" i="2"/>
  <c r="O878" i="2" s="1"/>
  <c r="P878" i="2" s="1"/>
  <c r="M878" i="2"/>
  <c r="N877" i="2"/>
  <c r="O877" i="2" s="1"/>
  <c r="P877" i="2" s="1"/>
  <c r="M877" i="2"/>
  <c r="N876" i="2"/>
  <c r="M876" i="2"/>
  <c r="O876" i="2" s="1"/>
  <c r="P876" i="2" s="1"/>
  <c r="N875" i="2"/>
  <c r="M875" i="2"/>
  <c r="O875" i="2" s="1"/>
  <c r="P875" i="2" s="1"/>
  <c r="N874" i="2"/>
  <c r="M874" i="2"/>
  <c r="O874" i="2" s="1"/>
  <c r="P874" i="2" s="1"/>
  <c r="N873" i="2"/>
  <c r="M873" i="2"/>
  <c r="O873" i="2" s="1"/>
  <c r="P873" i="2" s="1"/>
  <c r="N872" i="2"/>
  <c r="M872" i="2"/>
  <c r="O872" i="2" s="1"/>
  <c r="P872" i="2" s="1"/>
  <c r="O871" i="2"/>
  <c r="P871" i="2" s="1"/>
  <c r="N871" i="2"/>
  <c r="M871" i="2"/>
  <c r="O870" i="2"/>
  <c r="P870" i="2" s="1"/>
  <c r="N870" i="2"/>
  <c r="M870" i="2"/>
  <c r="N869" i="2"/>
  <c r="M869" i="2"/>
  <c r="O869" i="2" s="1"/>
  <c r="P869" i="2" s="1"/>
  <c r="P868" i="2"/>
  <c r="O868" i="2"/>
  <c r="N868" i="2"/>
  <c r="M868" i="2"/>
  <c r="N867" i="2"/>
  <c r="O867" i="2" s="1"/>
  <c r="P867" i="2" s="1"/>
  <c r="M867" i="2"/>
  <c r="N866" i="2"/>
  <c r="M866" i="2"/>
  <c r="O866" i="2" s="1"/>
  <c r="P866" i="2" s="1"/>
  <c r="N865" i="2"/>
  <c r="M865" i="2"/>
  <c r="O865" i="2" s="1"/>
  <c r="P865" i="2" s="1"/>
  <c r="N864" i="2"/>
  <c r="M864" i="2"/>
  <c r="O864" i="2" s="1"/>
  <c r="P864" i="2" s="1"/>
  <c r="N863" i="2"/>
  <c r="M863" i="2"/>
  <c r="O863" i="2" s="1"/>
  <c r="P863" i="2" s="1"/>
  <c r="N862" i="2"/>
  <c r="M862" i="2"/>
  <c r="O862" i="2" s="1"/>
  <c r="P862" i="2" s="1"/>
  <c r="O861" i="2"/>
  <c r="P861" i="2" s="1"/>
  <c r="N861" i="2"/>
  <c r="M861" i="2"/>
  <c r="N860" i="2"/>
  <c r="M860" i="2"/>
  <c r="O860" i="2" s="1"/>
  <c r="P860" i="2" s="1"/>
  <c r="N859" i="2"/>
  <c r="M859" i="2"/>
  <c r="O859" i="2" s="1"/>
  <c r="P859" i="2" s="1"/>
  <c r="O858" i="2"/>
  <c r="P858" i="2" s="1"/>
  <c r="N858" i="2"/>
  <c r="M858" i="2"/>
  <c r="O857" i="2"/>
  <c r="P857" i="2" s="1"/>
  <c r="N857" i="2"/>
  <c r="M857" i="2"/>
  <c r="N856" i="2"/>
  <c r="M856" i="2"/>
  <c r="O856" i="2" s="1"/>
  <c r="P856" i="2" s="1"/>
  <c r="N855" i="2"/>
  <c r="M855" i="2"/>
  <c r="O855" i="2" s="1"/>
  <c r="P855" i="2" s="1"/>
  <c r="N854" i="2"/>
  <c r="O854" i="2" s="1"/>
  <c r="P854" i="2" s="1"/>
  <c r="M854" i="2"/>
  <c r="N853" i="2"/>
  <c r="M853" i="2"/>
  <c r="O853" i="2" s="1"/>
  <c r="P853" i="2" s="1"/>
  <c r="N852" i="2"/>
  <c r="M852" i="2"/>
  <c r="O852" i="2" s="1"/>
  <c r="P852" i="2" s="1"/>
  <c r="N851" i="2"/>
  <c r="M851" i="2"/>
  <c r="O851" i="2" s="1"/>
  <c r="P851" i="2" s="1"/>
  <c r="N850" i="2"/>
  <c r="M850" i="2"/>
  <c r="O850" i="2" s="1"/>
  <c r="P850" i="2" s="1"/>
  <c r="N849" i="2"/>
  <c r="M849" i="2"/>
  <c r="O849" i="2" s="1"/>
  <c r="P849" i="2" s="1"/>
  <c r="P848" i="2"/>
  <c r="O848" i="2"/>
  <c r="N848" i="2"/>
  <c r="M848" i="2"/>
  <c r="N847" i="2"/>
  <c r="M847" i="2"/>
  <c r="O847" i="2" s="1"/>
  <c r="P847" i="2" s="1"/>
  <c r="N846" i="2"/>
  <c r="M846" i="2"/>
  <c r="O846" i="2" s="1"/>
  <c r="P846" i="2" s="1"/>
  <c r="N845" i="2"/>
  <c r="O845" i="2" s="1"/>
  <c r="P845" i="2" s="1"/>
  <c r="M845" i="2"/>
  <c r="O844" i="2"/>
  <c r="P844" i="2" s="1"/>
  <c r="N844" i="2"/>
  <c r="M844" i="2"/>
  <c r="N843" i="2"/>
  <c r="M843" i="2"/>
  <c r="O843" i="2" s="1"/>
  <c r="P843" i="2" s="1"/>
  <c r="N842" i="2"/>
  <c r="M842" i="2"/>
  <c r="O842" i="2" s="1"/>
  <c r="P842" i="2" s="1"/>
  <c r="N841" i="2"/>
  <c r="O841" i="2" s="1"/>
  <c r="P841" i="2" s="1"/>
  <c r="M841" i="2"/>
  <c r="M840" i="2"/>
  <c r="N839" i="2"/>
  <c r="M839" i="2"/>
  <c r="M838" i="2"/>
  <c r="M837" i="2"/>
  <c r="M836" i="2"/>
  <c r="M835" i="2"/>
  <c r="M834" i="2"/>
  <c r="M833" i="2"/>
  <c r="N832" i="2"/>
  <c r="O832" i="2" s="1"/>
  <c r="P832" i="2" s="1"/>
  <c r="M832" i="2"/>
  <c r="N831" i="2"/>
  <c r="O831" i="2" s="1"/>
  <c r="P831" i="2" s="1"/>
  <c r="M831" i="2"/>
  <c r="N830" i="2"/>
  <c r="M830" i="2"/>
  <c r="O830" i="2" s="1"/>
  <c r="P830" i="2" s="1"/>
  <c r="N829" i="2"/>
  <c r="O829" i="2" s="1"/>
  <c r="P829" i="2" s="1"/>
  <c r="M829" i="2"/>
  <c r="N828" i="2"/>
  <c r="M828" i="2"/>
  <c r="O828" i="2" s="1"/>
  <c r="P828" i="2" s="1"/>
  <c r="N827" i="2"/>
  <c r="M827" i="2"/>
  <c r="O827" i="2" s="1"/>
  <c r="P827" i="2" s="1"/>
  <c r="N826" i="2"/>
  <c r="M826" i="2"/>
  <c r="O825" i="2"/>
  <c r="P825" i="2" s="1"/>
  <c r="N825" i="2"/>
  <c r="M825" i="2"/>
  <c r="N824" i="2"/>
  <c r="M824" i="2"/>
  <c r="O824" i="2" s="1"/>
  <c r="P824" i="2" s="1"/>
  <c r="N823" i="2"/>
  <c r="M823" i="2"/>
  <c r="O823" i="2" s="1"/>
  <c r="P823" i="2" s="1"/>
  <c r="O822" i="2"/>
  <c r="P822" i="2" s="1"/>
  <c r="N822" i="2"/>
  <c r="M822" i="2"/>
  <c r="O821" i="2"/>
  <c r="P821" i="2" s="1"/>
  <c r="N821" i="2"/>
  <c r="M821" i="2"/>
  <c r="N820" i="2"/>
  <c r="M820" i="2"/>
  <c r="O820" i="2" s="1"/>
  <c r="P820" i="2" s="1"/>
  <c r="N819" i="2"/>
  <c r="O819" i="2" s="1"/>
  <c r="P819" i="2" s="1"/>
  <c r="M819" i="2"/>
  <c r="N818" i="2"/>
  <c r="O818" i="2" s="1"/>
  <c r="P818" i="2" s="1"/>
  <c r="M818" i="2"/>
  <c r="N817" i="2"/>
  <c r="M817" i="2"/>
  <c r="O817" i="2" s="1"/>
  <c r="P817" i="2" s="1"/>
  <c r="N816" i="2"/>
  <c r="M816" i="2"/>
  <c r="N815" i="2"/>
  <c r="M815" i="2"/>
  <c r="O815" i="2" s="1"/>
  <c r="P815" i="2" s="1"/>
  <c r="N814" i="2"/>
  <c r="M814" i="2"/>
  <c r="O814" i="2" s="1"/>
  <c r="P814" i="2" s="1"/>
  <c r="N813" i="2"/>
  <c r="M813" i="2"/>
  <c r="O813" i="2" s="1"/>
  <c r="P813" i="2" s="1"/>
  <c r="M812" i="2"/>
  <c r="M811" i="2"/>
  <c r="M810" i="2"/>
  <c r="N809" i="2"/>
  <c r="O809" i="2" s="1"/>
  <c r="P809" i="2" s="1"/>
  <c r="M809" i="2"/>
  <c r="M808" i="2"/>
  <c r="M807" i="2"/>
  <c r="N806" i="2"/>
  <c r="M806" i="2"/>
  <c r="O806" i="2" s="1"/>
  <c r="P806" i="2" s="1"/>
  <c r="M805" i="2"/>
  <c r="M804" i="2"/>
  <c r="N803" i="2"/>
  <c r="M803" i="2"/>
  <c r="O803" i="2" s="1"/>
  <c r="P803" i="2" s="1"/>
  <c r="N802" i="2"/>
  <c r="M802" i="2"/>
  <c r="O802" i="2" s="1"/>
  <c r="P802" i="2" s="1"/>
  <c r="N801" i="2"/>
  <c r="M801" i="2"/>
  <c r="O801" i="2" s="1"/>
  <c r="P801" i="2" s="1"/>
  <c r="N800" i="2"/>
  <c r="M800" i="2"/>
  <c r="O800" i="2" s="1"/>
  <c r="P800" i="2" s="1"/>
  <c r="P799" i="2"/>
  <c r="O799" i="2"/>
  <c r="N799" i="2"/>
  <c r="M799" i="2"/>
  <c r="O798" i="2"/>
  <c r="P798" i="2" s="1"/>
  <c r="N798" i="2"/>
  <c r="M798" i="2"/>
  <c r="N797" i="2"/>
  <c r="M797" i="2"/>
  <c r="O797" i="2" s="1"/>
  <c r="P797" i="2" s="1"/>
  <c r="N796" i="2"/>
  <c r="O796" i="2" s="1"/>
  <c r="P796" i="2" s="1"/>
  <c r="M796" i="2"/>
  <c r="N795" i="2"/>
  <c r="O795" i="2" s="1"/>
  <c r="P795" i="2" s="1"/>
  <c r="M795" i="2"/>
  <c r="N794" i="2"/>
  <c r="M794" i="2"/>
  <c r="O794" i="2" s="1"/>
  <c r="P794" i="2" s="1"/>
  <c r="N793" i="2"/>
  <c r="M793" i="2"/>
  <c r="O793" i="2" s="1"/>
  <c r="P793" i="2" s="1"/>
  <c r="N792" i="2"/>
  <c r="M792" i="2"/>
  <c r="O792" i="2" s="1"/>
  <c r="P792" i="2" s="1"/>
  <c r="N791" i="2"/>
  <c r="M791" i="2"/>
  <c r="O791" i="2" s="1"/>
  <c r="P791" i="2" s="1"/>
  <c r="N790" i="2"/>
  <c r="M790" i="2"/>
  <c r="O789" i="2"/>
  <c r="P789" i="2" s="1"/>
  <c r="N789" i="2"/>
  <c r="M789" i="2"/>
  <c r="N788" i="2"/>
  <c r="M788" i="2"/>
  <c r="O788" i="2" s="1"/>
  <c r="P788" i="2" s="1"/>
  <c r="N787" i="2"/>
  <c r="M787" i="2"/>
  <c r="O787" i="2" s="1"/>
  <c r="P787" i="2" s="1"/>
  <c r="O786" i="2"/>
  <c r="P786" i="2" s="1"/>
  <c r="N786" i="2"/>
  <c r="M786" i="2"/>
  <c r="O785" i="2"/>
  <c r="P785" i="2" s="1"/>
  <c r="N785" i="2"/>
  <c r="M785" i="2"/>
  <c r="N784" i="2"/>
  <c r="M784" i="2"/>
  <c r="O784" i="2" s="1"/>
  <c r="P784" i="2" s="1"/>
  <c r="N783" i="2"/>
  <c r="M783" i="2"/>
  <c r="O783" i="2" s="1"/>
  <c r="P783" i="2" s="1"/>
  <c r="N782" i="2"/>
  <c r="O782" i="2" s="1"/>
  <c r="P782" i="2" s="1"/>
  <c r="M782" i="2"/>
  <c r="N781" i="2"/>
  <c r="M781" i="2"/>
  <c r="O781" i="2" s="1"/>
  <c r="P781" i="2" s="1"/>
  <c r="N780" i="2"/>
  <c r="M780" i="2"/>
  <c r="N779" i="2"/>
  <c r="M779" i="2"/>
  <c r="O779" i="2" s="1"/>
  <c r="P779" i="2" s="1"/>
  <c r="N778" i="2"/>
  <c r="M778" i="2"/>
  <c r="O778" i="2" s="1"/>
  <c r="P778" i="2" s="1"/>
  <c r="N777" i="2"/>
  <c r="M777" i="2"/>
  <c r="O777" i="2" s="1"/>
  <c r="P777" i="2" s="1"/>
  <c r="P776" i="2"/>
  <c r="O776" i="2"/>
  <c r="N776" i="2"/>
  <c r="M776" i="2"/>
  <c r="N775" i="2"/>
  <c r="M775" i="2"/>
  <c r="O775" i="2" s="1"/>
  <c r="P775" i="2" s="1"/>
  <c r="N774" i="2"/>
  <c r="M774" i="2"/>
  <c r="O774" i="2" s="1"/>
  <c r="P774" i="2" s="1"/>
  <c r="N773" i="2"/>
  <c r="O773" i="2" s="1"/>
  <c r="P773" i="2" s="1"/>
  <c r="M773" i="2"/>
  <c r="O772" i="2"/>
  <c r="P772" i="2" s="1"/>
  <c r="N772" i="2"/>
  <c r="M772" i="2"/>
  <c r="N771" i="2"/>
  <c r="M771" i="2"/>
  <c r="O771" i="2" s="1"/>
  <c r="P771" i="2" s="1"/>
  <c r="N770" i="2"/>
  <c r="M770" i="2"/>
  <c r="O770" i="2" s="1"/>
  <c r="P770" i="2" s="1"/>
  <c r="N769" i="2"/>
  <c r="O769" i="2" s="1"/>
  <c r="P769" i="2" s="1"/>
  <c r="M769" i="2"/>
  <c r="N768" i="2"/>
  <c r="M768" i="2"/>
  <c r="O768" i="2" s="1"/>
  <c r="P768" i="2" s="1"/>
  <c r="N767" i="2"/>
  <c r="M767" i="2"/>
  <c r="P766" i="2"/>
  <c r="N766" i="2"/>
  <c r="M766" i="2"/>
  <c r="O766" i="2" s="1"/>
  <c r="N765" i="2"/>
  <c r="M765" i="2"/>
  <c r="O765" i="2" s="1"/>
  <c r="P765" i="2" s="1"/>
  <c r="N764" i="2"/>
  <c r="M764" i="2"/>
  <c r="O764" i="2" s="1"/>
  <c r="P764" i="2" s="1"/>
  <c r="O763" i="2"/>
  <c r="P763" i="2" s="1"/>
  <c r="N763" i="2"/>
  <c r="M763" i="2"/>
  <c r="O762" i="2"/>
  <c r="P762" i="2" s="1"/>
  <c r="N762" i="2"/>
  <c r="M762" i="2"/>
  <c r="N761" i="2"/>
  <c r="M761" i="2"/>
  <c r="O761" i="2" s="1"/>
  <c r="P761" i="2" s="1"/>
  <c r="N760" i="2"/>
  <c r="O760" i="2" s="1"/>
  <c r="P760" i="2" s="1"/>
  <c r="M760" i="2"/>
  <c r="N759" i="2"/>
  <c r="O759" i="2" s="1"/>
  <c r="P759" i="2" s="1"/>
  <c r="M759" i="2"/>
  <c r="N758" i="2"/>
  <c r="M758" i="2"/>
  <c r="O758" i="2" s="1"/>
  <c r="P758" i="2" s="1"/>
  <c r="O757" i="2"/>
  <c r="P757" i="2" s="1"/>
  <c r="N757" i="2"/>
  <c r="M757" i="2"/>
  <c r="N756" i="2"/>
  <c r="M756" i="2"/>
  <c r="O756" i="2" s="1"/>
  <c r="P756" i="2" s="1"/>
  <c r="N755" i="2"/>
  <c r="M755" i="2"/>
  <c r="O755" i="2" s="1"/>
  <c r="P755" i="2" s="1"/>
  <c r="N754" i="2"/>
  <c r="M754" i="2"/>
  <c r="O754" i="2" s="1"/>
  <c r="P754" i="2" s="1"/>
  <c r="O753" i="2"/>
  <c r="P753" i="2" s="1"/>
  <c r="N753" i="2"/>
  <c r="M753" i="2"/>
  <c r="N752" i="2"/>
  <c r="M752" i="2"/>
  <c r="O752" i="2" s="1"/>
  <c r="P752" i="2" s="1"/>
  <c r="N751" i="2"/>
  <c r="M751" i="2"/>
  <c r="O751" i="2" s="1"/>
  <c r="P751" i="2" s="1"/>
  <c r="N750" i="2"/>
  <c r="O750" i="2" s="1"/>
  <c r="P750" i="2" s="1"/>
  <c r="M750" i="2"/>
  <c r="O749" i="2"/>
  <c r="P749" i="2" s="1"/>
  <c r="N749" i="2"/>
  <c r="M749" i="2"/>
  <c r="N748" i="2"/>
  <c r="M748" i="2"/>
  <c r="O748" i="2" s="1"/>
  <c r="P748" i="2" s="1"/>
  <c r="O747" i="2"/>
  <c r="P747" i="2" s="1"/>
  <c r="N747" i="2"/>
  <c r="M747" i="2"/>
  <c r="N746" i="2"/>
  <c r="O746" i="2" s="1"/>
  <c r="P746" i="2" s="1"/>
  <c r="M746" i="2"/>
  <c r="N745" i="2"/>
  <c r="M745" i="2"/>
  <c r="O745" i="2" s="1"/>
  <c r="P745" i="2" s="1"/>
  <c r="N744" i="2"/>
  <c r="M744" i="2"/>
  <c r="O744" i="2" s="1"/>
  <c r="P744" i="2" s="1"/>
  <c r="P743" i="2"/>
  <c r="N743" i="2"/>
  <c r="M743" i="2"/>
  <c r="O743" i="2" s="1"/>
  <c r="N742" i="2"/>
  <c r="M742" i="2"/>
  <c r="O742" i="2" s="1"/>
  <c r="P742" i="2" s="1"/>
  <c r="N741" i="2"/>
  <c r="M741" i="2"/>
  <c r="O741" i="2" s="1"/>
  <c r="P741" i="2" s="1"/>
  <c r="O740" i="2"/>
  <c r="P740" i="2" s="1"/>
  <c r="N740" i="2"/>
  <c r="M740" i="2"/>
  <c r="N739" i="2"/>
  <c r="M739" i="2"/>
  <c r="O739" i="2" s="1"/>
  <c r="P739" i="2" s="1"/>
  <c r="N738" i="2"/>
  <c r="M738" i="2"/>
  <c r="O738" i="2" s="1"/>
  <c r="P738" i="2" s="1"/>
  <c r="P737" i="2"/>
  <c r="O737" i="2"/>
  <c r="N737" i="2"/>
  <c r="M737" i="2"/>
  <c r="O736" i="2"/>
  <c r="P736" i="2" s="1"/>
  <c r="N736" i="2"/>
  <c r="M736" i="2"/>
  <c r="N735" i="2"/>
  <c r="M735" i="2"/>
  <c r="O735" i="2" s="1"/>
  <c r="P735" i="2" s="1"/>
  <c r="O734" i="2"/>
  <c r="P734" i="2" s="1"/>
  <c r="N734" i="2"/>
  <c r="M734" i="2"/>
  <c r="N733" i="2"/>
  <c r="O733" i="2" s="1"/>
  <c r="P733" i="2" s="1"/>
  <c r="M733" i="2"/>
  <c r="N732" i="2"/>
  <c r="M732" i="2"/>
  <c r="O732" i="2" s="1"/>
  <c r="P732" i="2" s="1"/>
  <c r="N731" i="2"/>
  <c r="M731" i="2"/>
  <c r="O731" i="2" s="1"/>
  <c r="P731" i="2" s="1"/>
  <c r="N730" i="2"/>
  <c r="M730" i="2"/>
  <c r="O730" i="2" s="1"/>
  <c r="P730" i="2" s="1"/>
  <c r="N729" i="2"/>
  <c r="M729" i="2"/>
  <c r="O729" i="2" s="1"/>
  <c r="P729" i="2" s="1"/>
  <c r="N728" i="2"/>
  <c r="M728" i="2"/>
  <c r="O728" i="2" s="1"/>
  <c r="P728" i="2" s="1"/>
  <c r="P727" i="2"/>
  <c r="O727" i="2"/>
  <c r="N727" i="2"/>
  <c r="M727" i="2"/>
  <c r="O726" i="2"/>
  <c r="P726" i="2" s="1"/>
  <c r="N726" i="2"/>
  <c r="M726" i="2"/>
  <c r="N725" i="2"/>
  <c r="M725" i="2"/>
  <c r="O725" i="2" s="1"/>
  <c r="P725" i="2" s="1"/>
  <c r="N724" i="2"/>
  <c r="O724" i="2" s="1"/>
  <c r="P724" i="2" s="1"/>
  <c r="M724" i="2"/>
  <c r="N723" i="2"/>
  <c r="O723" i="2" s="1"/>
  <c r="P723" i="2" s="1"/>
  <c r="M723" i="2"/>
  <c r="N722" i="2"/>
  <c r="M722" i="2"/>
  <c r="O722" i="2" s="1"/>
  <c r="P722" i="2" s="1"/>
  <c r="N721" i="2"/>
  <c r="M721" i="2"/>
  <c r="O721" i="2" s="1"/>
  <c r="P721" i="2" s="1"/>
  <c r="N720" i="2"/>
  <c r="M720" i="2"/>
  <c r="O720" i="2" s="1"/>
  <c r="P720" i="2" s="1"/>
  <c r="N719" i="2"/>
  <c r="M719" i="2"/>
  <c r="O719" i="2" s="1"/>
  <c r="P719" i="2" s="1"/>
  <c r="N718" i="2"/>
  <c r="M718" i="2"/>
  <c r="O717" i="2"/>
  <c r="P717" i="2" s="1"/>
  <c r="N717" i="2"/>
  <c r="M717" i="2"/>
  <c r="N716" i="2"/>
  <c r="M716" i="2"/>
  <c r="O716" i="2" s="1"/>
  <c r="P716" i="2" s="1"/>
  <c r="N715" i="2"/>
  <c r="M715" i="2"/>
  <c r="O715" i="2" s="1"/>
  <c r="P715" i="2" s="1"/>
  <c r="O714" i="2"/>
  <c r="P714" i="2" s="1"/>
  <c r="N714" i="2"/>
  <c r="M714" i="2"/>
  <c r="O713" i="2"/>
  <c r="P713" i="2" s="1"/>
  <c r="N713" i="2"/>
  <c r="M713" i="2"/>
  <c r="N712" i="2"/>
  <c r="M712" i="2"/>
  <c r="O712" i="2" s="1"/>
  <c r="P712" i="2" s="1"/>
  <c r="N711" i="2"/>
  <c r="M711" i="2"/>
  <c r="O711" i="2" s="1"/>
  <c r="P711" i="2" s="1"/>
  <c r="N710" i="2"/>
  <c r="O710" i="2" s="1"/>
  <c r="P710" i="2" s="1"/>
  <c r="M710" i="2"/>
  <c r="N709" i="2"/>
  <c r="M709" i="2"/>
  <c r="O709" i="2" s="1"/>
  <c r="P709" i="2" s="1"/>
  <c r="N708" i="2"/>
  <c r="M708" i="2"/>
  <c r="N707" i="2"/>
  <c r="M707" i="2"/>
  <c r="O707" i="2" s="1"/>
  <c r="P707" i="2" s="1"/>
  <c r="N706" i="2"/>
  <c r="M706" i="2"/>
  <c r="O706" i="2" s="1"/>
  <c r="P706" i="2" s="1"/>
  <c r="N705" i="2"/>
  <c r="M705" i="2"/>
  <c r="O705" i="2" s="1"/>
  <c r="P705" i="2" s="1"/>
  <c r="P704" i="2"/>
  <c r="O704" i="2"/>
  <c r="N704" i="2"/>
  <c r="M704" i="2"/>
  <c r="N703" i="2"/>
  <c r="M703" i="2"/>
  <c r="O703" i="2" s="1"/>
  <c r="P703" i="2" s="1"/>
  <c r="N702" i="2"/>
  <c r="M702" i="2"/>
  <c r="O702" i="2" s="1"/>
  <c r="P702" i="2" s="1"/>
  <c r="N701" i="2"/>
  <c r="O701" i="2" s="1"/>
  <c r="P701" i="2" s="1"/>
  <c r="M701" i="2"/>
  <c r="O700" i="2"/>
  <c r="P700" i="2" s="1"/>
  <c r="N700" i="2"/>
  <c r="M700" i="2"/>
  <c r="N699" i="2"/>
  <c r="M699" i="2"/>
  <c r="O699" i="2" s="1"/>
  <c r="P699" i="2" s="1"/>
  <c r="N698" i="2"/>
  <c r="M698" i="2"/>
  <c r="O698" i="2" s="1"/>
  <c r="P698" i="2" s="1"/>
  <c r="N697" i="2"/>
  <c r="O697" i="2" s="1"/>
  <c r="P697" i="2" s="1"/>
  <c r="M697" i="2"/>
  <c r="N696" i="2"/>
  <c r="M696" i="2"/>
  <c r="O696" i="2" s="1"/>
  <c r="P696" i="2" s="1"/>
  <c r="N695" i="2"/>
  <c r="M695" i="2"/>
  <c r="P694" i="2"/>
  <c r="N694" i="2"/>
  <c r="M694" i="2"/>
  <c r="O694" i="2" s="1"/>
  <c r="N693" i="2"/>
  <c r="M693" i="2"/>
  <c r="O693" i="2" s="1"/>
  <c r="P693" i="2" s="1"/>
  <c r="N692" i="2"/>
  <c r="M692" i="2"/>
  <c r="O692" i="2" s="1"/>
  <c r="P692" i="2" s="1"/>
  <c r="O691" i="2"/>
  <c r="P691" i="2" s="1"/>
  <c r="N691" i="2"/>
  <c r="M691" i="2"/>
  <c r="O690" i="2"/>
  <c r="P690" i="2" s="1"/>
  <c r="N690" i="2"/>
  <c r="M690" i="2"/>
  <c r="N689" i="2"/>
  <c r="M689" i="2"/>
  <c r="O689" i="2" s="1"/>
  <c r="P689" i="2" s="1"/>
  <c r="N688" i="2"/>
  <c r="O688" i="2" s="1"/>
  <c r="P688" i="2" s="1"/>
  <c r="M688" i="2"/>
  <c r="M687" i="2"/>
  <c r="M686" i="2"/>
  <c r="N685" i="2"/>
  <c r="M685" i="2"/>
  <c r="O685" i="2" s="1"/>
  <c r="P685" i="2" s="1"/>
  <c r="M684" i="2"/>
  <c r="M683" i="2"/>
  <c r="N682" i="2"/>
  <c r="M682" i="2"/>
  <c r="O681" i="2"/>
  <c r="P681" i="2" s="1"/>
  <c r="N681" i="2"/>
  <c r="M681" i="2"/>
  <c r="N680" i="2"/>
  <c r="M680" i="2"/>
  <c r="O680" i="2" s="1"/>
  <c r="P680" i="2" s="1"/>
  <c r="N679" i="2"/>
  <c r="M679" i="2"/>
  <c r="O679" i="2" s="1"/>
  <c r="P679" i="2" s="1"/>
  <c r="O678" i="2"/>
  <c r="P678" i="2" s="1"/>
  <c r="N678" i="2"/>
  <c r="M678" i="2"/>
  <c r="O677" i="2"/>
  <c r="P677" i="2" s="1"/>
  <c r="N677" i="2"/>
  <c r="M677" i="2"/>
  <c r="N676" i="2"/>
  <c r="M676" i="2"/>
  <c r="O676" i="2" s="1"/>
  <c r="P676" i="2" s="1"/>
  <c r="N675" i="2"/>
  <c r="O675" i="2" s="1"/>
  <c r="P675" i="2" s="1"/>
  <c r="M675" i="2"/>
  <c r="N674" i="2"/>
  <c r="O674" i="2" s="1"/>
  <c r="P674" i="2" s="1"/>
  <c r="M674" i="2"/>
  <c r="N673" i="2"/>
  <c r="M673" i="2"/>
  <c r="O673" i="2" s="1"/>
  <c r="P673" i="2" s="1"/>
  <c r="N672" i="2"/>
  <c r="M672" i="2"/>
  <c r="N671" i="2"/>
  <c r="M671" i="2"/>
  <c r="O671" i="2" s="1"/>
  <c r="P671" i="2" s="1"/>
  <c r="N670" i="2"/>
  <c r="M670" i="2"/>
  <c r="O670" i="2" s="1"/>
  <c r="P670" i="2" s="1"/>
  <c r="N669" i="2"/>
  <c r="M669" i="2"/>
  <c r="O669" i="2" s="1"/>
  <c r="P669" i="2" s="1"/>
  <c r="P668" i="2"/>
  <c r="O668" i="2"/>
  <c r="N668" i="2"/>
  <c r="M668" i="2"/>
  <c r="N667" i="2"/>
  <c r="M667" i="2"/>
  <c r="O667" i="2" s="1"/>
  <c r="P667" i="2" s="1"/>
  <c r="N666" i="2"/>
  <c r="M666" i="2"/>
  <c r="O666" i="2" s="1"/>
  <c r="P666" i="2" s="1"/>
  <c r="O665" i="2"/>
  <c r="P665" i="2" s="1"/>
  <c r="N665" i="2"/>
  <c r="M665" i="2"/>
  <c r="O664" i="2"/>
  <c r="P664" i="2" s="1"/>
  <c r="N664" i="2"/>
  <c r="M664" i="2"/>
  <c r="N663" i="2"/>
  <c r="M663" i="2"/>
  <c r="O663" i="2" s="1"/>
  <c r="P663" i="2" s="1"/>
  <c r="N662" i="2"/>
  <c r="M662" i="2"/>
  <c r="O662" i="2" s="1"/>
  <c r="P662" i="2" s="1"/>
  <c r="N661" i="2"/>
  <c r="O661" i="2" s="1"/>
  <c r="P661" i="2" s="1"/>
  <c r="M661" i="2"/>
  <c r="N660" i="2"/>
  <c r="M660" i="2"/>
  <c r="O660" i="2" s="1"/>
  <c r="P660" i="2" s="1"/>
  <c r="N659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N647" i="2"/>
  <c r="M647" i="2"/>
  <c r="O647" i="2" s="1"/>
  <c r="P647" i="2" s="1"/>
  <c r="M646" i="2"/>
  <c r="M645" i="2"/>
  <c r="M644" i="2"/>
  <c r="N643" i="2"/>
  <c r="M643" i="2"/>
  <c r="O643" i="2" s="1"/>
  <c r="P643" i="2" s="1"/>
  <c r="N642" i="2"/>
  <c r="M642" i="2"/>
  <c r="O642" i="2" s="1"/>
  <c r="P642" i="2" s="1"/>
  <c r="N641" i="2"/>
  <c r="M641" i="2"/>
  <c r="O641" i="2" s="1"/>
  <c r="P641" i="2" s="1"/>
  <c r="N640" i="2"/>
  <c r="M640" i="2"/>
  <c r="O640" i="2" s="1"/>
  <c r="P640" i="2" s="1"/>
  <c r="N639" i="2"/>
  <c r="M639" i="2"/>
  <c r="O639" i="2" s="1"/>
  <c r="P639" i="2" s="1"/>
  <c r="N638" i="2"/>
  <c r="M638" i="2"/>
  <c r="N637" i="2"/>
  <c r="M637" i="2"/>
  <c r="O637" i="2" s="1"/>
  <c r="P637" i="2" s="1"/>
  <c r="N636" i="2"/>
  <c r="M636" i="2"/>
  <c r="O636" i="2" s="1"/>
  <c r="P636" i="2" s="1"/>
  <c r="N635" i="2"/>
  <c r="M635" i="2"/>
  <c r="P634" i="2"/>
  <c r="N634" i="2"/>
  <c r="M634" i="2"/>
  <c r="O634" i="2" s="1"/>
  <c r="N633" i="2"/>
  <c r="M633" i="2"/>
  <c r="O633" i="2" s="1"/>
  <c r="P633" i="2" s="1"/>
  <c r="N632" i="2"/>
  <c r="M632" i="2"/>
  <c r="O632" i="2" s="1"/>
  <c r="P632" i="2" s="1"/>
  <c r="N631" i="2"/>
  <c r="M631" i="2"/>
  <c r="O631" i="2" s="1"/>
  <c r="P631" i="2" s="1"/>
  <c r="N630" i="2"/>
  <c r="M630" i="2"/>
  <c r="O630" i="2" s="1"/>
  <c r="P630" i="2" s="1"/>
  <c r="N629" i="2"/>
  <c r="M629" i="2"/>
  <c r="P628" i="2"/>
  <c r="N628" i="2"/>
  <c r="M628" i="2"/>
  <c r="O628" i="2" s="1"/>
  <c r="N627" i="2"/>
  <c r="M627" i="2"/>
  <c r="O627" i="2" s="1"/>
  <c r="P627" i="2" s="1"/>
  <c r="N626" i="2"/>
  <c r="M626" i="2"/>
  <c r="O626" i="2" s="1"/>
  <c r="P626" i="2" s="1"/>
  <c r="P625" i="2"/>
  <c r="N625" i="2"/>
  <c r="M625" i="2"/>
  <c r="O625" i="2" s="1"/>
  <c r="N624" i="2"/>
  <c r="M624" i="2"/>
  <c r="O624" i="2" s="1"/>
  <c r="P624" i="2" s="1"/>
  <c r="N623" i="2"/>
  <c r="M623" i="2"/>
  <c r="N622" i="2"/>
  <c r="M622" i="2"/>
  <c r="O622" i="2" s="1"/>
  <c r="P622" i="2" s="1"/>
  <c r="N621" i="2"/>
  <c r="M621" i="2"/>
  <c r="O621" i="2" s="1"/>
  <c r="P621" i="2" s="1"/>
  <c r="N620" i="2"/>
  <c r="M620" i="2"/>
  <c r="N619" i="2"/>
  <c r="M619" i="2"/>
  <c r="O619" i="2" s="1"/>
  <c r="P619" i="2" s="1"/>
  <c r="M618" i="2"/>
  <c r="N617" i="2"/>
  <c r="M617" i="2"/>
  <c r="M616" i="2"/>
  <c r="M615" i="2"/>
  <c r="N614" i="2"/>
  <c r="M614" i="2"/>
  <c r="O614" i="2" s="1"/>
  <c r="P614" i="2" s="1"/>
  <c r="N613" i="2"/>
  <c r="M613" i="2"/>
  <c r="O613" i="2" s="1"/>
  <c r="P613" i="2" s="1"/>
  <c r="N612" i="2"/>
  <c r="M612" i="2"/>
  <c r="O612" i="2" s="1"/>
  <c r="P612" i="2" s="1"/>
  <c r="N611" i="2"/>
  <c r="M611" i="2"/>
  <c r="N610" i="2"/>
  <c r="M610" i="2"/>
  <c r="O610" i="2" s="1"/>
  <c r="P610" i="2" s="1"/>
  <c r="N609" i="2"/>
  <c r="M609" i="2"/>
  <c r="O609" i="2" s="1"/>
  <c r="P609" i="2" s="1"/>
  <c r="N608" i="2"/>
  <c r="M608" i="2"/>
  <c r="P607" i="2"/>
  <c r="N607" i="2"/>
  <c r="M607" i="2"/>
  <c r="O607" i="2" s="1"/>
  <c r="N606" i="2"/>
  <c r="M606" i="2"/>
  <c r="O606" i="2" s="1"/>
  <c r="P606" i="2" s="1"/>
  <c r="N605" i="2"/>
  <c r="M605" i="2"/>
  <c r="O605" i="2" s="1"/>
  <c r="P605" i="2" s="1"/>
  <c r="N604" i="2"/>
  <c r="M604" i="2"/>
  <c r="O604" i="2" s="1"/>
  <c r="P604" i="2" s="1"/>
  <c r="N603" i="2"/>
  <c r="M603" i="2"/>
  <c r="O603" i="2" s="1"/>
  <c r="P603" i="2" s="1"/>
  <c r="N602" i="2"/>
  <c r="M602" i="2"/>
  <c r="P601" i="2"/>
  <c r="N601" i="2"/>
  <c r="M601" i="2"/>
  <c r="O601" i="2" s="1"/>
  <c r="N600" i="2"/>
  <c r="M600" i="2"/>
  <c r="O600" i="2" s="1"/>
  <c r="P600" i="2" s="1"/>
  <c r="N599" i="2"/>
  <c r="M599" i="2"/>
  <c r="O599" i="2" s="1"/>
  <c r="P599" i="2" s="1"/>
  <c r="P598" i="2"/>
  <c r="N598" i="2"/>
  <c r="M598" i="2"/>
  <c r="O598" i="2" s="1"/>
  <c r="N597" i="2"/>
  <c r="M597" i="2"/>
  <c r="O597" i="2" s="1"/>
  <c r="P597" i="2" s="1"/>
  <c r="N596" i="2"/>
  <c r="M596" i="2"/>
  <c r="N595" i="2"/>
  <c r="M595" i="2"/>
  <c r="O595" i="2" s="1"/>
  <c r="P595" i="2" s="1"/>
  <c r="N594" i="2"/>
  <c r="M594" i="2"/>
  <c r="O594" i="2" s="1"/>
  <c r="P594" i="2" s="1"/>
  <c r="N593" i="2"/>
  <c r="M593" i="2"/>
  <c r="N592" i="2"/>
  <c r="M592" i="2"/>
  <c r="O592" i="2" s="1"/>
  <c r="P592" i="2" s="1"/>
  <c r="N591" i="2"/>
  <c r="M591" i="2"/>
  <c r="O591" i="2" s="1"/>
  <c r="P591" i="2" s="1"/>
  <c r="N590" i="2"/>
  <c r="M590" i="2"/>
  <c r="O590" i="2" s="1"/>
  <c r="P590" i="2" s="1"/>
  <c r="N589" i="2"/>
  <c r="M589" i="2"/>
  <c r="O589" i="2" s="1"/>
  <c r="P589" i="2" s="1"/>
  <c r="N588" i="2"/>
  <c r="M588" i="2"/>
  <c r="O588" i="2" s="1"/>
  <c r="P588" i="2" s="1"/>
  <c r="N587" i="2"/>
  <c r="M587" i="2"/>
  <c r="O587" i="2" s="1"/>
  <c r="P587" i="2" s="1"/>
  <c r="P586" i="2"/>
  <c r="N586" i="2"/>
  <c r="M586" i="2"/>
  <c r="O586" i="2" s="1"/>
  <c r="N585" i="2"/>
  <c r="M585" i="2"/>
  <c r="O585" i="2" s="1"/>
  <c r="P585" i="2" s="1"/>
  <c r="N584" i="2"/>
  <c r="M584" i="2"/>
  <c r="O584" i="2" s="1"/>
  <c r="P584" i="2" s="1"/>
  <c r="P583" i="2"/>
  <c r="N583" i="2"/>
  <c r="M583" i="2"/>
  <c r="O583" i="2" s="1"/>
  <c r="N582" i="2"/>
  <c r="M582" i="2"/>
  <c r="O582" i="2" s="1"/>
  <c r="P582" i="2" s="1"/>
  <c r="N581" i="2"/>
  <c r="M581" i="2"/>
  <c r="M580" i="2"/>
  <c r="M579" i="2"/>
  <c r="N578" i="2"/>
  <c r="M578" i="2"/>
  <c r="O578" i="2" s="1"/>
  <c r="P578" i="2" s="1"/>
  <c r="P577" i="2"/>
  <c r="N577" i="2"/>
  <c r="M577" i="2"/>
  <c r="O577" i="2" s="1"/>
  <c r="N576" i="2"/>
  <c r="M576" i="2"/>
  <c r="O576" i="2" s="1"/>
  <c r="P576" i="2" s="1"/>
  <c r="N575" i="2"/>
  <c r="M575" i="2"/>
  <c r="P574" i="2"/>
  <c r="N574" i="2"/>
  <c r="M574" i="2"/>
  <c r="O574" i="2" s="1"/>
  <c r="M573" i="2"/>
  <c r="N572" i="2"/>
  <c r="M572" i="2"/>
  <c r="O572" i="2" s="1"/>
  <c r="P572" i="2" s="1"/>
  <c r="P571" i="2"/>
  <c r="N571" i="2"/>
  <c r="M571" i="2"/>
  <c r="O571" i="2" s="1"/>
  <c r="N570" i="2"/>
  <c r="M570" i="2"/>
  <c r="O570" i="2" s="1"/>
  <c r="P570" i="2" s="1"/>
  <c r="N569" i="2"/>
  <c r="M569" i="2"/>
  <c r="N568" i="2"/>
  <c r="M568" i="2"/>
  <c r="O568" i="2" s="1"/>
  <c r="P568" i="2" s="1"/>
  <c r="N567" i="2"/>
  <c r="M567" i="2"/>
  <c r="O567" i="2" s="1"/>
  <c r="P567" i="2" s="1"/>
  <c r="N566" i="2"/>
  <c r="M566" i="2"/>
  <c r="N565" i="2"/>
  <c r="M565" i="2"/>
  <c r="O565" i="2" s="1"/>
  <c r="P565" i="2" s="1"/>
  <c r="N564" i="2"/>
  <c r="M564" i="2"/>
  <c r="O564" i="2" s="1"/>
  <c r="P564" i="2" s="1"/>
  <c r="N563" i="2"/>
  <c r="M563" i="2"/>
  <c r="O563" i="2" s="1"/>
  <c r="P563" i="2" s="1"/>
  <c r="N562" i="2"/>
  <c r="M562" i="2"/>
  <c r="O562" i="2" s="1"/>
  <c r="P562" i="2" s="1"/>
  <c r="N561" i="2"/>
  <c r="M561" i="2"/>
  <c r="O561" i="2" s="1"/>
  <c r="P561" i="2" s="1"/>
  <c r="N560" i="2"/>
  <c r="M560" i="2"/>
  <c r="O560" i="2" s="1"/>
  <c r="P560" i="2" s="1"/>
  <c r="P559" i="2"/>
  <c r="N559" i="2"/>
  <c r="M559" i="2"/>
  <c r="O559" i="2" s="1"/>
  <c r="N558" i="2"/>
  <c r="M558" i="2"/>
  <c r="O558" i="2" s="1"/>
  <c r="P558" i="2" s="1"/>
  <c r="M557" i="2"/>
  <c r="P556" i="2"/>
  <c r="N556" i="2"/>
  <c r="M556" i="2"/>
  <c r="O556" i="2" s="1"/>
  <c r="N555" i="2"/>
  <c r="M555" i="2"/>
  <c r="O555" i="2" s="1"/>
  <c r="P555" i="2" s="1"/>
  <c r="N554" i="2"/>
  <c r="M554" i="2"/>
  <c r="P553" i="2"/>
  <c r="N553" i="2"/>
  <c r="M553" i="2"/>
  <c r="O553" i="2" s="1"/>
  <c r="N552" i="2"/>
  <c r="M552" i="2"/>
  <c r="O552" i="2" s="1"/>
  <c r="P552" i="2" s="1"/>
  <c r="N551" i="2"/>
  <c r="M551" i="2"/>
  <c r="N550" i="2"/>
  <c r="M550" i="2"/>
  <c r="O550" i="2" s="1"/>
  <c r="P550" i="2" s="1"/>
  <c r="N549" i="2"/>
  <c r="M549" i="2"/>
  <c r="O549" i="2" s="1"/>
  <c r="P549" i="2" s="1"/>
  <c r="N548" i="2"/>
  <c r="M548" i="2"/>
  <c r="N547" i="2"/>
  <c r="M547" i="2"/>
  <c r="O547" i="2" s="1"/>
  <c r="P547" i="2" s="1"/>
  <c r="N546" i="2"/>
  <c r="M546" i="2"/>
  <c r="O546" i="2" s="1"/>
  <c r="P546" i="2" s="1"/>
  <c r="N545" i="2"/>
  <c r="M545" i="2"/>
  <c r="P544" i="2"/>
  <c r="N544" i="2"/>
  <c r="M544" i="2"/>
  <c r="O544" i="2" s="1"/>
  <c r="M543" i="2"/>
  <c r="N542" i="2"/>
  <c r="M542" i="2"/>
  <c r="O542" i="2" s="1"/>
  <c r="P542" i="2" s="1"/>
  <c r="N541" i="2"/>
  <c r="M541" i="2"/>
  <c r="O541" i="2" s="1"/>
  <c r="P541" i="2" s="1"/>
  <c r="N540" i="2"/>
  <c r="M540" i="2"/>
  <c r="O540" i="2" s="1"/>
  <c r="P540" i="2" s="1"/>
  <c r="N539" i="2"/>
  <c r="M539" i="2"/>
  <c r="O539" i="2" s="1"/>
  <c r="P539" i="2" s="1"/>
  <c r="M538" i="2"/>
  <c r="N537" i="2"/>
  <c r="M537" i="2"/>
  <c r="O537" i="2" s="1"/>
  <c r="P537" i="2" s="1"/>
  <c r="N536" i="2"/>
  <c r="M536" i="2"/>
  <c r="O536" i="2" s="1"/>
  <c r="P536" i="2" s="1"/>
  <c r="N535" i="2"/>
  <c r="M535" i="2"/>
  <c r="O535" i="2" s="1"/>
  <c r="P535" i="2" s="1"/>
  <c r="N534" i="2"/>
  <c r="M534" i="2"/>
  <c r="O534" i="2" s="1"/>
  <c r="P534" i="2" s="1"/>
  <c r="N533" i="2"/>
  <c r="M533" i="2"/>
  <c r="P532" i="2"/>
  <c r="N532" i="2"/>
  <c r="M532" i="2"/>
  <c r="O532" i="2" s="1"/>
  <c r="N531" i="2"/>
  <c r="M531" i="2"/>
  <c r="O531" i="2" s="1"/>
  <c r="P531" i="2" s="1"/>
  <c r="N530" i="2"/>
  <c r="M530" i="2"/>
  <c r="O530" i="2" s="1"/>
  <c r="P530" i="2" s="1"/>
  <c r="P529" i="2"/>
  <c r="N529" i="2"/>
  <c r="M529" i="2"/>
  <c r="O529" i="2" s="1"/>
  <c r="N528" i="2"/>
  <c r="M528" i="2"/>
  <c r="O528" i="2" s="1"/>
  <c r="P528" i="2" s="1"/>
  <c r="N527" i="2"/>
  <c r="M527" i="2"/>
  <c r="N526" i="2"/>
  <c r="M526" i="2"/>
  <c r="O526" i="2" s="1"/>
  <c r="P526" i="2" s="1"/>
  <c r="N525" i="2"/>
  <c r="M525" i="2"/>
  <c r="O525" i="2" s="1"/>
  <c r="P525" i="2" s="1"/>
  <c r="N524" i="2"/>
  <c r="M524" i="2"/>
  <c r="N523" i="2"/>
  <c r="M523" i="2"/>
  <c r="O523" i="2" s="1"/>
  <c r="P523" i="2" s="1"/>
  <c r="N522" i="2"/>
  <c r="M522" i="2"/>
  <c r="O522" i="2" s="1"/>
  <c r="P522" i="2" s="1"/>
  <c r="N521" i="2"/>
  <c r="M521" i="2"/>
  <c r="O521" i="2" s="1"/>
  <c r="P521" i="2" s="1"/>
  <c r="N520" i="2"/>
  <c r="M520" i="2"/>
  <c r="O520" i="2" s="1"/>
  <c r="P520" i="2" s="1"/>
  <c r="N519" i="2"/>
  <c r="M519" i="2"/>
  <c r="O519" i="2" s="1"/>
  <c r="P519" i="2" s="1"/>
  <c r="N518" i="2"/>
  <c r="M518" i="2"/>
  <c r="O518" i="2" s="1"/>
  <c r="P518" i="2" s="1"/>
  <c r="P517" i="2"/>
  <c r="N517" i="2"/>
  <c r="M517" i="2"/>
  <c r="O517" i="2" s="1"/>
  <c r="N516" i="2"/>
  <c r="M516" i="2"/>
  <c r="O516" i="2" s="1"/>
  <c r="P516" i="2" s="1"/>
  <c r="N515" i="2"/>
  <c r="M515" i="2"/>
  <c r="O515" i="2" s="1"/>
  <c r="P515" i="2" s="1"/>
  <c r="P514" i="2"/>
  <c r="N514" i="2"/>
  <c r="M514" i="2"/>
  <c r="O514" i="2" s="1"/>
  <c r="N513" i="2"/>
  <c r="M513" i="2"/>
  <c r="O513" i="2" s="1"/>
  <c r="P513" i="2" s="1"/>
  <c r="N512" i="2"/>
  <c r="M512" i="2"/>
  <c r="M511" i="2"/>
  <c r="N510" i="2"/>
  <c r="M510" i="2"/>
  <c r="O510" i="2" s="1"/>
  <c r="P510" i="2" s="1"/>
  <c r="N509" i="2"/>
  <c r="M509" i="2"/>
  <c r="O509" i="2" s="1"/>
  <c r="P509" i="2" s="1"/>
  <c r="M508" i="2"/>
  <c r="M507" i="2"/>
  <c r="N506" i="2"/>
  <c r="M506" i="2"/>
  <c r="P505" i="2"/>
  <c r="N505" i="2"/>
  <c r="M505" i="2"/>
  <c r="O505" i="2" s="1"/>
  <c r="M504" i="2"/>
  <c r="N503" i="2"/>
  <c r="M503" i="2"/>
  <c r="O503" i="2" s="1"/>
  <c r="P503" i="2" s="1"/>
  <c r="M502" i="2"/>
  <c r="M501" i="2"/>
  <c r="N500" i="2"/>
  <c r="M500" i="2"/>
  <c r="O500" i="2" s="1"/>
  <c r="P500" i="2" s="1"/>
  <c r="M499" i="2"/>
  <c r="M498" i="2"/>
  <c r="M497" i="2"/>
  <c r="M496" i="2"/>
  <c r="N495" i="2"/>
  <c r="M495" i="2"/>
  <c r="O495" i="2" s="1"/>
  <c r="P495" i="2" s="1"/>
  <c r="N494" i="2"/>
  <c r="M494" i="2"/>
  <c r="O494" i="2" s="1"/>
  <c r="P494" i="2" s="1"/>
  <c r="P493" i="2"/>
  <c r="N493" i="2"/>
  <c r="M493" i="2"/>
  <c r="O493" i="2" s="1"/>
  <c r="N492" i="2"/>
  <c r="M492" i="2"/>
  <c r="O492" i="2" s="1"/>
  <c r="P492" i="2" s="1"/>
  <c r="N491" i="2"/>
  <c r="M491" i="2"/>
  <c r="O491" i="2" s="1"/>
  <c r="P491" i="2" s="1"/>
  <c r="N490" i="2"/>
  <c r="M490" i="2"/>
  <c r="O490" i="2" s="1"/>
  <c r="P490" i="2" s="1"/>
  <c r="N489" i="2"/>
  <c r="M489" i="2"/>
  <c r="O489" i="2" s="1"/>
  <c r="P489" i="2" s="1"/>
  <c r="N488" i="2"/>
  <c r="M488" i="2"/>
  <c r="P487" i="2"/>
  <c r="N487" i="2"/>
  <c r="M487" i="2"/>
  <c r="O487" i="2" s="1"/>
  <c r="N486" i="2"/>
  <c r="M486" i="2"/>
  <c r="O486" i="2" s="1"/>
  <c r="P486" i="2" s="1"/>
  <c r="N485" i="2"/>
  <c r="M485" i="2"/>
  <c r="O485" i="2" s="1"/>
  <c r="P485" i="2" s="1"/>
  <c r="P484" i="2"/>
  <c r="N484" i="2"/>
  <c r="M484" i="2"/>
  <c r="O484" i="2" s="1"/>
  <c r="N483" i="2"/>
  <c r="M483" i="2"/>
  <c r="O483" i="2" s="1"/>
  <c r="P483" i="2" s="1"/>
  <c r="N482" i="2"/>
  <c r="M482" i="2"/>
  <c r="N481" i="2"/>
  <c r="M481" i="2"/>
  <c r="O481" i="2" s="1"/>
  <c r="P481" i="2" s="1"/>
  <c r="N480" i="2"/>
  <c r="M480" i="2"/>
  <c r="O480" i="2" s="1"/>
  <c r="P480" i="2" s="1"/>
  <c r="N479" i="2"/>
  <c r="M479" i="2"/>
  <c r="N478" i="2"/>
  <c r="M478" i="2"/>
  <c r="O478" i="2" s="1"/>
  <c r="P478" i="2" s="1"/>
  <c r="N477" i="2"/>
  <c r="M477" i="2"/>
  <c r="O477" i="2" s="1"/>
  <c r="P477" i="2" s="1"/>
  <c r="N476" i="2"/>
  <c r="M476" i="2"/>
  <c r="O476" i="2" s="1"/>
  <c r="P476" i="2" s="1"/>
  <c r="N475" i="2"/>
  <c r="M475" i="2"/>
  <c r="O475" i="2" s="1"/>
  <c r="P475" i="2" s="1"/>
  <c r="N474" i="2"/>
  <c r="M474" i="2"/>
  <c r="O474" i="2" s="1"/>
  <c r="P474" i="2" s="1"/>
  <c r="N473" i="2"/>
  <c r="M473" i="2"/>
  <c r="O473" i="2" s="1"/>
  <c r="P473" i="2" s="1"/>
  <c r="P472" i="2"/>
  <c r="N472" i="2"/>
  <c r="M472" i="2"/>
  <c r="O472" i="2" s="1"/>
  <c r="N471" i="2"/>
  <c r="M471" i="2"/>
  <c r="O471" i="2" s="1"/>
  <c r="P471" i="2" s="1"/>
  <c r="N470" i="2"/>
  <c r="M470" i="2"/>
  <c r="O470" i="2" s="1"/>
  <c r="P470" i="2" s="1"/>
  <c r="P469" i="2"/>
  <c r="N469" i="2"/>
  <c r="M469" i="2"/>
  <c r="O469" i="2" s="1"/>
  <c r="N468" i="2"/>
  <c r="M468" i="2"/>
  <c r="O468" i="2" s="1"/>
  <c r="P468" i="2" s="1"/>
  <c r="N467" i="2"/>
  <c r="M467" i="2"/>
  <c r="N466" i="2"/>
  <c r="M466" i="2"/>
  <c r="O466" i="2" s="1"/>
  <c r="P466" i="2" s="1"/>
  <c r="N465" i="2"/>
  <c r="M465" i="2"/>
  <c r="O465" i="2" s="1"/>
  <c r="P465" i="2" s="1"/>
  <c r="N464" i="2"/>
  <c r="M464" i="2"/>
  <c r="O464" i="2" s="1"/>
  <c r="P464" i="2" s="1"/>
  <c r="N463" i="2"/>
  <c r="M463" i="2"/>
  <c r="O463" i="2" s="1"/>
  <c r="P463" i="2" s="1"/>
  <c r="N462" i="2"/>
  <c r="M462" i="2"/>
  <c r="O462" i="2" s="1"/>
  <c r="P462" i="2" s="1"/>
  <c r="N461" i="2"/>
  <c r="M461" i="2"/>
  <c r="N460" i="2"/>
  <c r="M460" i="2"/>
  <c r="O460" i="2" s="1"/>
  <c r="P460" i="2" s="1"/>
  <c r="M459" i="2"/>
  <c r="N458" i="2"/>
  <c r="M458" i="2"/>
  <c r="N457" i="2"/>
  <c r="M457" i="2"/>
  <c r="O457" i="2" s="1"/>
  <c r="P457" i="2" s="1"/>
  <c r="N456" i="2"/>
  <c r="M456" i="2"/>
  <c r="O456" i="2" s="1"/>
  <c r="P456" i="2" s="1"/>
  <c r="N455" i="2"/>
  <c r="M455" i="2"/>
  <c r="O455" i="2" s="1"/>
  <c r="P455" i="2" s="1"/>
  <c r="N454" i="2"/>
  <c r="M454" i="2"/>
  <c r="O454" i="2" s="1"/>
  <c r="P454" i="2" s="1"/>
  <c r="N453" i="2"/>
  <c r="M453" i="2"/>
  <c r="O453" i="2" s="1"/>
  <c r="P453" i="2" s="1"/>
  <c r="N452" i="2"/>
  <c r="M452" i="2"/>
  <c r="O452" i="2" s="1"/>
  <c r="P452" i="2" s="1"/>
  <c r="P451" i="2"/>
  <c r="N451" i="2"/>
  <c r="M451" i="2"/>
  <c r="O451" i="2" s="1"/>
  <c r="N450" i="2"/>
  <c r="M450" i="2"/>
  <c r="O450" i="2" s="1"/>
  <c r="P450" i="2" s="1"/>
  <c r="N449" i="2"/>
  <c r="M449" i="2"/>
  <c r="O449" i="2" s="1"/>
  <c r="P449" i="2" s="1"/>
  <c r="P448" i="2"/>
  <c r="N448" i="2"/>
  <c r="M448" i="2"/>
  <c r="O448" i="2" s="1"/>
  <c r="N447" i="2"/>
  <c r="M447" i="2"/>
  <c r="O447" i="2" s="1"/>
  <c r="P447" i="2" s="1"/>
  <c r="N446" i="2"/>
  <c r="M446" i="2"/>
  <c r="N445" i="2"/>
  <c r="M445" i="2"/>
  <c r="O445" i="2" s="1"/>
  <c r="P445" i="2" s="1"/>
  <c r="N444" i="2"/>
  <c r="M444" i="2"/>
  <c r="O444" i="2" s="1"/>
  <c r="P444" i="2" s="1"/>
  <c r="N443" i="2"/>
  <c r="M443" i="2"/>
  <c r="O443" i="2" s="1"/>
  <c r="P443" i="2" s="1"/>
  <c r="N442" i="2"/>
  <c r="M442" i="2"/>
  <c r="O442" i="2" s="1"/>
  <c r="P442" i="2" s="1"/>
  <c r="N441" i="2"/>
  <c r="M441" i="2"/>
  <c r="O441" i="2" s="1"/>
  <c r="P441" i="2" s="1"/>
  <c r="N440" i="2"/>
  <c r="M440" i="2"/>
  <c r="N439" i="2"/>
  <c r="M439" i="2"/>
  <c r="O439" i="2" s="1"/>
  <c r="P439" i="2" s="1"/>
  <c r="N438" i="2"/>
  <c r="M438" i="2"/>
  <c r="O438" i="2" s="1"/>
  <c r="P438" i="2" s="1"/>
  <c r="N437" i="2"/>
  <c r="M437" i="2"/>
  <c r="O437" i="2" s="1"/>
  <c r="P437" i="2" s="1"/>
  <c r="P436" i="2"/>
  <c r="N436" i="2"/>
  <c r="M436" i="2"/>
  <c r="O436" i="2" s="1"/>
  <c r="N435" i="2"/>
  <c r="M435" i="2"/>
  <c r="O435" i="2" s="1"/>
  <c r="P435" i="2" s="1"/>
  <c r="N434" i="2"/>
  <c r="M434" i="2"/>
  <c r="O434" i="2" s="1"/>
  <c r="P434" i="2" s="1"/>
  <c r="N433" i="2"/>
  <c r="M433" i="2"/>
  <c r="O433" i="2" s="1"/>
  <c r="P433" i="2" s="1"/>
  <c r="N432" i="2"/>
  <c r="M432" i="2"/>
  <c r="O432" i="2" s="1"/>
  <c r="P432" i="2" s="1"/>
  <c r="N431" i="2"/>
  <c r="M431" i="2"/>
  <c r="P430" i="2"/>
  <c r="N430" i="2"/>
  <c r="M430" i="2"/>
  <c r="O430" i="2" s="1"/>
  <c r="N429" i="2"/>
  <c r="M429" i="2"/>
  <c r="O429" i="2" s="1"/>
  <c r="P429" i="2" s="1"/>
  <c r="N428" i="2"/>
  <c r="M428" i="2"/>
  <c r="O428" i="2" s="1"/>
  <c r="P428" i="2" s="1"/>
  <c r="P427" i="2"/>
  <c r="N427" i="2"/>
  <c r="M427" i="2"/>
  <c r="O427" i="2" s="1"/>
  <c r="N426" i="2"/>
  <c r="M426" i="2"/>
  <c r="O426" i="2" s="1"/>
  <c r="P426" i="2" s="1"/>
  <c r="N425" i="2"/>
  <c r="M425" i="2"/>
  <c r="N424" i="2"/>
  <c r="M424" i="2"/>
  <c r="O424" i="2" s="1"/>
  <c r="P424" i="2" s="1"/>
  <c r="N423" i="2"/>
  <c r="M423" i="2"/>
  <c r="O423" i="2" s="1"/>
  <c r="P423" i="2" s="1"/>
  <c r="N422" i="2"/>
  <c r="M422" i="2"/>
  <c r="N421" i="2"/>
  <c r="M421" i="2"/>
  <c r="O421" i="2" s="1"/>
  <c r="P421" i="2" s="1"/>
  <c r="N420" i="2"/>
  <c r="M420" i="2"/>
  <c r="O420" i="2" s="1"/>
  <c r="P420" i="2" s="1"/>
  <c r="N419" i="2"/>
  <c r="M419" i="2"/>
  <c r="O419" i="2" s="1"/>
  <c r="P419" i="2" s="1"/>
  <c r="N418" i="2"/>
  <c r="M418" i="2"/>
  <c r="O418" i="2" s="1"/>
  <c r="P418" i="2" s="1"/>
  <c r="N417" i="2"/>
  <c r="M417" i="2"/>
  <c r="O417" i="2" s="1"/>
  <c r="P417" i="2" s="1"/>
  <c r="N416" i="2"/>
  <c r="M416" i="2"/>
  <c r="O416" i="2" s="1"/>
  <c r="P416" i="2" s="1"/>
  <c r="P415" i="2"/>
  <c r="N415" i="2"/>
  <c r="M415" i="2"/>
  <c r="O415" i="2" s="1"/>
  <c r="N414" i="2"/>
  <c r="M414" i="2"/>
  <c r="O414" i="2" s="1"/>
  <c r="P414" i="2" s="1"/>
  <c r="N413" i="2"/>
  <c r="M413" i="2"/>
  <c r="O413" i="2" s="1"/>
  <c r="P413" i="2" s="1"/>
  <c r="P412" i="2"/>
  <c r="N412" i="2"/>
  <c r="M412" i="2"/>
  <c r="O412" i="2" s="1"/>
  <c r="N411" i="2"/>
  <c r="M411" i="2"/>
  <c r="O411" i="2" s="1"/>
  <c r="P411" i="2" s="1"/>
  <c r="N410" i="2"/>
  <c r="M410" i="2"/>
  <c r="N409" i="2"/>
  <c r="M409" i="2"/>
  <c r="O409" i="2" s="1"/>
  <c r="P409" i="2" s="1"/>
  <c r="N408" i="2"/>
  <c r="M408" i="2"/>
  <c r="O408" i="2" s="1"/>
  <c r="P408" i="2" s="1"/>
  <c r="N407" i="2"/>
  <c r="M407" i="2"/>
  <c r="O407" i="2" s="1"/>
  <c r="P407" i="2" s="1"/>
  <c r="N406" i="2"/>
  <c r="M406" i="2"/>
  <c r="O406" i="2" s="1"/>
  <c r="P406" i="2" s="1"/>
  <c r="N405" i="2"/>
  <c r="M405" i="2"/>
  <c r="O405" i="2" s="1"/>
  <c r="P405" i="2" s="1"/>
  <c r="N404" i="2"/>
  <c r="M404" i="2"/>
  <c r="N403" i="2"/>
  <c r="M403" i="2"/>
  <c r="O403" i="2" s="1"/>
  <c r="P403" i="2" s="1"/>
  <c r="N402" i="2"/>
  <c r="M402" i="2"/>
  <c r="O402" i="2" s="1"/>
  <c r="P402" i="2" s="1"/>
  <c r="N401" i="2"/>
  <c r="M401" i="2"/>
  <c r="O401" i="2" s="1"/>
  <c r="P401" i="2" s="1"/>
  <c r="P400" i="2"/>
  <c r="N400" i="2"/>
  <c r="M400" i="2"/>
  <c r="O400" i="2" s="1"/>
  <c r="N399" i="2"/>
  <c r="M399" i="2"/>
  <c r="O399" i="2" s="1"/>
  <c r="P399" i="2" s="1"/>
  <c r="N398" i="2"/>
  <c r="M398" i="2"/>
  <c r="O398" i="2" s="1"/>
  <c r="P398" i="2" s="1"/>
  <c r="N397" i="2"/>
  <c r="M397" i="2"/>
  <c r="O397" i="2" s="1"/>
  <c r="P397" i="2" s="1"/>
  <c r="N396" i="2"/>
  <c r="M396" i="2"/>
  <c r="O396" i="2" s="1"/>
  <c r="P396" i="2" s="1"/>
  <c r="O395" i="2"/>
  <c r="P395" i="2" s="1"/>
  <c r="N395" i="2"/>
  <c r="M395" i="2"/>
  <c r="N394" i="2"/>
  <c r="M394" i="2"/>
  <c r="O394" i="2" s="1"/>
  <c r="P394" i="2" s="1"/>
  <c r="N393" i="2"/>
  <c r="M393" i="2"/>
  <c r="O393" i="2" s="1"/>
  <c r="P393" i="2" s="1"/>
  <c r="N392" i="2"/>
  <c r="M392" i="2"/>
  <c r="N391" i="2"/>
  <c r="M391" i="2"/>
  <c r="O391" i="2" s="1"/>
  <c r="P391" i="2" s="1"/>
  <c r="N390" i="2"/>
  <c r="M390" i="2"/>
  <c r="O390" i="2" s="1"/>
  <c r="P390" i="2" s="1"/>
  <c r="N389" i="2"/>
  <c r="M389" i="2"/>
  <c r="O389" i="2" s="1"/>
  <c r="P389" i="2" s="1"/>
  <c r="N388" i="2"/>
  <c r="M388" i="2"/>
  <c r="O388" i="2" s="1"/>
  <c r="P388" i="2" s="1"/>
  <c r="N387" i="2"/>
  <c r="M387" i="2"/>
  <c r="O387" i="2" s="1"/>
  <c r="P387" i="2" s="1"/>
  <c r="N386" i="2"/>
  <c r="M386" i="2"/>
  <c r="O386" i="2" s="1"/>
  <c r="P386" i="2" s="1"/>
  <c r="P385" i="2"/>
  <c r="N385" i="2"/>
  <c r="M385" i="2"/>
  <c r="O385" i="2" s="1"/>
  <c r="N384" i="2"/>
  <c r="M384" i="2"/>
  <c r="O384" i="2" s="1"/>
  <c r="P384" i="2" s="1"/>
  <c r="N383" i="2"/>
  <c r="M383" i="2"/>
  <c r="O383" i="2" s="1"/>
  <c r="P383" i="2" s="1"/>
  <c r="N382" i="2"/>
  <c r="M382" i="2"/>
  <c r="O382" i="2" s="1"/>
  <c r="P382" i="2" s="1"/>
  <c r="N381" i="2"/>
  <c r="M381" i="2"/>
  <c r="O381" i="2" s="1"/>
  <c r="P381" i="2" s="1"/>
  <c r="N380" i="2"/>
  <c r="M380" i="2"/>
  <c r="O380" i="2" s="1"/>
  <c r="P380" i="2" s="1"/>
  <c r="N379" i="2"/>
  <c r="M379" i="2"/>
  <c r="O379" i="2" s="1"/>
  <c r="P379" i="2" s="1"/>
  <c r="N378" i="2"/>
  <c r="M378" i="2"/>
  <c r="O378" i="2" s="1"/>
  <c r="P378" i="2" s="1"/>
  <c r="N377" i="2"/>
  <c r="M377" i="2"/>
  <c r="O377" i="2" s="1"/>
  <c r="P377" i="2" s="1"/>
  <c r="P376" i="2"/>
  <c r="N376" i="2"/>
  <c r="M376" i="2"/>
  <c r="O376" i="2" s="1"/>
  <c r="N375" i="2"/>
  <c r="M375" i="2"/>
  <c r="O375" i="2" s="1"/>
  <c r="P375" i="2" s="1"/>
  <c r="N374" i="2"/>
  <c r="M374" i="2"/>
  <c r="O374" i="2" s="1"/>
  <c r="P374" i="2" s="1"/>
  <c r="N373" i="2"/>
  <c r="M373" i="2"/>
  <c r="O373" i="2" s="1"/>
  <c r="P373" i="2" s="1"/>
  <c r="N372" i="2"/>
  <c r="M372" i="2"/>
  <c r="O372" i="2" s="1"/>
  <c r="P372" i="2" s="1"/>
  <c r="N371" i="2"/>
  <c r="M371" i="2"/>
  <c r="O371" i="2" s="1"/>
  <c r="P371" i="2" s="1"/>
  <c r="N370" i="2"/>
  <c r="M370" i="2"/>
  <c r="O370" i="2" s="1"/>
  <c r="P370" i="2" s="1"/>
  <c r="N369" i="2"/>
  <c r="M369" i="2"/>
  <c r="O369" i="2" s="1"/>
  <c r="P369" i="2" s="1"/>
  <c r="N368" i="2"/>
  <c r="M368" i="2"/>
  <c r="O368" i="2" s="1"/>
  <c r="P368" i="2" s="1"/>
  <c r="P367" i="2"/>
  <c r="N367" i="2"/>
  <c r="M367" i="2"/>
  <c r="O367" i="2" s="1"/>
  <c r="M366" i="2"/>
  <c r="N365" i="2"/>
  <c r="M365" i="2"/>
  <c r="O365" i="2" s="1"/>
  <c r="P365" i="2" s="1"/>
  <c r="M364" i="2"/>
  <c r="M363" i="2"/>
  <c r="M362" i="2"/>
  <c r="M361" i="2"/>
  <c r="N360" i="2"/>
  <c r="M360" i="2"/>
  <c r="O360" i="2" s="1"/>
  <c r="P360" i="2" s="1"/>
  <c r="N359" i="2"/>
  <c r="M359" i="2"/>
  <c r="O359" i="2" s="1"/>
  <c r="P359" i="2" s="1"/>
  <c r="N358" i="2"/>
  <c r="M358" i="2"/>
  <c r="O358" i="2" s="1"/>
  <c r="P358" i="2" s="1"/>
  <c r="N357" i="2"/>
  <c r="M357" i="2"/>
  <c r="O357" i="2" s="1"/>
  <c r="P357" i="2" s="1"/>
  <c r="N356" i="2"/>
  <c r="M356" i="2"/>
  <c r="O356" i="2" s="1"/>
  <c r="P356" i="2" s="1"/>
  <c r="N355" i="2"/>
  <c r="M355" i="2"/>
  <c r="O355" i="2" s="1"/>
  <c r="P355" i="2" s="1"/>
  <c r="N354" i="2"/>
  <c r="M354" i="2"/>
  <c r="O354" i="2" s="1"/>
  <c r="P354" i="2" s="1"/>
  <c r="N353" i="2"/>
  <c r="M353" i="2"/>
  <c r="O353" i="2" s="1"/>
  <c r="P353" i="2" s="1"/>
  <c r="P352" i="2"/>
  <c r="N352" i="2"/>
  <c r="M352" i="2"/>
  <c r="O352" i="2" s="1"/>
  <c r="N351" i="2"/>
  <c r="M351" i="2"/>
  <c r="O351" i="2" s="1"/>
  <c r="P351" i="2" s="1"/>
  <c r="N350" i="2"/>
  <c r="M350" i="2"/>
  <c r="N349" i="2"/>
  <c r="M349" i="2"/>
  <c r="O349" i="2" s="1"/>
  <c r="P349" i="2" s="1"/>
  <c r="N348" i="2"/>
  <c r="M348" i="2"/>
  <c r="O348" i="2" s="1"/>
  <c r="P348" i="2" s="1"/>
  <c r="N347" i="2"/>
  <c r="M347" i="2"/>
  <c r="O347" i="2" s="1"/>
  <c r="P347" i="2" s="1"/>
  <c r="N346" i="2"/>
  <c r="M346" i="2"/>
  <c r="O346" i="2" s="1"/>
  <c r="P346" i="2" s="1"/>
  <c r="N345" i="2"/>
  <c r="M345" i="2"/>
  <c r="O345" i="2" s="1"/>
  <c r="P345" i="2" s="1"/>
  <c r="N344" i="2"/>
  <c r="M344" i="2"/>
  <c r="O344" i="2" s="1"/>
  <c r="P344" i="2" s="1"/>
  <c r="N343" i="2"/>
  <c r="M343" i="2"/>
  <c r="O343" i="2" s="1"/>
  <c r="P343" i="2" s="1"/>
  <c r="N342" i="2"/>
  <c r="M342" i="2"/>
  <c r="O342" i="2" s="1"/>
  <c r="P342" i="2" s="1"/>
  <c r="N341" i="2"/>
  <c r="M341" i="2"/>
  <c r="N340" i="2"/>
  <c r="M340" i="2"/>
  <c r="O340" i="2" s="1"/>
  <c r="P340" i="2" s="1"/>
  <c r="N339" i="2"/>
  <c r="M339" i="2"/>
  <c r="O339" i="2" s="1"/>
  <c r="P339" i="2" s="1"/>
  <c r="N338" i="2"/>
  <c r="M338" i="2"/>
  <c r="O338" i="2" s="1"/>
  <c r="P338" i="2" s="1"/>
  <c r="N337" i="2"/>
  <c r="M337" i="2"/>
  <c r="O337" i="2" s="1"/>
  <c r="P337" i="2" s="1"/>
  <c r="N336" i="2"/>
  <c r="M336" i="2"/>
  <c r="O336" i="2" s="1"/>
  <c r="P336" i="2" s="1"/>
  <c r="N335" i="2"/>
  <c r="M335" i="2"/>
  <c r="O335" i="2" s="1"/>
  <c r="P335" i="2" s="1"/>
  <c r="N334" i="2"/>
  <c r="M334" i="2"/>
  <c r="O334" i="2" s="1"/>
  <c r="P334" i="2" s="1"/>
  <c r="N333" i="2"/>
  <c r="M333" i="2"/>
  <c r="O333" i="2" s="1"/>
  <c r="P333" i="2" s="1"/>
  <c r="N332" i="2"/>
  <c r="M332" i="2"/>
  <c r="N331" i="2"/>
  <c r="M331" i="2"/>
  <c r="O331" i="2" s="1"/>
  <c r="P331" i="2" s="1"/>
  <c r="N330" i="2"/>
  <c r="M330" i="2"/>
  <c r="O330" i="2" s="1"/>
  <c r="P330" i="2" s="1"/>
  <c r="N329" i="2"/>
  <c r="M329" i="2"/>
  <c r="O329" i="2" s="1"/>
  <c r="P329" i="2" s="1"/>
  <c r="N328" i="2"/>
  <c r="M328" i="2"/>
  <c r="O328" i="2" s="1"/>
  <c r="P328" i="2" s="1"/>
  <c r="N327" i="2"/>
  <c r="M327" i="2"/>
  <c r="O327" i="2" s="1"/>
  <c r="P327" i="2" s="1"/>
  <c r="N326" i="2"/>
  <c r="M326" i="2"/>
  <c r="O326" i="2" s="1"/>
  <c r="P326" i="2" s="1"/>
  <c r="N325" i="2"/>
  <c r="M325" i="2"/>
  <c r="O325" i="2" s="1"/>
  <c r="P325" i="2" s="1"/>
  <c r="N324" i="2"/>
  <c r="M324" i="2"/>
  <c r="O324" i="2" s="1"/>
  <c r="P324" i="2" s="1"/>
  <c r="N323" i="2"/>
  <c r="M323" i="2"/>
  <c r="M322" i="2"/>
  <c r="M321" i="2"/>
  <c r="O320" i="2"/>
  <c r="P320" i="2" s="1"/>
  <c r="N320" i="2"/>
  <c r="M320" i="2"/>
  <c r="M319" i="2"/>
  <c r="M318" i="2"/>
  <c r="N317" i="2"/>
  <c r="M317" i="2"/>
  <c r="O317" i="2" s="1"/>
  <c r="P317" i="2" s="1"/>
  <c r="M316" i="2"/>
  <c r="M315" i="2"/>
  <c r="O314" i="2"/>
  <c r="P314" i="2" s="1"/>
  <c r="N314" i="2"/>
  <c r="M314" i="2"/>
  <c r="N313" i="2"/>
  <c r="M313" i="2"/>
  <c r="O313" i="2" s="1"/>
  <c r="P313" i="2" s="1"/>
  <c r="N312" i="2"/>
  <c r="M312" i="2"/>
  <c r="O312" i="2" s="1"/>
  <c r="P312" i="2" s="1"/>
  <c r="O311" i="2"/>
  <c r="P311" i="2" s="1"/>
  <c r="N311" i="2"/>
  <c r="M311" i="2"/>
  <c r="P310" i="2"/>
  <c r="N310" i="2"/>
  <c r="M310" i="2"/>
  <c r="O310" i="2" s="1"/>
  <c r="N309" i="2"/>
  <c r="M309" i="2"/>
  <c r="O309" i="2" s="1"/>
  <c r="P309" i="2" s="1"/>
  <c r="N308" i="2"/>
  <c r="M308" i="2"/>
  <c r="O308" i="2" s="1"/>
  <c r="P308" i="2" s="1"/>
  <c r="P307" i="2"/>
  <c r="N307" i="2"/>
  <c r="M307" i="2"/>
  <c r="O307" i="2" s="1"/>
  <c r="N306" i="2"/>
  <c r="M306" i="2"/>
  <c r="O306" i="2" s="1"/>
  <c r="P306" i="2" s="1"/>
  <c r="O305" i="2"/>
  <c r="P305" i="2" s="1"/>
  <c r="N305" i="2"/>
  <c r="M305" i="2"/>
  <c r="N304" i="2"/>
  <c r="M304" i="2"/>
  <c r="O304" i="2" s="1"/>
  <c r="P304" i="2" s="1"/>
  <c r="N303" i="2"/>
  <c r="M303" i="2"/>
  <c r="O303" i="2" s="1"/>
  <c r="P303" i="2" s="1"/>
  <c r="O302" i="2"/>
  <c r="P302" i="2" s="1"/>
  <c r="N302" i="2"/>
  <c r="M302" i="2"/>
  <c r="P301" i="2"/>
  <c r="N301" i="2"/>
  <c r="M301" i="2"/>
  <c r="O301" i="2" s="1"/>
  <c r="N300" i="2"/>
  <c r="M300" i="2"/>
  <c r="O300" i="2" s="1"/>
  <c r="P300" i="2" s="1"/>
  <c r="N299" i="2"/>
  <c r="M299" i="2"/>
  <c r="O299" i="2" s="1"/>
  <c r="P299" i="2" s="1"/>
  <c r="P298" i="2"/>
  <c r="N298" i="2"/>
  <c r="M298" i="2"/>
  <c r="O298" i="2" s="1"/>
  <c r="N297" i="2"/>
  <c r="M297" i="2"/>
  <c r="O297" i="2" s="1"/>
  <c r="P297" i="2" s="1"/>
  <c r="O296" i="2"/>
  <c r="P296" i="2" s="1"/>
  <c r="N296" i="2"/>
  <c r="M296" i="2"/>
  <c r="N295" i="2"/>
  <c r="M295" i="2"/>
  <c r="O295" i="2" s="1"/>
  <c r="P295" i="2" s="1"/>
  <c r="M294" i="2"/>
  <c r="O293" i="2"/>
  <c r="P293" i="2" s="1"/>
  <c r="N293" i="2"/>
  <c r="M293" i="2"/>
  <c r="M292" i="2"/>
  <c r="M291" i="2"/>
  <c r="M290" i="2"/>
  <c r="M289" i="2"/>
  <c r="N288" i="2"/>
  <c r="M288" i="2"/>
  <c r="O288" i="2" s="1"/>
  <c r="P288" i="2" s="1"/>
  <c r="O287" i="2"/>
  <c r="P287" i="2" s="1"/>
  <c r="N287" i="2"/>
  <c r="M287" i="2"/>
  <c r="P286" i="2"/>
  <c r="N286" i="2"/>
  <c r="M286" i="2"/>
  <c r="O286" i="2" s="1"/>
  <c r="N285" i="2"/>
  <c r="M285" i="2"/>
  <c r="O285" i="2" s="1"/>
  <c r="P285" i="2" s="1"/>
  <c r="N284" i="2"/>
  <c r="M284" i="2"/>
  <c r="O284" i="2" s="1"/>
  <c r="P284" i="2" s="1"/>
  <c r="P283" i="2"/>
  <c r="N283" i="2"/>
  <c r="M283" i="2"/>
  <c r="O283" i="2" s="1"/>
  <c r="N282" i="2"/>
  <c r="M282" i="2"/>
  <c r="O282" i="2" s="1"/>
  <c r="P282" i="2" s="1"/>
  <c r="O281" i="2"/>
  <c r="P281" i="2" s="1"/>
  <c r="N281" i="2"/>
  <c r="M281" i="2"/>
  <c r="N280" i="2"/>
  <c r="M280" i="2"/>
  <c r="O280" i="2" s="1"/>
  <c r="P280" i="2" s="1"/>
  <c r="N279" i="2"/>
  <c r="M279" i="2"/>
  <c r="O279" i="2" s="1"/>
  <c r="P279" i="2" s="1"/>
  <c r="O278" i="2"/>
  <c r="P278" i="2" s="1"/>
  <c r="N278" i="2"/>
  <c r="M278" i="2"/>
  <c r="P277" i="2"/>
  <c r="N277" i="2"/>
  <c r="M277" i="2"/>
  <c r="O277" i="2" s="1"/>
  <c r="N276" i="2"/>
  <c r="M276" i="2"/>
  <c r="O276" i="2" s="1"/>
  <c r="P276" i="2" s="1"/>
  <c r="N275" i="2"/>
  <c r="M275" i="2"/>
  <c r="O275" i="2" s="1"/>
  <c r="P275" i="2" s="1"/>
  <c r="M274" i="2"/>
  <c r="M273" i="2"/>
  <c r="N272" i="2"/>
  <c r="M272" i="2"/>
  <c r="O272" i="2" s="1"/>
  <c r="P272" i="2" s="1"/>
  <c r="P271" i="2"/>
  <c r="N271" i="2"/>
  <c r="M271" i="2"/>
  <c r="O271" i="2" s="1"/>
  <c r="N270" i="2"/>
  <c r="M270" i="2"/>
  <c r="O270" i="2" s="1"/>
  <c r="P270" i="2" s="1"/>
  <c r="N269" i="2"/>
  <c r="M269" i="2"/>
  <c r="N268" i="2"/>
  <c r="M268" i="2"/>
  <c r="O268" i="2" s="1"/>
  <c r="P268" i="2" s="1"/>
  <c r="N267" i="2"/>
  <c r="M267" i="2"/>
  <c r="O267" i="2" s="1"/>
  <c r="P267" i="2" s="1"/>
  <c r="N266" i="2"/>
  <c r="M266" i="2"/>
  <c r="O266" i="2" s="1"/>
  <c r="P266" i="2" s="1"/>
  <c r="N265" i="2"/>
  <c r="M265" i="2"/>
  <c r="O265" i="2" s="1"/>
  <c r="P265" i="2" s="1"/>
  <c r="N264" i="2"/>
  <c r="M264" i="2"/>
  <c r="O264" i="2" s="1"/>
  <c r="P264" i="2" s="1"/>
  <c r="N263" i="2"/>
  <c r="M263" i="2"/>
  <c r="P262" i="2"/>
  <c r="N262" i="2"/>
  <c r="M262" i="2"/>
  <c r="O262" i="2" s="1"/>
  <c r="N261" i="2"/>
  <c r="M261" i="2"/>
  <c r="O261" i="2" s="1"/>
  <c r="P261" i="2" s="1"/>
  <c r="N260" i="2"/>
  <c r="M260" i="2"/>
  <c r="O260" i="2" s="1"/>
  <c r="P260" i="2" s="1"/>
  <c r="N259" i="2"/>
  <c r="M259" i="2"/>
  <c r="O259" i="2" s="1"/>
  <c r="P259" i="2" s="1"/>
  <c r="N258" i="2"/>
  <c r="M258" i="2"/>
  <c r="O258" i="2" s="1"/>
  <c r="P258" i="2" s="1"/>
  <c r="N257" i="2"/>
  <c r="M257" i="2"/>
  <c r="O257" i="2" s="1"/>
  <c r="P257" i="2" s="1"/>
  <c r="N256" i="2"/>
  <c r="M256" i="2"/>
  <c r="O256" i="2" s="1"/>
  <c r="P256" i="2" s="1"/>
  <c r="N255" i="2"/>
  <c r="M255" i="2"/>
  <c r="O255" i="2" s="1"/>
  <c r="P255" i="2" s="1"/>
  <c r="N254" i="2"/>
  <c r="M254" i="2"/>
  <c r="N253" i="2"/>
  <c r="M253" i="2"/>
  <c r="O253" i="2" s="1"/>
  <c r="P253" i="2" s="1"/>
  <c r="N252" i="2"/>
  <c r="M252" i="2"/>
  <c r="O252" i="2" s="1"/>
  <c r="P252" i="2" s="1"/>
  <c r="N251" i="2"/>
  <c r="M251" i="2"/>
  <c r="N250" i="2"/>
  <c r="M250" i="2"/>
  <c r="O250" i="2" s="1"/>
  <c r="P250" i="2" s="1"/>
  <c r="N249" i="2"/>
  <c r="M249" i="2"/>
  <c r="O249" i="2" s="1"/>
  <c r="P249" i="2" s="1"/>
  <c r="N248" i="2"/>
  <c r="M248" i="2"/>
  <c r="O248" i="2" s="1"/>
  <c r="P248" i="2" s="1"/>
  <c r="N247" i="2"/>
  <c r="M247" i="2"/>
  <c r="O247" i="2" s="1"/>
  <c r="P247" i="2" s="1"/>
  <c r="N246" i="2"/>
  <c r="M246" i="2"/>
  <c r="O246" i="2" s="1"/>
  <c r="P246" i="2" s="1"/>
  <c r="N245" i="2"/>
  <c r="M245" i="2"/>
  <c r="N244" i="2"/>
  <c r="M244" i="2"/>
  <c r="O244" i="2" s="1"/>
  <c r="P244" i="2" s="1"/>
  <c r="N243" i="2"/>
  <c r="M243" i="2"/>
  <c r="O243" i="2" s="1"/>
  <c r="P243" i="2" s="1"/>
  <c r="N242" i="2"/>
  <c r="M242" i="2"/>
  <c r="N241" i="2"/>
  <c r="M241" i="2"/>
  <c r="O241" i="2" s="1"/>
  <c r="P241" i="2" s="1"/>
  <c r="N240" i="2"/>
  <c r="M240" i="2"/>
  <c r="O240" i="2" s="1"/>
  <c r="P240" i="2" s="1"/>
  <c r="N239" i="2"/>
  <c r="M239" i="2"/>
  <c r="O239" i="2" s="1"/>
  <c r="P239" i="2" s="1"/>
  <c r="N238" i="2"/>
  <c r="M238" i="2"/>
  <c r="O238" i="2" s="1"/>
  <c r="P238" i="2" s="1"/>
  <c r="N237" i="2"/>
  <c r="M237" i="2"/>
  <c r="O237" i="2" s="1"/>
  <c r="P237" i="2" s="1"/>
  <c r="N236" i="2"/>
  <c r="M236" i="2"/>
  <c r="N235" i="2"/>
  <c r="M235" i="2"/>
  <c r="O235" i="2" s="1"/>
  <c r="P235" i="2" s="1"/>
  <c r="N234" i="2"/>
  <c r="M234" i="2"/>
  <c r="O234" i="2" s="1"/>
  <c r="P234" i="2" s="1"/>
  <c r="N233" i="2"/>
  <c r="M233" i="2"/>
  <c r="N232" i="2"/>
  <c r="M232" i="2"/>
  <c r="O232" i="2" s="1"/>
  <c r="P232" i="2" s="1"/>
  <c r="N231" i="2"/>
  <c r="M231" i="2"/>
  <c r="O231" i="2" s="1"/>
  <c r="P231" i="2" s="1"/>
  <c r="N230" i="2"/>
  <c r="M230" i="2"/>
  <c r="O230" i="2" s="1"/>
  <c r="P230" i="2" s="1"/>
  <c r="N229" i="2"/>
  <c r="M229" i="2"/>
  <c r="O229" i="2" s="1"/>
  <c r="P229" i="2" s="1"/>
  <c r="N228" i="2"/>
  <c r="M228" i="2"/>
  <c r="O228" i="2" s="1"/>
  <c r="P228" i="2" s="1"/>
  <c r="N227" i="2"/>
  <c r="M227" i="2"/>
  <c r="N226" i="2"/>
  <c r="M226" i="2"/>
  <c r="O226" i="2" s="1"/>
  <c r="P226" i="2" s="1"/>
  <c r="N225" i="2"/>
  <c r="M225" i="2"/>
  <c r="O225" i="2" s="1"/>
  <c r="P225" i="2" s="1"/>
  <c r="N224" i="2"/>
  <c r="M224" i="2"/>
  <c r="N223" i="2"/>
  <c r="M223" i="2"/>
  <c r="O223" i="2" s="1"/>
  <c r="P223" i="2" s="1"/>
  <c r="N222" i="2"/>
  <c r="M222" i="2"/>
  <c r="O222" i="2" s="1"/>
  <c r="P222" i="2" s="1"/>
  <c r="N221" i="2"/>
  <c r="M221" i="2"/>
  <c r="O221" i="2" s="1"/>
  <c r="P221" i="2" s="1"/>
  <c r="N220" i="2"/>
  <c r="M220" i="2"/>
  <c r="O220" i="2" s="1"/>
  <c r="P220" i="2" s="1"/>
  <c r="N219" i="2"/>
  <c r="M219" i="2"/>
  <c r="O219" i="2" s="1"/>
  <c r="P219" i="2" s="1"/>
  <c r="N218" i="2"/>
  <c r="M218" i="2"/>
  <c r="N217" i="2"/>
  <c r="M217" i="2"/>
  <c r="O217" i="2" s="1"/>
  <c r="P217" i="2" s="1"/>
  <c r="N216" i="2"/>
  <c r="M216" i="2"/>
  <c r="O216" i="2" s="1"/>
  <c r="P216" i="2" s="1"/>
  <c r="N215" i="2"/>
  <c r="M215" i="2"/>
  <c r="N214" i="2"/>
  <c r="M214" i="2"/>
  <c r="O214" i="2" s="1"/>
  <c r="P214" i="2" s="1"/>
  <c r="N213" i="2"/>
  <c r="M213" i="2"/>
  <c r="O213" i="2" s="1"/>
  <c r="P213" i="2" s="1"/>
  <c r="N212" i="2"/>
  <c r="M212" i="2"/>
  <c r="O212" i="2" s="1"/>
  <c r="P212" i="2" s="1"/>
  <c r="N211" i="2"/>
  <c r="M211" i="2"/>
  <c r="O211" i="2" s="1"/>
  <c r="P211" i="2" s="1"/>
  <c r="N210" i="2"/>
  <c r="M210" i="2"/>
  <c r="O210" i="2" s="1"/>
  <c r="P210" i="2" s="1"/>
  <c r="N209" i="2"/>
  <c r="M209" i="2"/>
  <c r="N208" i="2"/>
  <c r="M208" i="2"/>
  <c r="O208" i="2" s="1"/>
  <c r="P208" i="2" s="1"/>
  <c r="N207" i="2"/>
  <c r="M207" i="2"/>
  <c r="O207" i="2" s="1"/>
  <c r="P207" i="2" s="1"/>
  <c r="N206" i="2"/>
  <c r="M206" i="2"/>
  <c r="N205" i="2"/>
  <c r="M205" i="2"/>
  <c r="O205" i="2" s="1"/>
  <c r="P205" i="2" s="1"/>
  <c r="N204" i="2"/>
  <c r="M204" i="2"/>
  <c r="O204" i="2" s="1"/>
  <c r="P204" i="2" s="1"/>
  <c r="N203" i="2"/>
  <c r="M203" i="2"/>
  <c r="O203" i="2" s="1"/>
  <c r="P203" i="2" s="1"/>
  <c r="N202" i="2"/>
  <c r="M202" i="2"/>
  <c r="O202" i="2" s="1"/>
  <c r="P202" i="2" s="1"/>
  <c r="N201" i="2"/>
  <c r="M201" i="2"/>
  <c r="O201" i="2" s="1"/>
  <c r="P201" i="2" s="1"/>
  <c r="N200" i="2"/>
  <c r="M200" i="2"/>
  <c r="N199" i="2"/>
  <c r="M199" i="2"/>
  <c r="O199" i="2" s="1"/>
  <c r="P199" i="2" s="1"/>
  <c r="N198" i="2"/>
  <c r="M198" i="2"/>
  <c r="O198" i="2" s="1"/>
  <c r="P198" i="2" s="1"/>
  <c r="N197" i="2"/>
  <c r="M197" i="2"/>
  <c r="N196" i="2"/>
  <c r="M196" i="2"/>
  <c r="O196" i="2" s="1"/>
  <c r="P196" i="2" s="1"/>
  <c r="N195" i="2"/>
  <c r="M195" i="2"/>
  <c r="O195" i="2" s="1"/>
  <c r="P195" i="2" s="1"/>
  <c r="N194" i="2"/>
  <c r="M194" i="2"/>
  <c r="O194" i="2" s="1"/>
  <c r="P194" i="2" s="1"/>
  <c r="N193" i="2"/>
  <c r="M193" i="2"/>
  <c r="O193" i="2" s="1"/>
  <c r="P193" i="2" s="1"/>
  <c r="N192" i="2"/>
  <c r="M192" i="2"/>
  <c r="O192" i="2" s="1"/>
  <c r="P192" i="2" s="1"/>
  <c r="N191" i="2"/>
  <c r="M191" i="2"/>
  <c r="N190" i="2"/>
  <c r="M190" i="2"/>
  <c r="O190" i="2" s="1"/>
  <c r="P190" i="2" s="1"/>
  <c r="N189" i="2"/>
  <c r="M189" i="2"/>
  <c r="O189" i="2" s="1"/>
  <c r="P189" i="2" s="1"/>
  <c r="N188" i="2"/>
  <c r="M188" i="2"/>
  <c r="N187" i="2"/>
  <c r="M187" i="2"/>
  <c r="O187" i="2" s="1"/>
  <c r="P187" i="2" s="1"/>
  <c r="N186" i="2"/>
  <c r="M186" i="2"/>
  <c r="O186" i="2" s="1"/>
  <c r="P186" i="2" s="1"/>
  <c r="N185" i="2"/>
  <c r="M185" i="2"/>
  <c r="O185" i="2" s="1"/>
  <c r="P185" i="2" s="1"/>
  <c r="N184" i="2"/>
  <c r="M184" i="2"/>
  <c r="O184" i="2" s="1"/>
  <c r="P184" i="2" s="1"/>
  <c r="N183" i="2"/>
  <c r="M183" i="2"/>
  <c r="O183" i="2" s="1"/>
  <c r="P183" i="2" s="1"/>
  <c r="N182" i="2"/>
  <c r="M182" i="2"/>
  <c r="N181" i="2"/>
  <c r="M181" i="2"/>
  <c r="O181" i="2" s="1"/>
  <c r="P181" i="2" s="1"/>
  <c r="N180" i="2"/>
  <c r="M180" i="2"/>
  <c r="O180" i="2" s="1"/>
  <c r="P180" i="2" s="1"/>
  <c r="N179" i="2"/>
  <c r="M179" i="2"/>
  <c r="N178" i="2"/>
  <c r="M178" i="2"/>
  <c r="O178" i="2" s="1"/>
  <c r="P178" i="2" s="1"/>
  <c r="N177" i="2"/>
  <c r="M177" i="2"/>
  <c r="O177" i="2" s="1"/>
  <c r="P177" i="2" s="1"/>
  <c r="N176" i="2"/>
  <c r="M176" i="2"/>
  <c r="O176" i="2" s="1"/>
  <c r="P176" i="2" s="1"/>
  <c r="N175" i="2"/>
  <c r="M175" i="2"/>
  <c r="O175" i="2" s="1"/>
  <c r="P175" i="2" s="1"/>
  <c r="N174" i="2"/>
  <c r="M174" i="2"/>
  <c r="O174" i="2" s="1"/>
  <c r="P174" i="2" s="1"/>
  <c r="N173" i="2"/>
  <c r="M173" i="2"/>
  <c r="N172" i="2"/>
  <c r="M172" i="2"/>
  <c r="O172" i="2" s="1"/>
  <c r="P172" i="2" s="1"/>
  <c r="N171" i="2"/>
  <c r="M171" i="2"/>
  <c r="O171" i="2" s="1"/>
  <c r="P171" i="2" s="1"/>
  <c r="O170" i="2"/>
  <c r="P170" i="2" s="1"/>
  <c r="N170" i="2"/>
  <c r="M170" i="2"/>
  <c r="N169" i="2"/>
  <c r="M169" i="2"/>
  <c r="O169" i="2" s="1"/>
  <c r="P169" i="2" s="1"/>
  <c r="N168" i="2"/>
  <c r="M168" i="2"/>
  <c r="O168" i="2" s="1"/>
  <c r="P168" i="2" s="1"/>
  <c r="N167" i="2"/>
  <c r="M167" i="2"/>
  <c r="O167" i="2" s="1"/>
  <c r="P167" i="2" s="1"/>
  <c r="N166" i="2"/>
  <c r="M166" i="2"/>
  <c r="O166" i="2" s="1"/>
  <c r="P166" i="2" s="1"/>
  <c r="N165" i="2"/>
  <c r="M165" i="2"/>
  <c r="O165" i="2" s="1"/>
  <c r="P165" i="2" s="1"/>
  <c r="N164" i="2"/>
  <c r="M164" i="2"/>
  <c r="N163" i="2"/>
  <c r="M163" i="2"/>
  <c r="O163" i="2" s="1"/>
  <c r="P163" i="2" s="1"/>
  <c r="N162" i="2"/>
  <c r="M162" i="2"/>
  <c r="O162" i="2" s="1"/>
  <c r="P162" i="2" s="1"/>
  <c r="N161" i="2"/>
  <c r="M161" i="2"/>
  <c r="O161" i="2" s="1"/>
  <c r="P161" i="2" s="1"/>
  <c r="N160" i="2"/>
  <c r="M160" i="2"/>
  <c r="O160" i="2" s="1"/>
  <c r="P160" i="2" s="1"/>
  <c r="N159" i="2"/>
  <c r="M159" i="2"/>
  <c r="O159" i="2" s="1"/>
  <c r="P159" i="2" s="1"/>
  <c r="N158" i="2"/>
  <c r="M158" i="2"/>
  <c r="O158" i="2" s="1"/>
  <c r="P158" i="2" s="1"/>
  <c r="N157" i="2"/>
  <c r="M157" i="2"/>
  <c r="O157" i="2" s="1"/>
  <c r="P157" i="2" s="1"/>
  <c r="N156" i="2"/>
  <c r="M156" i="2"/>
  <c r="O156" i="2" s="1"/>
  <c r="P156" i="2" s="1"/>
  <c r="N155" i="2"/>
  <c r="M155" i="2"/>
  <c r="O155" i="2" s="1"/>
  <c r="P155" i="2" s="1"/>
  <c r="N154" i="2"/>
  <c r="M154" i="2"/>
  <c r="O154" i="2" s="1"/>
  <c r="P154" i="2" s="1"/>
  <c r="N153" i="2"/>
  <c r="M153" i="2"/>
  <c r="O153" i="2" s="1"/>
  <c r="P153" i="2" s="1"/>
  <c r="N152" i="2"/>
  <c r="O152" i="2" s="1"/>
  <c r="P152" i="2" s="1"/>
  <c r="M152" i="2"/>
  <c r="N151" i="2"/>
  <c r="M151" i="2"/>
  <c r="O151" i="2" s="1"/>
  <c r="P151" i="2" s="1"/>
  <c r="N150" i="2"/>
  <c r="M150" i="2"/>
  <c r="O150" i="2" s="1"/>
  <c r="P150" i="2" s="1"/>
  <c r="N149" i="2"/>
  <c r="M149" i="2"/>
  <c r="O149" i="2" s="1"/>
  <c r="P149" i="2" s="1"/>
  <c r="N148" i="2"/>
  <c r="M148" i="2"/>
  <c r="N147" i="2"/>
  <c r="M147" i="2"/>
  <c r="O147" i="2" s="1"/>
  <c r="P147" i="2" s="1"/>
  <c r="N146" i="2"/>
  <c r="M146" i="2"/>
  <c r="N145" i="2"/>
  <c r="M145" i="2"/>
  <c r="O145" i="2" s="1"/>
  <c r="P145" i="2" s="1"/>
  <c r="N144" i="2"/>
  <c r="M144" i="2"/>
  <c r="O144" i="2" s="1"/>
  <c r="P144" i="2" s="1"/>
  <c r="N143" i="2"/>
  <c r="M143" i="2"/>
  <c r="O143" i="2" s="1"/>
  <c r="P143" i="2" s="1"/>
  <c r="N142" i="2"/>
  <c r="M142" i="2"/>
  <c r="O142" i="2" s="1"/>
  <c r="P142" i="2" s="1"/>
  <c r="N141" i="2"/>
  <c r="M141" i="2"/>
  <c r="O141" i="2" s="1"/>
  <c r="P141" i="2" s="1"/>
  <c r="N140" i="2"/>
  <c r="M140" i="2"/>
  <c r="O140" i="2" s="1"/>
  <c r="P140" i="2" s="1"/>
  <c r="N139" i="2"/>
  <c r="M139" i="2"/>
  <c r="N138" i="2"/>
  <c r="M138" i="2"/>
  <c r="O138" i="2" s="1"/>
  <c r="P138" i="2" s="1"/>
  <c r="N137" i="2"/>
  <c r="M137" i="2"/>
  <c r="O137" i="2" s="1"/>
  <c r="P137" i="2" s="1"/>
  <c r="N136" i="2"/>
  <c r="M136" i="2"/>
  <c r="O136" i="2" s="1"/>
  <c r="P136" i="2" s="1"/>
  <c r="N135" i="2"/>
  <c r="M135" i="2"/>
  <c r="O135" i="2" s="1"/>
  <c r="P135" i="2" s="1"/>
  <c r="N134" i="2"/>
  <c r="M134" i="2"/>
  <c r="O134" i="2" s="1"/>
  <c r="P134" i="2" s="1"/>
  <c r="N133" i="2"/>
  <c r="M133" i="2"/>
  <c r="O133" i="2" s="1"/>
  <c r="P133" i="2" s="1"/>
  <c r="N132" i="2"/>
  <c r="M132" i="2"/>
  <c r="O132" i="2" s="1"/>
  <c r="P132" i="2" s="1"/>
  <c r="N131" i="2"/>
  <c r="M131" i="2"/>
  <c r="O131" i="2" s="1"/>
  <c r="P131" i="2" s="1"/>
  <c r="N130" i="2"/>
  <c r="M130" i="2"/>
  <c r="N129" i="2"/>
  <c r="M129" i="2"/>
  <c r="O129" i="2" s="1"/>
  <c r="P129" i="2" s="1"/>
  <c r="N128" i="2"/>
  <c r="M128" i="2"/>
  <c r="O128" i="2" s="1"/>
  <c r="P128" i="2" s="1"/>
  <c r="N127" i="2"/>
  <c r="M127" i="2"/>
  <c r="O127" i="2" s="1"/>
  <c r="P127" i="2" s="1"/>
  <c r="N126" i="2"/>
  <c r="M126" i="2"/>
  <c r="O126" i="2" s="1"/>
  <c r="P126" i="2" s="1"/>
  <c r="O125" i="2"/>
  <c r="P125" i="2" s="1"/>
  <c r="N125" i="2"/>
  <c r="M125" i="2"/>
  <c r="N124" i="2"/>
  <c r="M124" i="2"/>
  <c r="O124" i="2" s="1"/>
  <c r="P124" i="2" s="1"/>
  <c r="N123" i="2"/>
  <c r="M123" i="2"/>
  <c r="O123" i="2" s="1"/>
  <c r="P123" i="2" s="1"/>
  <c r="N122" i="2"/>
  <c r="M122" i="2"/>
  <c r="O122" i="2" s="1"/>
  <c r="P122" i="2" s="1"/>
  <c r="N121" i="2"/>
  <c r="M121" i="2"/>
  <c r="O121" i="2" s="1"/>
  <c r="P121" i="2" s="1"/>
  <c r="N120" i="2"/>
  <c r="M120" i="2"/>
  <c r="O120" i="2" s="1"/>
  <c r="P120" i="2" s="1"/>
  <c r="N119" i="2"/>
  <c r="M119" i="2"/>
  <c r="N118" i="2"/>
  <c r="M118" i="2"/>
  <c r="O118" i="2" s="1"/>
  <c r="P118" i="2" s="1"/>
  <c r="N117" i="2"/>
  <c r="M117" i="2"/>
  <c r="O117" i="2" s="1"/>
  <c r="P117" i="2" s="1"/>
  <c r="N116" i="2"/>
  <c r="M116" i="2"/>
  <c r="O116" i="2" s="1"/>
  <c r="P116" i="2" s="1"/>
  <c r="N115" i="2"/>
  <c r="M115" i="2"/>
  <c r="O115" i="2" s="1"/>
  <c r="P115" i="2" s="1"/>
  <c r="N114" i="2"/>
  <c r="M114" i="2"/>
  <c r="O114" i="2" s="1"/>
  <c r="P114" i="2" s="1"/>
  <c r="N113" i="2"/>
  <c r="M113" i="2"/>
  <c r="O113" i="2" s="1"/>
  <c r="P113" i="2" s="1"/>
  <c r="N112" i="2"/>
  <c r="M112" i="2"/>
  <c r="N111" i="2"/>
  <c r="M111" i="2"/>
  <c r="O111" i="2" s="1"/>
  <c r="P111" i="2" s="1"/>
  <c r="N110" i="2"/>
  <c r="M110" i="2"/>
  <c r="O110" i="2" s="1"/>
  <c r="P110" i="2" s="1"/>
  <c r="N109" i="2"/>
  <c r="M109" i="2"/>
  <c r="O109" i="2" s="1"/>
  <c r="P109" i="2" s="1"/>
  <c r="N108" i="2"/>
  <c r="M108" i="2"/>
  <c r="O108" i="2" s="1"/>
  <c r="P108" i="2" s="1"/>
  <c r="N107" i="2"/>
  <c r="M107" i="2"/>
  <c r="O107" i="2" s="1"/>
  <c r="P107" i="2" s="1"/>
  <c r="N106" i="2"/>
  <c r="M106" i="2"/>
  <c r="O106" i="2" s="1"/>
  <c r="P106" i="2" s="1"/>
  <c r="N105" i="2"/>
  <c r="M105" i="2"/>
  <c r="O105" i="2" s="1"/>
  <c r="P105" i="2" s="1"/>
  <c r="N104" i="2"/>
  <c r="M104" i="2"/>
  <c r="O104" i="2" s="1"/>
  <c r="P104" i="2" s="1"/>
  <c r="N103" i="2"/>
  <c r="M103" i="2"/>
  <c r="O103" i="2" s="1"/>
  <c r="P103" i="2" s="1"/>
  <c r="N102" i="2"/>
  <c r="M102" i="2"/>
  <c r="O102" i="2" s="1"/>
  <c r="P102" i="2" s="1"/>
  <c r="N101" i="2"/>
  <c r="M101" i="2"/>
  <c r="O101" i="2" s="1"/>
  <c r="P101" i="2" s="1"/>
  <c r="N100" i="2"/>
  <c r="M100" i="2"/>
  <c r="O100" i="2" s="1"/>
  <c r="P100" i="2" s="1"/>
  <c r="N99" i="2"/>
  <c r="M99" i="2"/>
  <c r="O99" i="2" s="1"/>
  <c r="P99" i="2" s="1"/>
  <c r="N98" i="2"/>
  <c r="M98" i="2"/>
  <c r="O98" i="2" s="1"/>
  <c r="P98" i="2" s="1"/>
  <c r="N97" i="2"/>
  <c r="M97" i="2"/>
  <c r="O97" i="2" s="1"/>
  <c r="P97" i="2" s="1"/>
  <c r="N96" i="2"/>
  <c r="M96" i="2"/>
  <c r="O96" i="2" s="1"/>
  <c r="P96" i="2" s="1"/>
  <c r="N95" i="2"/>
  <c r="M95" i="2"/>
  <c r="O95" i="2" s="1"/>
  <c r="P95" i="2" s="1"/>
  <c r="N94" i="2"/>
  <c r="M94" i="2"/>
  <c r="O94" i="2" s="1"/>
  <c r="P94" i="2" s="1"/>
  <c r="N93" i="2"/>
  <c r="M93" i="2"/>
  <c r="O93" i="2" s="1"/>
  <c r="P93" i="2" s="1"/>
  <c r="N92" i="2"/>
  <c r="M92" i="2"/>
  <c r="O92" i="2" s="1"/>
  <c r="P92" i="2" s="1"/>
  <c r="N91" i="2"/>
  <c r="M91" i="2"/>
  <c r="O91" i="2" s="1"/>
  <c r="P91" i="2" s="1"/>
  <c r="N90" i="2"/>
  <c r="M90" i="2"/>
  <c r="O90" i="2" s="1"/>
  <c r="P90" i="2" s="1"/>
  <c r="N89" i="2"/>
  <c r="M89" i="2"/>
  <c r="O89" i="2" s="1"/>
  <c r="P89" i="2" s="1"/>
  <c r="N88" i="2"/>
  <c r="M88" i="2"/>
  <c r="O88" i="2" s="1"/>
  <c r="P88" i="2" s="1"/>
  <c r="N87" i="2"/>
  <c r="M87" i="2"/>
  <c r="O87" i="2" s="1"/>
  <c r="P87" i="2" s="1"/>
  <c r="N86" i="2"/>
  <c r="M86" i="2"/>
  <c r="O86" i="2" s="1"/>
  <c r="P86" i="2" s="1"/>
  <c r="N85" i="2"/>
  <c r="M85" i="2"/>
  <c r="N84" i="2"/>
  <c r="M84" i="2"/>
  <c r="O84" i="2" s="1"/>
  <c r="P84" i="2" s="1"/>
  <c r="N83" i="2"/>
  <c r="M83" i="2"/>
  <c r="O83" i="2" s="1"/>
  <c r="P83" i="2" s="1"/>
  <c r="N82" i="2"/>
  <c r="M82" i="2"/>
  <c r="O82" i="2" s="1"/>
  <c r="P82" i="2" s="1"/>
  <c r="N81" i="2"/>
  <c r="M81" i="2"/>
  <c r="O81" i="2" s="1"/>
  <c r="P81" i="2" s="1"/>
  <c r="N80" i="2"/>
  <c r="O80" i="2" s="1"/>
  <c r="P80" i="2" s="1"/>
  <c r="M80" i="2"/>
  <c r="N79" i="2"/>
  <c r="M79" i="2"/>
  <c r="O79" i="2" s="1"/>
  <c r="P79" i="2" s="1"/>
  <c r="N78" i="2"/>
  <c r="M78" i="2"/>
  <c r="O78" i="2" s="1"/>
  <c r="P78" i="2" s="1"/>
  <c r="N77" i="2"/>
  <c r="M77" i="2"/>
  <c r="O77" i="2" s="1"/>
  <c r="P77" i="2" s="1"/>
  <c r="N76" i="2"/>
  <c r="M76" i="2"/>
  <c r="O76" i="2" s="1"/>
  <c r="P76" i="2" s="1"/>
  <c r="N75" i="2"/>
  <c r="M75" i="2"/>
  <c r="O75" i="2" s="1"/>
  <c r="P75" i="2" s="1"/>
  <c r="N74" i="2"/>
  <c r="M74" i="2"/>
  <c r="N73" i="2"/>
  <c r="M73" i="2"/>
  <c r="O73" i="2" s="1"/>
  <c r="P73" i="2" s="1"/>
  <c r="N72" i="2"/>
  <c r="M72" i="2"/>
  <c r="O72" i="2" s="1"/>
  <c r="P72" i="2" s="1"/>
  <c r="N71" i="2"/>
  <c r="O71" i="2" s="1"/>
  <c r="P71" i="2" s="1"/>
  <c r="M71" i="2"/>
  <c r="N70" i="2"/>
  <c r="M70" i="2"/>
  <c r="O70" i="2" s="1"/>
  <c r="P70" i="2" s="1"/>
  <c r="N69" i="2"/>
  <c r="M69" i="2"/>
  <c r="O69" i="2" s="1"/>
  <c r="P69" i="2" s="1"/>
  <c r="N68" i="2"/>
  <c r="M68" i="2"/>
  <c r="O68" i="2" s="1"/>
  <c r="P68" i="2" s="1"/>
  <c r="N67" i="2"/>
  <c r="M67" i="2"/>
  <c r="O67" i="2" s="1"/>
  <c r="P67" i="2" s="1"/>
  <c r="N66" i="2"/>
  <c r="M66" i="2"/>
  <c r="O66" i="2" s="1"/>
  <c r="P66" i="2" s="1"/>
  <c r="N65" i="2"/>
  <c r="M65" i="2"/>
  <c r="N64" i="2"/>
  <c r="M64" i="2"/>
  <c r="O64" i="2" s="1"/>
  <c r="P64" i="2" s="1"/>
  <c r="N63" i="2"/>
  <c r="M63" i="2"/>
  <c r="O63" i="2" s="1"/>
  <c r="P63" i="2" s="1"/>
  <c r="O62" i="2"/>
  <c r="P62" i="2" s="1"/>
  <c r="N62" i="2"/>
  <c r="M62" i="2"/>
  <c r="N61" i="2"/>
  <c r="M61" i="2"/>
  <c r="O61" i="2" s="1"/>
  <c r="P61" i="2" s="1"/>
  <c r="N60" i="2"/>
  <c r="M60" i="2"/>
  <c r="O60" i="2" s="1"/>
  <c r="P60" i="2" s="1"/>
  <c r="N59" i="2"/>
  <c r="M59" i="2"/>
  <c r="O59" i="2" s="1"/>
  <c r="P59" i="2" s="1"/>
  <c r="N58" i="2"/>
  <c r="M58" i="2"/>
  <c r="O58" i="2" s="1"/>
  <c r="P58" i="2" s="1"/>
  <c r="N57" i="2"/>
  <c r="M57" i="2"/>
  <c r="O57" i="2" s="1"/>
  <c r="P57" i="2" s="1"/>
  <c r="N56" i="2"/>
  <c r="M56" i="2"/>
  <c r="N55" i="2"/>
  <c r="M55" i="2"/>
  <c r="O55" i="2" s="1"/>
  <c r="P55" i="2" s="1"/>
  <c r="N54" i="2"/>
  <c r="M54" i="2"/>
  <c r="O54" i="2" s="1"/>
  <c r="P54" i="2" s="1"/>
  <c r="N53" i="2"/>
  <c r="M53" i="2"/>
  <c r="O53" i="2" s="1"/>
  <c r="P53" i="2" s="1"/>
  <c r="N52" i="2"/>
  <c r="M52" i="2"/>
  <c r="O52" i="2" s="1"/>
  <c r="P52" i="2" s="1"/>
  <c r="N51" i="2"/>
  <c r="M51" i="2"/>
  <c r="O51" i="2" s="1"/>
  <c r="P51" i="2" s="1"/>
  <c r="N50" i="2"/>
  <c r="M50" i="2"/>
  <c r="O50" i="2" s="1"/>
  <c r="P50" i="2" s="1"/>
  <c r="N49" i="2"/>
  <c r="M49" i="2"/>
  <c r="O49" i="2" s="1"/>
  <c r="P49" i="2" s="1"/>
  <c r="N48" i="2"/>
  <c r="M48" i="2"/>
  <c r="O48" i="2" s="1"/>
  <c r="P48" i="2" s="1"/>
  <c r="N47" i="2"/>
  <c r="M47" i="2"/>
  <c r="O47" i="2" s="1"/>
  <c r="P47" i="2" s="1"/>
  <c r="N46" i="2"/>
  <c r="M46" i="2"/>
  <c r="O46" i="2" s="1"/>
  <c r="P46" i="2" s="1"/>
  <c r="N45" i="2"/>
  <c r="M45" i="2"/>
  <c r="O45" i="2" s="1"/>
  <c r="P45" i="2" s="1"/>
  <c r="N44" i="2"/>
  <c r="O44" i="2" s="1"/>
  <c r="P44" i="2" s="1"/>
  <c r="M44" i="2"/>
  <c r="N43" i="2"/>
  <c r="M43" i="2"/>
  <c r="O43" i="2" s="1"/>
  <c r="P43" i="2" s="1"/>
  <c r="N42" i="2"/>
  <c r="M42" i="2"/>
  <c r="O42" i="2" s="1"/>
  <c r="P42" i="2" s="1"/>
  <c r="N41" i="2"/>
  <c r="M41" i="2"/>
  <c r="O41" i="2" s="1"/>
  <c r="P41" i="2" s="1"/>
  <c r="N40" i="2"/>
  <c r="M40" i="2"/>
  <c r="N39" i="2"/>
  <c r="M39" i="2"/>
  <c r="O39" i="2" s="1"/>
  <c r="P39" i="2" s="1"/>
  <c r="N38" i="2"/>
  <c r="M38" i="2"/>
  <c r="N37" i="2"/>
  <c r="M37" i="2"/>
  <c r="O37" i="2" s="1"/>
  <c r="P37" i="2" s="1"/>
  <c r="N36" i="2"/>
  <c r="M36" i="2"/>
  <c r="O36" i="2" s="1"/>
  <c r="P36" i="2" s="1"/>
  <c r="N35" i="2"/>
  <c r="M35" i="2"/>
  <c r="O35" i="2" s="1"/>
  <c r="P35" i="2" s="1"/>
  <c r="N34" i="2"/>
  <c r="M34" i="2"/>
  <c r="O34" i="2" s="1"/>
  <c r="P34" i="2" s="1"/>
  <c r="M29" i="2"/>
  <c r="N28" i="2"/>
  <c r="M28" i="2"/>
  <c r="O28" i="2" s="1"/>
  <c r="P28" i="2" s="1"/>
  <c r="N27" i="2"/>
  <c r="M27" i="2"/>
  <c r="O27" i="2" s="1"/>
  <c r="P27" i="2" s="1"/>
  <c r="N26" i="2"/>
  <c r="M26" i="2"/>
  <c r="O26" i="2" s="1"/>
  <c r="P26" i="2" s="1"/>
  <c r="M25" i="2"/>
  <c r="P24" i="2"/>
  <c r="N24" i="2"/>
  <c r="M24" i="2"/>
  <c r="O24" i="2" s="1"/>
  <c r="N23" i="2"/>
  <c r="M23" i="2"/>
  <c r="O23" i="2" s="1"/>
  <c r="P23" i="2" s="1"/>
  <c r="N22" i="2"/>
  <c r="M22" i="2"/>
  <c r="P21" i="2"/>
  <c r="N21" i="2"/>
  <c r="M21" i="2"/>
  <c r="O21" i="2" s="1"/>
  <c r="N20" i="2"/>
  <c r="M20" i="2"/>
  <c r="O20" i="2" s="1"/>
  <c r="P20" i="2" s="1"/>
  <c r="M19" i="2"/>
  <c r="N18" i="2"/>
  <c r="M18" i="2"/>
  <c r="O18" i="2" s="1"/>
  <c r="P18" i="2" s="1"/>
  <c r="N17" i="2"/>
  <c r="M17" i="2"/>
  <c r="O17" i="2" s="1"/>
  <c r="P17" i="2" s="1"/>
  <c r="N16" i="2"/>
  <c r="M16" i="2"/>
  <c r="O16" i="2" s="1"/>
  <c r="P16" i="2" s="1"/>
  <c r="P15" i="2"/>
  <c r="N15" i="2"/>
  <c r="M15" i="2"/>
  <c r="O15" i="2" s="1"/>
  <c r="M14" i="2"/>
  <c r="N13" i="2"/>
  <c r="M13" i="2"/>
  <c r="O13" i="2" s="1"/>
  <c r="P13" i="2" s="1"/>
  <c r="N12" i="2"/>
  <c r="M12" i="2"/>
  <c r="M11" i="2"/>
  <c r="O10" i="2"/>
  <c r="P10" i="2" s="1"/>
  <c r="N10" i="2"/>
  <c r="M10" i="2"/>
  <c r="N9" i="2"/>
  <c r="M9" i="2"/>
  <c r="N8" i="2"/>
  <c r="M8" i="2"/>
  <c r="O8" i="2" s="1"/>
  <c r="P8" i="2" s="1"/>
  <c r="N7" i="2"/>
  <c r="O7" i="2" s="1"/>
  <c r="P7" i="2" s="1"/>
  <c r="M7" i="2"/>
  <c r="N6" i="2"/>
  <c r="M6" i="2"/>
  <c r="N5" i="2"/>
  <c r="M5" i="2"/>
  <c r="O5" i="2" s="1"/>
  <c r="P5" i="2" s="1"/>
  <c r="O4" i="2"/>
  <c r="P4" i="2" s="1"/>
  <c r="N4" i="2"/>
  <c r="M4" i="2"/>
  <c r="N3" i="2"/>
  <c r="M3" i="2"/>
  <c r="O3" i="2" s="1"/>
  <c r="P3" i="2" s="1"/>
  <c r="N2" i="2"/>
  <c r="M2" i="2"/>
  <c r="O2" i="2" s="1"/>
  <c r="P2" i="2" s="1"/>
  <c r="B42" i="1"/>
  <c r="F22" i="6"/>
  <c r="F19" i="6"/>
  <c r="F16" i="6"/>
  <c r="F13" i="6"/>
  <c r="F10" i="6"/>
  <c r="F7" i="6"/>
  <c r="F4" i="6"/>
  <c r="F18" i="6"/>
  <c r="H11" i="6"/>
  <c r="F5" i="6"/>
  <c r="F21" i="6"/>
  <c r="H14" i="6"/>
  <c r="F8" i="6"/>
  <c r="H20" i="6"/>
  <c r="F14" i="6"/>
  <c r="H7" i="6"/>
  <c r="H22" i="6"/>
  <c r="H17" i="6"/>
  <c r="F9" i="6"/>
  <c r="F17" i="6"/>
  <c r="H4" i="6"/>
  <c r="H21" i="6"/>
  <c r="H12" i="6"/>
  <c r="H8" i="6"/>
  <c r="H16" i="6"/>
  <c r="F12" i="6"/>
  <c r="F20" i="6"/>
  <c r="G11" i="5"/>
  <c r="H15" i="6"/>
  <c r="F11" i="6"/>
  <c r="H6" i="6"/>
  <c r="H19" i="6"/>
  <c r="H10" i="6"/>
  <c r="H23" i="6"/>
  <c r="F15" i="6"/>
  <c r="F6" i="6"/>
  <c r="F23" i="6"/>
  <c r="H18" i="6"/>
  <c r="H13" i="6"/>
  <c r="H9" i="6"/>
  <c r="H5" i="6"/>
  <c r="I13" i="6" l="1"/>
  <c r="G23" i="6"/>
  <c r="G6" i="6"/>
  <c r="G15" i="6"/>
  <c r="I15" i="6" s="1"/>
  <c r="I23" i="6"/>
  <c r="I10" i="6"/>
  <c r="I19" i="6"/>
  <c r="I6" i="6"/>
  <c r="G11" i="6"/>
  <c r="I11" i="6" s="1"/>
  <c r="G12" i="5"/>
  <c r="G13" i="5" s="1"/>
  <c r="G20" i="6"/>
  <c r="G12" i="6"/>
  <c r="I16" i="6"/>
  <c r="I12" i="6"/>
  <c r="I21" i="6"/>
  <c r="H25" i="6"/>
  <c r="I4" i="6"/>
  <c r="G17" i="6"/>
  <c r="I17" i="6" s="1"/>
  <c r="G9" i="6"/>
  <c r="I9" i="6" s="1"/>
  <c r="I22" i="6"/>
  <c r="G14" i="6"/>
  <c r="I20" i="6"/>
  <c r="G8" i="6"/>
  <c r="I8" i="6" s="1"/>
  <c r="I14" i="6"/>
  <c r="G21" i="6"/>
  <c r="G5" i="6"/>
  <c r="I5" i="6" s="1"/>
  <c r="G18" i="6"/>
  <c r="I18" i="6" s="1"/>
  <c r="G4" i="6"/>
  <c r="G7" i="6"/>
  <c r="I7" i="6" s="1"/>
  <c r="G10" i="6"/>
  <c r="G13" i="6"/>
  <c r="G16" i="6"/>
  <c r="G19" i="6"/>
  <c r="G22" i="6"/>
  <c r="O65" i="2"/>
  <c r="P65" i="2" s="1"/>
  <c r="O139" i="2"/>
  <c r="P139" i="2" s="1"/>
  <c r="O173" i="2"/>
  <c r="P173" i="2" s="1"/>
  <c r="O179" i="2"/>
  <c r="P179" i="2" s="1"/>
  <c r="O191" i="2"/>
  <c r="P191" i="2" s="1"/>
  <c r="O197" i="2"/>
  <c r="P197" i="2" s="1"/>
  <c r="O209" i="2"/>
  <c r="P209" i="2" s="1"/>
  <c r="O215" i="2"/>
  <c r="P215" i="2" s="1"/>
  <c r="O227" i="2"/>
  <c r="P227" i="2" s="1"/>
  <c r="O233" i="2"/>
  <c r="P233" i="2" s="1"/>
  <c r="O245" i="2"/>
  <c r="P245" i="2" s="1"/>
  <c r="O251" i="2"/>
  <c r="P251" i="2" s="1"/>
  <c r="O915" i="2"/>
  <c r="P915" i="2" s="1"/>
  <c r="O263" i="2"/>
  <c r="P263" i="2" s="1"/>
  <c r="O269" i="2"/>
  <c r="P269" i="2" s="1"/>
  <c r="O332" i="2"/>
  <c r="P332" i="2" s="1"/>
  <c r="O350" i="2"/>
  <c r="P350" i="2" s="1"/>
  <c r="O392" i="2"/>
  <c r="P392" i="2" s="1"/>
  <c r="O22" i="2"/>
  <c r="P22" i="2" s="1"/>
  <c r="O38" i="2"/>
  <c r="P38" i="2" s="1"/>
  <c r="O112" i="2"/>
  <c r="P112" i="2" s="1"/>
  <c r="O146" i="2"/>
  <c r="P146" i="2" s="1"/>
  <c r="O19" i="2"/>
  <c r="P19" i="2" s="1"/>
  <c r="O551" i="2"/>
  <c r="P551" i="2" s="1"/>
  <c r="O6" i="2"/>
  <c r="P6" i="2" s="1"/>
  <c r="O56" i="2"/>
  <c r="P56" i="2" s="1"/>
  <c r="O130" i="2"/>
  <c r="P130" i="2" s="1"/>
  <c r="O164" i="2"/>
  <c r="P164" i="2" s="1"/>
  <c r="O655" i="2"/>
  <c r="P655" i="2" s="1"/>
  <c r="O85" i="2"/>
  <c r="P85" i="2" s="1"/>
  <c r="O119" i="2"/>
  <c r="P119" i="2" s="1"/>
  <c r="O182" i="2"/>
  <c r="P182" i="2" s="1"/>
  <c r="O188" i="2"/>
  <c r="P188" i="2" s="1"/>
  <c r="O200" i="2"/>
  <c r="P200" i="2" s="1"/>
  <c r="O206" i="2"/>
  <c r="P206" i="2" s="1"/>
  <c r="O218" i="2"/>
  <c r="P218" i="2" s="1"/>
  <c r="O224" i="2"/>
  <c r="P224" i="2" s="1"/>
  <c r="O236" i="2"/>
  <c r="P236" i="2" s="1"/>
  <c r="O242" i="2"/>
  <c r="P242" i="2" s="1"/>
  <c r="O254" i="2"/>
  <c r="P254" i="2" s="1"/>
  <c r="O40" i="2"/>
  <c r="P40" i="2" s="1"/>
  <c r="O74" i="2"/>
  <c r="P74" i="2" s="1"/>
  <c r="O148" i="2"/>
  <c r="P148" i="2" s="1"/>
  <c r="O323" i="2"/>
  <c r="P323" i="2" s="1"/>
  <c r="O341" i="2"/>
  <c r="P341" i="2" s="1"/>
  <c r="O648" i="2"/>
  <c r="P648" i="2" s="1"/>
  <c r="N1117" i="2"/>
  <c r="N933" i="2"/>
  <c r="O933" i="2" s="1"/>
  <c r="P933" i="2" s="1"/>
  <c r="N655" i="2"/>
  <c r="N649" i="2"/>
  <c r="O649" i="2" s="1"/>
  <c r="P649" i="2" s="1"/>
  <c r="N646" i="2"/>
  <c r="O646" i="2" s="1"/>
  <c r="P646" i="2" s="1"/>
  <c r="N538" i="2"/>
  <c r="O538" i="2" s="1"/>
  <c r="P538" i="2" s="1"/>
  <c r="N499" i="2"/>
  <c r="O499" i="2" s="1"/>
  <c r="P499" i="2" s="1"/>
  <c r="N361" i="2"/>
  <c r="O361" i="2" s="1"/>
  <c r="P361" i="2" s="1"/>
  <c r="N292" i="2"/>
  <c r="O292" i="2" s="1"/>
  <c r="P292" i="2" s="1"/>
  <c r="N289" i="2"/>
  <c r="N936" i="2"/>
  <c r="N658" i="2"/>
  <c r="N652" i="2"/>
  <c r="N496" i="2"/>
  <c r="N364" i="2"/>
  <c r="N1047" i="2"/>
  <c r="O1047" i="2" s="1"/>
  <c r="P1047" i="2" s="1"/>
  <c r="N654" i="2"/>
  <c r="O654" i="2" s="1"/>
  <c r="P654" i="2" s="1"/>
  <c r="N645" i="2"/>
  <c r="O645" i="2" s="1"/>
  <c r="P645" i="2" s="1"/>
  <c r="N498" i="2"/>
  <c r="O498" i="2" s="1"/>
  <c r="P498" i="2" s="1"/>
  <c r="N363" i="2"/>
  <c r="O363" i="2" s="1"/>
  <c r="P363" i="2" s="1"/>
  <c r="N291" i="2"/>
  <c r="N651" i="2"/>
  <c r="N935" i="2"/>
  <c r="N657" i="2"/>
  <c r="N648" i="2"/>
  <c r="N573" i="2"/>
  <c r="O573" i="2" s="1"/>
  <c r="P573" i="2" s="1"/>
  <c r="N366" i="2"/>
  <c r="O366" i="2" s="1"/>
  <c r="P366" i="2" s="1"/>
  <c r="N294" i="2"/>
  <c r="O294" i="2" s="1"/>
  <c r="P294" i="2" s="1"/>
  <c r="N14" i="2"/>
  <c r="O14" i="2" s="1"/>
  <c r="P14" i="2" s="1"/>
  <c r="N1010" i="2"/>
  <c r="O1010" i="2" s="1"/>
  <c r="P1010" i="2" s="1"/>
  <c r="N997" i="2"/>
  <c r="O997" i="2" s="1"/>
  <c r="P997" i="2" s="1"/>
  <c r="N1075" i="2"/>
  <c r="O1075" i="2" s="1"/>
  <c r="P1075" i="2" s="1"/>
  <c r="O289" i="2"/>
  <c r="P289" i="2" s="1"/>
  <c r="N557" i="2"/>
  <c r="O656" i="2"/>
  <c r="P656" i="2" s="1"/>
  <c r="O836" i="2"/>
  <c r="P836" i="2" s="1"/>
  <c r="O557" i="2"/>
  <c r="P557" i="2" s="1"/>
  <c r="O9" i="2"/>
  <c r="P9" i="2" s="1"/>
  <c r="N656" i="2"/>
  <c r="N920" i="2"/>
  <c r="O920" i="2" s="1"/>
  <c r="P920" i="2" s="1"/>
  <c r="N835" i="2"/>
  <c r="O835" i="2" s="1"/>
  <c r="P835" i="2" s="1"/>
  <c r="N812" i="2"/>
  <c r="O812" i="2" s="1"/>
  <c r="P812" i="2" s="1"/>
  <c r="N616" i="2"/>
  <c r="O616" i="2" s="1"/>
  <c r="P616" i="2" s="1"/>
  <c r="N580" i="2"/>
  <c r="O580" i="2" s="1"/>
  <c r="P580" i="2" s="1"/>
  <c r="N511" i="2"/>
  <c r="N319" i="2"/>
  <c r="O319" i="2" s="1"/>
  <c r="P319" i="2" s="1"/>
  <c r="N838" i="2"/>
  <c r="N508" i="2"/>
  <c r="N502" i="2"/>
  <c r="O502" i="2" s="1"/>
  <c r="P502" i="2" s="1"/>
  <c r="N322" i="2"/>
  <c r="N913" i="2"/>
  <c r="O913" i="2" s="1"/>
  <c r="P913" i="2" s="1"/>
  <c r="N805" i="2"/>
  <c r="O805" i="2" s="1"/>
  <c r="P805" i="2" s="1"/>
  <c r="N916" i="2"/>
  <c r="O916" i="2" s="1"/>
  <c r="P916" i="2" s="1"/>
  <c r="N808" i="2"/>
  <c r="O808" i="2" s="1"/>
  <c r="P808" i="2" s="1"/>
  <c r="N618" i="2"/>
  <c r="O618" i="2" s="1"/>
  <c r="P618" i="2" s="1"/>
  <c r="N579" i="2"/>
  <c r="O579" i="2" s="1"/>
  <c r="P579" i="2" s="1"/>
  <c r="N507" i="2"/>
  <c r="N29" i="2"/>
  <c r="N11" i="2"/>
  <c r="N837" i="2"/>
  <c r="O837" i="2" s="1"/>
  <c r="P837" i="2" s="1"/>
  <c r="N811" i="2"/>
  <c r="N615" i="2"/>
  <c r="O615" i="2" s="1"/>
  <c r="P615" i="2" s="1"/>
  <c r="N504" i="2"/>
  <c r="O504" i="2" s="1"/>
  <c r="P504" i="2" s="1"/>
  <c r="N459" i="2"/>
  <c r="O459" i="2" s="1"/>
  <c r="P459" i="2" s="1"/>
  <c r="N912" i="2"/>
  <c r="O912" i="2" s="1"/>
  <c r="P912" i="2" s="1"/>
  <c r="N840" i="2"/>
  <c r="N804" i="2"/>
  <c r="O804" i="2" s="1"/>
  <c r="P804" i="2" s="1"/>
  <c r="N501" i="2"/>
  <c r="O501" i="2" s="1"/>
  <c r="P501" i="2" s="1"/>
  <c r="N321" i="2"/>
  <c r="O321" i="2" s="1"/>
  <c r="P321" i="2" s="1"/>
  <c r="N915" i="2"/>
  <c r="N807" i="2"/>
  <c r="N921" i="2"/>
  <c r="O921" i="2" s="1"/>
  <c r="P921" i="2" s="1"/>
  <c r="N1052" i="2"/>
  <c r="N810" i="2"/>
  <c r="N836" i="2"/>
  <c r="O404" i="2"/>
  <c r="P404" i="2" s="1"/>
  <c r="O440" i="2"/>
  <c r="P440" i="2" s="1"/>
  <c r="O461" i="2"/>
  <c r="P461" i="2" s="1"/>
  <c r="N497" i="2"/>
  <c r="O497" i="2" s="1"/>
  <c r="P497" i="2" s="1"/>
  <c r="O511" i="2"/>
  <c r="P511" i="2" s="1"/>
  <c r="O548" i="2"/>
  <c r="P548" i="2" s="1"/>
  <c r="O611" i="2"/>
  <c r="P611" i="2" s="1"/>
  <c r="O617" i="2"/>
  <c r="P617" i="2" s="1"/>
  <c r="O638" i="2"/>
  <c r="P638" i="2" s="1"/>
  <c r="O650" i="2"/>
  <c r="P650" i="2" s="1"/>
  <c r="O657" i="2"/>
  <c r="P657" i="2" s="1"/>
  <c r="O672" i="2"/>
  <c r="P672" i="2" s="1"/>
  <c r="O682" i="2"/>
  <c r="P682" i="2" s="1"/>
  <c r="O810" i="2"/>
  <c r="P810" i="2" s="1"/>
  <c r="O816" i="2"/>
  <c r="P816" i="2" s="1"/>
  <c r="O826" i="2"/>
  <c r="P826" i="2" s="1"/>
  <c r="O838" i="2"/>
  <c r="P838" i="2" s="1"/>
  <c r="O1052" i="2"/>
  <c r="P1052" i="2" s="1"/>
  <c r="N290" i="2"/>
  <c r="O290" i="2" s="1"/>
  <c r="P290" i="2" s="1"/>
  <c r="O425" i="2"/>
  <c r="P425" i="2" s="1"/>
  <c r="O482" i="2"/>
  <c r="P482" i="2" s="1"/>
  <c r="O527" i="2"/>
  <c r="P527" i="2" s="1"/>
  <c r="O543" i="2"/>
  <c r="P543" i="2" s="1"/>
  <c r="O569" i="2"/>
  <c r="P569" i="2" s="1"/>
  <c r="O596" i="2"/>
  <c r="P596" i="2" s="1"/>
  <c r="O623" i="2"/>
  <c r="P623" i="2" s="1"/>
  <c r="N650" i="2"/>
  <c r="O658" i="2"/>
  <c r="P658" i="2" s="1"/>
  <c r="O811" i="2"/>
  <c r="P811" i="2" s="1"/>
  <c r="O911" i="2"/>
  <c r="P911" i="2" s="1"/>
  <c r="O1013" i="2"/>
  <c r="P1013" i="2" s="1"/>
  <c r="O1032" i="2"/>
  <c r="P1032" i="2" s="1"/>
  <c r="O496" i="2"/>
  <c r="P496" i="2" s="1"/>
  <c r="N19" i="2"/>
  <c r="O410" i="2"/>
  <c r="P410" i="2" s="1"/>
  <c r="O446" i="2"/>
  <c r="P446" i="2" s="1"/>
  <c r="O467" i="2"/>
  <c r="P467" i="2" s="1"/>
  <c r="O512" i="2"/>
  <c r="P512" i="2" s="1"/>
  <c r="O554" i="2"/>
  <c r="P554" i="2" s="1"/>
  <c r="O575" i="2"/>
  <c r="P575" i="2" s="1"/>
  <c r="O581" i="2"/>
  <c r="P581" i="2" s="1"/>
  <c r="O644" i="2"/>
  <c r="P644" i="2" s="1"/>
  <c r="O651" i="2"/>
  <c r="P651" i="2" s="1"/>
  <c r="O683" i="2"/>
  <c r="P683" i="2" s="1"/>
  <c r="O708" i="2"/>
  <c r="P708" i="2" s="1"/>
  <c r="O718" i="2"/>
  <c r="P718" i="2" s="1"/>
  <c r="O780" i="2"/>
  <c r="P780" i="2" s="1"/>
  <c r="O790" i="2"/>
  <c r="P790" i="2" s="1"/>
  <c r="O839" i="2"/>
  <c r="P839" i="2" s="1"/>
  <c r="O1103" i="2"/>
  <c r="P1103" i="2" s="1"/>
  <c r="O29" i="2"/>
  <c r="P29" i="2" s="1"/>
  <c r="O291" i="2"/>
  <c r="P291" i="2" s="1"/>
  <c r="N362" i="2"/>
  <c r="O362" i="2" s="1"/>
  <c r="P362" i="2" s="1"/>
  <c r="O431" i="2"/>
  <c r="P431" i="2" s="1"/>
  <c r="O488" i="2"/>
  <c r="P488" i="2" s="1"/>
  <c r="O506" i="2"/>
  <c r="P506" i="2" s="1"/>
  <c r="O533" i="2"/>
  <c r="P533" i="2" s="1"/>
  <c r="O602" i="2"/>
  <c r="P602" i="2" s="1"/>
  <c r="O629" i="2"/>
  <c r="P629" i="2" s="1"/>
  <c r="N644" i="2"/>
  <c r="O652" i="2"/>
  <c r="P652" i="2" s="1"/>
  <c r="O659" i="2"/>
  <c r="P659" i="2" s="1"/>
  <c r="O684" i="2"/>
  <c r="P684" i="2" s="1"/>
  <c r="O924" i="2"/>
  <c r="P924" i="2" s="1"/>
  <c r="N934" i="2"/>
  <c r="O934" i="2" s="1"/>
  <c r="P934" i="2" s="1"/>
  <c r="O983" i="2"/>
  <c r="P983" i="2" s="1"/>
  <c r="N684" i="2"/>
  <c r="N274" i="2"/>
  <c r="O274" i="2" s="1"/>
  <c r="P274" i="2" s="1"/>
  <c r="N316" i="2"/>
  <c r="N687" i="2"/>
  <c r="O687" i="2" s="1"/>
  <c r="P687" i="2" s="1"/>
  <c r="N988" i="2"/>
  <c r="O988" i="2" s="1"/>
  <c r="P988" i="2" s="1"/>
  <c r="N834" i="2"/>
  <c r="O834" i="2" s="1"/>
  <c r="P834" i="2" s="1"/>
  <c r="N543" i="2"/>
  <c r="N318" i="2"/>
  <c r="O318" i="2" s="1"/>
  <c r="P318" i="2" s="1"/>
  <c r="N273" i="2"/>
  <c r="O273" i="2" s="1"/>
  <c r="P273" i="2" s="1"/>
  <c r="N1040" i="2"/>
  <c r="O1040" i="2" s="1"/>
  <c r="P1040" i="2" s="1"/>
  <c r="N315" i="2"/>
  <c r="O315" i="2" s="1"/>
  <c r="P315" i="2" s="1"/>
  <c r="N1126" i="2"/>
  <c r="O1126" i="2" s="1"/>
  <c r="P1126" i="2" s="1"/>
  <c r="N683" i="2"/>
  <c r="N686" i="2"/>
  <c r="O686" i="2" s="1"/>
  <c r="P686" i="2" s="1"/>
  <c r="N1058" i="2"/>
  <c r="O1058" i="2" s="1"/>
  <c r="P1058" i="2" s="1"/>
  <c r="N1013" i="2"/>
  <c r="N833" i="2"/>
  <c r="O11" i="2"/>
  <c r="P11" i="2" s="1"/>
  <c r="O316" i="2"/>
  <c r="P316" i="2" s="1"/>
  <c r="O322" i="2"/>
  <c r="P322" i="2" s="1"/>
  <c r="O507" i="2"/>
  <c r="P507" i="2" s="1"/>
  <c r="O545" i="2"/>
  <c r="P545" i="2" s="1"/>
  <c r="O608" i="2"/>
  <c r="P608" i="2" s="1"/>
  <c r="O635" i="2"/>
  <c r="P635" i="2" s="1"/>
  <c r="O695" i="2"/>
  <c r="P695" i="2" s="1"/>
  <c r="O767" i="2"/>
  <c r="P767" i="2" s="1"/>
  <c r="O833" i="2"/>
  <c r="P833" i="2" s="1"/>
  <c r="O936" i="2"/>
  <c r="P936" i="2" s="1"/>
  <c r="O6" i="3"/>
  <c r="P6" i="3" s="1"/>
  <c r="O840" i="2"/>
  <c r="P840" i="2" s="1"/>
  <c r="O935" i="2"/>
  <c r="P935" i="2" s="1"/>
  <c r="N25" i="2"/>
  <c r="O25" i="2" s="1"/>
  <c r="P25" i="2" s="1"/>
  <c r="O12" i="2"/>
  <c r="P12" i="2" s="1"/>
  <c r="O364" i="2"/>
  <c r="P364" i="2" s="1"/>
  <c r="O422" i="2"/>
  <c r="P422" i="2" s="1"/>
  <c r="O458" i="2"/>
  <c r="P458" i="2" s="1"/>
  <c r="O479" i="2"/>
  <c r="P479" i="2" s="1"/>
  <c r="O508" i="2"/>
  <c r="P508" i="2" s="1"/>
  <c r="O524" i="2"/>
  <c r="P524" i="2" s="1"/>
  <c r="O566" i="2"/>
  <c r="P566" i="2" s="1"/>
  <c r="O593" i="2"/>
  <c r="P593" i="2" s="1"/>
  <c r="O620" i="2"/>
  <c r="P620" i="2" s="1"/>
  <c r="N653" i="2"/>
  <c r="O653" i="2" s="1"/>
  <c r="P653" i="2" s="1"/>
  <c r="O807" i="2"/>
  <c r="P807" i="2" s="1"/>
  <c r="O960" i="2"/>
  <c r="P960" i="2" s="1"/>
  <c r="O970" i="2"/>
  <c r="P970" i="2" s="1"/>
  <c r="O85" i="3"/>
  <c r="P85" i="3" s="1"/>
  <c r="O298" i="3"/>
  <c r="P298" i="3" s="1"/>
  <c r="O379" i="3"/>
  <c r="P379" i="3" s="1"/>
  <c r="O411" i="3"/>
  <c r="P411" i="3" s="1"/>
  <c r="R316" i="8"/>
  <c r="Q316" i="8"/>
  <c r="S316" i="8" s="1"/>
  <c r="R186" i="8"/>
  <c r="Q186" i="8"/>
  <c r="S186" i="8" s="1"/>
  <c r="R114" i="8"/>
  <c r="Q114" i="8"/>
  <c r="S114" i="8" s="1"/>
  <c r="Q118" i="8"/>
  <c r="S118" i="8" s="1"/>
  <c r="O1121" i="2"/>
  <c r="P1121" i="2" s="1"/>
  <c r="G1151" i="2"/>
  <c r="G1159" i="2"/>
  <c r="I1159" i="2" s="1"/>
  <c r="G1158" i="2"/>
  <c r="G1157" i="2"/>
  <c r="G1156" i="2"/>
  <c r="I1158" i="2" s="1"/>
  <c r="O404" i="3"/>
  <c r="P404" i="3" s="1"/>
  <c r="G1152" i="2"/>
  <c r="O211" i="3"/>
  <c r="P211" i="3" s="1"/>
  <c r="O637" i="3"/>
  <c r="P637" i="3" s="1"/>
  <c r="O696" i="3"/>
  <c r="P696" i="3" s="1"/>
  <c r="N1037" i="2"/>
  <c r="O1037" i="2" s="1"/>
  <c r="P1037" i="2" s="1"/>
  <c r="N1080" i="2"/>
  <c r="O1080" i="2" s="1"/>
  <c r="P1080" i="2" s="1"/>
  <c r="O1117" i="2"/>
  <c r="P1117" i="2" s="1"/>
  <c r="O1127" i="2"/>
  <c r="P1127" i="2" s="1"/>
  <c r="G1153" i="2"/>
  <c r="O13" i="3"/>
  <c r="P13" i="3" s="1"/>
  <c r="O172" i="3"/>
  <c r="P172" i="3" s="1"/>
  <c r="O229" i="3"/>
  <c r="P229" i="3" s="1"/>
  <c r="O334" i="3"/>
  <c r="P334" i="3" s="1"/>
  <c r="O372" i="3"/>
  <c r="P372" i="3" s="1"/>
  <c r="N1092" i="2"/>
  <c r="O1092" i="2" s="1"/>
  <c r="P1092" i="2" s="1"/>
  <c r="N1073" i="2"/>
  <c r="O1073" i="2" s="1"/>
  <c r="P1073" i="2" s="1"/>
  <c r="O247" i="3"/>
  <c r="P247" i="3" s="1"/>
  <c r="O586" i="3"/>
  <c r="P586" i="3" s="1"/>
  <c r="O633" i="3"/>
  <c r="P633" i="3" s="1"/>
  <c r="O685" i="3"/>
  <c r="P685" i="3" s="1"/>
  <c r="O1110" i="2"/>
  <c r="P1110" i="2" s="1"/>
  <c r="N1054" i="2"/>
  <c r="O1054" i="2" s="1"/>
  <c r="P1054" i="2" s="1"/>
  <c r="N1057" i="2"/>
  <c r="O1057" i="2" s="1"/>
  <c r="P1057" i="2" s="1"/>
  <c r="O10" i="3"/>
  <c r="P10" i="3" s="1"/>
  <c r="O67" i="3"/>
  <c r="P67" i="3" s="1"/>
  <c r="O226" i="3"/>
  <c r="P226" i="3" s="1"/>
  <c r="O938" i="3"/>
  <c r="P938" i="3" s="1"/>
  <c r="R42" i="8"/>
  <c r="Q42" i="8"/>
  <c r="S42" i="8" s="1"/>
  <c r="R24" i="8"/>
  <c r="Q24" i="8"/>
  <c r="S24" i="8" s="1"/>
  <c r="R30" i="8"/>
  <c r="Q30" i="8"/>
  <c r="S30" i="8" s="1"/>
  <c r="N1127" i="2"/>
  <c r="O677" i="3"/>
  <c r="P677" i="3" s="1"/>
  <c r="O4" i="3"/>
  <c r="P4" i="3" s="1"/>
  <c r="O22" i="3"/>
  <c r="P22" i="3" s="1"/>
  <c r="O40" i="3"/>
  <c r="P40" i="3" s="1"/>
  <c r="O58" i="3"/>
  <c r="P58" i="3" s="1"/>
  <c r="O76" i="3"/>
  <c r="P76" i="3" s="1"/>
  <c r="O94" i="3"/>
  <c r="P94" i="3" s="1"/>
  <c r="O112" i="3"/>
  <c r="P112" i="3" s="1"/>
  <c r="O130" i="3"/>
  <c r="P130" i="3" s="1"/>
  <c r="O148" i="3"/>
  <c r="P148" i="3" s="1"/>
  <c r="O166" i="3"/>
  <c r="P166" i="3" s="1"/>
  <c r="O184" i="3"/>
  <c r="P184" i="3" s="1"/>
  <c r="O202" i="3"/>
  <c r="P202" i="3" s="1"/>
  <c r="O220" i="3"/>
  <c r="P220" i="3" s="1"/>
  <c r="O238" i="3"/>
  <c r="P238" i="3" s="1"/>
  <c r="O256" i="3"/>
  <c r="P256" i="3" s="1"/>
  <c r="O274" i="3"/>
  <c r="P274" i="3" s="1"/>
  <c r="O292" i="3"/>
  <c r="P292" i="3" s="1"/>
  <c r="O310" i="3"/>
  <c r="P310" i="3" s="1"/>
  <c r="O328" i="3"/>
  <c r="P328" i="3" s="1"/>
  <c r="O358" i="3"/>
  <c r="P358" i="3" s="1"/>
  <c r="O385" i="3"/>
  <c r="P385" i="3" s="1"/>
  <c r="O720" i="3"/>
  <c r="P720" i="3" s="1"/>
  <c r="O1038" i="3"/>
  <c r="P1038" i="3" s="1"/>
  <c r="O343" i="3"/>
  <c r="P343" i="3" s="1"/>
  <c r="O370" i="3"/>
  <c r="P370" i="3" s="1"/>
  <c r="O514" i="3"/>
  <c r="P514" i="3" s="1"/>
  <c r="O565" i="3"/>
  <c r="P565" i="3" s="1"/>
  <c r="O622" i="3"/>
  <c r="P622" i="3" s="1"/>
  <c r="O673" i="3"/>
  <c r="P673" i="3" s="1"/>
  <c r="O689" i="3"/>
  <c r="P689" i="3" s="1"/>
  <c r="O721" i="3"/>
  <c r="P721" i="3" s="1"/>
  <c r="O830" i="3"/>
  <c r="P830" i="3" s="1"/>
  <c r="O915" i="3"/>
  <c r="P915" i="3" s="1"/>
  <c r="O1023" i="3"/>
  <c r="P1023" i="3" s="1"/>
  <c r="O1028" i="3"/>
  <c r="P1028" i="3" s="1"/>
  <c r="G1142" i="2"/>
  <c r="I1146" i="2" s="1"/>
  <c r="G1139" i="2"/>
  <c r="O16" i="3"/>
  <c r="P16" i="3" s="1"/>
  <c r="O34" i="3"/>
  <c r="P34" i="3" s="1"/>
  <c r="O52" i="3"/>
  <c r="P52" i="3" s="1"/>
  <c r="O70" i="3"/>
  <c r="P70" i="3" s="1"/>
  <c r="O88" i="3"/>
  <c r="P88" i="3" s="1"/>
  <c r="O106" i="3"/>
  <c r="P106" i="3" s="1"/>
  <c r="O124" i="3"/>
  <c r="P124" i="3" s="1"/>
  <c r="O142" i="3"/>
  <c r="P142" i="3" s="1"/>
  <c r="O160" i="3"/>
  <c r="P160" i="3" s="1"/>
  <c r="O178" i="3"/>
  <c r="P178" i="3" s="1"/>
  <c r="O196" i="3"/>
  <c r="P196" i="3" s="1"/>
  <c r="O214" i="3"/>
  <c r="P214" i="3" s="1"/>
  <c r="O232" i="3"/>
  <c r="P232" i="3" s="1"/>
  <c r="O250" i="3"/>
  <c r="P250" i="3" s="1"/>
  <c r="O268" i="3"/>
  <c r="P268" i="3" s="1"/>
  <c r="O286" i="3"/>
  <c r="P286" i="3" s="1"/>
  <c r="O304" i="3"/>
  <c r="P304" i="3" s="1"/>
  <c r="O322" i="3"/>
  <c r="P322" i="3" s="1"/>
  <c r="O340" i="3"/>
  <c r="P340" i="3" s="1"/>
  <c r="O367" i="3"/>
  <c r="P367" i="3" s="1"/>
  <c r="O424" i="3"/>
  <c r="P424" i="3" s="1"/>
  <c r="O442" i="3"/>
  <c r="P442" i="3" s="1"/>
  <c r="O460" i="3"/>
  <c r="P460" i="3" s="1"/>
  <c r="O478" i="3"/>
  <c r="P478" i="3" s="1"/>
  <c r="O496" i="3"/>
  <c r="P496" i="3" s="1"/>
  <c r="O547" i="3"/>
  <c r="P547" i="3" s="1"/>
  <c r="O604" i="3"/>
  <c r="P604" i="3" s="1"/>
  <c r="O655" i="3"/>
  <c r="P655" i="3" s="1"/>
  <c r="O364" i="3"/>
  <c r="P364" i="3" s="1"/>
  <c r="O382" i="3"/>
  <c r="P382" i="3" s="1"/>
  <c r="O400" i="3"/>
  <c r="P400" i="3" s="1"/>
  <c r="O418" i="3"/>
  <c r="P418" i="3" s="1"/>
  <c r="O436" i="3"/>
  <c r="P436" i="3" s="1"/>
  <c r="O454" i="3"/>
  <c r="P454" i="3" s="1"/>
  <c r="O472" i="3"/>
  <c r="P472" i="3" s="1"/>
  <c r="O490" i="3"/>
  <c r="P490" i="3" s="1"/>
  <c r="O508" i="3"/>
  <c r="P508" i="3" s="1"/>
  <c r="O526" i="3"/>
  <c r="P526" i="3" s="1"/>
  <c r="O544" i="3"/>
  <c r="P544" i="3" s="1"/>
  <c r="O562" i="3"/>
  <c r="P562" i="3" s="1"/>
  <c r="O580" i="3"/>
  <c r="P580" i="3" s="1"/>
  <c r="O598" i="3"/>
  <c r="P598" i="3" s="1"/>
  <c r="O616" i="3"/>
  <c r="P616" i="3" s="1"/>
  <c r="O634" i="3"/>
  <c r="P634" i="3" s="1"/>
  <c r="O652" i="3"/>
  <c r="P652" i="3" s="1"/>
  <c r="O670" i="3"/>
  <c r="P670" i="3" s="1"/>
  <c r="O758" i="3"/>
  <c r="P758" i="3" s="1"/>
  <c r="O883" i="3"/>
  <c r="P883" i="3" s="1"/>
  <c r="O902" i="3"/>
  <c r="P902" i="3" s="1"/>
  <c r="O991" i="3"/>
  <c r="P991" i="3" s="1"/>
  <c r="O1053" i="3"/>
  <c r="P1053" i="3" s="1"/>
  <c r="R104" i="8"/>
  <c r="Q104" i="8"/>
  <c r="S104" i="8" s="1"/>
  <c r="R182" i="8"/>
  <c r="Q182" i="8"/>
  <c r="S182" i="8" s="1"/>
  <c r="R448" i="8"/>
  <c r="Q448" i="8"/>
  <c r="S448" i="8" s="1"/>
  <c r="Q475" i="8"/>
  <c r="S475" i="8" s="1"/>
  <c r="R475" i="8"/>
  <c r="O702" i="3"/>
  <c r="P702" i="3" s="1"/>
  <c r="O714" i="3"/>
  <c r="P714" i="3" s="1"/>
  <c r="O726" i="3"/>
  <c r="P726" i="3" s="1"/>
  <c r="O738" i="3"/>
  <c r="P738" i="3" s="1"/>
  <c r="O750" i="3"/>
  <c r="P750" i="3" s="1"/>
  <c r="O771" i="3"/>
  <c r="P771" i="3" s="1"/>
  <c r="O784" i="3"/>
  <c r="P784" i="3" s="1"/>
  <c r="O879" i="3"/>
  <c r="P879" i="3" s="1"/>
  <c r="O884" i="3"/>
  <c r="P884" i="3" s="1"/>
  <c r="O987" i="3"/>
  <c r="P987" i="3" s="1"/>
  <c r="O992" i="3"/>
  <c r="P992" i="3" s="1"/>
  <c r="R9" i="8"/>
  <c r="Q9" i="8"/>
  <c r="S9" i="8" s="1"/>
  <c r="R78" i="8"/>
  <c r="Q78" i="8"/>
  <c r="S78" i="8" s="1"/>
  <c r="R178" i="8"/>
  <c r="Q178" i="8"/>
  <c r="S178" i="8" s="1"/>
  <c r="R377" i="8"/>
  <c r="Q377" i="8"/>
  <c r="S377" i="8" s="1"/>
  <c r="R432" i="8"/>
  <c r="Q432" i="8"/>
  <c r="S432" i="8" s="1"/>
  <c r="N1127" i="3"/>
  <c r="N1121" i="3"/>
  <c r="O1121" i="3" s="1"/>
  <c r="P1121" i="3" s="1"/>
  <c r="N1038" i="3"/>
  <c r="N1008" i="3"/>
  <c r="O1008" i="3" s="1"/>
  <c r="P1008" i="3" s="1"/>
  <c r="N1059" i="3"/>
  <c r="O1059" i="3" s="1"/>
  <c r="P1059" i="3" s="1"/>
  <c r="R10" i="8"/>
  <c r="Q10" i="8"/>
  <c r="S10" i="8" s="1"/>
  <c r="R345" i="8"/>
  <c r="Q345" i="8"/>
  <c r="S345" i="8" s="1"/>
  <c r="O412" i="3"/>
  <c r="P412" i="3" s="1"/>
  <c r="O430" i="3"/>
  <c r="P430" i="3" s="1"/>
  <c r="O448" i="3"/>
  <c r="P448" i="3" s="1"/>
  <c r="O466" i="3"/>
  <c r="P466" i="3" s="1"/>
  <c r="O484" i="3"/>
  <c r="P484" i="3" s="1"/>
  <c r="O502" i="3"/>
  <c r="P502" i="3" s="1"/>
  <c r="O520" i="3"/>
  <c r="P520" i="3" s="1"/>
  <c r="O538" i="3"/>
  <c r="P538" i="3" s="1"/>
  <c r="O556" i="3"/>
  <c r="P556" i="3" s="1"/>
  <c r="O574" i="3"/>
  <c r="P574" i="3" s="1"/>
  <c r="O592" i="3"/>
  <c r="P592" i="3" s="1"/>
  <c r="O610" i="3"/>
  <c r="P610" i="3" s="1"/>
  <c r="O628" i="3"/>
  <c r="P628" i="3" s="1"/>
  <c r="O646" i="3"/>
  <c r="P646" i="3" s="1"/>
  <c r="O664" i="3"/>
  <c r="P664" i="3" s="1"/>
  <c r="O679" i="3"/>
  <c r="P679" i="3" s="1"/>
  <c r="O691" i="3"/>
  <c r="P691" i="3" s="1"/>
  <c r="O703" i="3"/>
  <c r="P703" i="3" s="1"/>
  <c r="O715" i="3"/>
  <c r="P715" i="3" s="1"/>
  <c r="O727" i="3"/>
  <c r="P727" i="3" s="1"/>
  <c r="O739" i="3"/>
  <c r="P739" i="3" s="1"/>
  <c r="O776" i="3"/>
  <c r="P776" i="3" s="1"/>
  <c r="O847" i="3"/>
  <c r="P847" i="3" s="1"/>
  <c r="O866" i="3"/>
  <c r="P866" i="3" s="1"/>
  <c r="O955" i="3"/>
  <c r="P955" i="3" s="1"/>
  <c r="O974" i="3"/>
  <c r="P974" i="3" s="1"/>
  <c r="R5" i="8"/>
  <c r="Q5" i="8"/>
  <c r="S5" i="8" s="1"/>
  <c r="R266" i="8"/>
  <c r="Q266" i="8"/>
  <c r="S266" i="8" s="1"/>
  <c r="Q252" i="8"/>
  <c r="S252" i="8" s="1"/>
  <c r="R252" i="8"/>
  <c r="O337" i="3"/>
  <c r="P337" i="3" s="1"/>
  <c r="O355" i="3"/>
  <c r="P355" i="3" s="1"/>
  <c r="O373" i="3"/>
  <c r="P373" i="3" s="1"/>
  <c r="O391" i="3"/>
  <c r="P391" i="3" s="1"/>
  <c r="O409" i="3"/>
  <c r="P409" i="3" s="1"/>
  <c r="O427" i="3"/>
  <c r="P427" i="3" s="1"/>
  <c r="O445" i="3"/>
  <c r="P445" i="3" s="1"/>
  <c r="O463" i="3"/>
  <c r="P463" i="3" s="1"/>
  <c r="O481" i="3"/>
  <c r="P481" i="3" s="1"/>
  <c r="O499" i="3"/>
  <c r="P499" i="3" s="1"/>
  <c r="O517" i="3"/>
  <c r="P517" i="3" s="1"/>
  <c r="O535" i="3"/>
  <c r="P535" i="3" s="1"/>
  <c r="O553" i="3"/>
  <c r="P553" i="3" s="1"/>
  <c r="O571" i="3"/>
  <c r="P571" i="3" s="1"/>
  <c r="O589" i="3"/>
  <c r="P589" i="3" s="1"/>
  <c r="O607" i="3"/>
  <c r="P607" i="3" s="1"/>
  <c r="O625" i="3"/>
  <c r="P625" i="3" s="1"/>
  <c r="O643" i="3"/>
  <c r="P643" i="3" s="1"/>
  <c r="O661" i="3"/>
  <c r="P661" i="3" s="1"/>
  <c r="O794" i="3"/>
  <c r="P794" i="3" s="1"/>
  <c r="O843" i="3"/>
  <c r="P843" i="3" s="1"/>
  <c r="O848" i="3"/>
  <c r="P848" i="3" s="1"/>
  <c r="O951" i="3"/>
  <c r="P951" i="3" s="1"/>
  <c r="O956" i="3"/>
  <c r="P956" i="3" s="1"/>
  <c r="O1027" i="3"/>
  <c r="P1027" i="3" s="1"/>
  <c r="R216" i="8"/>
  <c r="Q216" i="8"/>
  <c r="S216" i="8" s="1"/>
  <c r="O676" i="3"/>
  <c r="P676" i="3" s="1"/>
  <c r="O688" i="3"/>
  <c r="P688" i="3" s="1"/>
  <c r="O700" i="3"/>
  <c r="P700" i="3" s="1"/>
  <c r="O712" i="3"/>
  <c r="P712" i="3" s="1"/>
  <c r="O724" i="3"/>
  <c r="P724" i="3" s="1"/>
  <c r="O736" i="3"/>
  <c r="P736" i="3" s="1"/>
  <c r="O802" i="3"/>
  <c r="P802" i="3" s="1"/>
  <c r="O820" i="3"/>
  <c r="P820" i="3" s="1"/>
  <c r="O825" i="3"/>
  <c r="P825" i="3" s="1"/>
  <c r="O834" i="3"/>
  <c r="P834" i="3" s="1"/>
  <c r="O928" i="3"/>
  <c r="P928" i="3" s="1"/>
  <c r="O933" i="3"/>
  <c r="P933" i="3" s="1"/>
  <c r="O942" i="3"/>
  <c r="P942" i="3" s="1"/>
  <c r="O1018" i="3"/>
  <c r="P1018" i="3" s="1"/>
  <c r="O1037" i="3"/>
  <c r="P1037" i="3" s="1"/>
  <c r="Q51" i="8"/>
  <c r="S51" i="8" s="1"/>
  <c r="R51" i="8"/>
  <c r="R227" i="8"/>
  <c r="Q227" i="8"/>
  <c r="S227" i="8" s="1"/>
  <c r="R231" i="8"/>
  <c r="Q231" i="8"/>
  <c r="S231" i="8" s="1"/>
  <c r="R249" i="8"/>
  <c r="Q249" i="8"/>
  <c r="S249" i="8" s="1"/>
  <c r="R384" i="8"/>
  <c r="Q384" i="8"/>
  <c r="S384" i="8" s="1"/>
  <c r="R80" i="8"/>
  <c r="Q80" i="8"/>
  <c r="S80" i="8" s="1"/>
  <c r="R142" i="8"/>
  <c r="Q142" i="8"/>
  <c r="S142" i="8" s="1"/>
  <c r="R174" i="8"/>
  <c r="Q174" i="8"/>
  <c r="S174" i="8" s="1"/>
  <c r="R198" i="8"/>
  <c r="Q198" i="8"/>
  <c r="S198" i="8" s="1"/>
  <c r="R423" i="8"/>
  <c r="Q423" i="8"/>
  <c r="S423" i="8" s="1"/>
  <c r="R6" i="8"/>
  <c r="Q6" i="8"/>
  <c r="S6" i="8" s="1"/>
  <c r="N754" i="8"/>
  <c r="P754" i="8" s="1"/>
  <c r="N745" i="8"/>
  <c r="P745" i="8" s="1"/>
  <c r="N732" i="8"/>
  <c r="P732" i="8" s="1"/>
  <c r="N670" i="8"/>
  <c r="P670" i="8" s="1"/>
  <c r="N622" i="8"/>
  <c r="P622" i="8" s="1"/>
  <c r="N537" i="8"/>
  <c r="P537" i="8" s="1"/>
  <c r="N635" i="8"/>
  <c r="P635" i="8" s="1"/>
  <c r="N624" i="8"/>
  <c r="P624" i="8" s="1"/>
  <c r="N554" i="8"/>
  <c r="P554" i="8" s="1"/>
  <c r="N493" i="8"/>
  <c r="P493" i="8" s="1"/>
  <c r="N718" i="8"/>
  <c r="P718" i="8" s="1"/>
  <c r="N760" i="8"/>
  <c r="P760" i="8" s="1"/>
  <c r="N736" i="8"/>
  <c r="P736" i="8" s="1"/>
  <c r="N720" i="8"/>
  <c r="P720" i="8" s="1"/>
  <c r="N722" i="8"/>
  <c r="P722" i="8" s="1"/>
  <c r="N682" i="8"/>
  <c r="P682" i="8" s="1"/>
  <c r="N645" i="8"/>
  <c r="P645" i="8" s="1"/>
  <c r="N686" i="8"/>
  <c r="P686" i="8" s="1"/>
  <c r="N660" i="8"/>
  <c r="P660" i="8" s="1"/>
  <c r="N605" i="8"/>
  <c r="P605" i="8" s="1"/>
  <c r="N507" i="8"/>
  <c r="P507" i="8" s="1"/>
  <c r="N516" i="8"/>
  <c r="P516" i="8" s="1"/>
  <c r="N509" i="8"/>
  <c r="P509" i="8" s="1"/>
  <c r="N488" i="8"/>
  <c r="P488" i="8" s="1"/>
  <c r="N647" i="8"/>
  <c r="P647" i="8" s="1"/>
  <c r="N666" i="8"/>
  <c r="P666" i="8" s="1"/>
  <c r="N627" i="8"/>
  <c r="P627" i="8" s="1"/>
  <c r="N615" i="8"/>
  <c r="P615" i="8" s="1"/>
  <c r="N588" i="8"/>
  <c r="P588" i="8" s="1"/>
  <c r="N576" i="8"/>
  <c r="P576" i="8" s="1"/>
  <c r="N549" i="8"/>
  <c r="P549" i="8" s="1"/>
  <c r="N662" i="8"/>
  <c r="P662" i="8" s="1"/>
  <c r="N630" i="8"/>
  <c r="P630" i="8" s="1"/>
  <c r="N751" i="8"/>
  <c r="P751" i="8" s="1"/>
  <c r="N664" i="8"/>
  <c r="P664" i="8" s="1"/>
  <c r="N601" i="8"/>
  <c r="P601" i="8" s="1"/>
  <c r="N551" i="8"/>
  <c r="P551" i="8" s="1"/>
  <c r="N580" i="8"/>
  <c r="P580" i="8" s="1"/>
  <c r="N590" i="8"/>
  <c r="P590" i="8" s="1"/>
  <c r="N724" i="8"/>
  <c r="P724" i="8" s="1"/>
  <c r="N597" i="8"/>
  <c r="P597" i="8" s="1"/>
  <c r="N570" i="8"/>
  <c r="P570" i="8" s="1"/>
  <c r="N560" i="8"/>
  <c r="P560" i="8" s="1"/>
  <c r="N679" i="8"/>
  <c r="P679" i="8" s="1"/>
  <c r="N498" i="8"/>
  <c r="P498" i="8" s="1"/>
  <c r="N688" i="8"/>
  <c r="P688" i="8" s="1"/>
  <c r="N543" i="8"/>
  <c r="P543" i="8" s="1"/>
  <c r="N502" i="8"/>
  <c r="P502" i="8" s="1"/>
  <c r="N486" i="8"/>
  <c r="P486" i="8" s="1"/>
  <c r="N528" i="8"/>
  <c r="P528" i="8" s="1"/>
  <c r="N495" i="8"/>
  <c r="P495" i="8" s="1"/>
  <c r="N743" i="8"/>
  <c r="P743" i="8" s="1"/>
  <c r="N572" i="8"/>
  <c r="P572" i="8" s="1"/>
  <c r="N617" i="8"/>
  <c r="P617" i="8" s="1"/>
  <c r="N514" i="8"/>
  <c r="P514" i="8" s="1"/>
  <c r="N396" i="8"/>
  <c r="P396" i="8" s="1"/>
  <c r="N595" i="8"/>
  <c r="P595" i="8" s="1"/>
  <c r="N387" i="8"/>
  <c r="P387" i="8" s="1"/>
  <c r="N677" i="8"/>
  <c r="P677" i="8" s="1"/>
  <c r="N519" i="8"/>
  <c r="P519" i="8" s="1"/>
  <c r="N382" i="8"/>
  <c r="P382" i="8" s="1"/>
  <c r="N525" i="8"/>
  <c r="P525" i="8" s="1"/>
  <c r="N58" i="8"/>
  <c r="P58" i="8" s="1"/>
  <c r="N60" i="8"/>
  <c r="P60" i="8" s="1"/>
  <c r="N189" i="8"/>
  <c r="P189" i="8" s="1"/>
  <c r="N33" i="8"/>
  <c r="P33" i="8" s="1"/>
  <c r="N684" i="8"/>
  <c r="P684" i="8" s="1"/>
  <c r="N465" i="8"/>
  <c r="P465" i="8" s="1"/>
  <c r="N152" i="8"/>
  <c r="P152" i="8" s="1"/>
  <c r="N148" i="8"/>
  <c r="P148" i="8" s="1"/>
  <c r="N54" i="8"/>
  <c r="P54" i="8" s="1"/>
  <c r="N150" i="8"/>
  <c r="P150" i="8" s="1"/>
  <c r="N52" i="8"/>
  <c r="P52" i="8" s="1"/>
  <c r="N224" i="8"/>
  <c r="P224" i="8" s="1"/>
  <c r="Q37" i="8"/>
  <c r="S37" i="8" s="1"/>
  <c r="R37" i="8"/>
  <c r="Q47" i="8"/>
  <c r="S47" i="8" s="1"/>
  <c r="R47" i="8"/>
  <c r="Q75" i="8"/>
  <c r="S75" i="8" s="1"/>
  <c r="R75" i="8"/>
  <c r="R288" i="8"/>
  <c r="Q288" i="8"/>
  <c r="S288" i="8" s="1"/>
  <c r="R332" i="8"/>
  <c r="Q332" i="8"/>
  <c r="S332" i="8" s="1"/>
  <c r="R397" i="8"/>
  <c r="Q397" i="8"/>
  <c r="S397" i="8" s="1"/>
  <c r="O1082" i="3"/>
  <c r="P1082" i="3" s="1"/>
  <c r="N1125" i="3"/>
  <c r="O1125" i="3" s="1"/>
  <c r="P1125" i="3" s="1"/>
  <c r="I35" i="7"/>
  <c r="H35" i="7"/>
  <c r="N15" i="8"/>
  <c r="P15" i="8" s="1"/>
  <c r="R66" i="8"/>
  <c r="Q66" i="8"/>
  <c r="S66" i="8" s="1"/>
  <c r="R154" i="8"/>
  <c r="Q154" i="8"/>
  <c r="S154" i="8" s="1"/>
  <c r="R207" i="8"/>
  <c r="Q207" i="8"/>
  <c r="S207" i="8" s="1"/>
  <c r="R245" i="8"/>
  <c r="Q245" i="8"/>
  <c r="S245" i="8" s="1"/>
  <c r="R393" i="8"/>
  <c r="Q393" i="8"/>
  <c r="S393" i="8" s="1"/>
  <c r="R455" i="8"/>
  <c r="Q455" i="8"/>
  <c r="S455" i="8" s="1"/>
  <c r="R890" i="8"/>
  <c r="Q890" i="8"/>
  <c r="S890" i="8" s="1"/>
  <c r="O1054" i="3"/>
  <c r="P1054" i="3" s="1"/>
  <c r="N1092" i="3"/>
  <c r="O1092" i="3" s="1"/>
  <c r="P1092" i="3" s="1"/>
  <c r="G1144" i="3"/>
  <c r="G1142" i="3"/>
  <c r="G1138" i="3"/>
  <c r="G1147" i="3" s="1"/>
  <c r="G1146" i="3"/>
  <c r="G1145" i="3"/>
  <c r="G1143" i="3"/>
  <c r="R20" i="8"/>
  <c r="R32" i="8"/>
  <c r="Q32" i="8"/>
  <c r="S32" i="8" s="1"/>
  <c r="R138" i="8"/>
  <c r="Q138" i="8"/>
  <c r="S138" i="8" s="1"/>
  <c r="R188" i="8"/>
  <c r="R236" i="8"/>
  <c r="Q236" i="8"/>
  <c r="S236" i="8" s="1"/>
  <c r="R886" i="8"/>
  <c r="Q886" i="8"/>
  <c r="S886" i="8" s="1"/>
  <c r="N1012" i="3"/>
  <c r="O1012" i="3" s="1"/>
  <c r="P1012" i="3" s="1"/>
  <c r="G1139" i="3"/>
  <c r="K30" i="7"/>
  <c r="L30" i="7" s="1"/>
  <c r="R16" i="8"/>
  <c r="Q16" i="8"/>
  <c r="S16" i="8" s="1"/>
  <c r="Q21" i="8"/>
  <c r="S21" i="8" s="1"/>
  <c r="R21" i="8"/>
  <c r="P27" i="8"/>
  <c r="P61" i="8"/>
  <c r="Q71" i="8"/>
  <c r="S71" i="8" s="1"/>
  <c r="R71" i="8"/>
  <c r="R106" i="8"/>
  <c r="Q106" i="8"/>
  <c r="S106" i="8" s="1"/>
  <c r="R116" i="8"/>
  <c r="Q116" i="8"/>
  <c r="S116" i="8" s="1"/>
  <c r="Q155" i="8"/>
  <c r="S155" i="8" s="1"/>
  <c r="R155" i="8"/>
  <c r="R308" i="8"/>
  <c r="Q308" i="8"/>
  <c r="S308" i="8" s="1"/>
  <c r="R868" i="8"/>
  <c r="R881" i="8"/>
  <c r="Q881" i="8"/>
  <c r="S881" i="8" s="1"/>
  <c r="E1132" i="3"/>
  <c r="R92" i="8"/>
  <c r="Q92" i="8"/>
  <c r="S92" i="8" s="1"/>
  <c r="R126" i="8"/>
  <c r="Q126" i="8"/>
  <c r="S126" i="8" s="1"/>
  <c r="R176" i="8"/>
  <c r="Q176" i="8"/>
  <c r="S176" i="8" s="1"/>
  <c r="R200" i="8"/>
  <c r="Q200" i="8"/>
  <c r="S200" i="8" s="1"/>
  <c r="R295" i="8"/>
  <c r="Q295" i="8"/>
  <c r="S295" i="8" s="1"/>
  <c r="R304" i="8"/>
  <c r="Q304" i="8"/>
  <c r="S304" i="8" s="1"/>
  <c r="G1141" i="3"/>
  <c r="K4" i="7"/>
  <c r="L16" i="7"/>
  <c r="R3" i="8"/>
  <c r="Q3" i="8"/>
  <c r="S3" i="8" s="1"/>
  <c r="Q12" i="8"/>
  <c r="S12" i="8" s="1"/>
  <c r="Q44" i="8"/>
  <c r="S44" i="8" s="1"/>
  <c r="R102" i="8"/>
  <c r="Q102" i="8"/>
  <c r="S102" i="8" s="1"/>
  <c r="R140" i="8"/>
  <c r="Q140" i="8"/>
  <c r="S140" i="8" s="1"/>
  <c r="R166" i="8"/>
  <c r="Q166" i="8"/>
  <c r="S166" i="8" s="1"/>
  <c r="R190" i="8"/>
  <c r="Q190" i="8"/>
  <c r="S190" i="8" s="1"/>
  <c r="Q299" i="8"/>
  <c r="S299" i="8" s="1"/>
  <c r="R435" i="8"/>
  <c r="Q435" i="8"/>
  <c r="S435" i="8" s="1"/>
  <c r="N1058" i="3"/>
  <c r="O1058" i="3" s="1"/>
  <c r="P1058" i="3" s="1"/>
  <c r="O1065" i="3"/>
  <c r="P1065" i="3" s="1"/>
  <c r="O1103" i="3"/>
  <c r="P1103" i="3" s="1"/>
  <c r="R8" i="8"/>
  <c r="Q8" i="8"/>
  <c r="S8" i="8" s="1"/>
  <c r="R13" i="8"/>
  <c r="Q13" i="8"/>
  <c r="S13" i="8" s="1"/>
  <c r="R22" i="8"/>
  <c r="Q22" i="8"/>
  <c r="S22" i="8" s="1"/>
  <c r="R56" i="8"/>
  <c r="Q56" i="8"/>
  <c r="S56" i="8" s="1"/>
  <c r="P135" i="8"/>
  <c r="P162" i="8"/>
  <c r="R380" i="8"/>
  <c r="Q380" i="8"/>
  <c r="S380" i="8" s="1"/>
  <c r="R585" i="8"/>
  <c r="Q585" i="8"/>
  <c r="S585" i="8" s="1"/>
  <c r="R629" i="8"/>
  <c r="Q629" i="8"/>
  <c r="S629" i="8" s="1"/>
  <c r="N1103" i="3"/>
  <c r="R34" i="8"/>
  <c r="Q34" i="8"/>
  <c r="S34" i="8" s="1"/>
  <c r="R88" i="8"/>
  <c r="Q88" i="8"/>
  <c r="S88" i="8" s="1"/>
  <c r="Q145" i="8"/>
  <c r="S145" i="8" s="1"/>
  <c r="R145" i="8"/>
  <c r="R172" i="8"/>
  <c r="Q172" i="8"/>
  <c r="S172" i="8" s="1"/>
  <c r="R196" i="8"/>
  <c r="Q196" i="8"/>
  <c r="S196" i="8" s="1"/>
  <c r="R234" i="8"/>
  <c r="Q234" i="8"/>
  <c r="S234" i="8" s="1"/>
  <c r="Q273" i="8"/>
  <c r="S273" i="8" s="1"/>
  <c r="R273" i="8"/>
  <c r="R479" i="8"/>
  <c r="Q479" i="8"/>
  <c r="S479" i="8" s="1"/>
  <c r="O1062" i="3"/>
  <c r="P1062" i="3" s="1"/>
  <c r="O1085" i="3"/>
  <c r="P1085" i="3" s="1"/>
  <c r="R4" i="8"/>
  <c r="Q4" i="8"/>
  <c r="S4" i="8" s="1"/>
  <c r="Q18" i="8"/>
  <c r="S18" i="8" s="1"/>
  <c r="R18" i="8"/>
  <c r="Q68" i="8"/>
  <c r="S68" i="8" s="1"/>
  <c r="R98" i="8"/>
  <c r="Q98" i="8"/>
  <c r="S98" i="8" s="1"/>
  <c r="Q108" i="8"/>
  <c r="S108" i="8" s="1"/>
  <c r="R243" i="8"/>
  <c r="Q243" i="8"/>
  <c r="S243" i="8" s="1"/>
  <c r="Q256" i="8"/>
  <c r="S256" i="8" s="1"/>
  <c r="O1097" i="3"/>
  <c r="P1097" i="3" s="1"/>
  <c r="O1115" i="3"/>
  <c r="P1115" i="3" s="1"/>
  <c r="G1156" i="3"/>
  <c r="L7" i="7"/>
  <c r="P85" i="8"/>
  <c r="Q95" i="8"/>
  <c r="S95" i="8" s="1"/>
  <c r="R95" i="8"/>
  <c r="R112" i="8"/>
  <c r="Q112" i="8"/>
  <c r="S112" i="8" s="1"/>
  <c r="R122" i="8"/>
  <c r="Q122" i="8"/>
  <c r="S122" i="8" s="1"/>
  <c r="P159" i="8"/>
  <c r="R206" i="8"/>
  <c r="Q206" i="8"/>
  <c r="S206" i="8" s="1"/>
  <c r="R260" i="8"/>
  <c r="Q260" i="8"/>
  <c r="S260" i="8" s="1"/>
  <c r="Q284" i="8"/>
  <c r="S284" i="8" s="1"/>
  <c r="R284" i="8"/>
  <c r="R300" i="8"/>
  <c r="Q300" i="8"/>
  <c r="S300" i="8" s="1"/>
  <c r="R351" i="8"/>
  <c r="Q351" i="8"/>
  <c r="S351" i="8" s="1"/>
  <c r="G1157" i="3"/>
  <c r="K19" i="7"/>
  <c r="L19" i="7" s="1"/>
  <c r="K33" i="7"/>
  <c r="L33" i="7" s="1"/>
  <c r="R7" i="8"/>
  <c r="Q7" i="8"/>
  <c r="S7" i="8" s="1"/>
  <c r="R38" i="8"/>
  <c r="Q38" i="8"/>
  <c r="S38" i="8" s="1"/>
  <c r="R62" i="8"/>
  <c r="Q62" i="8"/>
  <c r="S62" i="8" s="1"/>
  <c r="Q179" i="8"/>
  <c r="S179" i="8" s="1"/>
  <c r="R179" i="8"/>
  <c r="Q203" i="8"/>
  <c r="S203" i="8" s="1"/>
  <c r="R203" i="8"/>
  <c r="R238" i="8"/>
  <c r="Q238" i="8"/>
  <c r="S238" i="8" s="1"/>
  <c r="R253" i="8"/>
  <c r="Q253" i="8"/>
  <c r="S253" i="8" s="1"/>
  <c r="Q346" i="8"/>
  <c r="S346" i="8" s="1"/>
  <c r="R346" i="8"/>
  <c r="R365" i="8"/>
  <c r="Q365" i="8"/>
  <c r="S365" i="8" s="1"/>
  <c r="R436" i="8"/>
  <c r="Q436" i="8"/>
  <c r="S436" i="8" s="1"/>
  <c r="Q522" i="8"/>
  <c r="S522" i="8" s="1"/>
  <c r="R522" i="8"/>
  <c r="P712" i="8"/>
  <c r="R721" i="8"/>
  <c r="Q721" i="8"/>
  <c r="S721" i="8" s="1"/>
  <c r="Q727" i="8"/>
  <c r="S727" i="8" s="1"/>
  <c r="R727" i="8"/>
  <c r="R792" i="8"/>
  <c r="Q792" i="8"/>
  <c r="S792" i="8" s="1"/>
  <c r="R845" i="8"/>
  <c r="Q845" i="8"/>
  <c r="S845" i="8" s="1"/>
  <c r="P849" i="8"/>
  <c r="R882" i="8"/>
  <c r="Q882" i="8"/>
  <c r="S882" i="8" s="1"/>
  <c r="O247" i="16"/>
  <c r="P247" i="16" s="1"/>
  <c r="O1094" i="3"/>
  <c r="P1094" i="3" s="1"/>
  <c r="O1112" i="3"/>
  <c r="P1112" i="3" s="1"/>
  <c r="G1158" i="3"/>
  <c r="R28" i="8"/>
  <c r="Q28" i="8"/>
  <c r="S28" i="8" s="1"/>
  <c r="Q48" i="8"/>
  <c r="S48" i="8" s="1"/>
  <c r="Q72" i="8"/>
  <c r="S72" i="8" s="1"/>
  <c r="Q82" i="8"/>
  <c r="S82" i="8" s="1"/>
  <c r="Q119" i="8"/>
  <c r="S119" i="8" s="1"/>
  <c r="R119" i="8"/>
  <c r="R136" i="8"/>
  <c r="Q136" i="8"/>
  <c r="S136" i="8" s="1"/>
  <c r="R146" i="8"/>
  <c r="Q146" i="8"/>
  <c r="S146" i="8" s="1"/>
  <c r="R250" i="8"/>
  <c r="Q250" i="8"/>
  <c r="S250" i="8" s="1"/>
  <c r="R280" i="8"/>
  <c r="Q280" i="8"/>
  <c r="S280" i="8" s="1"/>
  <c r="Q292" i="8"/>
  <c r="S292" i="8" s="1"/>
  <c r="Q338" i="8"/>
  <c r="S338" i="8" s="1"/>
  <c r="R361" i="8"/>
  <c r="Q361" i="8"/>
  <c r="S361" i="8" s="1"/>
  <c r="R390" i="8"/>
  <c r="Q390" i="8"/>
  <c r="S390" i="8" s="1"/>
  <c r="Q419" i="8"/>
  <c r="S419" i="8" s="1"/>
  <c r="R853" i="8"/>
  <c r="Q853" i="8"/>
  <c r="S853" i="8" s="1"/>
  <c r="L31" i="7"/>
  <c r="Q35" i="8"/>
  <c r="S35" i="8" s="1"/>
  <c r="R35" i="8"/>
  <c r="R76" i="8"/>
  <c r="Q76" i="8"/>
  <c r="S76" i="8" s="1"/>
  <c r="R86" i="8"/>
  <c r="Q86" i="8"/>
  <c r="S86" i="8" s="1"/>
  <c r="R99" i="8"/>
  <c r="Q156" i="8"/>
  <c r="S156" i="8" s="1"/>
  <c r="R169" i="8"/>
  <c r="R193" i="8"/>
  <c r="R211" i="8"/>
  <c r="Q211" i="8"/>
  <c r="S211" i="8" s="1"/>
  <c r="R217" i="8"/>
  <c r="Q220" i="8"/>
  <c r="S220" i="8" s="1"/>
  <c r="Q325" i="8"/>
  <c r="S325" i="8" s="1"/>
  <c r="R330" i="8"/>
  <c r="Q330" i="8"/>
  <c r="S330" i="8" s="1"/>
  <c r="R334" i="8"/>
  <c r="Q334" i="8"/>
  <c r="S334" i="8" s="1"/>
  <c r="R381" i="8"/>
  <c r="Q381" i="8"/>
  <c r="S381" i="8" s="1"/>
  <c r="R408" i="8"/>
  <c r="Q408" i="8"/>
  <c r="S408" i="8" s="1"/>
  <c r="R420" i="8"/>
  <c r="Q420" i="8"/>
  <c r="S420" i="8" s="1"/>
  <c r="R428" i="8"/>
  <c r="Q428" i="8"/>
  <c r="S428" i="8" s="1"/>
  <c r="R728" i="8"/>
  <c r="Q728" i="8"/>
  <c r="S728" i="8" s="1"/>
  <c r="R831" i="8"/>
  <c r="Q831" i="8"/>
  <c r="S831" i="8" s="1"/>
  <c r="O1091" i="3"/>
  <c r="P1091" i="3" s="1"/>
  <c r="O1127" i="3"/>
  <c r="P1127" i="3" s="1"/>
  <c r="Q59" i="8"/>
  <c r="S59" i="8" s="1"/>
  <c r="R59" i="8"/>
  <c r="P63" i="8"/>
  <c r="Q96" i="8"/>
  <c r="S96" i="8" s="1"/>
  <c r="R109" i="8"/>
  <c r="P133" i="8"/>
  <c r="Q143" i="8"/>
  <c r="S143" i="8" s="1"/>
  <c r="R143" i="8"/>
  <c r="R160" i="8"/>
  <c r="Q160" i="8"/>
  <c r="S160" i="8" s="1"/>
  <c r="R170" i="8"/>
  <c r="Q170" i="8"/>
  <c r="S170" i="8" s="1"/>
  <c r="R183" i="8"/>
  <c r="R194" i="8"/>
  <c r="Q194" i="8"/>
  <c r="S194" i="8" s="1"/>
  <c r="P218" i="8"/>
  <c r="R261" i="8"/>
  <c r="R353" i="8"/>
  <c r="Q353" i="8"/>
  <c r="S353" i="8" s="1"/>
  <c r="Q452" i="8"/>
  <c r="S452" i="8" s="1"/>
  <c r="R505" i="8"/>
  <c r="Q505" i="8"/>
  <c r="S505" i="8" s="1"/>
  <c r="Q625" i="8"/>
  <c r="S625" i="8" s="1"/>
  <c r="R625" i="8"/>
  <c r="R2" i="8"/>
  <c r="P11" i="8"/>
  <c r="R25" i="8"/>
  <c r="P49" i="8"/>
  <c r="P73" i="8"/>
  <c r="Q83" i="8"/>
  <c r="S83" i="8" s="1"/>
  <c r="R83" i="8"/>
  <c r="R100" i="8"/>
  <c r="Q100" i="8"/>
  <c r="S100" i="8" s="1"/>
  <c r="R110" i="8"/>
  <c r="Q110" i="8"/>
  <c r="S110" i="8" s="1"/>
  <c r="R123" i="8"/>
  <c r="P147" i="8"/>
  <c r="R247" i="8"/>
  <c r="Q247" i="8"/>
  <c r="S247" i="8" s="1"/>
  <c r="R262" i="8"/>
  <c r="Q262" i="8"/>
  <c r="S262" i="8" s="1"/>
  <c r="R269" i="8"/>
  <c r="Q269" i="8"/>
  <c r="S269" i="8" s="1"/>
  <c r="Q373" i="8"/>
  <c r="S373" i="8" s="1"/>
  <c r="P404" i="8"/>
  <c r="R413" i="8"/>
  <c r="Q413" i="8"/>
  <c r="S413" i="8" s="1"/>
  <c r="R417" i="8"/>
  <c r="Q417" i="8"/>
  <c r="S417" i="8" s="1"/>
  <c r="R443" i="8"/>
  <c r="Q443" i="8"/>
  <c r="S443" i="8" s="1"/>
  <c r="R499" i="8"/>
  <c r="R619" i="8"/>
  <c r="Q619" i="8"/>
  <c r="S619" i="8" s="1"/>
  <c r="O1088" i="3"/>
  <c r="P1088" i="3" s="1"/>
  <c r="O1106" i="3"/>
  <c r="P1106" i="3" s="1"/>
  <c r="O1124" i="3"/>
  <c r="P1124" i="3" s="1"/>
  <c r="R39" i="8"/>
  <c r="R90" i="8"/>
  <c r="Q90" i="8"/>
  <c r="S90" i="8" s="1"/>
  <c r="Q167" i="8"/>
  <c r="S167" i="8" s="1"/>
  <c r="R167" i="8"/>
  <c r="R184" i="8"/>
  <c r="Q184" i="8"/>
  <c r="S184" i="8" s="1"/>
  <c r="Q191" i="8"/>
  <c r="S191" i="8" s="1"/>
  <c r="R191" i="8"/>
  <c r="R208" i="8"/>
  <c r="Q208" i="8"/>
  <c r="S208" i="8" s="1"/>
  <c r="R277" i="8"/>
  <c r="Q277" i="8"/>
  <c r="S277" i="8" s="1"/>
  <c r="Q297" i="8"/>
  <c r="S297" i="8" s="1"/>
  <c r="R297" i="8"/>
  <c r="R314" i="8"/>
  <c r="Q314" i="8"/>
  <c r="S314" i="8" s="1"/>
  <c r="R326" i="8"/>
  <c r="Q326" i="8"/>
  <c r="S326" i="8" s="1"/>
  <c r="R362" i="8"/>
  <c r="Q362" i="8"/>
  <c r="S362" i="8" s="1"/>
  <c r="R400" i="8"/>
  <c r="Q400" i="8"/>
  <c r="S400" i="8" s="1"/>
  <c r="R494" i="8"/>
  <c r="Q494" i="8"/>
  <c r="S494" i="8" s="1"/>
  <c r="R500" i="8"/>
  <c r="Q500" i="8"/>
  <c r="S500" i="8" s="1"/>
  <c r="Q589" i="8"/>
  <c r="S589" i="8" s="1"/>
  <c r="R620" i="8"/>
  <c r="Q620" i="8"/>
  <c r="S620" i="8" s="1"/>
  <c r="K13" i="7"/>
  <c r="L13" i="7" s="1"/>
  <c r="P17" i="8"/>
  <c r="Q36" i="8"/>
  <c r="S36" i="8" s="1"/>
  <c r="Q46" i="8"/>
  <c r="S46" i="8" s="1"/>
  <c r="Q70" i="8"/>
  <c r="S70" i="8" s="1"/>
  <c r="P97" i="8"/>
  <c r="Q107" i="8"/>
  <c r="S107" i="8" s="1"/>
  <c r="R107" i="8"/>
  <c r="R124" i="8"/>
  <c r="Q124" i="8"/>
  <c r="S124" i="8" s="1"/>
  <c r="R134" i="8"/>
  <c r="Q134" i="8"/>
  <c r="S134" i="8" s="1"/>
  <c r="Q164" i="8"/>
  <c r="S164" i="8" s="1"/>
  <c r="P171" i="8"/>
  <c r="P195" i="8"/>
  <c r="P215" i="8"/>
  <c r="R221" i="8"/>
  <c r="Q233" i="8"/>
  <c r="S233" i="8" s="1"/>
  <c r="Q240" i="8"/>
  <c r="S240" i="8" s="1"/>
  <c r="Q298" i="8"/>
  <c r="S298" i="8" s="1"/>
  <c r="R298" i="8"/>
  <c r="Q310" i="8"/>
  <c r="S310" i="8" s="1"/>
  <c r="R327" i="8"/>
  <c r="Q327" i="8"/>
  <c r="S327" i="8" s="1"/>
  <c r="P349" i="8"/>
  <c r="Q358" i="8"/>
  <c r="S358" i="8" s="1"/>
  <c r="R410" i="8"/>
  <c r="Q410" i="8"/>
  <c r="S410" i="8" s="1"/>
  <c r="R439" i="8"/>
  <c r="Q439" i="8"/>
  <c r="S439" i="8" s="1"/>
  <c r="R449" i="8"/>
  <c r="Q449" i="8"/>
  <c r="S449" i="8" s="1"/>
  <c r="R548" i="8"/>
  <c r="Q548" i="8"/>
  <c r="S548" i="8" s="1"/>
  <c r="Q23" i="8"/>
  <c r="S23" i="8" s="1"/>
  <c r="R23" i="8"/>
  <c r="Q26" i="8"/>
  <c r="S26" i="8" s="1"/>
  <c r="R40" i="8"/>
  <c r="Q40" i="8"/>
  <c r="S40" i="8" s="1"/>
  <c r="R50" i="8"/>
  <c r="Q50" i="8"/>
  <c r="S50" i="8" s="1"/>
  <c r="R64" i="8"/>
  <c r="Q64" i="8"/>
  <c r="S64" i="8" s="1"/>
  <c r="R74" i="8"/>
  <c r="Q74" i="8"/>
  <c r="S74" i="8" s="1"/>
  <c r="R87" i="8"/>
  <c r="P111" i="8"/>
  <c r="R157" i="8"/>
  <c r="P181" i="8"/>
  <c r="P205" i="8"/>
  <c r="Q311" i="8"/>
  <c r="S311" i="8" s="1"/>
  <c r="R311" i="8"/>
  <c r="R319" i="8"/>
  <c r="Q319" i="8"/>
  <c r="S319" i="8" s="1"/>
  <c r="R323" i="8"/>
  <c r="Q323" i="8"/>
  <c r="S323" i="8" s="1"/>
  <c r="R336" i="8"/>
  <c r="Q336" i="8"/>
  <c r="S336" i="8" s="1"/>
  <c r="R445" i="8"/>
  <c r="Q445" i="8"/>
  <c r="S445" i="8" s="1"/>
  <c r="Q533" i="8"/>
  <c r="S533" i="8" s="1"/>
  <c r="G1152" i="3"/>
  <c r="G1155" i="3"/>
  <c r="I1159" i="3" s="1"/>
  <c r="G1151" i="3"/>
  <c r="K11" i="7"/>
  <c r="L11" i="7" s="1"/>
  <c r="K18" i="7"/>
  <c r="L18" i="7" s="1"/>
  <c r="P121" i="8"/>
  <c r="Q131" i="8"/>
  <c r="S131" i="8" s="1"/>
  <c r="R131" i="8"/>
  <c r="R158" i="8"/>
  <c r="Q158" i="8"/>
  <c r="S158" i="8" s="1"/>
  <c r="R222" i="8"/>
  <c r="Q222" i="8"/>
  <c r="S222" i="8" s="1"/>
  <c r="R230" i="8"/>
  <c r="Q230" i="8"/>
  <c r="S230" i="8" s="1"/>
  <c r="R355" i="8"/>
  <c r="Q355" i="8"/>
  <c r="S355" i="8" s="1"/>
  <c r="R388" i="8"/>
  <c r="Q388" i="8"/>
  <c r="S388" i="8" s="1"/>
  <c r="R401" i="8"/>
  <c r="Q401" i="8"/>
  <c r="S401" i="8" s="1"/>
  <c r="P470" i="8"/>
  <c r="Q582" i="8"/>
  <c r="S582" i="8" s="1"/>
  <c r="R582" i="8"/>
  <c r="R633" i="8"/>
  <c r="Q633" i="8"/>
  <c r="S633" i="8" s="1"/>
  <c r="K5" i="7"/>
  <c r="L5" i="7" s="1"/>
  <c r="K29" i="7"/>
  <c r="L29" i="7" s="1"/>
  <c r="R244" i="8"/>
  <c r="Q244" i="8"/>
  <c r="S244" i="8" s="1"/>
  <c r="R289" i="8"/>
  <c r="Q289" i="8"/>
  <c r="S289" i="8" s="1"/>
  <c r="Q359" i="8"/>
  <c r="S359" i="8" s="1"/>
  <c r="R359" i="8"/>
  <c r="R378" i="8"/>
  <c r="Q378" i="8"/>
  <c r="S378" i="8" s="1"/>
  <c r="R707" i="8"/>
  <c r="Q707" i="8"/>
  <c r="S707" i="8" s="1"/>
  <c r="R225" i="8"/>
  <c r="Q225" i="8"/>
  <c r="S225" i="8" s="1"/>
  <c r="Q241" i="8"/>
  <c r="S241" i="8" s="1"/>
  <c r="R241" i="8"/>
  <c r="R267" i="8"/>
  <c r="Q267" i="8"/>
  <c r="S267" i="8" s="1"/>
  <c r="Q274" i="8"/>
  <c r="S274" i="8" s="1"/>
  <c r="R274" i="8"/>
  <c r="Q394" i="8"/>
  <c r="S394" i="8" s="1"/>
  <c r="R394" i="8"/>
  <c r="R450" i="8"/>
  <c r="Q450" i="8"/>
  <c r="S450" i="8" s="1"/>
  <c r="R496" i="8"/>
  <c r="Q496" i="8"/>
  <c r="S496" i="8" s="1"/>
  <c r="P513" i="8"/>
  <c r="R561" i="8"/>
  <c r="Q561" i="8"/>
  <c r="S561" i="8" s="1"/>
  <c r="R690" i="8"/>
  <c r="Q690" i="8"/>
  <c r="S690" i="8" s="1"/>
  <c r="R232" i="8"/>
  <c r="Q232" i="8"/>
  <c r="S232" i="8" s="1"/>
  <c r="R257" i="8"/>
  <c r="Q257" i="8"/>
  <c r="S257" i="8" s="1"/>
  <c r="R290" i="8"/>
  <c r="Q290" i="8"/>
  <c r="S290" i="8" s="1"/>
  <c r="P301" i="8"/>
  <c r="R305" i="8"/>
  <c r="Q305" i="8"/>
  <c r="S305" i="8" s="1"/>
  <c r="R313" i="8"/>
  <c r="Q313" i="8"/>
  <c r="S313" i="8" s="1"/>
  <c r="R339" i="8"/>
  <c r="Q339" i="8"/>
  <c r="S339" i="8" s="1"/>
  <c r="Q347" i="8"/>
  <c r="S347" i="8" s="1"/>
  <c r="R356" i="8"/>
  <c r="Q356" i="8"/>
  <c r="S356" i="8" s="1"/>
  <c r="R374" i="8"/>
  <c r="Q374" i="8"/>
  <c r="S374" i="8" s="1"/>
  <c r="Q406" i="8"/>
  <c r="S406" i="8" s="1"/>
  <c r="Q425" i="8"/>
  <c r="S425" i="8" s="1"/>
  <c r="R433" i="8"/>
  <c r="Q433" i="8"/>
  <c r="S433" i="8" s="1"/>
  <c r="Q441" i="8"/>
  <c r="S441" i="8" s="1"/>
  <c r="R446" i="8"/>
  <c r="Q446" i="8"/>
  <c r="S446" i="8" s="1"/>
  <c r="R536" i="8"/>
  <c r="Q536" i="8"/>
  <c r="S536" i="8" s="1"/>
  <c r="R562" i="8"/>
  <c r="Q562" i="8"/>
  <c r="S562" i="8" s="1"/>
  <c r="P649" i="8"/>
  <c r="K23" i="7"/>
  <c r="L23" i="7" s="1"/>
  <c r="P19" i="8"/>
  <c r="P31" i="8"/>
  <c r="P43" i="8"/>
  <c r="R45" i="8"/>
  <c r="P55" i="8"/>
  <c r="R57" i="8"/>
  <c r="P67" i="8"/>
  <c r="R69" i="8"/>
  <c r="P79" i="8"/>
  <c r="R81" i="8"/>
  <c r="P91" i="8"/>
  <c r="R93" i="8"/>
  <c r="P103" i="8"/>
  <c r="R105" i="8"/>
  <c r="P115" i="8"/>
  <c r="R117" i="8"/>
  <c r="P127" i="8"/>
  <c r="R129" i="8"/>
  <c r="P139" i="8"/>
  <c r="R141" i="8"/>
  <c r="P151" i="8"/>
  <c r="R153" i="8"/>
  <c r="P163" i="8"/>
  <c r="R165" i="8"/>
  <c r="P175" i="8"/>
  <c r="R177" i="8"/>
  <c r="P187" i="8"/>
  <c r="P199" i="8"/>
  <c r="R201" i="8"/>
  <c r="Q254" i="8"/>
  <c r="S254" i="8" s="1"/>
  <c r="R264" i="8"/>
  <c r="Q264" i="8"/>
  <c r="S264" i="8" s="1"/>
  <c r="R275" i="8"/>
  <c r="Q275" i="8"/>
  <c r="S275" i="8" s="1"/>
  <c r="R286" i="8"/>
  <c r="Q286" i="8"/>
  <c r="S286" i="8" s="1"/>
  <c r="R317" i="8"/>
  <c r="Q317" i="8"/>
  <c r="S317" i="8" s="1"/>
  <c r="R348" i="8"/>
  <c r="Q348" i="8"/>
  <c r="S348" i="8" s="1"/>
  <c r="R352" i="8"/>
  <c r="Q352" i="8"/>
  <c r="S352" i="8" s="1"/>
  <c r="R367" i="8"/>
  <c r="Q367" i="8"/>
  <c r="S367" i="8" s="1"/>
  <c r="R375" i="8"/>
  <c r="Q375" i="8"/>
  <c r="S375" i="8" s="1"/>
  <c r="Q462" i="8"/>
  <c r="S462" i="8" s="1"/>
  <c r="R491" i="8"/>
  <c r="Q491" i="8"/>
  <c r="S491" i="8" s="1"/>
  <c r="Q508" i="8"/>
  <c r="S508" i="8" s="1"/>
  <c r="R655" i="8"/>
  <c r="Q655" i="8"/>
  <c r="S655" i="8" s="1"/>
  <c r="R248" i="8"/>
  <c r="Q248" i="8"/>
  <c r="S248" i="8" s="1"/>
  <c r="Q265" i="8"/>
  <c r="S265" i="8" s="1"/>
  <c r="R265" i="8"/>
  <c r="P271" i="8"/>
  <c r="Q279" i="8"/>
  <c r="S279" i="8" s="1"/>
  <c r="R291" i="8"/>
  <c r="Q291" i="8"/>
  <c r="S291" i="8" s="1"/>
  <c r="Q294" i="8"/>
  <c r="S294" i="8" s="1"/>
  <c r="R340" i="8"/>
  <c r="Q340" i="8"/>
  <c r="S340" i="8" s="1"/>
  <c r="Q364" i="8"/>
  <c r="S364" i="8" s="1"/>
  <c r="P426" i="8"/>
  <c r="R430" i="8"/>
  <c r="Q430" i="8"/>
  <c r="S430" i="8" s="1"/>
  <c r="P503" i="8"/>
  <c r="R603" i="8"/>
  <c r="Q603" i="8"/>
  <c r="S603" i="8" s="1"/>
  <c r="P29" i="8"/>
  <c r="P41" i="8"/>
  <c r="P53" i="8"/>
  <c r="P65" i="8"/>
  <c r="P77" i="8"/>
  <c r="P89" i="8"/>
  <c r="P101" i="8"/>
  <c r="P113" i="8"/>
  <c r="P125" i="8"/>
  <c r="P137" i="8"/>
  <c r="P149" i="8"/>
  <c r="P161" i="8"/>
  <c r="P173" i="8"/>
  <c r="P185" i="8"/>
  <c r="P197" i="8"/>
  <c r="R223" i="8"/>
  <c r="Q223" i="8"/>
  <c r="S223" i="8" s="1"/>
  <c r="R255" i="8"/>
  <c r="Q255" i="8"/>
  <c r="S255" i="8" s="1"/>
  <c r="R276" i="8"/>
  <c r="Q276" i="8"/>
  <c r="S276" i="8" s="1"/>
  <c r="R371" i="8"/>
  <c r="Q371" i="8"/>
  <c r="S371" i="8" s="1"/>
  <c r="R422" i="8"/>
  <c r="Q422" i="8"/>
  <c r="S422" i="8" s="1"/>
  <c r="R434" i="8"/>
  <c r="Q434" i="8"/>
  <c r="S434" i="8" s="1"/>
  <c r="R442" i="8"/>
  <c r="Q442" i="8"/>
  <c r="S442" i="8" s="1"/>
  <c r="R487" i="8"/>
  <c r="Q487" i="8"/>
  <c r="S487" i="8" s="1"/>
  <c r="R681" i="8"/>
  <c r="Q681" i="8"/>
  <c r="S681" i="8" s="1"/>
  <c r="R735" i="8"/>
  <c r="Q735" i="8"/>
  <c r="S735" i="8" s="1"/>
  <c r="R391" i="8"/>
  <c r="Q391" i="8"/>
  <c r="S391" i="8" s="1"/>
  <c r="R553" i="8"/>
  <c r="Q553" i="8"/>
  <c r="S553" i="8" s="1"/>
  <c r="R606" i="8"/>
  <c r="Q606" i="8"/>
  <c r="S606" i="8" s="1"/>
  <c r="Q778" i="8"/>
  <c r="S778" i="8" s="1"/>
  <c r="R778" i="8"/>
  <c r="R807" i="8"/>
  <c r="Q807" i="8"/>
  <c r="S807" i="8" s="1"/>
  <c r="P239" i="8"/>
  <c r="R324" i="8"/>
  <c r="Q324" i="8"/>
  <c r="S324" i="8" s="1"/>
  <c r="R337" i="8"/>
  <c r="Q337" i="8"/>
  <c r="S337" i="8" s="1"/>
  <c r="R343" i="8"/>
  <c r="Q343" i="8"/>
  <c r="S343" i="8" s="1"/>
  <c r="R372" i="8"/>
  <c r="Q372" i="8"/>
  <c r="S372" i="8" s="1"/>
  <c r="R385" i="8"/>
  <c r="Q385" i="8"/>
  <c r="S385" i="8" s="1"/>
  <c r="Q440" i="8"/>
  <c r="S440" i="8" s="1"/>
  <c r="R440" i="8"/>
  <c r="R456" i="8"/>
  <c r="Q456" i="8"/>
  <c r="S456" i="8" s="1"/>
  <c r="R515" i="8"/>
  <c r="Q515" i="8"/>
  <c r="S515" i="8" s="1"/>
  <c r="R568" i="8"/>
  <c r="Q568" i="8"/>
  <c r="S568" i="8" s="1"/>
  <c r="R740" i="8"/>
  <c r="Q740" i="8"/>
  <c r="S740" i="8" s="1"/>
  <c r="R788" i="8"/>
  <c r="Q788" i="8"/>
  <c r="S788" i="8" s="1"/>
  <c r="Q818" i="8"/>
  <c r="S818" i="8" s="1"/>
  <c r="R818" i="8"/>
  <c r="R278" i="8"/>
  <c r="Q278" i="8"/>
  <c r="S278" i="8" s="1"/>
  <c r="R398" i="8"/>
  <c r="Q398" i="8"/>
  <c r="S398" i="8" s="1"/>
  <c r="R411" i="8"/>
  <c r="Q411" i="8"/>
  <c r="S411" i="8" s="1"/>
  <c r="Q414" i="8"/>
  <c r="S414" i="8" s="1"/>
  <c r="R424" i="8"/>
  <c r="Q424" i="8"/>
  <c r="S424" i="8" s="1"/>
  <c r="Q427" i="8"/>
  <c r="S427" i="8" s="1"/>
  <c r="R453" i="8"/>
  <c r="Q453" i="8"/>
  <c r="S453" i="8" s="1"/>
  <c r="R463" i="8"/>
  <c r="Q463" i="8"/>
  <c r="S463" i="8" s="1"/>
  <c r="Q484" i="8"/>
  <c r="S484" i="8" s="1"/>
  <c r="R501" i="8"/>
  <c r="Q501" i="8"/>
  <c r="S501" i="8" s="1"/>
  <c r="R607" i="8"/>
  <c r="Q607" i="8"/>
  <c r="S607" i="8" s="1"/>
  <c r="Q246" i="8"/>
  <c r="S246" i="8" s="1"/>
  <c r="Q272" i="8"/>
  <c r="S272" i="8" s="1"/>
  <c r="Q281" i="8"/>
  <c r="S281" i="8" s="1"/>
  <c r="P402" i="8"/>
  <c r="Q405" i="8"/>
  <c r="S405" i="8" s="1"/>
  <c r="R437" i="8"/>
  <c r="Q437" i="8"/>
  <c r="S437" i="8" s="1"/>
  <c r="R447" i="8"/>
  <c r="Q447" i="8"/>
  <c r="S447" i="8" s="1"/>
  <c r="R477" i="8"/>
  <c r="Q477" i="8"/>
  <c r="S477" i="8" s="1"/>
  <c r="R579" i="8"/>
  <c r="Q579" i="8"/>
  <c r="S579" i="8" s="1"/>
  <c r="R293" i="8"/>
  <c r="Q293" i="8"/>
  <c r="S293" i="8" s="1"/>
  <c r="R302" i="8"/>
  <c r="Q302" i="8"/>
  <c r="S302" i="8" s="1"/>
  <c r="R315" i="8"/>
  <c r="Q315" i="8"/>
  <c r="S315" i="8" s="1"/>
  <c r="R321" i="8"/>
  <c r="Q321" i="8"/>
  <c r="S321" i="8" s="1"/>
  <c r="R328" i="8"/>
  <c r="Q328" i="8"/>
  <c r="S328" i="8" s="1"/>
  <c r="R350" i="8"/>
  <c r="Q350" i="8"/>
  <c r="S350" i="8" s="1"/>
  <c r="R363" i="8"/>
  <c r="Q363" i="8"/>
  <c r="S363" i="8" s="1"/>
  <c r="R369" i="8"/>
  <c r="Q369" i="8"/>
  <c r="S369" i="8" s="1"/>
  <c r="R376" i="8"/>
  <c r="Q376" i="8"/>
  <c r="S376" i="8" s="1"/>
  <c r="R389" i="8"/>
  <c r="Q389" i="8"/>
  <c r="S389" i="8" s="1"/>
  <c r="P444" i="8"/>
  <c r="R460" i="8"/>
  <c r="Q460" i="8"/>
  <c r="S460" i="8" s="1"/>
  <c r="Q469" i="8"/>
  <c r="S469" i="8" s="1"/>
  <c r="R545" i="8"/>
  <c r="Q545" i="8"/>
  <c r="S545" i="8" s="1"/>
  <c r="R575" i="8"/>
  <c r="Q575" i="8"/>
  <c r="S575" i="8" s="1"/>
  <c r="R726" i="8"/>
  <c r="Q726" i="8"/>
  <c r="S726" i="8" s="1"/>
  <c r="P226" i="8"/>
  <c r="P263" i="8"/>
  <c r="P282" i="8"/>
  <c r="P306" i="8"/>
  <c r="R341" i="8"/>
  <c r="Q341" i="8"/>
  <c r="S341" i="8" s="1"/>
  <c r="P354" i="8"/>
  <c r="R409" i="8"/>
  <c r="Q409" i="8"/>
  <c r="S409" i="8" s="1"/>
  <c r="P415" i="8"/>
  <c r="R461" i="8"/>
  <c r="Q461" i="8"/>
  <c r="S461" i="8" s="1"/>
  <c r="P512" i="8"/>
  <c r="P540" i="8"/>
  <c r="R761" i="8"/>
  <c r="Q761" i="8"/>
  <c r="S761" i="8" s="1"/>
  <c r="P451" i="8"/>
  <c r="Q534" i="8"/>
  <c r="S534" i="8" s="1"/>
  <c r="R534" i="8"/>
  <c r="Q571" i="8"/>
  <c r="S571" i="8" s="1"/>
  <c r="R571" i="8"/>
  <c r="Q636" i="8"/>
  <c r="S636" i="8" s="1"/>
  <c r="R636" i="8"/>
  <c r="R641" i="8"/>
  <c r="Q641" i="8"/>
  <c r="S641" i="8" s="1"/>
  <c r="R713" i="8"/>
  <c r="Q713" i="8"/>
  <c r="S713" i="8" s="1"/>
  <c r="R784" i="8"/>
  <c r="Q784" i="8"/>
  <c r="S784" i="8" s="1"/>
  <c r="P510" i="8"/>
  <c r="P531" i="8"/>
  <c r="R651" i="8"/>
  <c r="Q651" i="8"/>
  <c r="S651" i="8" s="1"/>
  <c r="R723" i="8"/>
  <c r="Q723" i="8"/>
  <c r="S723" i="8" s="1"/>
  <c r="Q774" i="8"/>
  <c r="S774" i="8" s="1"/>
  <c r="R803" i="8"/>
  <c r="Q803" i="8"/>
  <c r="S803" i="8" s="1"/>
  <c r="R827" i="8"/>
  <c r="Q827" i="8"/>
  <c r="S827" i="8" s="1"/>
  <c r="R842" i="8"/>
  <c r="Q842" i="8"/>
  <c r="S842" i="8" s="1"/>
  <c r="Q458" i="8"/>
  <c r="S458" i="8" s="1"/>
  <c r="R527" i="8"/>
  <c r="Q527" i="8"/>
  <c r="S527" i="8" s="1"/>
  <c r="Q546" i="8"/>
  <c r="S546" i="8" s="1"/>
  <c r="R546" i="8"/>
  <c r="Q558" i="8"/>
  <c r="S558" i="8" s="1"/>
  <c r="R558" i="8"/>
  <c r="R563" i="8"/>
  <c r="Q563" i="8"/>
  <c r="S563" i="8" s="1"/>
  <c r="R678" i="8"/>
  <c r="Q678" i="8"/>
  <c r="S678" i="8" s="1"/>
  <c r="R762" i="8"/>
  <c r="Q762" i="8"/>
  <c r="S762" i="8" s="1"/>
  <c r="R766" i="8"/>
  <c r="Q766" i="8"/>
  <c r="S766" i="8" s="1"/>
  <c r="R819" i="8"/>
  <c r="Q819" i="8"/>
  <c r="S819" i="8" s="1"/>
  <c r="R822" i="8"/>
  <c r="Q822" i="8"/>
  <c r="S822" i="8" s="1"/>
  <c r="Q471" i="8"/>
  <c r="S471" i="8" s="1"/>
  <c r="Q474" i="8"/>
  <c r="S474" i="8" s="1"/>
  <c r="Q485" i="8"/>
  <c r="S485" i="8" s="1"/>
  <c r="Q504" i="8"/>
  <c r="S504" i="8" s="1"/>
  <c r="Q555" i="8"/>
  <c r="S555" i="8" s="1"/>
  <c r="R642" i="8"/>
  <c r="Q642" i="8"/>
  <c r="S642" i="8" s="1"/>
  <c r="R665" i="8"/>
  <c r="Q665" i="8"/>
  <c r="S665" i="8" s="1"/>
  <c r="R771" i="8"/>
  <c r="Q771" i="8"/>
  <c r="S771" i="8" s="1"/>
  <c r="P438" i="8"/>
  <c r="Q524" i="8"/>
  <c r="S524" i="8" s="1"/>
  <c r="R567" i="8"/>
  <c r="Q592" i="8"/>
  <c r="S592" i="8" s="1"/>
  <c r="R657" i="8"/>
  <c r="P701" i="8"/>
  <c r="R709" i="8"/>
  <c r="Q709" i="8"/>
  <c r="S709" i="8" s="1"/>
  <c r="P459" i="8"/>
  <c r="P472" i="8"/>
  <c r="R480" i="8"/>
  <c r="R483" i="8"/>
  <c r="P492" i="8"/>
  <c r="P511" i="8"/>
  <c r="R518" i="8"/>
  <c r="R539" i="8"/>
  <c r="Q539" i="8"/>
  <c r="S539" i="8" s="1"/>
  <c r="R693" i="8"/>
  <c r="Q693" i="8"/>
  <c r="S693" i="8" s="1"/>
  <c r="P697" i="8"/>
  <c r="R739" i="8"/>
  <c r="R638" i="8"/>
  <c r="Q638" i="8"/>
  <c r="S638" i="8" s="1"/>
  <c r="R667" i="8"/>
  <c r="Q667" i="8"/>
  <c r="S667" i="8" s="1"/>
  <c r="Q714" i="8"/>
  <c r="S714" i="8" s="1"/>
  <c r="R714" i="8"/>
  <c r="R731" i="8"/>
  <c r="Q731" i="8"/>
  <c r="S731" i="8" s="1"/>
  <c r="R746" i="8"/>
  <c r="Q746" i="8"/>
  <c r="S746" i="8" s="1"/>
  <c r="R781" i="8"/>
  <c r="Q781" i="8"/>
  <c r="S781" i="8" s="1"/>
  <c r="R814" i="8"/>
  <c r="Q814" i="8"/>
  <c r="S814" i="8" s="1"/>
  <c r="P490" i="8"/>
  <c r="R573" i="8"/>
  <c r="Q573" i="8"/>
  <c r="S573" i="8" s="1"/>
  <c r="R755" i="8"/>
  <c r="Q755" i="8"/>
  <c r="S755" i="8" s="1"/>
  <c r="R768" i="8"/>
  <c r="Q768" i="8"/>
  <c r="S768" i="8" s="1"/>
  <c r="P473" i="8"/>
  <c r="P478" i="8"/>
  <c r="P526" i="8"/>
  <c r="R583" i="8"/>
  <c r="Q583" i="8"/>
  <c r="S583" i="8" s="1"/>
  <c r="Q611" i="8"/>
  <c r="S611" i="8" s="1"/>
  <c r="Q671" i="8"/>
  <c r="S671" i="8" s="1"/>
  <c r="Q750" i="8"/>
  <c r="S750" i="8" s="1"/>
  <c r="Q815" i="8"/>
  <c r="S815" i="8" s="1"/>
  <c r="R815" i="8"/>
  <c r="U46" i="13"/>
  <c r="U47" i="13" s="1"/>
  <c r="V24" i="13"/>
  <c r="I24" i="13"/>
  <c r="P529" i="8"/>
  <c r="P538" i="8"/>
  <c r="Q614" i="8"/>
  <c r="S614" i="8" s="1"/>
  <c r="Q639" i="8"/>
  <c r="S639" i="8" s="1"/>
  <c r="R639" i="8"/>
  <c r="P675" i="8"/>
  <c r="R691" i="8"/>
  <c r="Q691" i="8"/>
  <c r="S691" i="8" s="1"/>
  <c r="P710" i="8"/>
  <c r="R733" i="8"/>
  <c r="Q733" i="8"/>
  <c r="S733" i="8" s="1"/>
  <c r="R777" i="8"/>
  <c r="Q777" i="8"/>
  <c r="S777" i="8" s="1"/>
  <c r="R805" i="8"/>
  <c r="Q805" i="8"/>
  <c r="S805" i="8" s="1"/>
  <c r="R838" i="8"/>
  <c r="Q838" i="8"/>
  <c r="S838" i="8" s="1"/>
  <c r="R692" i="8"/>
  <c r="Q692" i="8"/>
  <c r="S692" i="8" s="1"/>
  <c r="R715" i="8"/>
  <c r="Q715" i="8"/>
  <c r="S715" i="8" s="1"/>
  <c r="Q738" i="8"/>
  <c r="S738" i="8" s="1"/>
  <c r="R738" i="8"/>
  <c r="R811" i="8"/>
  <c r="Q811" i="8"/>
  <c r="S811" i="8" s="1"/>
  <c r="P476" i="8"/>
  <c r="P481" i="8"/>
  <c r="P521" i="8"/>
  <c r="R544" i="8"/>
  <c r="R547" i="8"/>
  <c r="P616" i="8"/>
  <c r="R628" i="8"/>
  <c r="Q628" i="8"/>
  <c r="S628" i="8" s="1"/>
  <c r="R699" i="8"/>
  <c r="Q699" i="8"/>
  <c r="S699" i="8" s="1"/>
  <c r="Q742" i="8"/>
  <c r="S742" i="8" s="1"/>
  <c r="R872" i="8"/>
  <c r="Q872" i="8"/>
  <c r="S872" i="8" s="1"/>
  <c r="R759" i="8"/>
  <c r="Q759" i="8"/>
  <c r="S759" i="8" s="1"/>
  <c r="R789" i="8"/>
  <c r="Q789" i="8"/>
  <c r="S789" i="8" s="1"/>
  <c r="R854" i="8"/>
  <c r="Q854" i="8"/>
  <c r="S854" i="8" s="1"/>
  <c r="R744" i="8"/>
  <c r="Q744" i="8"/>
  <c r="S744" i="8" s="1"/>
  <c r="R794" i="8"/>
  <c r="Q794" i="8"/>
  <c r="S794" i="8" s="1"/>
  <c r="R816" i="8"/>
  <c r="Q816" i="8"/>
  <c r="S816" i="8" s="1"/>
  <c r="R834" i="8"/>
  <c r="Q834" i="8"/>
  <c r="S834" i="8" s="1"/>
  <c r="R846" i="8"/>
  <c r="Q846" i="8"/>
  <c r="S846" i="8" s="1"/>
  <c r="Z28" i="9"/>
  <c r="L28" i="9"/>
  <c r="P497" i="8"/>
  <c r="P520" i="8"/>
  <c r="P566" i="8"/>
  <c r="P593" i="8"/>
  <c r="R604" i="8"/>
  <c r="Q604" i="8"/>
  <c r="S604" i="8" s="1"/>
  <c r="R643" i="8"/>
  <c r="Q643" i="8"/>
  <c r="S643" i="8" s="1"/>
  <c r="R717" i="8"/>
  <c r="R729" i="8"/>
  <c r="Q729" i="8"/>
  <c r="S729" i="8" s="1"/>
  <c r="P764" i="8"/>
  <c r="R785" i="8"/>
  <c r="Q785" i="8"/>
  <c r="S785" i="8" s="1"/>
  <c r="P812" i="8"/>
  <c r="R866" i="8"/>
  <c r="Q866" i="8"/>
  <c r="S866" i="8" s="1"/>
  <c r="R879" i="8"/>
  <c r="Q879" i="8"/>
  <c r="S879" i="8" s="1"/>
  <c r="H28" i="9"/>
  <c r="R669" i="8"/>
  <c r="Q669" i="8"/>
  <c r="S669" i="8" s="1"/>
  <c r="R689" i="8"/>
  <c r="Q689" i="8"/>
  <c r="S689" i="8" s="1"/>
  <c r="R702" i="8"/>
  <c r="Q702" i="8"/>
  <c r="S702" i="8" s="1"/>
  <c r="R748" i="8"/>
  <c r="Q748" i="8"/>
  <c r="S748" i="8" s="1"/>
  <c r="R790" i="8"/>
  <c r="Q790" i="8"/>
  <c r="S790" i="8" s="1"/>
  <c r="R808" i="8"/>
  <c r="Q808" i="8"/>
  <c r="S808" i="8" s="1"/>
  <c r="Z10" i="9"/>
  <c r="L10" i="9"/>
  <c r="L15" i="9"/>
  <c r="H15" i="9"/>
  <c r="H51" i="9" s="1"/>
  <c r="Z21" i="9"/>
  <c r="L21" i="9"/>
  <c r="P564" i="8"/>
  <c r="P586" i="8"/>
  <c r="Q653" i="8"/>
  <c r="S653" i="8" s="1"/>
  <c r="R711" i="8"/>
  <c r="Q737" i="8"/>
  <c r="S737" i="8" s="1"/>
  <c r="R875" i="8"/>
  <c r="Q875" i="8"/>
  <c r="S875" i="8" s="1"/>
  <c r="H10" i="9"/>
  <c r="H21" i="9"/>
  <c r="P542" i="8"/>
  <c r="P569" i="8"/>
  <c r="P594" i="8"/>
  <c r="Q621" i="8"/>
  <c r="S621" i="8" s="1"/>
  <c r="Q640" i="8"/>
  <c r="S640" i="8" s="1"/>
  <c r="R654" i="8"/>
  <c r="Q654" i="8"/>
  <c r="S654" i="8" s="1"/>
  <c r="R708" i="8"/>
  <c r="R734" i="8"/>
  <c r="Q734" i="8"/>
  <c r="S734" i="8" s="1"/>
  <c r="R835" i="8"/>
  <c r="Q835" i="8"/>
  <c r="S835" i="8" s="1"/>
  <c r="R871" i="8"/>
  <c r="Q871" i="8"/>
  <c r="S871" i="8" s="1"/>
  <c r="R893" i="8"/>
  <c r="Q893" i="8"/>
  <c r="S893" i="8" s="1"/>
  <c r="L8" i="9"/>
  <c r="H8" i="9"/>
  <c r="G47" i="9"/>
  <c r="G51" i="9" s="1"/>
  <c r="Z15" i="9"/>
  <c r="Y47" i="9"/>
  <c r="Z26" i="9"/>
  <c r="L26" i="9"/>
  <c r="H26" i="9"/>
  <c r="O76" i="16"/>
  <c r="P76" i="16" s="1"/>
  <c r="R797" i="8"/>
  <c r="Q797" i="8"/>
  <c r="S797" i="8" s="1"/>
  <c r="R843" i="8"/>
  <c r="Q843" i="8"/>
  <c r="S843" i="8" s="1"/>
  <c r="R847" i="8"/>
  <c r="Q847" i="8"/>
  <c r="S847" i="8" s="1"/>
  <c r="Z8" i="9"/>
  <c r="Z47" i="9" s="1"/>
  <c r="V35" i="13"/>
  <c r="P608" i="8"/>
  <c r="P632" i="8"/>
  <c r="P656" i="8"/>
  <c r="P680" i="8"/>
  <c r="P704" i="8"/>
  <c r="P775" i="8"/>
  <c r="R839" i="8"/>
  <c r="R869" i="8"/>
  <c r="Q869" i="8"/>
  <c r="S869" i="8" s="1"/>
  <c r="Q887" i="8"/>
  <c r="S887" i="8" s="1"/>
  <c r="R887" i="8"/>
  <c r="O36" i="16"/>
  <c r="P36" i="16" s="1"/>
  <c r="R786" i="8"/>
  <c r="Q786" i="8"/>
  <c r="S786" i="8" s="1"/>
  <c r="R801" i="8"/>
  <c r="Q801" i="8"/>
  <c r="S801" i="8" s="1"/>
  <c r="R809" i="8"/>
  <c r="Q809" i="8"/>
  <c r="S809" i="8" s="1"/>
  <c r="R832" i="8"/>
  <c r="Q832" i="8"/>
  <c r="S832" i="8" s="1"/>
  <c r="R836" i="8"/>
  <c r="Q836" i="8"/>
  <c r="S836" i="8" s="1"/>
  <c r="R840" i="8"/>
  <c r="Q840" i="8"/>
  <c r="S840" i="8" s="1"/>
  <c r="R862" i="8"/>
  <c r="Q862" i="8"/>
  <c r="S862" i="8" s="1"/>
  <c r="Z19" i="9"/>
  <c r="L19" i="9"/>
  <c r="V22" i="13"/>
  <c r="I22" i="13"/>
  <c r="H22" i="13"/>
  <c r="O102" i="16"/>
  <c r="P102" i="16" s="1"/>
  <c r="Q741" i="8"/>
  <c r="S741" i="8" s="1"/>
  <c r="Q749" i="8"/>
  <c r="S749" i="8" s="1"/>
  <c r="R749" i="8"/>
  <c r="Q757" i="8"/>
  <c r="S757" i="8" s="1"/>
  <c r="Q772" i="8"/>
  <c r="S772" i="8" s="1"/>
  <c r="R810" i="8"/>
  <c r="Q810" i="8"/>
  <c r="S810" i="8" s="1"/>
  <c r="R851" i="8"/>
  <c r="Q851" i="8"/>
  <c r="S851" i="8" s="1"/>
  <c r="Q855" i="8"/>
  <c r="S855" i="8" s="1"/>
  <c r="Q883" i="8"/>
  <c r="S883" i="8" s="1"/>
  <c r="J47" i="9"/>
  <c r="I55" i="9" s="1"/>
  <c r="K4" i="9"/>
  <c r="H19" i="9"/>
  <c r="L32" i="9"/>
  <c r="H32" i="9"/>
  <c r="P482" i="8"/>
  <c r="P506" i="8"/>
  <c r="P530" i="8"/>
  <c r="P578" i="8"/>
  <c r="P602" i="8"/>
  <c r="P626" i="8"/>
  <c r="P650" i="8"/>
  <c r="P674" i="8"/>
  <c r="P698" i="8"/>
  <c r="Q752" i="8"/>
  <c r="S752" i="8" s="1"/>
  <c r="Q779" i="8"/>
  <c r="S779" i="8" s="1"/>
  <c r="R821" i="8"/>
  <c r="Q821" i="8"/>
  <c r="S821" i="8" s="1"/>
  <c r="R873" i="8"/>
  <c r="Q873" i="8"/>
  <c r="S873" i="8" s="1"/>
  <c r="R880" i="8"/>
  <c r="Q880" i="8"/>
  <c r="S880" i="8" s="1"/>
  <c r="R895" i="8"/>
  <c r="Q895" i="8"/>
  <c r="S895" i="8" s="1"/>
  <c r="Z37" i="9"/>
  <c r="L37" i="9"/>
  <c r="H30" i="13"/>
  <c r="I33" i="13"/>
  <c r="H33" i="13"/>
  <c r="H40" i="13"/>
  <c r="O23" i="16"/>
  <c r="P23" i="16" s="1"/>
  <c r="Q652" i="8"/>
  <c r="S652" i="8" s="1"/>
  <c r="Q676" i="8"/>
  <c r="S676" i="8" s="1"/>
  <c r="Q700" i="8"/>
  <c r="S700" i="8" s="1"/>
  <c r="R776" i="8"/>
  <c r="Q802" i="8"/>
  <c r="S802" i="8" s="1"/>
  <c r="R802" i="8"/>
  <c r="R825" i="8"/>
  <c r="Q825" i="8"/>
  <c r="S825" i="8" s="1"/>
  <c r="R829" i="8"/>
  <c r="Q829" i="8"/>
  <c r="S829" i="8" s="1"/>
  <c r="R856" i="8"/>
  <c r="Q856" i="8"/>
  <c r="S856" i="8" s="1"/>
  <c r="H17" i="9"/>
  <c r="L17" i="9"/>
  <c r="L30" i="9"/>
  <c r="H30" i="9"/>
  <c r="I43" i="13"/>
  <c r="V43" i="13"/>
  <c r="H43" i="13"/>
  <c r="P550" i="8"/>
  <c r="P574" i="8"/>
  <c r="P598" i="8"/>
  <c r="P646" i="8"/>
  <c r="P694" i="8"/>
  <c r="R791" i="8"/>
  <c r="R795" i="8"/>
  <c r="Q795" i="8"/>
  <c r="S795" i="8" s="1"/>
  <c r="R833" i="8"/>
  <c r="R892" i="8"/>
  <c r="I924" i="8"/>
  <c r="Z32" i="9"/>
  <c r="V30" i="13"/>
  <c r="O9" i="16"/>
  <c r="P9" i="16" s="1"/>
  <c r="O231" i="16"/>
  <c r="P231" i="16" s="1"/>
  <c r="R782" i="8"/>
  <c r="Q782" i="8"/>
  <c r="S782" i="8" s="1"/>
  <c r="P860" i="8"/>
  <c r="R867" i="8"/>
  <c r="Q867" i="8"/>
  <c r="S867" i="8" s="1"/>
  <c r="V27" i="13"/>
  <c r="V40" i="13"/>
  <c r="O3" i="16"/>
  <c r="P3" i="16" s="1"/>
  <c r="O161" i="16"/>
  <c r="P161" i="16" s="1"/>
  <c r="R767" i="8"/>
  <c r="R773" i="8"/>
  <c r="Q773" i="8"/>
  <c r="S773" i="8" s="1"/>
  <c r="R799" i="8"/>
  <c r="Q799" i="8"/>
  <c r="S799" i="8" s="1"/>
  <c r="R806" i="8"/>
  <c r="Q806" i="8"/>
  <c r="S806" i="8" s="1"/>
  <c r="R826" i="8"/>
  <c r="P884" i="8"/>
  <c r="R891" i="8"/>
  <c r="Q891" i="8"/>
  <c r="S891" i="8" s="1"/>
  <c r="I50" i="9"/>
  <c r="Y49" i="9"/>
  <c r="Z49" i="9" s="1"/>
  <c r="I48" i="9"/>
  <c r="R823" i="8"/>
  <c r="Q823" i="8"/>
  <c r="S823" i="8" s="1"/>
  <c r="R830" i="8"/>
  <c r="Q830" i="8"/>
  <c r="S830" i="8" s="1"/>
  <c r="Z17" i="9"/>
  <c r="V38" i="13"/>
  <c r="I38" i="13"/>
  <c r="O39" i="16"/>
  <c r="P39" i="16" s="1"/>
  <c r="O181" i="16"/>
  <c r="P181" i="16" s="1"/>
  <c r="O263" i="16"/>
  <c r="P263" i="16" s="1"/>
  <c r="R858" i="8"/>
  <c r="Q858" i="8"/>
  <c r="S858" i="8" s="1"/>
  <c r="R878" i="8"/>
  <c r="Q878" i="8"/>
  <c r="S878" i="8" s="1"/>
  <c r="R889" i="8"/>
  <c r="Q889" i="8"/>
  <c r="S889" i="8" s="1"/>
  <c r="Z23" i="9"/>
  <c r="L23" i="9"/>
  <c r="H23" i="9"/>
  <c r="O204" i="16"/>
  <c r="P204" i="16" s="1"/>
  <c r="I925" i="8"/>
  <c r="H7" i="9"/>
  <c r="H14" i="9"/>
  <c r="H34" i="9"/>
  <c r="H7" i="13"/>
  <c r="H12" i="13"/>
  <c r="H17" i="13"/>
  <c r="H25" i="13"/>
  <c r="O27" i="16"/>
  <c r="P27" i="16" s="1"/>
  <c r="V33" i="13"/>
  <c r="O24" i="16"/>
  <c r="P24" i="16" s="1"/>
  <c r="O182" i="16"/>
  <c r="P182" i="16" s="1"/>
  <c r="L5" i="9"/>
  <c r="Z30" i="9"/>
  <c r="H20" i="9"/>
  <c r="O55" i="16"/>
  <c r="P55" i="16" s="1"/>
  <c r="O123" i="16"/>
  <c r="P123" i="16" s="1"/>
  <c r="O218" i="16"/>
  <c r="P218" i="16" s="1"/>
  <c r="O277" i="16"/>
  <c r="P277" i="16" s="1"/>
  <c r="Q769" i="8"/>
  <c r="S769" i="8" s="1"/>
  <c r="Q780" i="8"/>
  <c r="S780" i="8" s="1"/>
  <c r="Q793" i="8"/>
  <c r="S793" i="8" s="1"/>
  <c r="Q804" i="8"/>
  <c r="S804" i="8" s="1"/>
  <c r="Q817" i="8"/>
  <c r="S817" i="8" s="1"/>
  <c r="Q828" i="8"/>
  <c r="S828" i="8" s="1"/>
  <c r="Q841" i="8"/>
  <c r="S841" i="8" s="1"/>
  <c r="Q852" i="8"/>
  <c r="S852" i="8" s="1"/>
  <c r="Q865" i="8"/>
  <c r="S865" i="8" s="1"/>
  <c r="Q876" i="8"/>
  <c r="S876" i="8" s="1"/>
  <c r="Z5" i="9"/>
  <c r="O12" i="16"/>
  <c r="P12" i="16" s="1"/>
  <c r="O97" i="16"/>
  <c r="P97" i="16" s="1"/>
  <c r="O159" i="16"/>
  <c r="P159" i="16" s="1"/>
  <c r="O254" i="16"/>
  <c r="P254" i="16" s="1"/>
  <c r="O290" i="16"/>
  <c r="P290" i="16" s="1"/>
  <c r="R354" i="8" l="1"/>
  <c r="Q354" i="8"/>
  <c r="S354" i="8" s="1"/>
  <c r="R664" i="8"/>
  <c r="Q664" i="8"/>
  <c r="S664" i="8" s="1"/>
  <c r="Q159" i="8"/>
  <c r="S159" i="8" s="1"/>
  <c r="R159" i="8"/>
  <c r="R162" i="8"/>
  <c r="Q162" i="8"/>
  <c r="S162" i="8" s="1"/>
  <c r="R662" i="8"/>
  <c r="Q662" i="8"/>
  <c r="S662" i="8" s="1"/>
  <c r="Q15" i="8"/>
  <c r="S15" i="8" s="1"/>
  <c r="R15" i="8"/>
  <c r="R514" i="8"/>
  <c r="Q514" i="8"/>
  <c r="S514" i="8" s="1"/>
  <c r="R560" i="8"/>
  <c r="Q560" i="8"/>
  <c r="S560" i="8" s="1"/>
  <c r="Q660" i="8"/>
  <c r="S660" i="8" s="1"/>
  <c r="R660" i="8"/>
  <c r="R635" i="8"/>
  <c r="Q635" i="8"/>
  <c r="S635" i="8" s="1"/>
  <c r="R677" i="8"/>
  <c r="Q677" i="8"/>
  <c r="S677" i="8" s="1"/>
  <c r="R387" i="8"/>
  <c r="Q387" i="8"/>
  <c r="S387" i="8" s="1"/>
  <c r="R569" i="8"/>
  <c r="Q569" i="8"/>
  <c r="S569" i="8" s="1"/>
  <c r="R520" i="8"/>
  <c r="Q520" i="8"/>
  <c r="S520" i="8" s="1"/>
  <c r="Q77" i="8"/>
  <c r="S77" i="8" s="1"/>
  <c r="R77" i="8"/>
  <c r="Q115" i="8"/>
  <c r="S115" i="8" s="1"/>
  <c r="R115" i="8"/>
  <c r="R712" i="8"/>
  <c r="Q712" i="8"/>
  <c r="S712" i="8" s="1"/>
  <c r="Q498" i="8"/>
  <c r="S498" i="8" s="1"/>
  <c r="R498" i="8"/>
  <c r="Q497" i="8"/>
  <c r="S497" i="8" s="1"/>
  <c r="R497" i="8"/>
  <c r="R679" i="8"/>
  <c r="Q679" i="8"/>
  <c r="S679" i="8" s="1"/>
  <c r="R656" i="8"/>
  <c r="Q656" i="8"/>
  <c r="S656" i="8" s="1"/>
  <c r="R764" i="8"/>
  <c r="Q764" i="8"/>
  <c r="S764" i="8" s="1"/>
  <c r="R444" i="8"/>
  <c r="Q444" i="8"/>
  <c r="S444" i="8" s="1"/>
  <c r="Q197" i="8"/>
  <c r="S197" i="8" s="1"/>
  <c r="R197" i="8"/>
  <c r="Q175" i="8"/>
  <c r="S175" i="8" s="1"/>
  <c r="R175" i="8"/>
  <c r="Q19" i="8"/>
  <c r="S19" i="8" s="1"/>
  <c r="R19" i="8"/>
  <c r="R513" i="8"/>
  <c r="Q513" i="8"/>
  <c r="S513" i="8" s="1"/>
  <c r="R404" i="8"/>
  <c r="Q404" i="8"/>
  <c r="S404" i="8" s="1"/>
  <c r="Q684" i="8"/>
  <c r="S684" i="8" s="1"/>
  <c r="R684" i="8"/>
  <c r="R549" i="8"/>
  <c r="Q549" i="8"/>
  <c r="S549" i="8" s="1"/>
  <c r="R694" i="8"/>
  <c r="Q694" i="8"/>
  <c r="S694" i="8" s="1"/>
  <c r="Q506" i="8"/>
  <c r="S506" i="8" s="1"/>
  <c r="R506" i="8"/>
  <c r="R632" i="8"/>
  <c r="Q632" i="8"/>
  <c r="S632" i="8" s="1"/>
  <c r="R616" i="8"/>
  <c r="Q616" i="8"/>
  <c r="S616" i="8" s="1"/>
  <c r="Q511" i="8"/>
  <c r="S511" i="8" s="1"/>
  <c r="R511" i="8"/>
  <c r="R540" i="8"/>
  <c r="Q540" i="8"/>
  <c r="S540" i="8" s="1"/>
  <c r="R263" i="8"/>
  <c r="Q263" i="8"/>
  <c r="S263" i="8" s="1"/>
  <c r="Q185" i="8"/>
  <c r="S185" i="8" s="1"/>
  <c r="R185" i="8"/>
  <c r="Q41" i="8"/>
  <c r="S41" i="8" s="1"/>
  <c r="R41" i="8"/>
  <c r="R301" i="8"/>
  <c r="Q301" i="8"/>
  <c r="S301" i="8" s="1"/>
  <c r="G1160" i="3"/>
  <c r="R849" i="8"/>
  <c r="Q849" i="8"/>
  <c r="S849" i="8" s="1"/>
  <c r="Q33" i="8"/>
  <c r="S33" i="8" s="1"/>
  <c r="R33" i="8"/>
  <c r="R617" i="8"/>
  <c r="Q617" i="8"/>
  <c r="S617" i="8" s="1"/>
  <c r="R570" i="8"/>
  <c r="Q570" i="8"/>
  <c r="S570" i="8" s="1"/>
  <c r="R576" i="8"/>
  <c r="Q576" i="8"/>
  <c r="S576" i="8" s="1"/>
  <c r="R686" i="8"/>
  <c r="Q686" i="8"/>
  <c r="S686" i="8" s="1"/>
  <c r="R537" i="8"/>
  <c r="Q537" i="8"/>
  <c r="S537" i="8" s="1"/>
  <c r="Q650" i="8"/>
  <c r="S650" i="8" s="1"/>
  <c r="R650" i="8"/>
  <c r="R531" i="8"/>
  <c r="Q531" i="8"/>
  <c r="S531" i="8" s="1"/>
  <c r="R426" i="8"/>
  <c r="Q426" i="8"/>
  <c r="S426" i="8" s="1"/>
  <c r="Q127" i="8"/>
  <c r="S127" i="8" s="1"/>
  <c r="R127" i="8"/>
  <c r="Q147" i="8"/>
  <c r="S147" i="8" s="1"/>
  <c r="R147" i="8"/>
  <c r="Q27" i="8"/>
  <c r="S27" i="8" s="1"/>
  <c r="R27" i="8"/>
  <c r="R884" i="8"/>
  <c r="Q884" i="8"/>
  <c r="S884" i="8" s="1"/>
  <c r="R566" i="8"/>
  <c r="Q566" i="8"/>
  <c r="S566" i="8" s="1"/>
  <c r="Q199" i="8"/>
  <c r="S199" i="8" s="1"/>
  <c r="R199" i="8"/>
  <c r="Q493" i="8"/>
  <c r="S493" i="8" s="1"/>
  <c r="R493" i="8"/>
  <c r="G1160" i="2"/>
  <c r="R704" i="8"/>
  <c r="Q704" i="8"/>
  <c r="S704" i="8" s="1"/>
  <c r="R595" i="8"/>
  <c r="Q595" i="8"/>
  <c r="S595" i="8" s="1"/>
  <c r="Q31" i="8"/>
  <c r="S31" i="8" s="1"/>
  <c r="R31" i="8"/>
  <c r="R396" i="8"/>
  <c r="Q396" i="8"/>
  <c r="S396" i="8" s="1"/>
  <c r="R860" i="8"/>
  <c r="Q860" i="8"/>
  <c r="S860" i="8" s="1"/>
  <c r="Q530" i="8"/>
  <c r="S530" i="8" s="1"/>
  <c r="R530" i="8"/>
  <c r="R282" i="8"/>
  <c r="Q282" i="8"/>
  <c r="S282" i="8" s="1"/>
  <c r="Q53" i="8"/>
  <c r="S53" i="8" s="1"/>
  <c r="R53" i="8"/>
  <c r="Q103" i="8"/>
  <c r="S103" i="8" s="1"/>
  <c r="R103" i="8"/>
  <c r="Q97" i="8"/>
  <c r="S97" i="8" s="1"/>
  <c r="R97" i="8"/>
  <c r="R646" i="8"/>
  <c r="Q646" i="8"/>
  <c r="S646" i="8" s="1"/>
  <c r="R482" i="8"/>
  <c r="Q482" i="8"/>
  <c r="S482" i="8" s="1"/>
  <c r="R608" i="8"/>
  <c r="Q608" i="8"/>
  <c r="S608" i="8" s="1"/>
  <c r="R675" i="8"/>
  <c r="Q675" i="8"/>
  <c r="S675" i="8" s="1"/>
  <c r="Q492" i="8"/>
  <c r="S492" i="8" s="1"/>
  <c r="R492" i="8"/>
  <c r="R438" i="8"/>
  <c r="Q438" i="8"/>
  <c r="S438" i="8" s="1"/>
  <c r="R512" i="8"/>
  <c r="Q512" i="8"/>
  <c r="S512" i="8" s="1"/>
  <c r="Q226" i="8"/>
  <c r="S226" i="8" s="1"/>
  <c r="R226" i="8"/>
  <c r="Q173" i="8"/>
  <c r="S173" i="8" s="1"/>
  <c r="R173" i="8"/>
  <c r="Q29" i="8"/>
  <c r="S29" i="8" s="1"/>
  <c r="R29" i="8"/>
  <c r="Q163" i="8"/>
  <c r="S163" i="8" s="1"/>
  <c r="R163" i="8"/>
  <c r="Q91" i="8"/>
  <c r="S91" i="8" s="1"/>
  <c r="R91" i="8"/>
  <c r="Q649" i="8"/>
  <c r="S649" i="8" s="1"/>
  <c r="R649" i="8"/>
  <c r="R215" i="8"/>
  <c r="Q215" i="8"/>
  <c r="S215" i="8" s="1"/>
  <c r="I1145" i="3"/>
  <c r="Q189" i="8"/>
  <c r="S189" i="8" s="1"/>
  <c r="R189" i="8"/>
  <c r="R572" i="8"/>
  <c r="Q572" i="8"/>
  <c r="S572" i="8" s="1"/>
  <c r="R597" i="8"/>
  <c r="Q597" i="8"/>
  <c r="S597" i="8" s="1"/>
  <c r="R588" i="8"/>
  <c r="Q588" i="8"/>
  <c r="S588" i="8" s="1"/>
  <c r="R645" i="8"/>
  <c r="Q645" i="8"/>
  <c r="S645" i="8" s="1"/>
  <c r="R622" i="8"/>
  <c r="Q622" i="8"/>
  <c r="S622" i="8" s="1"/>
  <c r="Q564" i="8"/>
  <c r="S564" i="8" s="1"/>
  <c r="R564" i="8"/>
  <c r="R593" i="8"/>
  <c r="Q593" i="8"/>
  <c r="S593" i="8" s="1"/>
  <c r="R473" i="8"/>
  <c r="Q473" i="8"/>
  <c r="S473" i="8" s="1"/>
  <c r="Q101" i="8"/>
  <c r="S101" i="8" s="1"/>
  <c r="R101" i="8"/>
  <c r="Q55" i="8"/>
  <c r="S55" i="8" s="1"/>
  <c r="R55" i="8"/>
  <c r="Q718" i="8"/>
  <c r="S718" i="8" s="1"/>
  <c r="R718" i="8"/>
  <c r="R688" i="8"/>
  <c r="Q688" i="8"/>
  <c r="S688" i="8" s="1"/>
  <c r="Q602" i="8"/>
  <c r="S602" i="8" s="1"/>
  <c r="R602" i="8"/>
  <c r="R451" i="8"/>
  <c r="Q451" i="8"/>
  <c r="S451" i="8" s="1"/>
  <c r="R507" i="8"/>
  <c r="Q507" i="8"/>
  <c r="S507" i="8" s="1"/>
  <c r="Q135" i="8"/>
  <c r="S135" i="8" s="1"/>
  <c r="R135" i="8"/>
  <c r="R624" i="8"/>
  <c r="Q624" i="8"/>
  <c r="S624" i="8" s="1"/>
  <c r="R598" i="8"/>
  <c r="Q598" i="8"/>
  <c r="S598" i="8" s="1"/>
  <c r="Q490" i="8"/>
  <c r="S490" i="8" s="1"/>
  <c r="R490" i="8"/>
  <c r="Q161" i="8"/>
  <c r="S161" i="8" s="1"/>
  <c r="R161" i="8"/>
  <c r="Q205" i="8"/>
  <c r="S205" i="8" s="1"/>
  <c r="R205" i="8"/>
  <c r="Q195" i="8"/>
  <c r="S195" i="8" s="1"/>
  <c r="R195" i="8"/>
  <c r="Q133" i="8"/>
  <c r="S133" i="8" s="1"/>
  <c r="R133" i="8"/>
  <c r="K35" i="7"/>
  <c r="L35" i="7" s="1"/>
  <c r="L4" i="7"/>
  <c r="R60" i="8"/>
  <c r="Q60" i="8"/>
  <c r="S60" i="8" s="1"/>
  <c r="R743" i="8"/>
  <c r="Q743" i="8"/>
  <c r="S743" i="8" s="1"/>
  <c r="R724" i="8"/>
  <c r="Q724" i="8"/>
  <c r="S724" i="8" s="1"/>
  <c r="Q615" i="8"/>
  <c r="S615" i="8" s="1"/>
  <c r="R615" i="8"/>
  <c r="R682" i="8"/>
  <c r="Q682" i="8"/>
  <c r="S682" i="8" s="1"/>
  <c r="Q670" i="8"/>
  <c r="S670" i="8" s="1"/>
  <c r="R670" i="8"/>
  <c r="R509" i="8"/>
  <c r="Q509" i="8"/>
  <c r="S509" i="8" s="1"/>
  <c r="R775" i="8"/>
  <c r="Q775" i="8"/>
  <c r="S775" i="8" s="1"/>
  <c r="R751" i="8"/>
  <c r="Q751" i="8"/>
  <c r="S751" i="8" s="1"/>
  <c r="I25" i="6"/>
  <c r="Q187" i="8"/>
  <c r="S187" i="8" s="1"/>
  <c r="R187" i="8"/>
  <c r="R152" i="8"/>
  <c r="Q152" i="8"/>
  <c r="S152" i="8" s="1"/>
  <c r="R465" i="8"/>
  <c r="Q465" i="8"/>
  <c r="S465" i="8" s="1"/>
  <c r="Q574" i="8"/>
  <c r="S574" i="8" s="1"/>
  <c r="R574" i="8"/>
  <c r="R521" i="8"/>
  <c r="Q521" i="8"/>
  <c r="S521" i="8" s="1"/>
  <c r="Q149" i="8"/>
  <c r="S149" i="8" s="1"/>
  <c r="R149" i="8"/>
  <c r="R271" i="8"/>
  <c r="Q271" i="8"/>
  <c r="S271" i="8" s="1"/>
  <c r="Q151" i="8"/>
  <c r="S151" i="8" s="1"/>
  <c r="R151" i="8"/>
  <c r="Q79" i="8"/>
  <c r="S79" i="8" s="1"/>
  <c r="R79" i="8"/>
  <c r="Q181" i="8"/>
  <c r="S181" i="8" s="1"/>
  <c r="R181" i="8"/>
  <c r="Q171" i="8"/>
  <c r="S171" i="8" s="1"/>
  <c r="R171" i="8"/>
  <c r="Q17" i="8"/>
  <c r="S17" i="8" s="1"/>
  <c r="R17" i="8"/>
  <c r="Q73" i="8"/>
  <c r="S73" i="8" s="1"/>
  <c r="R73" i="8"/>
  <c r="I1146" i="3"/>
  <c r="R58" i="8"/>
  <c r="Q58" i="8"/>
  <c r="S58" i="8" s="1"/>
  <c r="R495" i="8"/>
  <c r="Q495" i="8"/>
  <c r="S495" i="8" s="1"/>
  <c r="R590" i="8"/>
  <c r="Q590" i="8"/>
  <c r="S590" i="8" s="1"/>
  <c r="R627" i="8"/>
  <c r="Q627" i="8"/>
  <c r="S627" i="8" s="1"/>
  <c r="R722" i="8"/>
  <c r="Q722" i="8"/>
  <c r="S722" i="8" s="1"/>
  <c r="Q732" i="8"/>
  <c r="S732" i="8" s="1"/>
  <c r="R732" i="8"/>
  <c r="Q626" i="8"/>
  <c r="S626" i="8" s="1"/>
  <c r="R626" i="8"/>
  <c r="Q594" i="8"/>
  <c r="S594" i="8" s="1"/>
  <c r="R594" i="8"/>
  <c r="R812" i="8"/>
  <c r="Q812" i="8"/>
  <c r="S812" i="8" s="1"/>
  <c r="R701" i="8"/>
  <c r="Q701" i="8"/>
  <c r="S701" i="8" s="1"/>
  <c r="Q89" i="8"/>
  <c r="S89" i="8" s="1"/>
  <c r="R89" i="8"/>
  <c r="R528" i="8"/>
  <c r="Q528" i="8"/>
  <c r="S528" i="8" s="1"/>
  <c r="R580" i="8"/>
  <c r="Q580" i="8"/>
  <c r="S580" i="8" s="1"/>
  <c r="Q745" i="8"/>
  <c r="S745" i="8" s="1"/>
  <c r="R745" i="8"/>
  <c r="Q543" i="8"/>
  <c r="S543" i="8" s="1"/>
  <c r="R543" i="8"/>
  <c r="Q510" i="8"/>
  <c r="S510" i="8" s="1"/>
  <c r="R510" i="8"/>
  <c r="R148" i="8"/>
  <c r="Q148" i="8"/>
  <c r="S148" i="8" s="1"/>
  <c r="Q43" i="8"/>
  <c r="S43" i="8" s="1"/>
  <c r="R43" i="8"/>
  <c r="R630" i="8"/>
  <c r="Q630" i="8"/>
  <c r="S630" i="8" s="1"/>
  <c r="Q578" i="8"/>
  <c r="S578" i="8" s="1"/>
  <c r="R578" i="8"/>
  <c r="R542" i="8"/>
  <c r="Q542" i="8"/>
  <c r="S542" i="8" s="1"/>
  <c r="R306" i="8"/>
  <c r="Q306" i="8"/>
  <c r="S306" i="8" s="1"/>
  <c r="Q605" i="8"/>
  <c r="S605" i="8" s="1"/>
  <c r="R605" i="8"/>
  <c r="R481" i="8"/>
  <c r="Q481" i="8"/>
  <c r="S481" i="8" s="1"/>
  <c r="R472" i="8"/>
  <c r="Q472" i="8"/>
  <c r="S472" i="8" s="1"/>
  <c r="R415" i="8"/>
  <c r="Q415" i="8"/>
  <c r="S415" i="8" s="1"/>
  <c r="Q137" i="8"/>
  <c r="S137" i="8" s="1"/>
  <c r="R137" i="8"/>
  <c r="R349" i="8"/>
  <c r="Q349" i="8"/>
  <c r="S349" i="8" s="1"/>
  <c r="Q49" i="8"/>
  <c r="S49" i="8" s="1"/>
  <c r="R49" i="8"/>
  <c r="R525" i="8"/>
  <c r="Q525" i="8"/>
  <c r="S525" i="8" s="1"/>
  <c r="R666" i="8"/>
  <c r="Q666" i="8"/>
  <c r="S666" i="8" s="1"/>
  <c r="R476" i="8"/>
  <c r="Q476" i="8"/>
  <c r="S476" i="8" s="1"/>
  <c r="Q538" i="8"/>
  <c r="S538" i="8" s="1"/>
  <c r="R538" i="8"/>
  <c r="R526" i="8"/>
  <c r="Q526" i="8"/>
  <c r="S526" i="8" s="1"/>
  <c r="R459" i="8"/>
  <c r="Q459" i="8"/>
  <c r="S459" i="8" s="1"/>
  <c r="R402" i="8"/>
  <c r="Q402" i="8"/>
  <c r="S402" i="8" s="1"/>
  <c r="Q125" i="8"/>
  <c r="S125" i="8" s="1"/>
  <c r="R125" i="8"/>
  <c r="Q139" i="8"/>
  <c r="S139" i="8" s="1"/>
  <c r="R139" i="8"/>
  <c r="Q67" i="8"/>
  <c r="S67" i="8" s="1"/>
  <c r="R67" i="8"/>
  <c r="Q111" i="8"/>
  <c r="S111" i="8" s="1"/>
  <c r="R111" i="8"/>
  <c r="Q63" i="8"/>
  <c r="S63" i="8" s="1"/>
  <c r="R63" i="8"/>
  <c r="R52" i="8"/>
  <c r="Q52" i="8"/>
  <c r="S52" i="8" s="1"/>
  <c r="R382" i="8"/>
  <c r="Q382" i="8"/>
  <c r="S382" i="8" s="1"/>
  <c r="Q486" i="8"/>
  <c r="S486" i="8" s="1"/>
  <c r="R486" i="8"/>
  <c r="R551" i="8"/>
  <c r="Q551" i="8"/>
  <c r="S551" i="8" s="1"/>
  <c r="R647" i="8"/>
  <c r="Q647" i="8"/>
  <c r="S647" i="8" s="1"/>
  <c r="R736" i="8"/>
  <c r="Q736" i="8"/>
  <c r="S736" i="8" s="1"/>
  <c r="R754" i="8"/>
  <c r="Q754" i="8"/>
  <c r="S754" i="8" s="1"/>
  <c r="R54" i="8"/>
  <c r="Q54" i="8"/>
  <c r="S54" i="8" s="1"/>
  <c r="R516" i="8"/>
  <c r="Q516" i="8"/>
  <c r="S516" i="8" s="1"/>
  <c r="Q121" i="8"/>
  <c r="S121" i="8" s="1"/>
  <c r="R121" i="8"/>
  <c r="Q554" i="8"/>
  <c r="S554" i="8" s="1"/>
  <c r="R554" i="8"/>
  <c r="R680" i="8"/>
  <c r="Q680" i="8"/>
  <c r="S680" i="8" s="1"/>
  <c r="R710" i="8"/>
  <c r="Q710" i="8"/>
  <c r="S710" i="8" s="1"/>
  <c r="Q65" i="8"/>
  <c r="S65" i="8" s="1"/>
  <c r="R65" i="8"/>
  <c r="R550" i="8"/>
  <c r="Q550" i="8"/>
  <c r="S550" i="8" s="1"/>
  <c r="R239" i="8"/>
  <c r="Q239" i="8"/>
  <c r="S239" i="8" s="1"/>
  <c r="Q503" i="8"/>
  <c r="S503" i="8" s="1"/>
  <c r="R503" i="8"/>
  <c r="R218" i="8"/>
  <c r="Q218" i="8"/>
  <c r="S218" i="8" s="1"/>
  <c r="Q85" i="8"/>
  <c r="S85" i="8" s="1"/>
  <c r="R85" i="8"/>
  <c r="R224" i="8"/>
  <c r="Q224" i="8"/>
  <c r="S224" i="8" s="1"/>
  <c r="R720" i="8"/>
  <c r="Q720" i="8"/>
  <c r="S720" i="8" s="1"/>
  <c r="Q698" i="8"/>
  <c r="S698" i="8" s="1"/>
  <c r="R698" i="8"/>
  <c r="Q674" i="8"/>
  <c r="S674" i="8" s="1"/>
  <c r="R674" i="8"/>
  <c r="R586" i="8"/>
  <c r="Q586" i="8"/>
  <c r="S586" i="8" s="1"/>
  <c r="Q529" i="8"/>
  <c r="S529" i="8" s="1"/>
  <c r="R529" i="8"/>
  <c r="R478" i="8"/>
  <c r="Q478" i="8"/>
  <c r="S478" i="8" s="1"/>
  <c r="Q697" i="8"/>
  <c r="S697" i="8" s="1"/>
  <c r="R697" i="8"/>
  <c r="Q113" i="8"/>
  <c r="S113" i="8" s="1"/>
  <c r="R113" i="8"/>
  <c r="R470" i="8"/>
  <c r="Q470" i="8"/>
  <c r="S470" i="8" s="1"/>
  <c r="R11" i="8"/>
  <c r="Q11" i="8"/>
  <c r="S11" i="8" s="1"/>
  <c r="I1158" i="3"/>
  <c r="Q61" i="8"/>
  <c r="S61" i="8" s="1"/>
  <c r="R61" i="8"/>
  <c r="R150" i="8"/>
  <c r="Q150" i="8"/>
  <c r="S150" i="8" s="1"/>
  <c r="R519" i="8"/>
  <c r="Q519" i="8"/>
  <c r="S519" i="8" s="1"/>
  <c r="R502" i="8"/>
  <c r="Q502" i="8"/>
  <c r="S502" i="8" s="1"/>
  <c r="Q601" i="8"/>
  <c r="S601" i="8" s="1"/>
  <c r="R601" i="8"/>
  <c r="R488" i="8"/>
  <c r="Q488" i="8"/>
  <c r="S488" i="8" s="1"/>
  <c r="Q760" i="8"/>
  <c r="S760" i="8" s="1"/>
  <c r="R760" i="8"/>
  <c r="G1147" i="2"/>
  <c r="G25" i="6"/>
</calcChain>
</file>

<file path=xl/sharedStrings.xml><?xml version="1.0" encoding="utf-8"?>
<sst xmlns="http://schemas.openxmlformats.org/spreadsheetml/2006/main" count="32669" uniqueCount="1249">
  <si>
    <t>фио</t>
  </si>
  <si>
    <t>19-20</t>
  </si>
  <si>
    <t>должность</t>
  </si>
  <si>
    <t>АЛЕКСАНДРОВА</t>
  </si>
  <si>
    <t>доцент</t>
  </si>
  <si>
    <t>БАБЕРЦЯН С. А</t>
  </si>
  <si>
    <t>ст.</t>
  </si>
  <si>
    <t>БАНИШЕВ А. Ф.,</t>
  </si>
  <si>
    <t>профессор</t>
  </si>
  <si>
    <t>БАРАБАНОВА О. А.</t>
  </si>
  <si>
    <t>БЕРЕЖНОЙ Д. В.</t>
  </si>
  <si>
    <t>БЕСПАЛОВ А. В.,</t>
  </si>
  <si>
    <t>БОБРЫШЕВ Б. Л.</t>
  </si>
  <si>
    <t>ВАРФОЛОМЕЕВ М. С.,</t>
  </si>
  <si>
    <t>ВЛАСЕНКО А. Н.</t>
  </si>
  <si>
    <t>ГАЛКИН В. И.</t>
  </si>
  <si>
    <t>ГАЛКИН Е. В.</t>
  </si>
  <si>
    <t>ЕРЕМЕЕВ В. В.,</t>
  </si>
  <si>
    <t>ЕРЕМЕЕВ Н. В.,</t>
  </si>
  <si>
    <t>ЖАРОВ М. В.</t>
  </si>
  <si>
    <t>КОМАРОВ Р. С.</t>
  </si>
  <si>
    <t>ассистент</t>
  </si>
  <si>
    <t>КОНКЕВИЧ В. Ю.</t>
  </si>
  <si>
    <t>Кубатина Е. П.</t>
  </si>
  <si>
    <t>ЛЕНКОВЕЦ А. С.</t>
  </si>
  <si>
    <t>ЛОЗОВАН А. А.,</t>
  </si>
  <si>
    <t>МОИСЕЕВ В. С.,</t>
  </si>
  <si>
    <t>МОНАСТЫРСКИЙ А. В.,</t>
  </si>
  <si>
    <t>НИКИТИНА Е. В.,</t>
  </si>
  <si>
    <t>ПАЛТИЕВИЧ А. Р.,</t>
  </si>
  <si>
    <t>ПАШКОВ И. Н.,</t>
  </si>
  <si>
    <t>ПЕТРОВ А. П.</t>
  </si>
  <si>
    <t>ПЕТРОВ И. А.</t>
  </si>
  <si>
    <t>ПРЕОБРАЖЕНСКИ Й Е. В</t>
  </si>
  <si>
    <t>РЯХОВСКИЙ А. П.,</t>
  </si>
  <si>
    <t>СЕРОВ М. М.</t>
  </si>
  <si>
    <t>СИДЯКИН В. А</t>
  </si>
  <si>
    <t>СМЫКОВ А. Ф.,</t>
  </si>
  <si>
    <t>СОКОЛОВ А. В.</t>
  </si>
  <si>
    <t>СТЕПАНОВ В. В.,</t>
  </si>
  <si>
    <t>ТЕЛИЦЫНА О. В.,</t>
  </si>
  <si>
    <t>ФЕДОРОВ А. А.</t>
  </si>
  <si>
    <t>ФЕДОРОВ С. А.,</t>
  </si>
  <si>
    <t>ФРОЛОВ В.А.</t>
  </si>
  <si>
    <t>ШЛЕНСКИЙ А. Г.</t>
  </si>
  <si>
    <t>ШЛЯПЦЕВА А. Д.</t>
  </si>
  <si>
    <t>семестр</t>
  </si>
  <si>
    <t>Дисциплина</t>
  </si>
  <si>
    <t>Вид нагрузки</t>
  </si>
  <si>
    <t>Группы</t>
  </si>
  <si>
    <t>Нагрузка</t>
  </si>
  <si>
    <t>Поток</t>
  </si>
  <si>
    <t>Количества часов по УП</t>
  </si>
  <si>
    <t>Табельный №</t>
  </si>
  <si>
    <t>ФИО</t>
  </si>
  <si>
    <t>Должность</t>
  </si>
  <si>
    <t>Желаемая аудитория</t>
  </si>
  <si>
    <t>Описание (пожелания по дням недели, времени, требования по техническому обеспечению аудитории)</t>
  </si>
  <si>
    <t>осень</t>
  </si>
  <si>
    <t>весна</t>
  </si>
  <si>
    <t>всего</t>
  </si>
  <si>
    <t>ПР</t>
  </si>
  <si>
    <t>ИДПО</t>
  </si>
  <si>
    <t xml:space="preserve">89067     </t>
  </si>
  <si>
    <t xml:space="preserve">Ряховский Александр Павлович </t>
  </si>
  <si>
    <t xml:space="preserve">82020     </t>
  </si>
  <si>
    <t xml:space="preserve">Варфоломеев Максим Сергеевич </t>
  </si>
  <si>
    <t xml:space="preserve">82026     </t>
  </si>
  <si>
    <t xml:space="preserve">Александрова Светлана Сергеевна </t>
  </si>
  <si>
    <t>Руководство кафедрой</t>
  </si>
  <si>
    <t xml:space="preserve">82061     </t>
  </si>
  <si>
    <t xml:space="preserve">Моисеев Виктор Сергеевич </t>
  </si>
  <si>
    <t>Спецглавы технологий пайки</t>
  </si>
  <si>
    <t>ЛК</t>
  </si>
  <si>
    <t>Т11О-202А-19</t>
  </si>
  <si>
    <t>10740</t>
  </si>
  <si>
    <t xml:space="preserve">92509     </t>
  </si>
  <si>
    <t xml:space="preserve">Пашков Игорь Николаевич </t>
  </si>
  <si>
    <t>Степанов Максим Александрович</t>
  </si>
  <si>
    <t>ПЗ</t>
  </si>
  <si>
    <t>Консультация</t>
  </si>
  <si>
    <t>История профессии</t>
  </si>
  <si>
    <t>Т11О-101Б-20, Т11О-102Б-20</t>
  </si>
  <si>
    <t>13524</t>
  </si>
  <si>
    <t xml:space="preserve">81720     </t>
  </si>
  <si>
    <t xml:space="preserve">Палтиевич Андрей Романович </t>
  </si>
  <si>
    <t>кроме вторника (523 А)</t>
  </si>
  <si>
    <t>Зачет с оценкой</t>
  </si>
  <si>
    <t>Т11О-101Б-20</t>
  </si>
  <si>
    <t>кроме вторника</t>
  </si>
  <si>
    <t>Т11О-102Б-20</t>
  </si>
  <si>
    <t xml:space="preserve">81729     </t>
  </si>
  <si>
    <t xml:space="preserve">Соколов Алексей Викторович </t>
  </si>
  <si>
    <t>кроме пятницы (523 А)</t>
  </si>
  <si>
    <t xml:space="preserve">87438     </t>
  </si>
  <si>
    <t xml:space="preserve">Конкевич Валентин Юрьевич </t>
  </si>
  <si>
    <t xml:space="preserve">82066     </t>
  </si>
  <si>
    <t xml:space="preserve">Серов Михаил Михайлович </t>
  </si>
  <si>
    <t xml:space="preserve">89068     </t>
  </si>
  <si>
    <t xml:space="preserve">Петров Игорь Алексеевич </t>
  </si>
  <si>
    <t>ЛР</t>
  </si>
  <si>
    <t>Технология и оборудование сварки плавлением</t>
  </si>
  <si>
    <t>КП</t>
  </si>
  <si>
    <t>Т1О-401Б-17</t>
  </si>
  <si>
    <t>Никитина Елена Владимировна</t>
  </si>
  <si>
    <t xml:space="preserve">Федоров Сергей Алескандрович </t>
  </si>
  <si>
    <t>Сидякин Виталей Александрович</t>
  </si>
  <si>
    <t>06256</t>
  </si>
  <si>
    <t xml:space="preserve">89090     </t>
  </si>
  <si>
    <t>Степанов Владимир Валерьевич</t>
  </si>
  <si>
    <t>желательно конец недели, включая субботу</t>
  </si>
  <si>
    <t>Экзамен</t>
  </si>
  <si>
    <t>Прикладная гидравлика</t>
  </si>
  <si>
    <t>Т1О-402Б-17, Т1О-409Б-17</t>
  </si>
  <si>
    <t>12883</t>
  </si>
  <si>
    <t xml:space="preserve">82018     </t>
  </si>
  <si>
    <t>Бережной Дмитрий Васильевич</t>
  </si>
  <si>
    <t>кроме одного любого дня и субботы</t>
  </si>
  <si>
    <t>Т1О-409Б-17</t>
  </si>
  <si>
    <t>Т1О-402Б-17</t>
  </si>
  <si>
    <t>Теория литейных процессов</t>
  </si>
  <si>
    <t>04517</t>
  </si>
  <si>
    <t>только ПН, ЧТ</t>
  </si>
  <si>
    <t>КР</t>
  </si>
  <si>
    <t>!!!</t>
  </si>
  <si>
    <t>Инженерные и графические системы</t>
  </si>
  <si>
    <t>Т11О-103Б-20</t>
  </si>
  <si>
    <t>13288</t>
  </si>
  <si>
    <t xml:space="preserve">81728     </t>
  </si>
  <si>
    <t xml:space="preserve">Галкин Виктор Иванович </t>
  </si>
  <si>
    <t>кроме среды и первой пары понедельника (525 А)</t>
  </si>
  <si>
    <t>Защита интеллектуальной собственности и патентоведение</t>
  </si>
  <si>
    <t>М9О-104М-20</t>
  </si>
  <si>
    <t>12598</t>
  </si>
  <si>
    <t>Т11О-101М-20</t>
  </si>
  <si>
    <t>12597</t>
  </si>
  <si>
    <t xml:space="preserve">82021     </t>
  </si>
  <si>
    <t xml:space="preserve">Власенко Артем Николаевич </t>
  </si>
  <si>
    <t>кроме четверга</t>
  </si>
  <si>
    <t>Т11О-102М-20</t>
  </si>
  <si>
    <t>Т11О-103М-20</t>
  </si>
  <si>
    <t>Т11О-104М-20</t>
  </si>
  <si>
    <t>Зачет</t>
  </si>
  <si>
    <t>Современные технологии сварки плавлением</t>
  </si>
  <si>
    <t>Т11О-204М-19</t>
  </si>
  <si>
    <t>04595</t>
  </si>
  <si>
    <t xml:space="preserve">82056     </t>
  </si>
  <si>
    <t xml:space="preserve">Никитина Елена Владимировна </t>
  </si>
  <si>
    <t>пн-пт с 13:00 (509 или 532)</t>
  </si>
  <si>
    <t>Современные технологии сварки давлением</t>
  </si>
  <si>
    <t>Современные технологии пайки</t>
  </si>
  <si>
    <t>Контроль качества в порошковой металлургии</t>
  </si>
  <si>
    <t>Т11О-203М-19</t>
  </si>
  <si>
    <t>06203</t>
  </si>
  <si>
    <t xml:space="preserve">82090     </t>
  </si>
  <si>
    <t xml:space="preserve">Барабанова Ольга Алексеевна </t>
  </si>
  <si>
    <t>вт с 13:00</t>
  </si>
  <si>
    <t>Разработка ресурсосберегающих технологий диффузионной сварки</t>
  </si>
  <si>
    <t>пт с 13:00</t>
  </si>
  <si>
    <t>Документооборот в профессиональной деятельности</t>
  </si>
  <si>
    <t>Т11О-301Б-18, Т11О-302Б-18</t>
  </si>
  <si>
    <t>08947</t>
  </si>
  <si>
    <t>Т11О-301Б-18</t>
  </si>
  <si>
    <t>Т11О-302Б-18</t>
  </si>
  <si>
    <t>Моделирование и оптимизация технологических процессов</t>
  </si>
  <si>
    <t>Т11О-201М-19</t>
  </si>
  <si>
    <t>04489</t>
  </si>
  <si>
    <t xml:space="preserve">81722     </t>
  </si>
  <si>
    <t xml:space="preserve">Шленский Алексей Геннадьевич </t>
  </si>
  <si>
    <t>525 А</t>
  </si>
  <si>
    <t>Физико-математическое моделирование процессов обработки металлов давлением</t>
  </si>
  <si>
    <t xml:space="preserve">81732     </t>
  </si>
  <si>
    <t xml:space="preserve">Петров Анатолий Павлович </t>
  </si>
  <si>
    <t>Физика и техника высоких давлений</t>
  </si>
  <si>
    <t xml:space="preserve">81730     </t>
  </si>
  <si>
    <t>Федоров Анатолий Александрович</t>
  </si>
  <si>
    <t>Основы автоматизации технологических процессов</t>
  </si>
  <si>
    <t>Т11О-301Б-18, Т11О-302Б-18, Т11О-305Б-18, Т11О-306Б-18, Т11О-307Б-18, Т11О-308Б-18</t>
  </si>
  <si>
    <t>09898</t>
  </si>
  <si>
    <t xml:space="preserve">81716     </t>
  </si>
  <si>
    <t xml:space="preserve">Жаров Максим Владимирович </t>
  </si>
  <si>
    <t>по первым неделям</t>
  </si>
  <si>
    <t>Т11О-306Б-18</t>
  </si>
  <si>
    <t>Т11О-307Б-18</t>
  </si>
  <si>
    <t>Т11О-305Б-18</t>
  </si>
  <si>
    <t>Т11О-308Б-18</t>
  </si>
  <si>
    <t xml:space="preserve">93584     </t>
  </si>
  <si>
    <t xml:space="preserve">Комаров Роман Сергеевич </t>
  </si>
  <si>
    <t>Листовая штамповка</t>
  </si>
  <si>
    <t>Т1В-516Б-16</t>
  </si>
  <si>
    <t>04644</t>
  </si>
  <si>
    <t>кроме понедельника и пятницы</t>
  </si>
  <si>
    <t>КСР</t>
  </si>
  <si>
    <t>Основы математического и имитационного моделирования</t>
  </si>
  <si>
    <t>Т11О-304Б-18</t>
  </si>
  <si>
    <t>08770</t>
  </si>
  <si>
    <t>Оборудование цехов ОМД</t>
  </si>
  <si>
    <t>кроме пятницы</t>
  </si>
  <si>
    <t>CALS-технологии в производстве продукции</t>
  </si>
  <si>
    <t>Т1О-404Б-17</t>
  </si>
  <si>
    <t xml:space="preserve">81724     </t>
  </si>
  <si>
    <t xml:space="preserve">Галкин Евгений Владимирович </t>
  </si>
  <si>
    <t>кроме пятницы (525 А)</t>
  </si>
  <si>
    <t>Теория и технология композиционных материалов</t>
  </si>
  <si>
    <t>Технология прокатно-прессового производства</t>
  </si>
  <si>
    <t>Орш. А-523</t>
  </si>
  <si>
    <t>Орш. А-521</t>
  </si>
  <si>
    <t>Орш. А-522</t>
  </si>
  <si>
    <t>Методы прогнозирования в управлении жизненным циклом продукции</t>
  </si>
  <si>
    <t>Средства автоматизации и управления</t>
  </si>
  <si>
    <t xml:space="preserve">81721     </t>
  </si>
  <si>
    <t xml:space="preserve">Преображенский Евгений Владимирович </t>
  </si>
  <si>
    <t>Технологические процессы автоматизированных производств</t>
  </si>
  <si>
    <t>Основы технологии и организации получения продукции методами КШП</t>
  </si>
  <si>
    <t>кроме пятницы (521А, 522А)</t>
  </si>
  <si>
    <t>Основы технологии и организации получения продукции методами листовой штамповки</t>
  </si>
  <si>
    <t>Методы управления информационными и материальными потоками</t>
  </si>
  <si>
    <t>TPS-технологии</t>
  </si>
  <si>
    <t>Применение вычислительной техники в инженерной деятельности</t>
  </si>
  <si>
    <t>Теория процессов прокатно-прессового производства</t>
  </si>
  <si>
    <t>Т1В-412Б-17</t>
  </si>
  <si>
    <t>08769</t>
  </si>
  <si>
    <t xml:space="preserve">81725     </t>
  </si>
  <si>
    <t xml:space="preserve">Еремеев Николай Владимирович </t>
  </si>
  <si>
    <t>Технология кузнечно-штамповочного производства</t>
  </si>
  <si>
    <t>523Акроме пятницы</t>
  </si>
  <si>
    <t>521А, 522Акроме пятницы</t>
  </si>
  <si>
    <t>Информационные системы и базы данных</t>
  </si>
  <si>
    <t>Организация и математическое планирование эксперимента</t>
  </si>
  <si>
    <t>Технология прессования  легких сплавов</t>
  </si>
  <si>
    <t xml:space="preserve">81731     </t>
  </si>
  <si>
    <t xml:space="preserve">Беспалов Александр Владимирович </t>
  </si>
  <si>
    <t>вторник, среда</t>
  </si>
  <si>
    <t>Прикладная термодинамика и кинетика</t>
  </si>
  <si>
    <t>Т11О-102М-20, Т11О-103М-20</t>
  </si>
  <si>
    <t>07996</t>
  </si>
  <si>
    <t>Производство отливок из легких сплавов</t>
  </si>
  <si>
    <t>Т11О-202М-19</t>
  </si>
  <si>
    <t>06201</t>
  </si>
  <si>
    <t>Системный и численный анализ в САПР ТП литья</t>
  </si>
  <si>
    <t>САПР технологических процессов в литейном производстве</t>
  </si>
  <si>
    <t>Специальные методы литья</t>
  </si>
  <si>
    <t>Методы планирования и обработки результатов эксперимента 2</t>
  </si>
  <si>
    <t>пн-пт с 13:00 (509 А)</t>
  </si>
  <si>
    <t>Техника измерений</t>
  </si>
  <si>
    <t xml:space="preserve">82023     </t>
  </si>
  <si>
    <t xml:space="preserve">Федоров Сергей Александрович </t>
  </si>
  <si>
    <t>пн-пт по 2 пары с 14-45</t>
  </si>
  <si>
    <t>Материалы сварных и паянных конструкций, проблемы свариваемости и паяемости</t>
  </si>
  <si>
    <t>Основы кристаллографии</t>
  </si>
  <si>
    <t xml:space="preserve">93685     </t>
  </si>
  <si>
    <t xml:space="preserve">Банишев Александр Федорович </t>
  </si>
  <si>
    <t>Понедельник</t>
  </si>
  <si>
    <t>Моделирование процессов и объектов в порошковой металлургии и нанесении покрытий</t>
  </si>
  <si>
    <t>кроме чт и сб (509)</t>
  </si>
  <si>
    <t>Разработка технологических процессов производства материалов с микрокристаллической структурой</t>
  </si>
  <si>
    <t>Технологии создания наноструктурных материалов</t>
  </si>
  <si>
    <t xml:space="preserve">82060     </t>
  </si>
  <si>
    <t xml:space="preserve">Лозован Александр Александрович </t>
  </si>
  <si>
    <t xml:space="preserve">95460     </t>
  </si>
  <si>
    <t>Кубатина Екатерина Павловна</t>
  </si>
  <si>
    <t>Физические основы и методы аддитивных технологий</t>
  </si>
  <si>
    <t>Т11О-101М-20, Т11О-102М-20, Т11О-103М-20, Т11О-104М-20</t>
  </si>
  <si>
    <t>07987</t>
  </si>
  <si>
    <t>не более двух дней в неделю</t>
  </si>
  <si>
    <t>Проектирование сварных и паяных конструкций</t>
  </si>
  <si>
    <t>Информационные технологии  в металлургии</t>
  </si>
  <si>
    <t>кроме вторника (521А, 522А, 525А)</t>
  </si>
  <si>
    <t>Монастырский Алексей Валерьевич</t>
  </si>
  <si>
    <t>Твердофазные методы получения композиционных материалов</t>
  </si>
  <si>
    <t>пятница с 13-00.</t>
  </si>
  <si>
    <t>Теория затвердевания отливки</t>
  </si>
  <si>
    <t xml:space="preserve">82086     </t>
  </si>
  <si>
    <t xml:space="preserve">Смыков Андрей Федорович </t>
  </si>
  <si>
    <t>Оборудование и автоматизация литейных цехов</t>
  </si>
  <si>
    <t>Прикладные системы ИПИ технологий</t>
  </si>
  <si>
    <t>М3О-434Б-17</t>
  </si>
  <si>
    <t>08457</t>
  </si>
  <si>
    <t>Спецглавы теории литейных процессов</t>
  </si>
  <si>
    <t>12880</t>
  </si>
  <si>
    <t>Технология листовой штамповки</t>
  </si>
  <si>
    <t>Нагревательные печи и устройства</t>
  </si>
  <si>
    <t>Процессы порошковой металлургии - 2</t>
  </si>
  <si>
    <t>Теория, технология и оборудование нанесения покрытий</t>
  </si>
  <si>
    <t>Только понедельник</t>
  </si>
  <si>
    <t xml:space="preserve">будни после 13.00 либо суббота в любое время </t>
  </si>
  <si>
    <t>Композиционные материалы в авиастроении</t>
  </si>
  <si>
    <t>М9О-204М-19</t>
  </si>
  <si>
    <t>Сварка, родственные процессы и технологии</t>
  </si>
  <si>
    <t>Т11О-302А-18</t>
  </si>
  <si>
    <t>Мисников Валерий Евгеньевич</t>
  </si>
  <si>
    <t xml:space="preserve">82075     </t>
  </si>
  <si>
    <t>Сидякин Виталий Александрович</t>
  </si>
  <si>
    <t>Спецглавы информатики</t>
  </si>
  <si>
    <t>Т11О-201Б-19, Т11О-202Б-19</t>
  </si>
  <si>
    <t>Т11О-201Б-19</t>
  </si>
  <si>
    <t>Т11О-202Б-19</t>
  </si>
  <si>
    <t>Вакуумные технологии в металлургии</t>
  </si>
  <si>
    <t>будни после 13.00 либо суббота в любое время</t>
  </si>
  <si>
    <t>Основы предпринимательства и производственной деятельности в области реализации технологий металлургии</t>
  </si>
  <si>
    <t>Т11О-201М-19, Т11О-202М-19, Т11О-203М-19, Т11О-204М-19</t>
  </si>
  <si>
    <t>Современное состояние, перспективы и тенденции развития металлургии</t>
  </si>
  <si>
    <t xml:space="preserve">кроме понедельника, желательно все занятия в один день </t>
  </si>
  <si>
    <t>кроме понедельника, желательно все занятия в один день</t>
  </si>
  <si>
    <t>Основы вакуумной металлургии</t>
  </si>
  <si>
    <t>Основы статистического управления технологическими процессами</t>
  </si>
  <si>
    <t xml:space="preserve">93689     </t>
  </si>
  <si>
    <t xml:space="preserve">Ленковец Александр Сергеевич </t>
  </si>
  <si>
    <t>сб</t>
  </si>
  <si>
    <t>Автоматизированные системы технологической подготовки производства</t>
  </si>
  <si>
    <t>Основы САПР в металлургии</t>
  </si>
  <si>
    <t xml:space="preserve">95799     </t>
  </si>
  <si>
    <t>Теплотехника и основы теплопередачи</t>
  </si>
  <si>
    <t>Т11О-301Б-18, Т11О-302Б-18, Т11О-305Б-18, Т11О-307Б-18, Т11О-308Б-18, Т11О-309Б-18</t>
  </si>
  <si>
    <t>12881</t>
  </si>
  <si>
    <t>Т11О-309Б-18</t>
  </si>
  <si>
    <t xml:space="preserve">95790     </t>
  </si>
  <si>
    <t>Теория процессов создания современных материалов и покрытий</t>
  </si>
  <si>
    <t>Т11О-207А-19</t>
  </si>
  <si>
    <t>11292</t>
  </si>
  <si>
    <t>Обработка металлов давлением</t>
  </si>
  <si>
    <t>Т1О-310А-18</t>
  </si>
  <si>
    <t>14083</t>
  </si>
  <si>
    <t>Захарова (Борунова) Татьяна Ивановна</t>
  </si>
  <si>
    <t>Порошковая металлургия и композиционные материалы</t>
  </si>
  <si>
    <t>Т11О-307А-18</t>
  </si>
  <si>
    <t>Быкадоров Кубатина Иванов</t>
  </si>
  <si>
    <t>Информатика</t>
  </si>
  <si>
    <t xml:space="preserve">82022     </t>
  </si>
  <si>
    <t xml:space="preserve">Телицына Ольга Валентиновна </t>
  </si>
  <si>
    <t>Оптимизация технологических процессов в металлургии</t>
  </si>
  <si>
    <t>Системы автоматизированного проектирования технологических процессов</t>
  </si>
  <si>
    <t>Производственная практика</t>
  </si>
  <si>
    <t>Преддипломная практика</t>
  </si>
  <si>
    <t>пн-пт с 13:00</t>
  </si>
  <si>
    <t>Педагогическая практика</t>
  </si>
  <si>
    <t>Руководство магистрами</t>
  </si>
  <si>
    <t>2 чел</t>
  </si>
  <si>
    <t>1 чел</t>
  </si>
  <si>
    <t>2 чел отчисление</t>
  </si>
  <si>
    <t>3 чел</t>
  </si>
  <si>
    <t>Руководство аспирантами</t>
  </si>
  <si>
    <t>Т11О-107А-20</t>
  </si>
  <si>
    <t>Жуковский+Митрофанов</t>
  </si>
  <si>
    <t>Т1О-402А-17</t>
  </si>
  <si>
    <t>Морозов Шаргаев</t>
  </si>
  <si>
    <t>Т1О-407А-17</t>
  </si>
  <si>
    <t>Павлов</t>
  </si>
  <si>
    <t>Козлов</t>
  </si>
  <si>
    <t>Патрушев Ярошенко</t>
  </si>
  <si>
    <t>Информационные технологии в ОМД</t>
  </si>
  <si>
    <t>Кроме вторника</t>
  </si>
  <si>
    <t>Теория кузнечно-штамповочного производства</t>
  </si>
  <si>
    <t>Теория и технология гидропрессования</t>
  </si>
  <si>
    <t xml:space="preserve">91812     </t>
  </si>
  <si>
    <t>Теория пластичности</t>
  </si>
  <si>
    <t>Металлургия конструкционных материалов из гранулируемых сплавов</t>
  </si>
  <si>
    <t>Оборудование и технологии аддитивного производства</t>
  </si>
  <si>
    <t>Шляпцева Анастасия Дмитриевна</t>
  </si>
  <si>
    <t>Моделирование и информационные технологии процессов аддитивного производства</t>
  </si>
  <si>
    <t>Автоматизация управления жизненным циклом продукции</t>
  </si>
  <si>
    <t>Вычислительные машины и сети</t>
  </si>
  <si>
    <t>Контроль качества отливок</t>
  </si>
  <si>
    <t>САПР и АСУ ТП в металлургии</t>
  </si>
  <si>
    <t>Электрофизические технологии обработки материалов</t>
  </si>
  <si>
    <t>Процессы порошковой металлургии</t>
  </si>
  <si>
    <t>Технология и оборудование сварки давлением</t>
  </si>
  <si>
    <t>Теория металлургических процессов</t>
  </si>
  <si>
    <t>Технология литейного производства</t>
  </si>
  <si>
    <t>Теоретические основы, технология и оборудование пайки</t>
  </si>
  <si>
    <t>Методы и средства подготовки научно-технической и конструкторской документации</t>
  </si>
  <si>
    <t>Производство отливок из титановых сплавов</t>
  </si>
  <si>
    <t>Общая металлургия</t>
  </si>
  <si>
    <t>Системы компьютерного моделирования литейных процессов</t>
  </si>
  <si>
    <t>Основы технологической подготовки производства сварных и паяных конструкций</t>
  </si>
  <si>
    <t>Материаловедение и технологии композиционных материалов</t>
  </si>
  <si>
    <t>Имитационное моделирование технологических процессов</t>
  </si>
  <si>
    <t>Проектирование участков, цехов обработки металлов давлением и металлургических предприятий</t>
  </si>
  <si>
    <t>Основы технологии и организации получения продукции методами ППП</t>
  </si>
  <si>
    <t>Диагностика и надежность автоматизированных систем</t>
  </si>
  <si>
    <t>Организация и планирование автоматизированных производств</t>
  </si>
  <si>
    <t>ESS-технологии в управлении жизненным циклом продукции</t>
  </si>
  <si>
    <t>Программирование и алгоритмизация</t>
  </si>
  <si>
    <t>Автоматизация технологических процессов ОМД</t>
  </si>
  <si>
    <t>Теория обработки металлов давлением</t>
  </si>
  <si>
    <t>Современные способы исследований металлических материалов</t>
  </si>
  <si>
    <t>Информационные технологии в научно-исследовательской деятельности</t>
  </si>
  <si>
    <t>Технологичность сварных и паянных конструкций</t>
  </si>
  <si>
    <t>Чт с 16-30</t>
  </si>
  <si>
    <t>Технологические процессы производства наноматериалов</t>
  </si>
  <si>
    <t>Плавка и литье цветных металлов и сплавов</t>
  </si>
  <si>
    <t xml:space="preserve">82019     </t>
  </si>
  <si>
    <t xml:space="preserve">Бобрышев Борис Леонидович </t>
  </si>
  <si>
    <t>Плавка и литье чугунов, стали и сплавов со специальными свойствами</t>
  </si>
  <si>
    <t>Основы сварки и пайки</t>
  </si>
  <si>
    <t>Оборудование литейных цехов</t>
  </si>
  <si>
    <t>Технология нанесения газотермических покрытий</t>
  </si>
  <si>
    <t>Современные методы изготовления технологической оснастки в металлургии</t>
  </si>
  <si>
    <t>Вакуумные методы нанесения защитных и функциональных покрытий</t>
  </si>
  <si>
    <t>Современные технологии аддитивного производства</t>
  </si>
  <si>
    <t>КОМПЕНСАЦИЯ</t>
  </si>
  <si>
    <t>Технологии создания перспективных композиционных материалов и конструкций из них</t>
  </si>
  <si>
    <t>Теория автоматического управления</t>
  </si>
  <si>
    <t>Управление инновациями</t>
  </si>
  <si>
    <t>Информационные системы и технологии</t>
  </si>
  <si>
    <t>Методология научных исследований</t>
  </si>
  <si>
    <t>Практика</t>
  </si>
  <si>
    <t>Учебная практика</t>
  </si>
  <si>
    <t>Ярошенко Патрушев Козлов</t>
  </si>
  <si>
    <t>председ</t>
  </si>
  <si>
    <t>Учебно-ознакомительная практика</t>
  </si>
  <si>
    <t>Государственный экзамен</t>
  </si>
  <si>
    <t>Представление научного доклада об основных результатах подготовленной научно-квалификационной работы (диссертации)</t>
  </si>
  <si>
    <t>Научно-исследовательская практика</t>
  </si>
  <si>
    <t>Ярошенко Патрушев</t>
  </si>
  <si>
    <t>Диплом</t>
  </si>
  <si>
    <t>э-Дипломы- Д+С</t>
  </si>
  <si>
    <t>17 чел</t>
  </si>
  <si>
    <t>2 чел +ком</t>
  </si>
  <si>
    <t>1 чел+ком+норм</t>
  </si>
  <si>
    <t>секр</t>
  </si>
  <si>
    <t>ком</t>
  </si>
  <si>
    <t>Т1О-401Б-17 (Т1О-403Б-17)</t>
  </si>
  <si>
    <t>2 чел + ком</t>
  </si>
  <si>
    <t>Порошки в сварку</t>
  </si>
  <si>
    <t>1 чел + норм+ком</t>
  </si>
  <si>
    <t>ст. преподаватель</t>
  </si>
  <si>
    <t>э-Комиссия-Д+С</t>
  </si>
  <si>
    <t>э-Диплома- А</t>
  </si>
  <si>
    <t>23 чел</t>
  </si>
  <si>
    <t>7 чел</t>
  </si>
  <si>
    <t>кроме среды и первой пары понедельника</t>
  </si>
  <si>
    <t>6 чел</t>
  </si>
  <si>
    <t>4 чел</t>
  </si>
  <si>
    <t>3 чел+ком</t>
  </si>
  <si>
    <t>комиссия</t>
  </si>
  <si>
    <t>э-Комиссия-А</t>
  </si>
  <si>
    <t>комиссия сторонние</t>
  </si>
  <si>
    <t>нормоконтроль</t>
  </si>
  <si>
    <t>э-Дипломы- Л+П</t>
  </si>
  <si>
    <t>14 чел</t>
  </si>
  <si>
    <t>Т1О-402Б-17 (Т1О-403Б-17)</t>
  </si>
  <si>
    <t>3чел +ком+норм</t>
  </si>
  <si>
    <t>Порошки в порошки</t>
  </si>
  <si>
    <t xml:space="preserve">2чел +ком </t>
  </si>
  <si>
    <t xml:space="preserve">1 чел </t>
  </si>
  <si>
    <t>2 чел + норм</t>
  </si>
  <si>
    <t>зав. кафедрой</t>
  </si>
  <si>
    <t>1чел +ком</t>
  </si>
  <si>
    <t>э-комиссия Л+П</t>
  </si>
  <si>
    <t>внеш ком</t>
  </si>
  <si>
    <t>резерв лишние</t>
  </si>
  <si>
    <t>э-Диплом-ВЕЧЕР</t>
  </si>
  <si>
    <t>2 чел ком</t>
  </si>
  <si>
    <t>2 чел + ком+норм</t>
  </si>
  <si>
    <t>1+ ком</t>
  </si>
  <si>
    <t>секрет</t>
  </si>
  <si>
    <t>1 + ком</t>
  </si>
  <si>
    <t>э-Комиссия-В</t>
  </si>
  <si>
    <t>внеш+предс</t>
  </si>
  <si>
    <t>э-Диплом-Д</t>
  </si>
  <si>
    <t>1 чел+комиссия</t>
  </si>
  <si>
    <t>2 чел+ком</t>
  </si>
  <si>
    <t>э-Комиссия-Д</t>
  </si>
  <si>
    <t>внеш+председ</t>
  </si>
  <si>
    <t>ю-Отчсление</t>
  </si>
  <si>
    <t>э-Диплом-Л</t>
  </si>
  <si>
    <t>1 чел+секр</t>
  </si>
  <si>
    <t>1 чел+ком</t>
  </si>
  <si>
    <t>э-Комиссия-Л</t>
  </si>
  <si>
    <t>1чел</t>
  </si>
  <si>
    <t>э-Диплом-П</t>
  </si>
  <si>
    <t>1чел+председ</t>
  </si>
  <si>
    <t>2чел+ком</t>
  </si>
  <si>
    <t>э-Комиссия-П</t>
  </si>
  <si>
    <t>э-Диплом-С</t>
  </si>
  <si>
    <t>э-Комиссия-С</t>
  </si>
  <si>
    <t>сумма</t>
  </si>
  <si>
    <t>чел</t>
  </si>
  <si>
    <t xml:space="preserve">бакалавры </t>
  </si>
  <si>
    <t>руковод</t>
  </si>
  <si>
    <t>Норма</t>
  </si>
  <si>
    <t>комисс1</t>
  </si>
  <si>
    <t>комисс2</t>
  </si>
  <si>
    <t>комисс3</t>
  </si>
  <si>
    <t>комисс4</t>
  </si>
  <si>
    <t>Комиссия</t>
  </si>
  <si>
    <t>&lt;--сумма наших</t>
  </si>
  <si>
    <t>&lt;--сумма внешних</t>
  </si>
  <si>
    <t xml:space="preserve">магистры </t>
  </si>
  <si>
    <t>руководство магистрами</t>
  </si>
  <si>
    <t>(Все)</t>
  </si>
  <si>
    <t>830</t>
  </si>
  <si>
    <t>п/ч</t>
  </si>
  <si>
    <t>новая</t>
  </si>
  <si>
    <t>сейчас</t>
  </si>
  <si>
    <t>разница</t>
  </si>
  <si>
    <t>Бецофен Сергей Яковлевич</t>
  </si>
  <si>
    <t>пока это Еремеев</t>
  </si>
  <si>
    <t xml:space="preserve">Шляпцева Анастасия Дмитриевна </t>
  </si>
  <si>
    <t>э-резерв</t>
  </si>
  <si>
    <t>Ю-внешние</t>
  </si>
  <si>
    <t>Ю-внутренние</t>
  </si>
  <si>
    <t>Еремеев Николай Владимирович</t>
  </si>
  <si>
    <t>Общий итог</t>
  </si>
  <si>
    <t>Названия строк</t>
  </si>
  <si>
    <t>Среднее по полю осень</t>
  </si>
  <si>
    <t>Среднее по полю весна</t>
  </si>
  <si>
    <t>Среднее по полю всего</t>
  </si>
  <si>
    <t>Среднее по полю 830</t>
  </si>
  <si>
    <t>Александрова Светлана Сергеевна</t>
  </si>
  <si>
    <t>Климов Константин Николаевич</t>
  </si>
  <si>
    <t>Бухаров Сергей Викторович</t>
  </si>
  <si>
    <t>Луценко Александр Владимирович</t>
  </si>
  <si>
    <t>Дворецкий Виктор Васильевич</t>
  </si>
  <si>
    <t>Гвоздарев Роман Сергеевич</t>
  </si>
  <si>
    <t>Истомина Наталья Леонидовна</t>
  </si>
  <si>
    <t>Белевцев Андрей Михайлович</t>
  </si>
  <si>
    <t>Дрягин Иван Олегович</t>
  </si>
  <si>
    <t>Анферова Маргарита Сергеевна</t>
  </si>
  <si>
    <t>Молостова Юлия Михайловна</t>
  </si>
  <si>
    <t>Воронин Павел Александрович</t>
  </si>
  <si>
    <t>Садреев Фарид Гайнутдинович</t>
  </si>
  <si>
    <t>Левашова Дарья Вячеславовна</t>
  </si>
  <si>
    <t xml:space="preserve">Бендерский Геннадий Петрович </t>
  </si>
  <si>
    <t xml:space="preserve">Крючков Василий Леонидович </t>
  </si>
  <si>
    <t xml:space="preserve">Кубрин Владимир Иванович </t>
  </si>
  <si>
    <t xml:space="preserve">Садковская Наталия Евгеньевна </t>
  </si>
  <si>
    <t xml:space="preserve">Епанешникова Ирина Кириковна </t>
  </si>
  <si>
    <t>ч.Осень</t>
  </si>
  <si>
    <t>ч.Весна</t>
  </si>
  <si>
    <t>ч.Итого</t>
  </si>
  <si>
    <t>Ставка расчет</t>
  </si>
  <si>
    <t>Ставка</t>
  </si>
  <si>
    <t>итого ч</t>
  </si>
  <si>
    <t>в приказ</t>
  </si>
  <si>
    <t>Час Итого</t>
  </si>
  <si>
    <t>Ставка итого</t>
  </si>
  <si>
    <t>ПЧ20</t>
  </si>
  <si>
    <t>Ставка-ПЧ20</t>
  </si>
  <si>
    <t>вПриказ</t>
  </si>
  <si>
    <t>СС1ЧасИт</t>
  </si>
  <si>
    <t>СС2ПЧ20</t>
  </si>
  <si>
    <t>СС3ФинСт</t>
  </si>
  <si>
    <t>СС4вПРик</t>
  </si>
  <si>
    <t>Итого п/ч</t>
  </si>
  <si>
    <t>Итого п/ч %%</t>
  </si>
  <si>
    <t>ставки</t>
  </si>
  <si>
    <t>люди</t>
  </si>
  <si>
    <t>Мол</t>
  </si>
  <si>
    <t>Сейчас</t>
  </si>
  <si>
    <t>Доп</t>
  </si>
  <si>
    <t>Больше 3</t>
  </si>
  <si>
    <t>идпо</t>
  </si>
  <si>
    <t>Барабанова Ольга Алексеевна</t>
  </si>
  <si>
    <t>1 - 1.5</t>
  </si>
  <si>
    <t>Меньше 1</t>
  </si>
  <si>
    <t>1.5 - 1.8</t>
  </si>
  <si>
    <t>Беспалов Александр Владимирович</t>
  </si>
  <si>
    <t>2 - 3</t>
  </si>
  <si>
    <t>дог, асп</t>
  </si>
  <si>
    <t>Варфоломеев Максим Сергеевич</t>
  </si>
  <si>
    <t>Галкин Виктор Иванович</t>
  </si>
  <si>
    <t>асп 1к</t>
  </si>
  <si>
    <t>Галкин Евгений Владимирович</t>
  </si>
  <si>
    <t>Да</t>
  </si>
  <si>
    <t>Жаров Максим Владимирович</t>
  </si>
  <si>
    <t>Ленковец Александр Сергеевич</t>
  </si>
  <si>
    <t>Лозован Александр Александрович</t>
  </si>
  <si>
    <t>Моисеев Виктор Сергеевич</t>
  </si>
  <si>
    <t>Палтиевич Андрей Романович</t>
  </si>
  <si>
    <t>1.8 - 2</t>
  </si>
  <si>
    <t>Пашков Игорь Николаевич</t>
  </si>
  <si>
    <t>дог??</t>
  </si>
  <si>
    <t>Петров Анатолий Павлович</t>
  </si>
  <si>
    <t>Петров Игорь Алексеевич</t>
  </si>
  <si>
    <t>Преображенский Евгений Владимирович</t>
  </si>
  <si>
    <t>Рипецкий Андрей Владимирович</t>
  </si>
  <si>
    <t>Ряховский Александр Павлович</t>
  </si>
  <si>
    <t>Серов Михаил Михайлович</t>
  </si>
  <si>
    <t>Смыков Андрей Федорович</t>
  </si>
  <si>
    <t>Соколов Алексей Викторович</t>
  </si>
  <si>
    <t>Шленский Алексей Геннадьевич</t>
  </si>
  <si>
    <t>м.уч.</t>
  </si>
  <si>
    <t>э-пустое</t>
  </si>
  <si>
    <t>65+</t>
  </si>
  <si>
    <t>ПЧ20%</t>
  </si>
  <si>
    <t>Ставка-ПЧ</t>
  </si>
  <si>
    <t>Приказ</t>
  </si>
  <si>
    <t>82061</t>
  </si>
  <si>
    <t>Т11О-101М-23</t>
  </si>
  <si>
    <t>18008</t>
  </si>
  <si>
    <t>82020</t>
  </si>
  <si>
    <t>Нет</t>
  </si>
  <si>
    <t>94221</t>
  </si>
  <si>
    <t>Т11О-401Б-20</t>
  </si>
  <si>
    <t>11924</t>
  </si>
  <si>
    <t>89090</t>
  </si>
  <si>
    <t>82056</t>
  </si>
  <si>
    <t>Т11О-402Б-20</t>
  </si>
  <si>
    <t>11923</t>
  </si>
  <si>
    <t>82018</t>
  </si>
  <si>
    <t>Т11О-301Б-21</t>
  </si>
  <si>
    <t>14668</t>
  </si>
  <si>
    <t>81891</t>
  </si>
  <si>
    <t>82027</t>
  </si>
  <si>
    <t>82026</t>
  </si>
  <si>
    <t>82090</t>
  </si>
  <si>
    <t>Т11О-201М-22</t>
  </si>
  <si>
    <t>81722</t>
  </si>
  <si>
    <t>81732</t>
  </si>
  <si>
    <t>82075</t>
  </si>
  <si>
    <t>81730</t>
  </si>
  <si>
    <t>Т11О-301Б-21, Т11О-303Б-21, Т11О-304Б-21, Т11О-305Б-21</t>
  </si>
  <si>
    <t>17358</t>
  </si>
  <si>
    <t>81720</t>
  </si>
  <si>
    <t>Т11О-303Б-21</t>
  </si>
  <si>
    <t>Т11О-305Б-21</t>
  </si>
  <si>
    <t>Т11О-304Б-21</t>
  </si>
  <si>
    <t>81729</t>
  </si>
  <si>
    <t>Т11О-302Б-21</t>
  </si>
  <si>
    <t>14861</t>
  </si>
  <si>
    <t>81728</t>
  </si>
  <si>
    <t>81724</t>
  </si>
  <si>
    <t>Т11О-403Б-20</t>
  </si>
  <si>
    <t>Т11О-206Б-22</t>
  </si>
  <si>
    <t>16776</t>
  </si>
  <si>
    <t>81721</t>
  </si>
  <si>
    <t>81716</t>
  </si>
  <si>
    <t>Основы функционального моделирования</t>
  </si>
  <si>
    <t>Технологии конструкционных материалов</t>
  </si>
  <si>
    <t>Т11О-201Б-22, Т11О-202Б-22, Т11О-203Б-22</t>
  </si>
  <si>
    <t>16107</t>
  </si>
  <si>
    <t>Т11О-201Б-22</t>
  </si>
  <si>
    <t>Т11О-203Б-22</t>
  </si>
  <si>
    <t>Т11О-202Б-22</t>
  </si>
  <si>
    <t>Т11О-202М-22</t>
  </si>
  <si>
    <t>16103</t>
  </si>
  <si>
    <t>Введение в искусственный интеллект в технологиях материалов, изделий и в системах принятия решений</t>
  </si>
  <si>
    <t>Т11О-308Б-21</t>
  </si>
  <si>
    <t>14816</t>
  </si>
  <si>
    <t>82086</t>
  </si>
  <si>
    <t>92509</t>
  </si>
  <si>
    <t>82066</t>
  </si>
  <si>
    <t>94921</t>
  </si>
  <si>
    <t>95460</t>
  </si>
  <si>
    <t>82060</t>
  </si>
  <si>
    <t>Т11О-306А-21</t>
  </si>
  <si>
    <t>15646</t>
  </si>
  <si>
    <t>Федотов Александр Юрьевич</t>
  </si>
  <si>
    <t>Проектирование сварных и паянных конструкций</t>
  </si>
  <si>
    <t>Т11О-201М-22, Т11О-202М-22</t>
  </si>
  <si>
    <t>16104</t>
  </si>
  <si>
    <t>Т11О-301Б-21, Т11О-303Б-21, Т11О-305Б-21, Т11О-306Б-21, Т11О-307Б-21</t>
  </si>
  <si>
    <t>17352</t>
  </si>
  <si>
    <t>Т11О-306Б-21</t>
  </si>
  <si>
    <t>Т11О-307Б-21</t>
  </si>
  <si>
    <t>Т11О-302А-21</t>
  </si>
  <si>
    <t>15650</t>
  </si>
  <si>
    <t>Основы технологии и автоматизации производства продукции методами ТЛП</t>
  </si>
  <si>
    <t>Основы технологии и автоматизации производства продукции методами ПМиЗП</t>
  </si>
  <si>
    <t>Финишные технологии производства продукции</t>
  </si>
  <si>
    <t>Искусственный интеллект в технологиях материалов</t>
  </si>
  <si>
    <t>Т11О-301Б-21, Т11О-302Б-21, Т11О-303Б-21, Т11О-304Б-21, Т11О-305Б-21, Т11О-306Б-21, Т11О-307Б-21</t>
  </si>
  <si>
    <t>17351</t>
  </si>
  <si>
    <t>Т11О-101Б-23</t>
  </si>
  <si>
    <t>Т11О-104Б-23</t>
  </si>
  <si>
    <t>18010</t>
  </si>
  <si>
    <t>Введение в специальность</t>
  </si>
  <si>
    <t>Современное состояние и тенденции развития технологических процессов литейного производства</t>
  </si>
  <si>
    <t>Т11О-205А-22</t>
  </si>
  <si>
    <t>16787</t>
  </si>
  <si>
    <t>Современное состояние и тенденции развития технологических процессов пластического деформирования металлических материалов</t>
  </si>
  <si>
    <t>Т11О-206А-22</t>
  </si>
  <si>
    <t>16788</t>
  </si>
  <si>
    <t>Современное состояние и тенденции развития технологических процессов в области производства композиционных материалов и нанесения покрытий</t>
  </si>
  <si>
    <t>Т11О-207А-22</t>
  </si>
  <si>
    <t>16789</t>
  </si>
  <si>
    <t>Современное состояние и тенденции развития технологических процессов в области сварки и пайки металлических материалов</t>
  </si>
  <si>
    <t>Т11О-203А-22</t>
  </si>
  <si>
    <t>16786</t>
  </si>
  <si>
    <t>Гаджиев Магомед Ражабович</t>
  </si>
  <si>
    <t>81958</t>
  </si>
  <si>
    <t>Максименко Екатерина Игоревна</t>
  </si>
  <si>
    <t>Жидкофазные технологии соединения материалов</t>
  </si>
  <si>
    <t>Введение в авиационную и ракетно-космическую технику</t>
  </si>
  <si>
    <t>Практика аспиранта</t>
  </si>
  <si>
    <t>Федорцов Руслан Сергеевич</t>
  </si>
  <si>
    <t>Батталов Тагир Хикимьянович</t>
  </si>
  <si>
    <t>Рыбаков Егор Михайлович</t>
  </si>
  <si>
    <t>Александров Антон Васильевич</t>
  </si>
  <si>
    <t>Барабанкова Дарья Александровна, Чалый Никита Олегович</t>
  </si>
  <si>
    <t>81731</t>
  </si>
  <si>
    <t>Голубев Константин Михайлович</t>
  </si>
  <si>
    <t>Диесперов Сергей Николаевич</t>
  </si>
  <si>
    <t>Редьков Евгений Алексеевич</t>
  </si>
  <si>
    <t>Чугункин Никита Игоревич</t>
  </si>
  <si>
    <t>Булатов Асадбек Улугбек угли</t>
  </si>
  <si>
    <t>0000065837</t>
  </si>
  <si>
    <t>Лепешкин Георгий Игоревич, Мардеев Эмиль Ренатович, Прунский Дмитрий Евгеньевич</t>
  </si>
  <si>
    <t>Акулов Михаил Андреевич</t>
  </si>
  <si>
    <t>Вилонов Андрей Сергеевич</t>
  </si>
  <si>
    <t>Майоров Дмитрий Игоревич</t>
  </si>
  <si>
    <t>Мамаева Дарья Генадьевна</t>
  </si>
  <si>
    <t>Овчинников Алексей Денисович</t>
  </si>
  <si>
    <t>Скрыпченко Егор Николаевич</t>
  </si>
  <si>
    <t>Солдатов Павел Александрович</t>
  </si>
  <si>
    <t>Журавлев</t>
  </si>
  <si>
    <t>Пачковский</t>
  </si>
  <si>
    <t>Рябова</t>
  </si>
  <si>
    <t>Т11О-407А-20</t>
  </si>
  <si>
    <t>Прокопенко Денис Алексеевич</t>
  </si>
  <si>
    <t>Митрофанов Андрей Леонидович</t>
  </si>
  <si>
    <t>Жуков Евгений Юрьевич</t>
  </si>
  <si>
    <t>Федотов Александр Юрьевич а/о</t>
  </si>
  <si>
    <t>Батталов Тагир Хакимьянович</t>
  </si>
  <si>
    <t>90549</t>
  </si>
  <si>
    <t>Системный подход в управлении жизненным циклом продукции</t>
  </si>
  <si>
    <t>89068</t>
  </si>
  <si>
    <t>93689</t>
  </si>
  <si>
    <t>Т11О-201Б-22, Т11О-202Б-22</t>
  </si>
  <si>
    <t>16442</t>
  </si>
  <si>
    <t>Основы технологии и автоматизации производства продукции методами ОМД</t>
  </si>
  <si>
    <t>Основы технологии и автоматизации производства продукции методами ТСП</t>
  </si>
  <si>
    <t>Т11О-102М-23</t>
  </si>
  <si>
    <t>18009</t>
  </si>
  <si>
    <t>Т11О-104М-23</t>
  </si>
  <si>
    <t>Т11О-105М-23</t>
  </si>
  <si>
    <t>Численные методы</t>
  </si>
  <si>
    <t>Микрокристаллические и аморфные материалы</t>
  </si>
  <si>
    <t>Технология прессования легких сплавов</t>
  </si>
  <si>
    <t>Итоговая гос. аттестация</t>
  </si>
  <si>
    <t>ИГА</t>
  </si>
  <si>
    <t>Ознакомительная практика</t>
  </si>
  <si>
    <t>Научно-исследовательская работа</t>
  </si>
  <si>
    <t>1чел, Александров Антон Васильевич</t>
  </si>
  <si>
    <t xml:space="preserve">    2 чел Барбанакова Чалый</t>
  </si>
  <si>
    <t>1 чел Булатов Асадбек Улугбек угли</t>
  </si>
  <si>
    <t>1 чел Голубев Константин Михайлович</t>
  </si>
  <si>
    <t>1 чел Диесперов Сергей Николаевич</t>
  </si>
  <si>
    <t>1 чел Редьков Евгений Алексеевич</t>
  </si>
  <si>
    <t>1чел Хайрутдинова Раиса Рустамовна</t>
  </si>
  <si>
    <t>1 чел Чугункин Никита Игоревич</t>
  </si>
  <si>
    <t>3 чел  Лепешкин Мардеев Прунский</t>
  </si>
  <si>
    <t>1 чел Акулов Михаил Андреевич</t>
  </si>
  <si>
    <t>1 чел Вилонов Андрей Сергеевич</t>
  </si>
  <si>
    <t>1 чел Майоров Дмитрий Игоревич</t>
  </si>
  <si>
    <t>1 чел Мамаева Дарья Геннадьевна</t>
  </si>
  <si>
    <t>1 чел Овчинников Алексей Денисович</t>
  </si>
  <si>
    <t>1 чел Скрыпченко Егор Николаевич</t>
  </si>
  <si>
    <t>1 чел Солдатов Павел Александрович</t>
  </si>
  <si>
    <t>Батталов Тагир Хакимовия</t>
  </si>
  <si>
    <t>2 чел Барбанакова Чалый</t>
  </si>
  <si>
    <t>комиссия внешняя</t>
  </si>
  <si>
    <t>комиссия нормоконтроль + секретарь</t>
  </si>
  <si>
    <t>комиссия наша</t>
  </si>
  <si>
    <t xml:space="preserve">    1 чел Майоров Дмитрий Игоревич</t>
  </si>
  <si>
    <t>комиссия внешн</t>
  </si>
  <si>
    <t>комиссия Нормаконтролер</t>
  </si>
  <si>
    <t>комиссия секретарь</t>
  </si>
  <si>
    <t>Стариннова</t>
  </si>
  <si>
    <t>Филинов</t>
  </si>
  <si>
    <t>Андреева, Разговоров</t>
  </si>
  <si>
    <t>Емельянов, Попова, Ческидов</t>
  </si>
  <si>
    <t>Лукашин</t>
  </si>
  <si>
    <t>Дыбашев</t>
  </si>
  <si>
    <t>Шадрунов</t>
  </si>
  <si>
    <t>Александров</t>
  </si>
  <si>
    <t>Жумабоев</t>
  </si>
  <si>
    <t>комиссия секр</t>
  </si>
  <si>
    <t>Алексеев</t>
  </si>
  <si>
    <t>Серов</t>
  </si>
  <si>
    <t>Наурзалинов, Закареева</t>
  </si>
  <si>
    <t>Лобачев</t>
  </si>
  <si>
    <t>Насонов</t>
  </si>
  <si>
    <t>Печников</t>
  </si>
  <si>
    <t>Сметанин</t>
  </si>
  <si>
    <t>Федорова</t>
  </si>
  <si>
    <t>комиссия внеш</t>
  </si>
  <si>
    <t>комиссия Нормо</t>
  </si>
  <si>
    <t>комиссия вся</t>
  </si>
  <si>
    <t>Слезнев, Юхнин</t>
  </si>
  <si>
    <t>Вологдин, Епанишников</t>
  </si>
  <si>
    <t>Козырин</t>
  </si>
  <si>
    <t>Ушакова</t>
  </si>
  <si>
    <t>Ермоленко</t>
  </si>
  <si>
    <t>Варфоломеев, Воронина, Шаповал</t>
  </si>
  <si>
    <t>Альсаад, Цвиклич</t>
  </si>
  <si>
    <t>норма</t>
  </si>
  <si>
    <t>ВЫДЕЛЕННОЕ КРАСНЫМ НЕ ПОДАВАТЬ!!!</t>
  </si>
  <si>
    <t>Факт</t>
  </si>
  <si>
    <t>Прошение на 23,5</t>
  </si>
  <si>
    <t>сл на 22</t>
  </si>
  <si>
    <t>пч</t>
  </si>
  <si>
    <t>%пч</t>
  </si>
  <si>
    <t>СЗ
19/20</t>
  </si>
  <si>
    <t>мес</t>
  </si>
  <si>
    <t>должность
было</t>
  </si>
  <si>
    <t>должность 
стало</t>
  </si>
  <si>
    <t>сентябрь</t>
  </si>
  <si>
    <t>октябрь</t>
  </si>
  <si>
    <t>ноябрь</t>
  </si>
  <si>
    <t>декабрь</t>
  </si>
  <si>
    <t>январь</t>
  </si>
  <si>
    <t>февраль</t>
  </si>
  <si>
    <t>март</t>
  </si>
  <si>
    <t>апрель</t>
  </si>
  <si>
    <t>май</t>
  </si>
  <si>
    <t>июнь</t>
  </si>
  <si>
    <t>ст</t>
  </si>
  <si>
    <t>ассисиент</t>
  </si>
  <si>
    <t>зав</t>
  </si>
  <si>
    <t>я-резерв</t>
  </si>
  <si>
    <t>торомозим</t>
  </si>
  <si>
    <t>осталось 254 часа после февраля</t>
  </si>
  <si>
    <t>1456 новая почасовая</t>
  </si>
  <si>
    <t>ПЧ</t>
  </si>
  <si>
    <t>М-ст</t>
  </si>
  <si>
    <t>М-доц</t>
  </si>
  <si>
    <t>18-19</t>
  </si>
  <si>
    <t>новя нагрузка</t>
  </si>
  <si>
    <t>на 22 ставки</t>
  </si>
  <si>
    <t>на 23,8</t>
  </si>
  <si>
    <t>доц</t>
  </si>
  <si>
    <t>проф</t>
  </si>
  <si>
    <t>Каракин Иван Андреевич</t>
  </si>
  <si>
    <t>Киеккужин Айрат Расулевич</t>
  </si>
  <si>
    <t>Новиков Артем Михайлович</t>
  </si>
  <si>
    <t>Усачев Роман Викторович</t>
  </si>
  <si>
    <t>Хлопиков Дмитрий Николаевич</t>
  </si>
  <si>
    <t>Цветков Кирилл Александрович</t>
  </si>
  <si>
    <t>Шогунц Алексей Вячеславович</t>
  </si>
  <si>
    <t>Якоб Владимир Юрьевич</t>
  </si>
  <si>
    <t>Арзуманов Илья Витальевич</t>
  </si>
  <si>
    <t>Барабанова</t>
  </si>
  <si>
    <t>отчислен</t>
  </si>
  <si>
    <t>Пашков</t>
  </si>
  <si>
    <t>Иванова Дарья Павловна</t>
  </si>
  <si>
    <t>Конкевич</t>
  </si>
  <si>
    <t>Изотов Алексей Николаевич</t>
  </si>
  <si>
    <t>Лозован</t>
  </si>
  <si>
    <t>Кольцов Никита Андреевич</t>
  </si>
  <si>
    <t>Банишев</t>
  </si>
  <si>
    <t>Кусярбаева Файруза Байрамгуловна</t>
  </si>
  <si>
    <t>Серов ММ</t>
  </si>
  <si>
    <t>Овчарова Полина Александровна</t>
  </si>
  <si>
    <t>Абалихин Кирилл Александрович</t>
  </si>
  <si>
    <t>Аглиуллина Агата Алмасовна</t>
  </si>
  <si>
    <t>Барбанакова Ирина Александровна</t>
  </si>
  <si>
    <t>Егоров Никита Вячеславович</t>
  </si>
  <si>
    <t>Фозилов Тимур Тохирович</t>
  </si>
  <si>
    <t>Фролов Валерий Валерьевич</t>
  </si>
  <si>
    <t>Арутюнов Юрий Дмитриевич</t>
  </si>
  <si>
    <t>Исянгильдина Алия Айратовна</t>
  </si>
  <si>
    <t>Ложкин Денис Константинович</t>
  </si>
  <si>
    <t>Сафин Динислам Ринатович</t>
  </si>
  <si>
    <t>Стельмах Артём Дмитриевич</t>
  </si>
  <si>
    <t>Шамовский Егор Алексеевич</t>
  </si>
  <si>
    <t>Аматов Роман Исламбекович</t>
  </si>
  <si>
    <t>Беседин Денис Олегович</t>
  </si>
  <si>
    <t>Иванова Инна Вячеславовна</t>
  </si>
  <si>
    <t>Каликина Анастасия Дмитриевна</t>
  </si>
  <si>
    <t>Колесникова Александра Михайловна</t>
  </si>
  <si>
    <t>Морозов Александр Васильевич</t>
  </si>
  <si>
    <t>Аблаева Лейсан Тагировна</t>
  </si>
  <si>
    <t>Игнатенко Владимир Александрович</t>
  </si>
  <si>
    <t>Лацоев Мирон Артурович</t>
  </si>
  <si>
    <t>Старикова Екатерина Леонидовна</t>
  </si>
  <si>
    <t>Янбаев Ильсур Илфатович</t>
  </si>
  <si>
    <t>Капустин Игорь Анатольевич</t>
  </si>
  <si>
    <t>Колесник Антон Евгеньевич</t>
  </si>
  <si>
    <t>Суслин Павел Александрович</t>
  </si>
  <si>
    <t>Шашлов Евгений Сергеевич</t>
  </si>
  <si>
    <t>Еремичев Алексей Андреевич</t>
  </si>
  <si>
    <t>Мельникова Дарья Дмитриевна</t>
  </si>
  <si>
    <t>Молочников Дмитрий Александрович</t>
  </si>
  <si>
    <t>Пушкарева Анастасия Андреевна</t>
  </si>
  <si>
    <t>Табунов Владимир Сергеевич</t>
  </si>
  <si>
    <t>Харин Илья Станиславович</t>
  </si>
  <si>
    <t>Гордеев</t>
  </si>
  <si>
    <t>1 Агеев Денис Вячеславович</t>
  </si>
  <si>
    <t>Агеев Денис Вячеславович</t>
  </si>
  <si>
    <t>2 Янтурин Юлдаш Ильдарович</t>
  </si>
  <si>
    <t>Янтурин Юлдаш Ильдарович</t>
  </si>
  <si>
    <t>3 Черный Николай</t>
  </si>
  <si>
    <t>Черный Николай</t>
  </si>
  <si>
    <t>4 Черепанов Кирилл Романович</t>
  </si>
  <si>
    <t>Черепанов Кирилл Романович</t>
  </si>
  <si>
    <t>5 Степанов Константин Петрович</t>
  </si>
  <si>
    <t>Степанов Константин Петрович</t>
  </si>
  <si>
    <t>6 Сафьянников Николай Владимирович</t>
  </si>
  <si>
    <t>Сафьянников Николай Владимирович</t>
  </si>
  <si>
    <t>7 Пономарева Анастасия Леонидовна</t>
  </si>
  <si>
    <t>Пономарева Анастасия Леонидовна</t>
  </si>
  <si>
    <t>8 Мазуров Кирилл Алексеевич</t>
  </si>
  <si>
    <t>Мазуров Кирилл Алексеевич</t>
  </si>
  <si>
    <t>9 Егоров Даниэль Даниэльевич</t>
  </si>
  <si>
    <t>Егоров Даниэль Даниэльевич</t>
  </si>
  <si>
    <t>Бывшие порошки</t>
  </si>
  <si>
    <t>10 Гришков Федор Сергеевич</t>
  </si>
  <si>
    <t>Гришков Федор Сергеевич</t>
  </si>
  <si>
    <t>1. Агеев</t>
  </si>
  <si>
    <t>11 Газина Таисия Анатольевна</t>
  </si>
  <si>
    <t>Газина Таисия Анатольевна</t>
  </si>
  <si>
    <t>2. Арсёнов</t>
  </si>
  <si>
    <t>12 Волков Владислав Вадимович</t>
  </si>
  <si>
    <t>Волков Владислав Вадимович</t>
  </si>
  <si>
    <t>3. Бавина</t>
  </si>
  <si>
    <t>13 Буркин Вячеслав Витальевич</t>
  </si>
  <si>
    <t>Буркин Вячеслав Витальевич</t>
  </si>
  <si>
    <t>4. Берлов (ранее Якушев)</t>
  </si>
  <si>
    <t>14 Богатов Артемий Андреевич</t>
  </si>
  <si>
    <t>Богатов Артемий Андреевич</t>
  </si>
  <si>
    <t>5. Буркин</t>
  </si>
  <si>
    <t>15 Арсёнов Андрей Васильевич</t>
  </si>
  <si>
    <t>Арсёнов Андрей Васильевич</t>
  </si>
  <si>
    <t>6. Гришков</t>
  </si>
  <si>
    <t>16 Акмаева Анна Юрьевна</t>
  </si>
  <si>
    <t>Акмаева Анна Юрьевна</t>
  </si>
  <si>
    <t>7. Егоров</t>
  </si>
  <si>
    <t>17 Азев Антон Алексеевич</t>
  </si>
  <si>
    <t>Азев Антон Алексеевич</t>
  </si>
  <si>
    <t>8. Наумов</t>
  </si>
  <si>
    <t>9. Николова</t>
  </si>
  <si>
    <t>10. Петелин</t>
  </si>
  <si>
    <t>11. Санников</t>
  </si>
  <si>
    <t>1 Алимбекова Гульжан Аденбековна</t>
  </si>
  <si>
    <t>12. Степанов</t>
  </si>
  <si>
    <t>2 Бавина Марина Александровна</t>
  </si>
  <si>
    <t>13. Черепанов</t>
  </si>
  <si>
    <t>3 Берлов (Якушов) Даниил Максимович</t>
  </si>
  <si>
    <t>4 Веретка Никита Андреевич</t>
  </si>
  <si>
    <t>5 Войтович Антон Сергеевич</t>
  </si>
  <si>
    <t>Варфоломеев МС</t>
  </si>
  <si>
    <t>6 Жумагали Назым Арманкызы</t>
  </si>
  <si>
    <t>7 Кабдыжалелов Алмаз Ермекович</t>
  </si>
  <si>
    <t>8 Литовец Степан Андреевич</t>
  </si>
  <si>
    <t>9 Наумов Никита Андреевич</t>
  </si>
  <si>
    <t>10 Николова Полина Олеговна</t>
  </si>
  <si>
    <t>11 Оленцов Илья Сергеевич</t>
  </si>
  <si>
    <t>12 Петелин Даниил Германович</t>
  </si>
  <si>
    <t>13 Пилипенко Анастасия Александровна</t>
  </si>
  <si>
    <t>14 Санников Илья Олегович</t>
  </si>
  <si>
    <t xml:space="preserve">Баберцян Сергей Арамович </t>
  </si>
  <si>
    <t xml:space="preserve">Батиенков Роман Викторович </t>
  </si>
  <si>
    <t>Власенко Артём Николаевич</t>
  </si>
  <si>
    <t>Еремеев Владимир Викторович</t>
  </si>
  <si>
    <t>Лигачев Александр Егорович</t>
  </si>
  <si>
    <t xml:space="preserve">Фролов Вадим Анатольевич </t>
  </si>
  <si>
    <t>Шаргаев Евгений Олегович</t>
  </si>
  <si>
    <t xml:space="preserve">Шелест Анатолий Ефимович </t>
  </si>
  <si>
    <t>э-Резерв</t>
  </si>
  <si>
    <t>643 Итог</t>
  </si>
  <si>
    <t>196 Итог</t>
  </si>
  <si>
    <t>447 Итог</t>
  </si>
  <si>
    <t>Александрова Светлана Сергеевна  Итог</t>
  </si>
  <si>
    <t>483 Итог</t>
  </si>
  <si>
    <t>464 Итог</t>
  </si>
  <si>
    <t>19 Итог</t>
  </si>
  <si>
    <t>Баберцян Сергей Арамович  Итог</t>
  </si>
  <si>
    <t>197 Итог</t>
  </si>
  <si>
    <t>60 Итог</t>
  </si>
  <si>
    <t>137 Итог</t>
  </si>
  <si>
    <t>Банишев Александр Федорович  Итог</t>
  </si>
  <si>
    <t>696 Итог</t>
  </si>
  <si>
    <t>391 Итог</t>
  </si>
  <si>
    <t>305 Итог</t>
  </si>
  <si>
    <t>Барабанова Ольга Алексеевна  Итог</t>
  </si>
  <si>
    <t>697 Итог</t>
  </si>
  <si>
    <t>429 Итог</t>
  </si>
  <si>
    <t>268 Итог</t>
  </si>
  <si>
    <t>Бережной Дмитрий Васильевич Итог</t>
  </si>
  <si>
    <t>227 Итог</t>
  </si>
  <si>
    <t>125 Итог</t>
  </si>
  <si>
    <t>102 Итог</t>
  </si>
  <si>
    <t>Беспалов Александр Владимирович  Итог</t>
  </si>
  <si>
    <t>503 Итог</t>
  </si>
  <si>
    <t>95 Итог</t>
  </si>
  <si>
    <t>408 Итог</t>
  </si>
  <si>
    <t>Бобрышев Борис Леонидович  Итог</t>
  </si>
  <si>
    <t>679 Итог</t>
  </si>
  <si>
    <t>431 Итог</t>
  </si>
  <si>
    <t>248 Итог</t>
  </si>
  <si>
    <t>Варфоломеев Максим Сергеевич  Итог</t>
  </si>
  <si>
    <t>485 Итог</t>
  </si>
  <si>
    <t>316 Итог</t>
  </si>
  <si>
    <t>169 Итог</t>
  </si>
  <si>
    <t>Власенко Артем Николаевич  Итог</t>
  </si>
  <si>
    <t>789 Итог</t>
  </si>
  <si>
    <t>471 Итог</t>
  </si>
  <si>
    <t>318 Итог</t>
  </si>
  <si>
    <t>Галкин Виктор Иванович Итог</t>
  </si>
  <si>
    <t>42 Итог</t>
  </si>
  <si>
    <t>0 Итог</t>
  </si>
  <si>
    <t>Галкин Виктор Иванович  Итог</t>
  </si>
  <si>
    <t>832 Итог</t>
  </si>
  <si>
    <t>432,5 Итог</t>
  </si>
  <si>
    <t>399,5 Итог</t>
  </si>
  <si>
    <t>Галкин Евгений Владимирович  Итог</t>
  </si>
  <si>
    <t>118 Итог</t>
  </si>
  <si>
    <t>88 Итог</t>
  </si>
  <si>
    <t>30 Итог</t>
  </si>
  <si>
    <t>Еремеев Владимир Викторович Итог</t>
  </si>
  <si>
    <t>155 Итог</t>
  </si>
  <si>
    <t>Еремеев Николай Владимирович  Итог</t>
  </si>
  <si>
    <t>738 Итог</t>
  </si>
  <si>
    <t>251 Итог</t>
  </si>
  <si>
    <t>487 Итог</t>
  </si>
  <si>
    <t>Жаров Максим Владимирович  Итог</t>
  </si>
  <si>
    <t>192 Итог</t>
  </si>
  <si>
    <t>74 Итог</t>
  </si>
  <si>
    <t>Комаров Роман Сергеевич  Итог</t>
  </si>
  <si>
    <t>620 Итог</t>
  </si>
  <si>
    <t>381 Итог</t>
  </si>
  <si>
    <t>239 Итог</t>
  </si>
  <si>
    <t>Конкевич Валентин Юрьевич  Итог</t>
  </si>
  <si>
    <t xml:space="preserve">Лигачев Александр Егорович </t>
  </si>
  <si>
    <t>211 Итог</t>
  </si>
  <si>
    <t>15 Итог</t>
  </si>
  <si>
    <t>Лигачев Александр Егорович  Итог</t>
  </si>
  <si>
    <t>827 Итог</t>
  </si>
  <si>
    <t>449 Итог</t>
  </si>
  <si>
    <t>378 Итог</t>
  </si>
  <si>
    <t>Лозован Александр Александрович  Итог</t>
  </si>
  <si>
    <t>370 Итог</t>
  </si>
  <si>
    <t>457 Итог</t>
  </si>
  <si>
    <t>Моисеев Виктор Сергеевич  Итог</t>
  </si>
  <si>
    <t xml:space="preserve">Никитин Михаил Михайлович </t>
  </si>
  <si>
    <t>34 Итог</t>
  </si>
  <si>
    <t>Никитин Михаил Михайлович  Итог</t>
  </si>
  <si>
    <t>894 Итог</t>
  </si>
  <si>
    <t>508 Итог</t>
  </si>
  <si>
    <t>386 Итог</t>
  </si>
  <si>
    <t>Никитина Елена Владимировна  Итог</t>
  </si>
  <si>
    <t>935 Итог</t>
  </si>
  <si>
    <t>329 Итог</t>
  </si>
  <si>
    <t>606 Итог</t>
  </si>
  <si>
    <t>Палтиевич Андрей Романович  Итог</t>
  </si>
  <si>
    <t>336 Итог</t>
  </si>
  <si>
    <t>145 Итог</t>
  </si>
  <si>
    <t>191 Итог</t>
  </si>
  <si>
    <t>Пашков Игорь Николаевич  Итог</t>
  </si>
  <si>
    <t>665 Итог</t>
  </si>
  <si>
    <t>400 Итог</t>
  </si>
  <si>
    <t>265 Итог</t>
  </si>
  <si>
    <t>Петров Анатолий Павлович Итог</t>
  </si>
  <si>
    <t>426 Итог</t>
  </si>
  <si>
    <t>151 Итог</t>
  </si>
  <si>
    <t>275 Итог</t>
  </si>
  <si>
    <t>Петров Игорь Алексеевич  Итог</t>
  </si>
  <si>
    <t>296 Итог</t>
  </si>
  <si>
    <t>90 Итог</t>
  </si>
  <si>
    <t>Преображенский Евгений Владимирович  Итог</t>
  </si>
  <si>
    <t>262 Итог</t>
  </si>
  <si>
    <t>168 Итог</t>
  </si>
  <si>
    <t>94 Итог</t>
  </si>
  <si>
    <t>Ряховский Александр Павлович  Итог</t>
  </si>
  <si>
    <t>885 Итог</t>
  </si>
  <si>
    <t>414 Итог</t>
  </si>
  <si>
    <t>Серов Михаил Михайлович  Итог</t>
  </si>
  <si>
    <t>389 Итог</t>
  </si>
  <si>
    <t>75 Итог</t>
  </si>
  <si>
    <t>Сидякин Виталий Александрович Итог</t>
  </si>
  <si>
    <t>838 Итог</t>
  </si>
  <si>
    <t>448 Итог</t>
  </si>
  <si>
    <t>390 Итог</t>
  </si>
  <si>
    <t>Смыков Андрей Федорович  Итог</t>
  </si>
  <si>
    <t>859 Итог</t>
  </si>
  <si>
    <t>593 Итог</t>
  </si>
  <si>
    <t>266 Итог</t>
  </si>
  <si>
    <t>Соколов Алексей Викторович  Итог</t>
  </si>
  <si>
    <t>413 Итог</t>
  </si>
  <si>
    <t>245 Итог</t>
  </si>
  <si>
    <t>Степанов Владимир Валерьевич Итог</t>
  </si>
  <si>
    <t>602 Итог</t>
  </si>
  <si>
    <t>342 Итог</t>
  </si>
  <si>
    <t>260 Итог</t>
  </si>
  <si>
    <t>Телицына Ольга Валентиновна  Итог</t>
  </si>
  <si>
    <t>286 Итог</t>
  </si>
  <si>
    <t>Федоров Анатолий Александрович Итог</t>
  </si>
  <si>
    <t>852 Итог</t>
  </si>
  <si>
    <t>418 Итог</t>
  </si>
  <si>
    <t>434 Итог</t>
  </si>
  <si>
    <t>Федоров Сергей Александрович  Итог</t>
  </si>
  <si>
    <t>298 Итог</t>
  </si>
  <si>
    <t>Фролов Вадим Анатольевич  Итог</t>
  </si>
  <si>
    <t>80 Итог</t>
  </si>
  <si>
    <t>46 Итог</t>
  </si>
  <si>
    <t>Шелест Анатолий Ефимович  Итог</t>
  </si>
  <si>
    <t>594 Итог</t>
  </si>
  <si>
    <t>285,5 Итог</t>
  </si>
  <si>
    <t>308,5 Итог</t>
  </si>
  <si>
    <t>Шленский Алексей Геннадьевич  Итог</t>
  </si>
  <si>
    <t>Т11О-102Б-19</t>
  </si>
  <si>
    <t>Т11О-101Б-19</t>
  </si>
  <si>
    <t>Материаловедение и технология композиционных материалов</t>
  </si>
  <si>
    <t>Т1О-404Б-16</t>
  </si>
  <si>
    <t>04869</t>
  </si>
  <si>
    <t>94222</t>
  </si>
  <si>
    <t>не заводить</t>
  </si>
  <si>
    <t>компенсировано</t>
  </si>
  <si>
    <t>Материаловедение порошковых материалов</t>
  </si>
  <si>
    <t>Т11О-103М-19</t>
  </si>
  <si>
    <t>Методы контроля и анализа порошковых материалов</t>
  </si>
  <si>
    <t>Т11О-203М-18</t>
  </si>
  <si>
    <t>кроме вт, чт, сб</t>
  </si>
  <si>
    <t>кроме вт,чт, сб</t>
  </si>
  <si>
    <t>Т1О-407А-16</t>
  </si>
  <si>
    <t>Т1О-305Б-17, Т1О-307Б-17, Т1О-308Б-17</t>
  </si>
  <si>
    <t>11366</t>
  </si>
  <si>
    <t>Т1О-305Б-17</t>
  </si>
  <si>
    <t>Т1О-308Б-17</t>
  </si>
  <si>
    <t>Т1О-307Б-17</t>
  </si>
  <si>
    <t>Основы вакуумной техники</t>
  </si>
  <si>
    <t>93685</t>
  </si>
  <si>
    <t>Банишев Александр Федорович</t>
  </si>
  <si>
    <t>только понедельник!</t>
  </si>
  <si>
    <t>Т1О-303Б-17</t>
  </si>
  <si>
    <t>Т1О-302Б-17</t>
  </si>
  <si>
    <t>Т1О-301Б-17</t>
  </si>
  <si>
    <t>Т1О-301Б-17, Т1О-302Б-17, Т1О-303Б-17</t>
  </si>
  <si>
    <t>Т1О-307А-17</t>
  </si>
  <si>
    <t>11368</t>
  </si>
  <si>
    <t>Т11О-207А-18</t>
  </si>
  <si>
    <t>Т11О-107А-19</t>
  </si>
  <si>
    <t>1</t>
  </si>
  <si>
    <t>2 чел только понедельник!</t>
  </si>
  <si>
    <t>4</t>
  </si>
  <si>
    <t>2</t>
  </si>
  <si>
    <t>Т11О-202Б-18</t>
  </si>
  <si>
    <t>Т11О-201Б-18</t>
  </si>
  <si>
    <t>Т11О-201Б-18, Т11О-202Б-18</t>
  </si>
  <si>
    <t>Т1З-202А-18</t>
  </si>
  <si>
    <t>11295</t>
  </si>
  <si>
    <t>Т11О-204А-18</t>
  </si>
  <si>
    <t>11459</t>
  </si>
  <si>
    <t>Т11О-204А-18, Т11О-207А-18</t>
  </si>
  <si>
    <t>Теория, технология и оборудование для создания покрытий</t>
  </si>
  <si>
    <t>Т1В-312Б-17</t>
  </si>
  <si>
    <t>Управление процессами в порошковой металлургии</t>
  </si>
  <si>
    <t>Т11О-104М-19</t>
  </si>
  <si>
    <t>Т11О-102М-19</t>
  </si>
  <si>
    <t>Т11О-101М-19</t>
  </si>
  <si>
    <t>Т11О-101М-19, Т11О-102М-19, Т11О-103М-19, Т11О-104М-19</t>
  </si>
  <si>
    <t>Техническое документоведение (ЕСКД, ЕСТПП, ЕСТД)</t>
  </si>
  <si>
    <t>Технология и оборудование вакуумных методов нанесения покрытий</t>
  </si>
  <si>
    <t>только суббота!</t>
  </si>
  <si>
    <t>Физика и техника вакуума</t>
  </si>
  <si>
    <t>Металлургическая теплотехника</t>
  </si>
  <si>
    <t>только понедельник</t>
  </si>
  <si>
    <t>Теория, технология и оборудование для модификации поверхности</t>
  </si>
  <si>
    <t>Оборудование цехов порошковой металлургии</t>
  </si>
  <si>
    <t>кроме вт, что , сб</t>
  </si>
  <si>
    <t>Т11О-202А-18</t>
  </si>
  <si>
    <t>Т1О-304Б-17</t>
  </si>
  <si>
    <t>2 чел только понедельник</t>
  </si>
  <si>
    <t>3 чел - только понедельник</t>
  </si>
  <si>
    <t>2чел</t>
  </si>
  <si>
    <t>4чел+ком</t>
  </si>
  <si>
    <t>нормо+серк+(предс+Внешком 18)</t>
  </si>
  <si>
    <t>4 чел +ком</t>
  </si>
  <si>
    <t>секр+нормо + предс+ внешком</t>
  </si>
  <si>
    <t>2чел +ком</t>
  </si>
  <si>
    <t>4 чел + ком</t>
  </si>
  <si>
    <t>вввв</t>
  </si>
  <si>
    <t>Т1В-512Б-17</t>
  </si>
  <si>
    <t>Все кроме вторника и субботы. Предпочтительно начинать занятия чем раньше, тем лучше - с 1-ой пары, и только в понедельник - можно со 2-ой.</t>
  </si>
  <si>
    <t>Орш. А-525</t>
  </si>
  <si>
    <t>Т11О-101Б-21</t>
  </si>
  <si>
    <t xml:space="preserve">Кроме пятницы. с 10-45 и позже </t>
  </si>
  <si>
    <t>Орш. А-527</t>
  </si>
  <si>
    <t>вторник, среда с 9-00</t>
  </si>
  <si>
    <t>Орш. А-327</t>
  </si>
  <si>
    <t xml:space="preserve">Вторник ЛК - 532А (проектор) ; Понедельник, Вторник, Пятница  (ЛК,ПЗ,ЛР) - 327А (лабороторное оборудование и проектор) </t>
  </si>
  <si>
    <t>Т11О-203Б-20</t>
  </si>
  <si>
    <t>Т11О-401Б-18</t>
  </si>
  <si>
    <t>10858</t>
  </si>
  <si>
    <t>Орш. А-509</t>
  </si>
  <si>
    <t>дни пон-пят, 14-45 - 18-00, две пары</t>
  </si>
  <si>
    <t>желательно по пятницам, субботам (проектор)</t>
  </si>
  <si>
    <t>Т11О-402Б-18</t>
  </si>
  <si>
    <t>10859</t>
  </si>
  <si>
    <t>Орш. А-325</t>
  </si>
  <si>
    <t>По будням и плюс один свободный день на неделе</t>
  </si>
  <si>
    <t>Понедельник, четверг с 10-45 и позже</t>
  </si>
  <si>
    <t>Т11О-102Б-21</t>
  </si>
  <si>
    <t xml:space="preserve">По будням, кроме первой пары в понедельник. </t>
  </si>
  <si>
    <t>М9О-104М-21, Т11О-101М-21, Т11О-102М-21, Т11О-103М-21, Т11О-104М-21</t>
  </si>
  <si>
    <t>Т11О-101М-21</t>
  </si>
  <si>
    <t>Т11О-102М-21</t>
  </si>
  <si>
    <t>Т11О-103М-21</t>
  </si>
  <si>
    <t>Т11О-104М-21</t>
  </si>
  <si>
    <t>М9О-104М-21</t>
  </si>
  <si>
    <t>Т11О-204М-20</t>
  </si>
  <si>
    <t>Т11О-203М-20</t>
  </si>
  <si>
    <t>Орш. А-532</t>
  </si>
  <si>
    <t>вторник или среда и пятница с 13-00;</t>
  </si>
  <si>
    <t>Т11О-301Б-19, Т11О-302Б-19</t>
  </si>
  <si>
    <t>Т11О-301Б-19</t>
  </si>
  <si>
    <t>Т11О-302Б-19</t>
  </si>
  <si>
    <t>Т11О-201М-20</t>
  </si>
  <si>
    <t>ЛК 523А,318А, 319А (проектор). Практика и лабораторные - 525А,  521А (522А). Кроме субботы.</t>
  </si>
  <si>
    <t>Т11О-301Б-19, Т11О-302Б-19, Т11О-304Б-19, Т11О-305Б-19, Т11О-306Б-19, Т11О-307Б-19, Т11О-308Б-19</t>
  </si>
  <si>
    <t>12710</t>
  </si>
  <si>
    <t>Т11О-304Б-19</t>
  </si>
  <si>
    <t>Т11О-305Б-19</t>
  </si>
  <si>
    <t>Т11О-306Б-19</t>
  </si>
  <si>
    <t>ПЗ - 521,522,525А (осенний и весенний семестр) - с 18:15 (по будням), в субботу (с 9:00)</t>
  </si>
  <si>
    <t>Т11О-307Б-19</t>
  </si>
  <si>
    <t>Т11О-308Б-19</t>
  </si>
  <si>
    <t>Т11О-404Б-18</t>
  </si>
  <si>
    <t>По возможности начало занятий понедельник-вторник с 13:00(14:45), среда-четверг (как можно раньше). Желательно пятницу оставить свободной от занятий.</t>
  </si>
  <si>
    <t>Для поточных лекций - любая поточная, для ЛК - 523А (нужен проектор), для ПЗ и ЛР - 521А или любая другая. Занятия по ПЕРВЫМ неделям с 13-00 (а то еще вечерников ждать). Занятия можно назначать и в субботу по ПЕРВЫМ неделям.</t>
  </si>
  <si>
    <t>Т11О-102М-21, Т11О-103М-21</t>
  </si>
  <si>
    <t>Т11О-202М-20</t>
  </si>
  <si>
    <t>ЛК, ПЗ, ЛР - Понедедьник, среда</t>
  </si>
  <si>
    <t xml:space="preserve">пн-пт с 13:00 </t>
  </si>
  <si>
    <t>ЛК 509А,318А, 319А (проектор), ПЗ 509А, 701Б, 703Б (компьютерный класс обязательно) ЛР не веду Кроме четверга и субботы. Желательно больше пар в день но меньше дней, можно с окнами</t>
  </si>
  <si>
    <t>Орш. А-117</t>
  </si>
  <si>
    <t>Для ЛК, ПЗ: ауд. 117А вторник, среда с 13-00, четверг с 10-45 (компьютер, проектор). Для ЛР: ауд. 117А (компьютер, проектор) + лаборатории 113А, 105А, 118А, 104В: вторник, среда, четверг с 10-45.</t>
  </si>
  <si>
    <t>Т11О-101М-21, Т11О-102М-21, Т11О-103М-21, Т11О-104М-21</t>
  </si>
  <si>
    <t>Вторник ЛК - 532А (проектор) ; Понедельник, Вторник, Пятница  (ЛК,ПЗ,ЛР) - 327А (лабороторное оборудование и проектор)</t>
  </si>
  <si>
    <t>Кроме пятницы. с 10-45 и позже (521А, 522А)</t>
  </si>
  <si>
    <t>Вторник, среда, пятница, с 10.45 и позже. ЛК(117а,509а)(компьютер, проектор), ПЗ(117а,509а,компьютер, проектор), ЛР(117а)</t>
  </si>
  <si>
    <t>М9О-204М-20</t>
  </si>
  <si>
    <t>Т11О-302А-19</t>
  </si>
  <si>
    <t>Вторник, среда, пятница, с 10.45 и позже.</t>
  </si>
  <si>
    <t>(Т11О-04А-20) Лиджиев Арсланг Алексеевич+ Нейман Алёна Владимировна (Т11О-07А-20)Жуковский Павел Леонидович + Митрофанов Андрей Леонидович</t>
  </si>
  <si>
    <t>М9О-204М-20, Т11О-201М-20, Т11О-202М-20, Т11О-203М-20, Т11О-204М-20</t>
  </si>
  <si>
    <t>Т11О-201М-20, Т11О-202М-20, Т11О-203М-20, Т11О-204М-20</t>
  </si>
  <si>
    <t>Т11О-301Б-19, Т11О-302Б-19, Т11О-304Б-19, Т11О-305Б-19, Т11О-307Б-19, Т11О-308Б-19, Т11О-309Б-19</t>
  </si>
  <si>
    <t>14429</t>
  </si>
  <si>
    <t>Т11О-309Б-19</t>
  </si>
  <si>
    <t>Т11О-204А-20, Т11О-207А-20</t>
  </si>
  <si>
    <t>14417</t>
  </si>
  <si>
    <t>Т11О-207А-20</t>
  </si>
  <si>
    <t xml:space="preserve"> (Т11О-07А-20)Жуковский Павел Леонидович + Митрофанов Андрей Леонидович</t>
  </si>
  <si>
    <t>Т11О-204А-20</t>
  </si>
  <si>
    <t>Т11О-204А-20 Лиджиев Арсланг Алексеевич+ Нейман Алёна Владимировна</t>
  </si>
  <si>
    <t>Т11О-307А-19</t>
  </si>
  <si>
    <t>Т11О-307А-19 Патрушев Александр Юрьевич Ярошенко Александр Сергеевич Козлов Павел Павлович</t>
  </si>
  <si>
    <t>Время - до 13:00, тех.обеспечение - проектор.</t>
  </si>
  <si>
    <t>Изготовление форм и моделей методами аддитивных технологий</t>
  </si>
  <si>
    <t>Т1О-410А-18</t>
  </si>
  <si>
    <t>Т11О-102А-21</t>
  </si>
  <si>
    <t>Т11О-106А-21</t>
  </si>
  <si>
    <t>Т11О-402А-18</t>
  </si>
  <si>
    <t>Т11О-407А-18</t>
  </si>
  <si>
    <t>Т11О-407А-18 Иванов Николай Андреевич Кубатина Екатерина Павловна Быкадоров Артем Никитич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</si>
</sst>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-* #,##0.00\ _₽_-;\-* #,##0.00\ _₽_-;_-* &quot;-&quot;??\ _₽_-;_-@_-"/>
    <numFmt numFmtId="166" formatCode="_-* #,##0.00\ _₽_-;\-* #,##0.00\ _₽_-;_-* \-??\ _₽_-;_-@"/>
  </numFmts>
  <fonts count="27" x14ac:knownFonts="1">
    <font>
      <sz val="11"/>
      <color theme="1"/>
      <name val="Calibri"/>
    </font>
    <font>
      <b/>
      <sz val="11"/>
      <color rgb="FF3F3F3F"/>
      <name val="Calibri"/>
      <scheme val="minor"/>
    </font>
    <font>
      <sz val="8"/>
      <color indexed="24"/>
      <name val="Arial"/>
    </font>
    <font>
      <sz val="11"/>
      <color indexed="2"/>
      <name val="Calibri"/>
    </font>
    <font>
      <sz val="8"/>
      <name val="Arial"/>
    </font>
    <font>
      <b/>
      <sz val="8"/>
      <name val="Arial"/>
    </font>
    <font>
      <sz val="8"/>
      <color theme="1"/>
      <name val="Arial"/>
    </font>
    <font>
      <sz val="10"/>
      <name val="Arial"/>
    </font>
    <font>
      <sz val="8"/>
      <color indexed="2"/>
      <name val="Arial"/>
    </font>
    <font>
      <b/>
      <sz val="10"/>
      <name val="Arial"/>
    </font>
    <font>
      <b/>
      <sz val="8"/>
      <color theme="1"/>
      <name val="Arial"/>
    </font>
    <font>
      <b/>
      <sz val="8"/>
      <color indexed="2"/>
      <name val="Arial"/>
    </font>
    <font>
      <b/>
      <sz val="10"/>
      <color indexed="2"/>
      <name val="Arial"/>
    </font>
    <font>
      <b/>
      <sz val="10"/>
      <color indexed="5"/>
      <name val="Arial"/>
    </font>
    <font>
      <sz val="12"/>
      <name val="Arial"/>
    </font>
    <font>
      <b/>
      <sz val="11"/>
      <name val="Calibri"/>
    </font>
    <font>
      <sz val="11"/>
      <color theme="0"/>
      <name val="Calibri"/>
    </font>
    <font>
      <b/>
      <sz val="11"/>
      <color theme="0"/>
      <name val="Calibri"/>
      <scheme val="minor"/>
    </font>
    <font>
      <sz val="10"/>
      <name val="Calibri"/>
    </font>
    <font>
      <sz val="10"/>
      <color indexed="24"/>
      <name val="Arial"/>
    </font>
    <font>
      <sz val="8"/>
      <color indexed="63"/>
      <name val="Arial"/>
    </font>
    <font>
      <sz val="11"/>
      <color indexed="5"/>
      <name val="Calibri"/>
    </font>
    <font>
      <sz val="11"/>
      <color indexed="60"/>
      <name val="Calibri"/>
    </font>
    <font>
      <b/>
      <sz val="24"/>
      <color indexed="2"/>
      <name val="Calibri"/>
    </font>
    <font>
      <sz val="11"/>
      <color indexed="40"/>
      <name val="Calibri"/>
    </font>
    <font>
      <sz val="8"/>
      <color indexed="5"/>
      <name val="Arial"/>
    </font>
    <font>
      <sz val="11"/>
      <color theme="1"/>
      <name val="Calibri"/>
    </font>
  </fonts>
  <fills count="47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rgb="FFF2F2F2"/>
        <bgColor rgb="FFF2F2F2"/>
      </patternFill>
    </fill>
    <fill>
      <patternFill patternType="solid">
        <fgColor indexed="3"/>
        <bgColor indexed="3"/>
      </patternFill>
    </fill>
    <fill>
      <patternFill patternType="solid">
        <fgColor indexed="28"/>
        <bgColor indexed="28"/>
      </patternFill>
    </fill>
    <fill>
      <patternFill patternType="solid">
        <fgColor indexed="65"/>
      </patternFill>
    </fill>
    <fill>
      <patternFill patternType="solid">
        <fgColor indexed="27"/>
        <bgColor indexed="27"/>
      </patternFill>
    </fill>
    <fill>
      <patternFill patternType="solid">
        <fgColor indexed="51"/>
        <bgColor indexed="51"/>
      </patternFill>
    </fill>
    <fill>
      <patternFill patternType="solid">
        <fgColor indexed="50"/>
        <bgColor indexed="50"/>
      </patternFill>
    </fill>
    <fill>
      <patternFill patternType="solid">
        <fgColor indexed="17"/>
        <bgColor indexed="17"/>
      </patternFill>
    </fill>
    <fill>
      <patternFill patternType="solid">
        <fgColor indexed="5"/>
        <bgColor indexed="5"/>
      </patternFill>
    </fill>
    <fill>
      <patternFill patternType="solid">
        <fgColor indexed="44"/>
        <bgColor indexed="44"/>
      </patternFill>
    </fill>
    <fill>
      <patternFill patternType="solid">
        <fgColor indexed="57"/>
        <bgColor indexed="57"/>
      </patternFill>
    </fill>
    <fill>
      <patternFill patternType="solid">
        <fgColor indexed="53"/>
        <bgColor indexed="53"/>
      </patternFill>
    </fill>
    <fill>
      <patternFill patternType="solid">
        <fgColor indexed="2"/>
        <bgColor indexed="2"/>
      </patternFill>
    </fill>
    <fill>
      <patternFill patternType="solid">
        <fgColor rgb="FFEAF1DD"/>
        <bgColor rgb="FFEAF1DD"/>
      </patternFill>
    </fill>
    <fill>
      <patternFill patternType="solid">
        <fgColor rgb="FFD6E3BC"/>
        <bgColor rgb="FFD6E3BC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rgb="FF92D050"/>
        <bgColor rgb="FF92D050"/>
      </patternFill>
    </fill>
    <fill>
      <patternFill patternType="solid">
        <fgColor theme="1" tint="0.34998626667073579"/>
        <bgColor theme="1" tint="0.34998626667073579"/>
      </patternFill>
    </fill>
    <fill>
      <patternFill patternType="solid">
        <fgColor rgb="FF92CDDC"/>
        <bgColor rgb="FF92CDDC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  <fill>
      <patternFill patternType="solid">
        <fgColor theme="6" tint="-0.249977111117893"/>
        <bgColor indexed="57"/>
      </patternFill>
    </fill>
    <fill>
      <patternFill patternType="solid">
        <fgColor indexed="31"/>
        <bgColor indexed="31"/>
      </patternFill>
    </fill>
    <fill>
      <patternFill patternType="solid">
        <fgColor indexed="42"/>
        <bgColor indexed="42"/>
      </patternFill>
    </fill>
    <fill>
      <patternFill patternType="solid">
        <fgColor indexed="20"/>
        <bgColor indexed="20"/>
      </patternFill>
    </fill>
    <fill>
      <patternFill patternType="solid">
        <fgColor indexed="30"/>
        <bgColor indexed="30"/>
      </patternFill>
    </fill>
    <fill>
      <patternFill patternType="solid">
        <fgColor indexed="40"/>
        <bgColor indexed="40"/>
      </patternFill>
    </fill>
    <fill>
      <patternFill patternType="solid">
        <fgColor indexed="52"/>
        <bgColor indexed="52"/>
      </patternFill>
    </fill>
    <fill>
      <patternFill patternType="solid">
        <fgColor indexed="62"/>
        <bgColor indexed="62"/>
      </patternFill>
    </fill>
    <fill>
      <patternFill patternType="solid">
        <fgColor indexed="22"/>
        <bgColor indexed="22"/>
      </patternFill>
    </fill>
    <fill>
      <patternFill patternType="solid">
        <fgColor rgb="FFFB8C00"/>
        <bgColor rgb="FFFB8C00"/>
      </patternFill>
    </fill>
    <fill>
      <patternFill patternType="solid">
        <fgColor rgb="FF76FF03"/>
        <bgColor rgb="FF76FF03"/>
      </patternFill>
    </fill>
    <fill>
      <patternFill patternType="solid">
        <fgColor rgb="FFFFEB3B"/>
        <bgColor rgb="FFFFEB3B"/>
      </patternFill>
    </fill>
    <fill>
      <patternFill patternType="solid">
        <fgColor indexed="45"/>
        <bgColor indexed="45"/>
      </patternFill>
    </fill>
    <fill>
      <patternFill patternType="solid">
        <fgColor rgb="FF18FFFF"/>
        <bgColor rgb="FF18FFFF"/>
      </patternFill>
    </fill>
    <fill>
      <patternFill patternType="solid">
        <fgColor rgb="FFF48FB1"/>
        <bgColor rgb="FFF48FB1"/>
      </patternFill>
    </fill>
    <fill>
      <patternFill patternType="solid">
        <fgColor rgb="FFF50057"/>
        <bgColor rgb="FFF50057"/>
      </patternFill>
    </fill>
    <fill>
      <patternFill patternType="solid">
        <fgColor rgb="FFC5CAE9"/>
        <bgColor rgb="FFC5CAE9"/>
      </patternFill>
    </fill>
  </fills>
  <borders count="5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/>
      <diagonal/>
    </border>
    <border>
      <left style="thin">
        <color indexed="26"/>
      </left>
      <right style="thin">
        <color indexed="26"/>
      </right>
      <top style="thin">
        <color indexed="26"/>
      </top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/>
      <diagonal/>
    </border>
    <border>
      <left style="thin">
        <color indexed="63"/>
      </left>
      <right/>
      <top style="thin">
        <color indexed="63"/>
      </top>
      <bottom/>
      <diagonal/>
    </border>
    <border>
      <left/>
      <right style="thin">
        <color rgb="FF3D3D3D"/>
      </right>
      <top style="thin">
        <color rgb="FF3D3D3D"/>
      </top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/>
      <bottom/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3D3D3D"/>
      </left>
      <right/>
      <top style="thin">
        <color rgb="FF3D3D3D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auto="1"/>
      </left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auto="1"/>
      </left>
      <right style="thin">
        <color rgb="FFA0A0A0"/>
      </right>
      <top style="thin">
        <color auto="1"/>
      </top>
      <bottom style="thin">
        <color auto="1"/>
      </bottom>
      <diagonal/>
    </border>
    <border>
      <left style="thin">
        <color rgb="FFA0A0A0"/>
      </left>
      <right style="thin">
        <color auto="1"/>
      </right>
      <top style="thin">
        <color rgb="FFA0A0A0"/>
      </top>
      <bottom style="thin">
        <color rgb="FFA0A0A0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65"/>
      </left>
      <right/>
      <top style="thin">
        <color indexed="22"/>
      </top>
      <bottom/>
      <diagonal/>
    </border>
    <border>
      <left style="thin">
        <color indexed="65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22"/>
      </right>
      <top style="thin">
        <color indexed="65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65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65"/>
      </top>
      <bottom style="thin">
        <color indexed="22"/>
      </bottom>
      <diagonal/>
    </border>
    <border>
      <left style="thin">
        <color indexed="65"/>
      </left>
      <right/>
      <top style="thin">
        <color indexed="65"/>
      </top>
      <bottom style="thin">
        <color indexed="22"/>
      </bottom>
      <diagonal/>
    </border>
    <border>
      <left style="thin">
        <color indexed="65"/>
      </left>
      <right style="thin">
        <color indexed="22"/>
      </right>
      <top style="thin">
        <color indexed="65"/>
      </top>
      <bottom style="thin">
        <color indexed="22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 style="thin">
        <color indexed="65"/>
      </left>
      <right/>
      <top style="thin">
        <color auto="1"/>
      </top>
      <bottom/>
      <diagonal/>
    </border>
    <border>
      <left style="thin">
        <color indexed="65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indexed="65"/>
      </top>
      <bottom/>
      <diagonal/>
    </border>
    <border>
      <left style="thin">
        <color indexed="65"/>
      </left>
      <right style="thin">
        <color auto="1"/>
      </right>
      <top style="thin">
        <color indexed="65"/>
      </top>
      <bottom/>
      <diagonal/>
    </border>
    <border>
      <left style="thin">
        <color indexed="65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65"/>
      </top>
      <bottom style="thin">
        <color auto="1"/>
      </bottom>
      <diagonal/>
    </border>
    <border>
      <left style="thin">
        <color indexed="65"/>
      </left>
      <right/>
      <top style="thin">
        <color indexed="65"/>
      </top>
      <bottom style="thin">
        <color auto="1"/>
      </bottom>
      <diagonal/>
    </border>
    <border>
      <left style="thin">
        <color indexed="65"/>
      </left>
      <right style="thin">
        <color auto="1"/>
      </right>
      <top style="thin">
        <color indexed="65"/>
      </top>
      <bottom style="thin">
        <color auto="1"/>
      </bottom>
      <diagonal/>
    </border>
    <border>
      <left style="thin">
        <color indexed="51"/>
      </left>
      <right style="thin">
        <color indexed="51"/>
      </right>
      <top style="thin">
        <color indexed="51"/>
      </top>
      <bottom style="thin">
        <color indexed="5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9" fontId="26" fillId="0" borderId="0" applyFont="0" applyFill="0" applyBorder="0"/>
    <xf numFmtId="0" fontId="1" fillId="3" borderId="1" applyNumberFormat="0"/>
  </cellStyleXfs>
  <cellXfs count="314">
    <xf numFmtId="0" fontId="0" fillId="0" borderId="0" xfId="0"/>
    <xf numFmtId="0" fontId="0" fillId="4" borderId="0" xfId="0" applyFill="1"/>
    <xf numFmtId="0" fontId="0" fillId="0" borderId="0" xfId="0"/>
    <xf numFmtId="0" fontId="2" fillId="5" borderId="2" xfId="0" applyFont="1" applyFill="1" applyBorder="1" applyAlignment="1">
      <alignment horizontal="left" vertical="top"/>
    </xf>
    <xf numFmtId="0" fontId="2" fillId="5" borderId="3" xfId="0" applyFont="1" applyFill="1" applyBorder="1" applyAlignment="1">
      <alignment horizontal="left" vertical="top"/>
    </xf>
    <xf numFmtId="4" fontId="2" fillId="5" borderId="3" xfId="0" applyNumberFormat="1" applyFont="1" applyFill="1" applyBorder="1" applyAlignment="1">
      <alignment horizontal="left" vertical="top"/>
    </xf>
    <xf numFmtId="0" fontId="2" fillId="5" borderId="4" xfId="0" applyFont="1" applyFill="1" applyBorder="1" applyAlignment="1">
      <alignment horizontal="left" vertical="top"/>
    </xf>
    <xf numFmtId="0" fontId="2" fillId="5" borderId="5" xfId="0" applyFont="1" applyFill="1" applyBorder="1" applyAlignment="1">
      <alignment horizontal="left" vertical="top"/>
    </xf>
    <xf numFmtId="0" fontId="3" fillId="6" borderId="0" xfId="0" applyFont="1" applyFill="1"/>
    <xf numFmtId="0" fontId="4" fillId="6" borderId="6" xfId="0" applyFont="1" applyFill="1" applyBorder="1" applyAlignment="1">
      <alignment horizontal="left" vertical="top"/>
    </xf>
    <xf numFmtId="2" fontId="4" fillId="6" borderId="6" xfId="0" applyNumberFormat="1" applyFont="1" applyFill="1" applyBorder="1" applyAlignment="1">
      <alignment horizontal="right" vertical="top"/>
    </xf>
    <xf numFmtId="1" fontId="4" fillId="6" borderId="6" xfId="0" applyNumberFormat="1" applyFont="1" applyFill="1" applyBorder="1" applyAlignment="1">
      <alignment horizontal="right" vertical="top"/>
    </xf>
    <xf numFmtId="0" fontId="4" fillId="7" borderId="7" xfId="0" applyFont="1" applyFill="1" applyBorder="1" applyAlignment="1">
      <alignment horizontal="left" vertical="top"/>
    </xf>
    <xf numFmtId="0" fontId="4" fillId="7" borderId="6" xfId="0" applyFont="1" applyFill="1" applyBorder="1" applyAlignment="1">
      <alignment horizontal="left" vertical="top"/>
    </xf>
    <xf numFmtId="0" fontId="4" fillId="8" borderId="6" xfId="0" applyFont="1" applyFill="1" applyBorder="1" applyAlignment="1">
      <alignment horizontal="left" vertical="top"/>
    </xf>
    <xf numFmtId="2" fontId="4" fillId="8" borderId="6" xfId="0" applyNumberFormat="1" applyFont="1" applyFill="1" applyBorder="1" applyAlignment="1">
      <alignment horizontal="left" vertical="top"/>
    </xf>
    <xf numFmtId="0" fontId="0" fillId="6" borderId="0" xfId="0" applyFill="1"/>
    <xf numFmtId="0" fontId="3" fillId="9" borderId="0" xfId="0" applyFont="1" applyFill="1"/>
    <xf numFmtId="0" fontId="4" fillId="10" borderId="6" xfId="0" applyFont="1" applyFill="1" applyBorder="1" applyAlignment="1">
      <alignment horizontal="left" vertical="top"/>
    </xf>
    <xf numFmtId="2" fontId="4" fillId="10" borderId="6" xfId="0" applyNumberFormat="1" applyFont="1" applyFill="1" applyBorder="1" applyAlignment="1">
      <alignment horizontal="right" vertical="top"/>
    </xf>
    <xf numFmtId="0" fontId="5" fillId="10" borderId="8" xfId="0" applyFont="1" applyFill="1" applyBorder="1" applyAlignment="1">
      <alignment horizontal="left" vertical="top"/>
    </xf>
    <xf numFmtId="0" fontId="4" fillId="11" borderId="6" xfId="0" applyFont="1" applyFill="1" applyBorder="1" applyAlignment="1">
      <alignment horizontal="left" vertical="top"/>
    </xf>
    <xf numFmtId="0" fontId="4" fillId="9" borderId="6" xfId="0" applyFont="1" applyFill="1" applyBorder="1" applyAlignment="1">
      <alignment horizontal="left" vertical="top"/>
    </xf>
    <xf numFmtId="2" fontId="4" fillId="11" borderId="6" xfId="0" applyNumberFormat="1" applyFont="1" applyFill="1" applyBorder="1" applyAlignment="1">
      <alignment horizontal="right" vertical="top"/>
    </xf>
    <xf numFmtId="0" fontId="4" fillId="0" borderId="6" xfId="0" applyFont="1" applyBorder="1" applyAlignment="1">
      <alignment horizontal="left" vertical="top"/>
    </xf>
    <xf numFmtId="1" fontId="4" fillId="0" borderId="6" xfId="0" applyNumberFormat="1" applyFont="1" applyBorder="1" applyAlignment="1">
      <alignment horizontal="right" vertical="top"/>
    </xf>
    <xf numFmtId="0" fontId="0" fillId="6" borderId="6" xfId="0" applyFill="1" applyBorder="1"/>
    <xf numFmtId="1" fontId="4" fillId="10" borderId="6" xfId="0" applyNumberFormat="1" applyFont="1" applyFill="1" applyBorder="1" applyAlignment="1">
      <alignment horizontal="right" vertical="top"/>
    </xf>
    <xf numFmtId="0" fontId="0" fillId="10" borderId="9" xfId="0" applyFill="1" applyBorder="1"/>
    <xf numFmtId="0" fontId="3" fillId="4" borderId="0" xfId="0" applyFont="1" applyFill="1"/>
    <xf numFmtId="0" fontId="0" fillId="10" borderId="10" xfId="0" applyFill="1" applyBorder="1"/>
    <xf numFmtId="0" fontId="4" fillId="4" borderId="11" xfId="0" applyFont="1" applyFill="1" applyBorder="1" applyAlignment="1">
      <alignment horizontal="left" vertical="top"/>
    </xf>
    <xf numFmtId="0" fontId="4" fillId="12" borderId="6" xfId="0" applyFont="1" applyFill="1" applyBorder="1" applyAlignment="1">
      <alignment horizontal="left" vertical="top"/>
    </xf>
    <xf numFmtId="0" fontId="4" fillId="8" borderId="11" xfId="0" applyFont="1" applyFill="1" applyBorder="1" applyAlignment="1">
      <alignment horizontal="left" vertical="top"/>
    </xf>
    <xf numFmtId="0" fontId="4" fillId="6" borderId="12" xfId="0" applyFont="1" applyFill="1" applyBorder="1" applyAlignment="1">
      <alignment horizontal="left" vertical="top"/>
    </xf>
    <xf numFmtId="0" fontId="4" fillId="6" borderId="13" xfId="0" applyFont="1" applyFill="1" applyBorder="1" applyAlignment="1">
      <alignment horizontal="left" vertical="top"/>
    </xf>
    <xf numFmtId="0" fontId="4" fillId="6" borderId="11" xfId="0" applyFont="1" applyFill="1" applyBorder="1" applyAlignment="1">
      <alignment horizontal="left" vertical="top"/>
    </xf>
    <xf numFmtId="0" fontId="4" fillId="6" borderId="0" xfId="0" applyFont="1" applyFill="1" applyAlignment="1">
      <alignment horizontal="left" vertical="top"/>
    </xf>
    <xf numFmtId="0" fontId="6" fillId="6" borderId="7" xfId="0" applyFont="1" applyFill="1" applyBorder="1" applyAlignment="1">
      <alignment horizontal="left" vertical="top"/>
    </xf>
    <xf numFmtId="0" fontId="0" fillId="0" borderId="10" xfId="0" applyBorder="1"/>
    <xf numFmtId="0" fontId="7" fillId="6" borderId="13" xfId="0" applyFont="1" applyFill="1" applyBorder="1" applyAlignment="1">
      <alignment horizontal="left" vertical="top"/>
    </xf>
    <xf numFmtId="0" fontId="4" fillId="4" borderId="6" xfId="0" applyFont="1" applyFill="1" applyBorder="1" applyAlignment="1">
      <alignment horizontal="left" vertical="top"/>
    </xf>
    <xf numFmtId="0" fontId="8" fillId="6" borderId="6" xfId="0" applyFont="1" applyFill="1" applyBorder="1" applyAlignment="1">
      <alignment horizontal="left" vertical="top"/>
    </xf>
    <xf numFmtId="0" fontId="0" fillId="0" borderId="7" xfId="0" applyBorder="1"/>
    <xf numFmtId="0" fontId="9" fillId="4" borderId="6" xfId="0" applyFont="1" applyFill="1" applyBorder="1" applyAlignment="1">
      <alignment horizontal="left" vertical="top"/>
    </xf>
    <xf numFmtId="164" fontId="4" fillId="6" borderId="14" xfId="0" applyNumberFormat="1" applyFont="1" applyFill="1" applyBorder="1" applyAlignment="1">
      <alignment horizontal="right" vertical="top"/>
    </xf>
    <xf numFmtId="0" fontId="4" fillId="6" borderId="14" xfId="0" applyFont="1" applyFill="1" applyBorder="1" applyAlignment="1">
      <alignment horizontal="right" vertical="top"/>
    </xf>
    <xf numFmtId="0" fontId="4" fillId="6" borderId="15" xfId="0" applyFont="1" applyFill="1" applyBorder="1" applyAlignment="1">
      <alignment horizontal="right" vertical="top"/>
    </xf>
    <xf numFmtId="0" fontId="4" fillId="6" borderId="16" xfId="0" applyFont="1" applyFill="1" applyBorder="1" applyAlignment="1">
      <alignment horizontal="left" vertical="top"/>
    </xf>
    <xf numFmtId="0" fontId="4" fillId="4" borderId="16" xfId="0" applyFont="1" applyFill="1" applyBorder="1" applyAlignment="1">
      <alignment horizontal="left" vertical="top"/>
    </xf>
    <xf numFmtId="0" fontId="4" fillId="6" borderId="7" xfId="0" applyFont="1" applyFill="1" applyBorder="1" applyAlignment="1">
      <alignment horizontal="right" vertical="top"/>
    </xf>
    <xf numFmtId="0" fontId="4" fillId="6" borderId="17" xfId="0" applyFont="1" applyFill="1" applyBorder="1" applyAlignment="1">
      <alignment horizontal="right" vertical="top"/>
    </xf>
    <xf numFmtId="0" fontId="5" fillId="4" borderId="6" xfId="0" applyFont="1" applyFill="1" applyBorder="1" applyAlignment="1">
      <alignment horizontal="left" vertical="top"/>
    </xf>
    <xf numFmtId="0" fontId="0" fillId="0" borderId="6" xfId="0" applyBorder="1"/>
    <xf numFmtId="2" fontId="4" fillId="6" borderId="9" xfId="0" applyNumberFormat="1" applyFont="1" applyFill="1" applyBorder="1" applyAlignment="1">
      <alignment horizontal="right" vertical="top"/>
    </xf>
    <xf numFmtId="1" fontId="4" fillId="6" borderId="9" xfId="0" applyNumberFormat="1" applyFont="1" applyFill="1" applyBorder="1" applyAlignment="1">
      <alignment horizontal="right" vertical="top"/>
    </xf>
    <xf numFmtId="0" fontId="4" fillId="6" borderId="9" xfId="0" applyFont="1" applyFill="1" applyBorder="1" applyAlignment="1">
      <alignment horizontal="left" vertical="top"/>
    </xf>
    <xf numFmtId="0" fontId="9" fillId="12" borderId="9" xfId="0" applyFont="1" applyFill="1" applyBorder="1" applyAlignment="1">
      <alignment horizontal="left" vertical="top"/>
    </xf>
    <xf numFmtId="0" fontId="4" fillId="12" borderId="9" xfId="0" applyFont="1" applyFill="1" applyBorder="1" applyAlignment="1">
      <alignment horizontal="left" vertical="top"/>
    </xf>
    <xf numFmtId="0" fontId="0" fillId="6" borderId="6" xfId="0" applyFill="1" applyBorder="1" applyAlignment="1">
      <alignment horizontal="left"/>
    </xf>
    <xf numFmtId="0" fontId="5" fillId="12" borderId="6" xfId="0" applyFont="1" applyFill="1" applyBorder="1" applyAlignment="1">
      <alignment horizontal="left" vertical="top"/>
    </xf>
    <xf numFmtId="0" fontId="9" fillId="8" borderId="6" xfId="0" applyFont="1" applyFill="1" applyBorder="1" applyAlignment="1">
      <alignment horizontal="left" vertical="top"/>
    </xf>
    <xf numFmtId="0" fontId="4" fillId="6" borderId="11" xfId="0" applyFont="1" applyFill="1" applyBorder="1" applyAlignment="1">
      <alignment horizontal="right" vertical="top"/>
    </xf>
    <xf numFmtId="0" fontId="0" fillId="0" borderId="6" xfId="0" applyBorder="1" applyAlignment="1">
      <alignment horizontal="left"/>
    </xf>
    <xf numFmtId="0" fontId="4" fillId="9" borderId="11" xfId="0" applyFont="1" applyFill="1" applyBorder="1" applyAlignment="1">
      <alignment horizontal="left" vertical="top"/>
    </xf>
    <xf numFmtId="4" fontId="0" fillId="0" borderId="6" xfId="0" applyNumberFormat="1" applyBorder="1" applyAlignment="1">
      <alignment horizontal="left"/>
    </xf>
    <xf numFmtId="0" fontId="9" fillId="6" borderId="6" xfId="0" applyFont="1" applyFill="1" applyBorder="1" applyAlignment="1">
      <alignment horizontal="left" vertical="top"/>
    </xf>
    <xf numFmtId="4" fontId="0" fillId="0" borderId="6" xfId="0" applyNumberFormat="1" applyBorder="1" applyAlignment="1">
      <alignment horizontal="right"/>
    </xf>
    <xf numFmtId="2" fontId="4" fillId="6" borderId="13" xfId="0" applyNumberFormat="1" applyFont="1" applyFill="1" applyBorder="1" applyAlignment="1">
      <alignment horizontal="right" vertical="top"/>
    </xf>
    <xf numFmtId="0" fontId="4" fillId="6" borderId="7" xfId="0" applyFont="1" applyFill="1" applyBorder="1" applyAlignment="1">
      <alignment horizontal="left" vertical="top"/>
    </xf>
    <xf numFmtId="0" fontId="4" fillId="6" borderId="2" xfId="0" applyFont="1" applyFill="1" applyBorder="1" applyAlignment="1">
      <alignment horizontal="left" vertical="top"/>
    </xf>
    <xf numFmtId="0" fontId="4" fillId="10" borderId="13" xfId="0" applyFont="1" applyFill="1" applyBorder="1" applyAlignment="1">
      <alignment horizontal="left" vertical="top"/>
    </xf>
    <xf numFmtId="2" fontId="4" fillId="10" borderId="13" xfId="0" applyNumberFormat="1" applyFont="1" applyFill="1" applyBorder="1" applyAlignment="1">
      <alignment horizontal="right" vertical="top"/>
    </xf>
    <xf numFmtId="0" fontId="5" fillId="10" borderId="13" xfId="0" applyFont="1" applyFill="1" applyBorder="1" applyAlignment="1">
      <alignment horizontal="left" vertical="top"/>
    </xf>
    <xf numFmtId="0" fontId="4" fillId="10" borderId="8" xfId="0" applyFont="1" applyFill="1" applyBorder="1" applyAlignment="1">
      <alignment horizontal="left" vertical="top"/>
    </xf>
    <xf numFmtId="0" fontId="0" fillId="10" borderId="6" xfId="0" applyFill="1" applyBorder="1"/>
    <xf numFmtId="0" fontId="0" fillId="10" borderId="0" xfId="0" applyFill="1" applyAlignment="1">
      <alignment horizontal="left"/>
    </xf>
    <xf numFmtId="0" fontId="6" fillId="6" borderId="6" xfId="0" applyFont="1" applyFill="1" applyBorder="1" applyAlignment="1">
      <alignment horizontal="left" vertical="top"/>
    </xf>
    <xf numFmtId="0" fontId="0" fillId="6" borderId="9" xfId="0" applyFill="1" applyBorder="1"/>
    <xf numFmtId="0" fontId="10" fillId="6" borderId="6" xfId="0" applyFont="1" applyFill="1" applyBorder="1" applyAlignment="1">
      <alignment horizontal="left" vertical="top"/>
    </xf>
    <xf numFmtId="0" fontId="4" fillId="4" borderId="9" xfId="0" applyFont="1" applyFill="1" applyBorder="1" applyAlignment="1">
      <alignment horizontal="left" vertical="top"/>
    </xf>
    <xf numFmtId="0" fontId="4" fillId="10" borderId="9" xfId="0" applyFont="1" applyFill="1" applyBorder="1" applyAlignment="1">
      <alignment horizontal="left" vertical="top"/>
    </xf>
    <xf numFmtId="2" fontId="4" fillId="10" borderId="8" xfId="0" applyNumberFormat="1" applyFont="1" applyFill="1" applyBorder="1" applyAlignment="1">
      <alignment horizontal="right" vertical="top"/>
    </xf>
    <xf numFmtId="0" fontId="11" fillId="10" borderId="8" xfId="0" applyFont="1" applyFill="1" applyBorder="1" applyAlignment="1">
      <alignment horizontal="left" vertical="top"/>
    </xf>
    <xf numFmtId="1" fontId="4" fillId="6" borderId="13" xfId="0" applyNumberFormat="1" applyFont="1" applyFill="1" applyBorder="1" applyAlignment="1">
      <alignment horizontal="right" vertical="top"/>
    </xf>
    <xf numFmtId="0" fontId="4" fillId="10" borderId="18" xfId="0" applyFont="1" applyFill="1" applyBorder="1" applyAlignment="1">
      <alignment horizontal="left" vertical="top"/>
    </xf>
    <xf numFmtId="2" fontId="4" fillId="10" borderId="18" xfId="0" applyNumberFormat="1" applyFont="1" applyFill="1" applyBorder="1" applyAlignment="1">
      <alignment horizontal="right" vertical="top"/>
    </xf>
    <xf numFmtId="1" fontId="4" fillId="10" borderId="18" xfId="0" applyNumberFormat="1" applyFont="1" applyFill="1" applyBorder="1" applyAlignment="1">
      <alignment horizontal="right" vertical="top"/>
    </xf>
    <xf numFmtId="0" fontId="4" fillId="10" borderId="19" xfId="0" applyFont="1" applyFill="1" applyBorder="1" applyAlignment="1">
      <alignment horizontal="left" vertical="top"/>
    </xf>
    <xf numFmtId="0" fontId="4" fillId="4" borderId="3" xfId="0" applyFont="1" applyFill="1" applyBorder="1" applyAlignment="1">
      <alignment horizontal="left" vertical="top"/>
    </xf>
    <xf numFmtId="0" fontId="4" fillId="6" borderId="3" xfId="0" applyFont="1" applyFill="1" applyBorder="1" applyAlignment="1">
      <alignment horizontal="left" vertical="top"/>
    </xf>
    <xf numFmtId="0" fontId="4" fillId="6" borderId="17" xfId="0" applyFont="1" applyFill="1" applyBorder="1" applyAlignment="1">
      <alignment horizontal="left" vertical="top"/>
    </xf>
    <xf numFmtId="0" fontId="12" fillId="6" borderId="20" xfId="0" applyFont="1" applyFill="1" applyBorder="1" applyAlignment="1">
      <alignment horizontal="left" vertical="top"/>
    </xf>
    <xf numFmtId="2" fontId="4" fillId="6" borderId="8" xfId="0" applyNumberFormat="1" applyFont="1" applyFill="1" applyBorder="1" applyAlignment="1">
      <alignment horizontal="right" vertical="top"/>
    </xf>
    <xf numFmtId="0" fontId="4" fillId="6" borderId="8" xfId="0" applyFont="1" applyFill="1" applyBorder="1" applyAlignment="1">
      <alignment horizontal="left" vertical="top"/>
    </xf>
    <xf numFmtId="1" fontId="4" fillId="6" borderId="8" xfId="0" applyNumberFormat="1" applyFont="1" applyFill="1" applyBorder="1" applyAlignment="1">
      <alignment horizontal="right" vertical="top"/>
    </xf>
    <xf numFmtId="0" fontId="7" fillId="6" borderId="6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7" fillId="0" borderId="0" xfId="0" applyFont="1" applyAlignment="1">
      <alignment horizontal="left"/>
    </xf>
    <xf numFmtId="4" fontId="7" fillId="0" borderId="6" xfId="0" applyNumberFormat="1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left"/>
    </xf>
    <xf numFmtId="4" fontId="7" fillId="4" borderId="0" xfId="0" applyNumberFormat="1" applyFont="1" applyFill="1" applyAlignment="1">
      <alignment horizontal="left"/>
    </xf>
    <xf numFmtId="0" fontId="7" fillId="4" borderId="0" xfId="0" applyFont="1" applyFill="1" applyAlignment="1">
      <alignment horizontal="left"/>
    </xf>
    <xf numFmtId="4" fontId="13" fillId="13" borderId="0" xfId="0" applyNumberFormat="1" applyFont="1" applyFill="1" applyAlignment="1">
      <alignment horizontal="left"/>
    </xf>
    <xf numFmtId="0" fontId="13" fillId="13" borderId="0" xfId="0" applyFont="1" applyFill="1" applyAlignment="1">
      <alignment horizontal="left"/>
    </xf>
    <xf numFmtId="4" fontId="13" fillId="10" borderId="0" xfId="0" applyNumberFormat="1" applyFont="1" applyFill="1" applyAlignment="1">
      <alignment horizontal="left"/>
    </xf>
    <xf numFmtId="0" fontId="13" fillId="10" borderId="0" xfId="0" applyFont="1" applyFill="1" applyAlignment="1">
      <alignment horizontal="left"/>
    </xf>
    <xf numFmtId="0" fontId="14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7" fillId="8" borderId="0" xfId="0" applyFont="1" applyFill="1" applyAlignment="1">
      <alignment horizontal="right"/>
    </xf>
    <xf numFmtId="4" fontId="7" fillId="8" borderId="0" xfId="0" applyNumberFormat="1" applyFont="1" applyFill="1" applyAlignment="1">
      <alignment horizontal="left"/>
    </xf>
    <xf numFmtId="0" fontId="7" fillId="8" borderId="0" xfId="0" applyFont="1" applyFill="1" applyAlignment="1">
      <alignment horizontal="left"/>
    </xf>
    <xf numFmtId="0" fontId="0" fillId="14" borderId="0" xfId="0" applyFill="1" applyAlignment="1">
      <alignment horizontal="left"/>
    </xf>
    <xf numFmtId="0" fontId="3" fillId="12" borderId="0" xfId="0" applyFont="1" applyFill="1"/>
    <xf numFmtId="0" fontId="8" fillId="11" borderId="6" xfId="0" applyFont="1" applyFill="1" applyBorder="1" applyAlignment="1">
      <alignment horizontal="left" vertical="top"/>
    </xf>
    <xf numFmtId="0" fontId="4" fillId="15" borderId="6" xfId="0" applyFont="1" applyFill="1" applyBorder="1" applyAlignment="1">
      <alignment horizontal="left" vertical="top"/>
    </xf>
    <xf numFmtId="0" fontId="4" fillId="12" borderId="11" xfId="0" applyFont="1" applyFill="1" applyBorder="1" applyAlignment="1">
      <alignment horizontal="left" vertical="top"/>
    </xf>
    <xf numFmtId="0" fontId="4" fillId="12" borderId="3" xfId="0" applyFont="1" applyFill="1" applyBorder="1" applyAlignment="1">
      <alignment horizontal="left" vertical="top"/>
    </xf>
    <xf numFmtId="0" fontId="0" fillId="0" borderId="21" xfId="0" applyBorder="1"/>
    <xf numFmtId="0" fontId="0" fillId="16" borderId="0" xfId="0" applyFill="1"/>
    <xf numFmtId="0" fontId="0" fillId="0" borderId="22" xfId="0" applyBorder="1"/>
    <xf numFmtId="0" fontId="0" fillId="0" borderId="23" xfId="0" applyBorder="1"/>
    <xf numFmtId="0" fontId="0" fillId="0" borderId="21" xfId="0" applyBorder="1" applyAlignment="1">
      <alignment horizontal="center"/>
    </xf>
    <xf numFmtId="0" fontId="0" fillId="16" borderId="21" xfId="0" applyFill="1" applyBorder="1" applyAlignment="1">
      <alignment horizontal="center"/>
    </xf>
    <xf numFmtId="0" fontId="0" fillId="17" borderId="23" xfId="0" applyFill="1" applyBorder="1"/>
    <xf numFmtId="2" fontId="0" fillId="0" borderId="23" xfId="0" applyNumberFormat="1" applyBorder="1"/>
    <xf numFmtId="2" fontId="0" fillId="0" borderId="21" xfId="0" applyNumberFormat="1" applyBorder="1"/>
    <xf numFmtId="2" fontId="0" fillId="16" borderId="21" xfId="0" applyNumberFormat="1" applyFill="1" applyBorder="1"/>
    <xf numFmtId="9" fontId="0" fillId="0" borderId="21" xfId="0" applyNumberFormat="1" applyBorder="1"/>
    <xf numFmtId="2" fontId="0" fillId="0" borderId="0" xfId="0" applyNumberFormat="1"/>
    <xf numFmtId="2" fontId="0" fillId="0" borderId="10" xfId="0" applyNumberFormat="1" applyBorder="1"/>
    <xf numFmtId="2" fontId="0" fillId="16" borderId="0" xfId="0" applyNumberFormat="1" applyFill="1"/>
    <xf numFmtId="0" fontId="0" fillId="0" borderId="0" xfId="0" pivotButton="1"/>
    <xf numFmtId="0" fontId="0" fillId="0" borderId="21" xfId="0" pivotButton="1" applyBorder="1"/>
    <xf numFmtId="0" fontId="0" fillId="11" borderId="21" xfId="0" applyFill="1" applyBorder="1" applyAlignment="1">
      <alignment horizontal="center"/>
    </xf>
    <xf numFmtId="0" fontId="0" fillId="0" borderId="21" xfId="0" applyBorder="1" applyAlignment="1">
      <alignment horizontal="left"/>
    </xf>
    <xf numFmtId="165" fontId="0" fillId="0" borderId="21" xfId="0" applyNumberFormat="1" applyBorder="1"/>
    <xf numFmtId="1" fontId="0" fillId="0" borderId="21" xfId="0" applyNumberFormat="1" applyBorder="1" applyAlignment="1">
      <alignment horizontal="center"/>
    </xf>
    <xf numFmtId="0" fontId="0" fillId="18" borderId="21" xfId="0" applyFill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5" fillId="19" borderId="22" xfId="0" applyFont="1" applyFill="1" applyBorder="1" applyAlignment="1">
      <alignment horizontal="center"/>
    </xf>
    <xf numFmtId="0" fontId="15" fillId="20" borderId="22" xfId="0" applyFont="1" applyFill="1" applyBorder="1" applyAlignment="1">
      <alignment horizontal="center"/>
    </xf>
    <xf numFmtId="0" fontId="15" fillId="20" borderId="10" xfId="0" applyFont="1" applyFill="1" applyBorder="1" applyAlignment="1">
      <alignment horizontal="center"/>
    </xf>
    <xf numFmtId="0" fontId="15" fillId="20" borderId="24" xfId="0" applyFont="1" applyFill="1" applyBorder="1" applyAlignment="1">
      <alignment horizontal="center"/>
    </xf>
    <xf numFmtId="0" fontId="0" fillId="0" borderId="24" xfId="0" applyBorder="1" applyAlignment="1">
      <alignment horizontal="left"/>
    </xf>
    <xf numFmtId="0" fontId="0" fillId="0" borderId="24" xfId="0" applyBorder="1" applyAlignment="1">
      <alignment horizontal="center"/>
    </xf>
    <xf numFmtId="2" fontId="0" fillId="0" borderId="24" xfId="0" applyNumberFormat="1" applyBorder="1" applyAlignment="1">
      <alignment horizontal="center"/>
    </xf>
    <xf numFmtId="0" fontId="0" fillId="19" borderId="24" xfId="0" applyFill="1" applyBorder="1" applyAlignment="1">
      <alignment horizontal="center" vertical="center"/>
    </xf>
    <xf numFmtId="2" fontId="0" fillId="19" borderId="24" xfId="0" applyNumberFormat="1" applyFill="1" applyBorder="1" applyAlignment="1">
      <alignment horizontal="center" vertical="center"/>
    </xf>
    <xf numFmtId="1" fontId="0" fillId="0" borderId="24" xfId="0" applyNumberFormat="1" applyBorder="1" applyAlignment="1">
      <alignment horizontal="center" vertical="center"/>
    </xf>
    <xf numFmtId="9" fontId="0" fillId="0" borderId="24" xfId="1" applyNumberFormat="1" applyBorder="1" applyAlignment="1">
      <alignment horizontal="center" vertical="center"/>
    </xf>
    <xf numFmtId="49" fontId="0" fillId="0" borderId="24" xfId="0" applyNumberForma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1" fontId="0" fillId="21" borderId="24" xfId="0" applyNumberFormat="1" applyFill="1" applyBorder="1" applyAlignment="1">
      <alignment horizontal="center" vertical="center"/>
    </xf>
    <xf numFmtId="49" fontId="0" fillId="0" borderId="24" xfId="0" applyNumberForma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15" fillId="0" borderId="24" xfId="0" applyFont="1" applyBorder="1" applyAlignment="1">
      <alignment horizontal="center" wrapText="1"/>
    </xf>
    <xf numFmtId="164" fontId="0" fillId="0" borderId="24" xfId="0" applyNumberFormat="1" applyBorder="1" applyAlignment="1">
      <alignment horizontal="center"/>
    </xf>
    <xf numFmtId="0" fontId="0" fillId="0" borderId="24" xfId="0" applyBorder="1"/>
    <xf numFmtId="0" fontId="0" fillId="0" borderId="0" xfId="0" applyAlignment="1">
      <alignment horizontal="center"/>
    </xf>
    <xf numFmtId="0" fontId="16" fillId="22" borderId="0" xfId="0" applyFont="1" applyFill="1" applyAlignment="1">
      <alignment horizontal="right"/>
    </xf>
    <xf numFmtId="2" fontId="17" fillId="22" borderId="1" xfId="2" applyNumberFormat="1" applyFont="1" applyFill="1" applyBorder="1" applyAlignment="1">
      <alignment horizontal="center"/>
    </xf>
    <xf numFmtId="164" fontId="17" fillId="22" borderId="1" xfId="2" applyNumberFormat="1" applyFont="1" applyFill="1" applyBorder="1" applyAlignment="1">
      <alignment horizontal="center"/>
    </xf>
    <xf numFmtId="9" fontId="17" fillId="22" borderId="1" xfId="2" applyNumberFormat="1" applyFont="1" applyFill="1" applyBorder="1" applyAlignment="1">
      <alignment horizontal="center"/>
    </xf>
    <xf numFmtId="0" fontId="16" fillId="22" borderId="0" xfId="0" applyFont="1" applyFill="1"/>
    <xf numFmtId="2" fontId="17" fillId="22" borderId="25" xfId="2" applyNumberFormat="1" applyFont="1" applyFill="1" applyBorder="1" applyAlignment="1">
      <alignment horizontal="center"/>
    </xf>
    <xf numFmtId="2" fontId="17" fillId="22" borderId="24" xfId="2" applyNumberFormat="1" applyFont="1" applyFill="1" applyBorder="1" applyAlignment="1">
      <alignment horizontal="center"/>
    </xf>
    <xf numFmtId="4" fontId="18" fillId="0" borderId="0" xfId="0" applyNumberFormat="1" applyFont="1"/>
    <xf numFmtId="0" fontId="2" fillId="5" borderId="26" xfId="0" applyFont="1" applyFill="1" applyBorder="1" applyAlignment="1">
      <alignment horizontal="left" vertical="top"/>
    </xf>
    <xf numFmtId="0" fontId="19" fillId="5" borderId="4" xfId="0" applyFont="1" applyFill="1" applyBorder="1" applyAlignment="1">
      <alignment horizontal="left" vertical="top"/>
    </xf>
    <xf numFmtId="0" fontId="3" fillId="23" borderId="21" xfId="0" applyFont="1" applyFill="1" applyBorder="1"/>
    <xf numFmtId="0" fontId="20" fillId="6" borderId="27" xfId="0" applyFont="1" applyFill="1" applyBorder="1" applyAlignment="1">
      <alignment horizontal="left" vertical="top"/>
    </xf>
    <xf numFmtId="2" fontId="20" fillId="6" borderId="27" xfId="0" applyNumberFormat="1" applyFont="1" applyFill="1" applyBorder="1" applyAlignment="1">
      <alignment horizontal="right" vertical="top"/>
    </xf>
    <xf numFmtId="0" fontId="20" fillId="6" borderId="27" xfId="0" applyFont="1" applyFill="1" applyBorder="1" applyAlignment="1">
      <alignment horizontal="right" vertical="top"/>
    </xf>
    <xf numFmtId="0" fontId="4" fillId="7" borderId="21" xfId="0" applyFont="1" applyFill="1" applyBorder="1" applyAlignment="1">
      <alignment horizontal="left" vertical="top"/>
    </xf>
    <xf numFmtId="0" fontId="4" fillId="8" borderId="21" xfId="0" applyFont="1" applyFill="1" applyBorder="1" applyAlignment="1">
      <alignment horizontal="left" vertical="top"/>
    </xf>
    <xf numFmtId="2" fontId="4" fillId="8" borderId="21" xfId="0" applyNumberFormat="1" applyFont="1" applyFill="1" applyBorder="1" applyAlignment="1">
      <alignment horizontal="left" vertical="top"/>
    </xf>
    <xf numFmtId="0" fontId="20" fillId="24" borderId="27" xfId="0" applyFont="1" applyFill="1" applyBorder="1" applyAlignment="1">
      <alignment horizontal="left" vertical="top"/>
    </xf>
    <xf numFmtId="2" fontId="20" fillId="24" borderId="27" xfId="0" applyNumberFormat="1" applyFont="1" applyFill="1" applyBorder="1" applyAlignment="1">
      <alignment horizontal="right" vertical="top"/>
    </xf>
    <xf numFmtId="2" fontId="20" fillId="25" borderId="27" xfId="0" applyNumberFormat="1" applyFont="1" applyFill="1" applyBorder="1" applyAlignment="1">
      <alignment horizontal="right" vertical="top"/>
    </xf>
    <xf numFmtId="2" fontId="0" fillId="0" borderId="28" xfId="0" applyNumberFormat="1" applyBorder="1"/>
    <xf numFmtId="0" fontId="20" fillId="0" borderId="27" xfId="0" applyFont="1" applyBorder="1" applyAlignment="1">
      <alignment horizontal="left" vertical="top"/>
    </xf>
    <xf numFmtId="0" fontId="20" fillId="24" borderId="27" xfId="0" applyFont="1" applyFill="1" applyBorder="1" applyAlignment="1">
      <alignment horizontal="right" vertical="top"/>
    </xf>
    <xf numFmtId="0" fontId="20" fillId="26" borderId="27" xfId="0" applyFont="1" applyFill="1" applyBorder="1" applyAlignment="1">
      <alignment horizontal="left" vertical="top"/>
    </xf>
    <xf numFmtId="2" fontId="20" fillId="26" borderId="27" xfId="0" applyNumberFormat="1" applyFont="1" applyFill="1" applyBorder="1" applyAlignment="1">
      <alignment horizontal="right" vertical="top"/>
    </xf>
    <xf numFmtId="0" fontId="20" fillId="26" borderId="27" xfId="0" applyFont="1" applyFill="1" applyBorder="1" applyAlignment="1">
      <alignment horizontal="right" vertical="top"/>
    </xf>
    <xf numFmtId="0" fontId="3" fillId="23" borderId="23" xfId="0" applyFont="1" applyFill="1" applyBorder="1"/>
    <xf numFmtId="0" fontId="20" fillId="6" borderId="29" xfId="0" applyFont="1" applyFill="1" applyBorder="1" applyAlignment="1">
      <alignment horizontal="left" vertical="top"/>
    </xf>
    <xf numFmtId="0" fontId="20" fillId="27" borderId="27" xfId="0" applyFont="1" applyFill="1" applyBorder="1" applyAlignment="1">
      <alignment horizontal="left" vertical="top"/>
    </xf>
    <xf numFmtId="0" fontId="4" fillId="28" borderId="21" xfId="0" applyFont="1" applyFill="1" applyBorder="1" applyAlignment="1">
      <alignment horizontal="left" vertical="top"/>
    </xf>
    <xf numFmtId="0" fontId="20" fillId="29" borderId="27" xfId="0" applyFont="1" applyFill="1" applyBorder="1" applyAlignment="1">
      <alignment horizontal="left" vertical="top"/>
    </xf>
    <xf numFmtId="0" fontId="4" fillId="28" borderId="30" xfId="0" applyFont="1" applyFill="1" applyBorder="1" applyAlignment="1">
      <alignment horizontal="left" vertical="top"/>
    </xf>
    <xf numFmtId="0" fontId="20" fillId="6" borderId="31" xfId="0" applyFont="1" applyFill="1" applyBorder="1" applyAlignment="1">
      <alignment horizontal="left" vertical="top"/>
    </xf>
    <xf numFmtId="0" fontId="4" fillId="28" borderId="23" xfId="0" applyFont="1" applyFill="1" applyBorder="1" applyAlignment="1">
      <alignment horizontal="left" vertical="top"/>
    </xf>
    <xf numFmtId="4" fontId="13" fillId="30" borderId="0" xfId="0" applyNumberFormat="1" applyFont="1" applyFill="1" applyAlignment="1">
      <alignment horizontal="left"/>
    </xf>
    <xf numFmtId="0" fontId="13" fillId="30" borderId="0" xfId="0" applyFont="1" applyFill="1" applyAlignment="1">
      <alignment horizontal="left"/>
    </xf>
    <xf numFmtId="4" fontId="14" fillId="0" borderId="0" xfId="0" applyNumberFormat="1" applyFont="1" applyAlignment="1">
      <alignment horizontal="left"/>
    </xf>
    <xf numFmtId="0" fontId="21" fillId="15" borderId="0" xfId="0" applyFont="1" applyFill="1"/>
    <xf numFmtId="0" fontId="0" fillId="11" borderId="0" xfId="0" applyFill="1"/>
    <xf numFmtId="0" fontId="0" fillId="4" borderId="7" xfId="0" applyFill="1" applyBorder="1"/>
    <xf numFmtId="0" fontId="0" fillId="31" borderId="6" xfId="0" applyFill="1" applyBorder="1"/>
    <xf numFmtId="0" fontId="0" fillId="10" borderId="7" xfId="0" applyFill="1" applyBorder="1" applyAlignment="1">
      <alignment wrapText="1"/>
    </xf>
    <xf numFmtId="0" fontId="0" fillId="31" borderId="6" xfId="0" applyFill="1" applyBorder="1" applyAlignment="1">
      <alignment wrapText="1"/>
    </xf>
    <xf numFmtId="0" fontId="0" fillId="31" borderId="3" xfId="0" applyFill="1" applyBorder="1" applyAlignment="1">
      <alignment wrapText="1"/>
    </xf>
    <xf numFmtId="0" fontId="0" fillId="31" borderId="3" xfId="0" applyFill="1" applyBorder="1" applyAlignment="1">
      <alignment vertical="center" wrapText="1"/>
    </xf>
    <xf numFmtId="2" fontId="22" fillId="0" borderId="6" xfId="0" applyNumberFormat="1" applyFont="1" applyBorder="1"/>
    <xf numFmtId="9" fontId="0" fillId="0" borderId="6" xfId="0" applyNumberFormat="1" applyBorder="1"/>
    <xf numFmtId="2" fontId="22" fillId="6" borderId="6" xfId="0" applyNumberFormat="1" applyFont="1" applyFill="1" applyBorder="1"/>
    <xf numFmtId="1" fontId="0" fillId="0" borderId="6" xfId="0" applyNumberFormat="1" applyBorder="1"/>
    <xf numFmtId="0" fontId="0" fillId="0" borderId="6" xfId="0" applyBorder="1" applyAlignment="1">
      <alignment vertical="center"/>
    </xf>
    <xf numFmtId="0" fontId="0" fillId="0" borderId="6" xfId="0" applyBorder="1" applyAlignment="1">
      <alignment vertical="top" wrapText="1"/>
    </xf>
    <xf numFmtId="0" fontId="0" fillId="32" borderId="6" xfId="0" applyFill="1" applyBorder="1"/>
    <xf numFmtId="2" fontId="22" fillId="33" borderId="6" xfId="0" applyNumberFormat="1" applyFont="1" applyFill="1" applyBorder="1"/>
    <xf numFmtId="0" fontId="3" fillId="0" borderId="6" xfId="0" applyFont="1" applyBorder="1" applyAlignment="1">
      <alignment vertical="top" wrapText="1"/>
    </xf>
    <xf numFmtId="0" fontId="3" fillId="0" borderId="7" xfId="0" applyFont="1" applyBorder="1"/>
    <xf numFmtId="0" fontId="3" fillId="0" borderId="6" xfId="0" applyFont="1" applyBorder="1"/>
    <xf numFmtId="0" fontId="3" fillId="15" borderId="6" xfId="0" applyFont="1" applyFill="1" applyBorder="1" applyAlignment="1">
      <alignment vertical="top" wrapText="1"/>
    </xf>
    <xf numFmtId="0" fontId="0" fillId="6" borderId="6" xfId="0" applyFill="1" applyBorder="1" applyAlignment="1">
      <alignment vertical="center"/>
    </xf>
    <xf numFmtId="0" fontId="0" fillId="11" borderId="6" xfId="0" applyFill="1" applyBorder="1" applyAlignment="1">
      <alignment vertical="top" wrapText="1"/>
    </xf>
    <xf numFmtId="0" fontId="0" fillId="8" borderId="6" xfId="0" applyFill="1" applyBorder="1" applyAlignment="1">
      <alignment vertical="center"/>
    </xf>
    <xf numFmtId="0" fontId="0" fillId="0" borderId="5" xfId="0" applyBorder="1" applyAlignment="1">
      <alignment vertical="top" wrapText="1"/>
    </xf>
    <xf numFmtId="0" fontId="23" fillId="15" borderId="6" xfId="0" applyFont="1" applyFill="1" applyBorder="1" applyAlignment="1">
      <alignment vertical="top" wrapText="1"/>
    </xf>
    <xf numFmtId="9" fontId="0" fillId="0" borderId="0" xfId="0" applyNumberFormat="1"/>
    <xf numFmtId="1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34" borderId="0" xfId="0" applyFont="1" applyFill="1"/>
    <xf numFmtId="4" fontId="0" fillId="0" borderId="0" xfId="0" applyNumberFormat="1"/>
    <xf numFmtId="4" fontId="3" fillId="34" borderId="0" xfId="0" applyNumberFormat="1" applyFont="1" applyFill="1"/>
    <xf numFmtId="0" fontId="0" fillId="35" borderId="0" xfId="0" applyFill="1"/>
    <xf numFmtId="0" fontId="21" fillId="15" borderId="32" xfId="0" applyFont="1" applyFill="1" applyBorder="1"/>
    <xf numFmtId="0" fontId="21" fillId="15" borderId="33" xfId="0" applyFont="1" applyFill="1" applyBorder="1"/>
    <xf numFmtId="9" fontId="21" fillId="15" borderId="34" xfId="0" applyNumberFormat="1" applyFont="1" applyFill="1" applyBorder="1"/>
    <xf numFmtId="0" fontId="21" fillId="14" borderId="6" xfId="0" applyFont="1" applyFill="1" applyBorder="1"/>
    <xf numFmtId="0" fontId="0" fillId="2" borderId="6" xfId="0" applyFill="1" applyBorder="1"/>
    <xf numFmtId="0" fontId="15" fillId="8" borderId="6" xfId="0" applyFont="1" applyFill="1" applyBorder="1"/>
    <xf numFmtId="0" fontId="0" fillId="36" borderId="6" xfId="0" applyFill="1" applyBorder="1"/>
    <xf numFmtId="0" fontId="15" fillId="9" borderId="6" xfId="0" applyFont="1" applyFill="1" applyBorder="1"/>
    <xf numFmtId="0" fontId="0" fillId="9" borderId="6" xfId="0" applyFill="1" applyBorder="1"/>
    <xf numFmtId="0" fontId="0" fillId="14" borderId="6" xfId="0" applyFill="1" applyBorder="1"/>
    <xf numFmtId="166" fontId="0" fillId="0" borderId="0" xfId="0" applyNumberFormat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2" fontId="0" fillId="0" borderId="35" xfId="0" applyNumberFormat="1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0" xfId="0" applyAlignment="1">
      <alignment horizontal="right"/>
    </xf>
    <xf numFmtId="0" fontId="0" fillId="15" borderId="0" xfId="0" applyFill="1"/>
    <xf numFmtId="0" fontId="0" fillId="0" borderId="5" xfId="0" applyBorder="1"/>
    <xf numFmtId="0" fontId="7" fillId="0" borderId="0" xfId="0" applyFont="1"/>
    <xf numFmtId="0" fontId="7" fillId="4" borderId="0" xfId="0" applyFont="1" applyFill="1"/>
    <xf numFmtId="2" fontId="0" fillId="0" borderId="6" xfId="0" applyNumberFormat="1" applyBorder="1"/>
    <xf numFmtId="2" fontId="21" fillId="10" borderId="7" xfId="0" applyNumberFormat="1" applyFont="1" applyFill="1" applyBorder="1"/>
    <xf numFmtId="2" fontId="0" fillId="6" borderId="7" xfId="0" applyNumberFormat="1" applyFill="1" applyBorder="1"/>
    <xf numFmtId="0" fontId="24" fillId="0" borderId="6" xfId="0" applyFont="1" applyBorder="1" applyAlignment="1">
      <alignment vertical="top" wrapText="1"/>
    </xf>
    <xf numFmtId="2" fontId="0" fillId="0" borderId="7" xfId="0" applyNumberFormat="1" applyBorder="1"/>
    <xf numFmtId="0" fontId="0" fillId="15" borderId="6" xfId="0" applyFill="1" applyBorder="1" applyAlignment="1">
      <alignment vertical="top" wrapText="1"/>
    </xf>
    <xf numFmtId="0" fontId="0" fillId="15" borderId="6" xfId="0" applyFill="1" applyBorder="1" applyAlignment="1">
      <alignment vertical="center"/>
    </xf>
    <xf numFmtId="0" fontId="0" fillId="6" borderId="6" xfId="0" applyFill="1" applyBorder="1" applyAlignment="1">
      <alignment vertical="top" wrapText="1"/>
    </xf>
    <xf numFmtId="0" fontId="0" fillId="0" borderId="46" xfId="0" applyBorder="1"/>
    <xf numFmtId="2" fontId="0" fillId="0" borderId="46" xfId="0" applyNumberFormat="1" applyBorder="1"/>
    <xf numFmtId="2" fontId="0" fillId="6" borderId="17" xfId="0" applyNumberFormat="1" applyFill="1" applyBorder="1"/>
    <xf numFmtId="0" fontId="0" fillId="0" borderId="9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2" fontId="4" fillId="6" borderId="55" xfId="0" applyNumberFormat="1" applyFont="1" applyFill="1" applyBorder="1" applyAlignment="1">
      <alignment horizontal="right" vertical="top"/>
    </xf>
    <xf numFmtId="4" fontId="4" fillId="6" borderId="55" xfId="0" applyNumberFormat="1" applyFont="1" applyFill="1" applyBorder="1" applyAlignment="1">
      <alignment horizontal="right" vertical="top"/>
    </xf>
    <xf numFmtId="4" fontId="4" fillId="4" borderId="0" xfId="0" applyNumberFormat="1" applyFont="1" applyFill="1" applyAlignment="1">
      <alignment horizontal="right"/>
    </xf>
    <xf numFmtId="4" fontId="25" fillId="13" borderId="0" xfId="0" applyNumberFormat="1" applyFont="1" applyFill="1" applyAlignment="1">
      <alignment horizontal="right"/>
    </xf>
    <xf numFmtId="4" fontId="4" fillId="32" borderId="0" xfId="0" applyNumberFormat="1" applyFont="1" applyFill="1" applyAlignment="1">
      <alignment horizontal="right"/>
    </xf>
    <xf numFmtId="0" fontId="4" fillId="6" borderId="55" xfId="0" applyFont="1" applyFill="1" applyBorder="1" applyAlignment="1">
      <alignment horizontal="left" vertical="top"/>
    </xf>
    <xf numFmtId="1" fontId="4" fillId="6" borderId="55" xfId="0" applyNumberFormat="1" applyFont="1" applyFill="1" applyBorder="1" applyAlignment="1">
      <alignment horizontal="right" vertical="top"/>
    </xf>
    <xf numFmtId="0" fontId="25" fillId="15" borderId="55" xfId="0" applyFont="1" applyFill="1" applyBorder="1" applyAlignment="1">
      <alignment horizontal="left" vertical="top"/>
    </xf>
    <xf numFmtId="0" fontId="25" fillId="37" borderId="55" xfId="0" applyFont="1" applyFill="1" applyBorder="1" applyAlignment="1">
      <alignment horizontal="left" vertical="top"/>
    </xf>
    <xf numFmtId="0" fontId="3" fillId="38" borderId="0" xfId="0" applyFont="1" applyFill="1"/>
    <xf numFmtId="2" fontId="25" fillId="35" borderId="55" xfId="0" applyNumberFormat="1" applyFont="1" applyFill="1" applyBorder="1" applyAlignment="1">
      <alignment horizontal="right" vertical="top"/>
    </xf>
    <xf numFmtId="2" fontId="20" fillId="39" borderId="56" xfId="0" applyNumberFormat="1" applyFont="1" applyFill="1" applyBorder="1" applyAlignment="1">
      <alignment horizontal="right" vertical="top"/>
    </xf>
    <xf numFmtId="2" fontId="20" fillId="11" borderId="27" xfId="0" applyNumberFormat="1" applyFont="1" applyFill="1" applyBorder="1" applyAlignment="1">
      <alignment horizontal="right" vertical="top"/>
    </xf>
    <xf numFmtId="2" fontId="4" fillId="6" borderId="21" xfId="0" applyNumberFormat="1" applyFont="1" applyFill="1" applyBorder="1" applyAlignment="1">
      <alignment horizontal="right" vertical="top"/>
    </xf>
    <xf numFmtId="0" fontId="4" fillId="6" borderId="21" xfId="0" applyFont="1" applyFill="1" applyBorder="1" applyAlignment="1">
      <alignment horizontal="left" vertical="top"/>
    </xf>
    <xf numFmtId="0" fontId="4" fillId="6" borderId="21" xfId="0" applyFont="1" applyFill="1" applyBorder="1" applyAlignment="1">
      <alignment horizontal="right" vertical="top"/>
    </xf>
    <xf numFmtId="2" fontId="20" fillId="11" borderId="56" xfId="0" applyNumberFormat="1" applyFont="1" applyFill="1" applyBorder="1" applyAlignment="1">
      <alignment horizontal="right" vertical="top"/>
    </xf>
    <xf numFmtId="2" fontId="20" fillId="40" borderId="56" xfId="0" applyNumberFormat="1" applyFont="1" applyFill="1" applyBorder="1" applyAlignment="1">
      <alignment horizontal="right" vertical="top"/>
    </xf>
    <xf numFmtId="2" fontId="20" fillId="41" borderId="56" xfId="0" applyNumberFormat="1" applyFont="1" applyFill="1" applyBorder="1" applyAlignment="1">
      <alignment horizontal="right" vertical="top"/>
    </xf>
    <xf numFmtId="2" fontId="20" fillId="42" borderId="27" xfId="0" applyNumberFormat="1" applyFont="1" applyFill="1" applyBorder="1" applyAlignment="1">
      <alignment horizontal="right" vertical="top"/>
    </xf>
    <xf numFmtId="2" fontId="20" fillId="43" borderId="27" xfId="0" applyNumberFormat="1" applyFont="1" applyFill="1" applyBorder="1" applyAlignment="1">
      <alignment horizontal="right" vertical="top"/>
    </xf>
    <xf numFmtId="2" fontId="20" fillId="6" borderId="56" xfId="0" applyNumberFormat="1" applyFont="1" applyFill="1" applyBorder="1" applyAlignment="1">
      <alignment horizontal="right" vertical="top"/>
    </xf>
    <xf numFmtId="2" fontId="20" fillId="44" borderId="27" xfId="0" applyNumberFormat="1" applyFont="1" applyFill="1" applyBorder="1" applyAlignment="1">
      <alignment horizontal="right" vertical="top"/>
    </xf>
    <xf numFmtId="2" fontId="4" fillId="11" borderId="56" xfId="0" applyNumberFormat="1" applyFont="1" applyFill="1" applyBorder="1" applyAlignment="1">
      <alignment horizontal="right" vertical="top"/>
    </xf>
    <xf numFmtId="2" fontId="4" fillId="39" borderId="56" xfId="0" applyNumberFormat="1" applyFont="1" applyFill="1" applyBorder="1" applyAlignment="1">
      <alignment horizontal="right" vertical="top"/>
    </xf>
    <xf numFmtId="2" fontId="4" fillId="40" borderId="56" xfId="0" applyNumberFormat="1" applyFont="1" applyFill="1" applyBorder="1" applyAlignment="1">
      <alignment horizontal="right" vertical="top"/>
    </xf>
    <xf numFmtId="2" fontId="20" fillId="45" borderId="27" xfId="0" applyNumberFormat="1" applyFont="1" applyFill="1" applyBorder="1" applyAlignment="1">
      <alignment horizontal="right" vertical="top"/>
    </xf>
    <xf numFmtId="2" fontId="4" fillId="45" borderId="21" xfId="0" applyNumberFormat="1" applyFont="1" applyFill="1" applyBorder="1" applyAlignment="1">
      <alignment horizontal="right" vertical="top"/>
    </xf>
    <xf numFmtId="2" fontId="0" fillId="45" borderId="0" xfId="0" applyNumberFormat="1" applyFill="1"/>
    <xf numFmtId="2" fontId="20" fillId="46" borderId="27" xfId="0" applyNumberFormat="1" applyFont="1" applyFill="1" applyBorder="1" applyAlignment="1">
      <alignment horizontal="right" vertical="top"/>
    </xf>
  </cellXfs>
  <cellStyles count="3">
    <cellStyle name="Вывод" xfId="2" builtinId="21"/>
    <cellStyle name="Обычный" xfId="0" builtinId="0"/>
    <cellStyle name="Процентный" xfId="1" builtinId="5"/>
  </cellStyles>
  <dxfs count="10">
    <dxf>
      <fill>
        <patternFill patternType="solid">
          <fgColor rgb="FFFBD4B4"/>
          <bgColor rgb="FFFBD4B4"/>
        </patternFill>
      </fill>
    </dxf>
    <dxf>
      <font>
        <u/>
        <color theme="1"/>
      </font>
      <fill>
        <patternFill patternType="solid">
          <fgColor rgb="FF91CDDC"/>
          <bgColor rgb="FF91CDDC"/>
        </patternFill>
      </fill>
    </dxf>
    <dxf>
      <font>
        <b/>
      </font>
      <fill>
        <patternFill patternType="solid">
          <fgColor rgb="FFD89493"/>
          <bgColor rgb="FFD89493"/>
        </patternFill>
      </fill>
    </dxf>
    <dxf>
      <font>
        <i/>
      </font>
      <fill>
        <patternFill patternType="solid">
          <fgColor rgb="FF9BBB59"/>
          <bgColor rgb="FF9BBB59"/>
        </patternFill>
      </fill>
    </dxf>
    <dxf>
      <fill>
        <patternFill patternType="solid">
          <fgColor rgb="FFB2A1C6"/>
          <bgColor rgb="FFB2A1C6"/>
        </patternFill>
      </fill>
    </dxf>
    <dxf>
      <fill>
        <patternFill patternType="solid">
          <fgColor rgb="FFB2A1C6"/>
          <bgColor rgb="FFB2A1C6"/>
        </patternFill>
      </fill>
    </dxf>
    <dxf>
      <font>
        <i/>
      </font>
      <fill>
        <patternFill patternType="solid">
          <fgColor rgb="FF9BBB59"/>
          <bgColor rgb="FF9BBB59"/>
        </patternFill>
      </fill>
    </dxf>
    <dxf>
      <font>
        <b/>
      </font>
      <fill>
        <patternFill patternType="solid">
          <fgColor rgb="FFD89493"/>
          <bgColor rgb="FFD89493"/>
        </patternFill>
      </fill>
    </dxf>
    <dxf>
      <font>
        <u/>
        <color theme="1"/>
      </font>
      <fill>
        <patternFill patternType="solid">
          <fgColor rgb="FF91CDDC"/>
          <bgColor rgb="FF91CDDC"/>
        </patternFill>
      </fill>
    </dxf>
    <dxf>
      <fill>
        <patternFill patternType="solid">
          <fgColor rgb="FFFBD4B4"/>
          <bgColor rgb="FFFBD4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ндрей Белевцев" refreshedDate="44819.500586111113" createdVersion="4" refreshedVersion="6" minRefreshableVersion="3" recordCount="358" xr:uid="{00000000-000A-0000-FFFF-FFFF00000000}">
  <cacheSource type="worksheet">
    <worksheetSource ref="A1:Q896" sheet="Нагрузка"/>
  </cacheSource>
  <cacheFields count="17">
    <cacheField name="семестр" numFmtId="0">
      <sharedItems/>
    </cacheField>
    <cacheField name="Дисциплина" numFmtId="0">
      <sharedItems/>
    </cacheField>
    <cacheField name="Вид нагрузки" numFmtId="0">
      <sharedItems/>
    </cacheField>
    <cacheField name="Группы" numFmtId="0">
      <sharedItems containsBlank="1"/>
    </cacheField>
    <cacheField name="Нагрузка" numFmtId="2">
      <sharedItems containsSemiMixedTypes="0" containsString="0" containsNumber="1" minValue="1" maxValue="129.55000000000001"/>
    </cacheField>
    <cacheField name="Поток" numFmtId="0">
      <sharedItems containsBlank="1"/>
    </cacheField>
    <cacheField name="Количества часов по УП" numFmtId="0">
      <sharedItems containsString="0" containsBlank="1" containsNumber="1" containsInteger="1" minValue="8" maxValue="96"/>
    </cacheField>
    <cacheField name="Табельный №" numFmtId="0">
      <sharedItems containsBlank="1"/>
    </cacheField>
    <cacheField name="ФИО" numFmtId="0">
      <sharedItems containsBlank="1" count="29">
        <s v="Бендерский Геннадий Петрович "/>
        <s v="Климов Константин Николаевич"/>
        <s v="Бухаров Сергей Викторович"/>
        <s v="Дрягин Иван Олегович"/>
        <s v="Александрова Светлана Сергеевна"/>
        <s v="Власенко Артем Николаевич "/>
        <s v="Луценко Александр Владимирович"/>
        <s v="Дворецкий Виктор Васильевич"/>
        <s v="Гвоздарев Роман Сергеевич"/>
        <s v="Крючков Василий Леонидович "/>
        <s v="Истомина Наталья Леонидовна"/>
        <s v="Белевцев Андрей Михайлович"/>
        <s v="Кубрин Владимир Иванович "/>
        <s v="Анферова Маргарита Сергеевна"/>
        <s v="Садковская Наталия Евгеньевна "/>
        <s v="Молостова Юлия Михайловна"/>
        <s v="Воронин Павел Александрович"/>
        <s v="Епанешникова Ирина Кириковна "/>
        <s v="Садреев Фарид Гайнутдинович"/>
        <s v="Левашова Дарья Вячеславовна"/>
        <m u="1"/>
        <s v="Епанешникова Ирина Кириковна" u="1"/>
        <s v="Бендеркий Геннадий Петрович" u="1"/>
        <s v="Садковская Наталия Евгеньевна" u="1"/>
        <s v="." u="1"/>
        <s v="Бендерский Геннадий Петрович" u="1"/>
        <s v="Власенко Артем Николаевич" u="1"/>
        <s v="Крючков Василий Леонидович" u="1"/>
        <s v="Кубрин Владимир Иванович" u="1"/>
      </sharedItems>
    </cacheField>
    <cacheField name="Должность" numFmtId="0">
      <sharedItems containsNonDate="0" containsString="0" containsBlank="1"/>
    </cacheField>
    <cacheField name="65+" numFmtId="0">
      <sharedItems/>
    </cacheField>
    <cacheField name="Желаемая аудитория" numFmtId="0">
      <sharedItems containsNonDate="0" containsString="0" containsBlank="1"/>
    </cacheField>
    <cacheField name="Описание (пожелания по дням недели, времени, требования по техническому обеспечению аудитории)" numFmtId="0">
      <sharedItems containsNonDate="0" containsString="0" containsBlank="1"/>
    </cacheField>
    <cacheField name="осень" numFmtId="0">
      <sharedItems containsSemiMixedTypes="0" containsString="0" containsNumber="1" minValue="0" maxValue="334"/>
    </cacheField>
    <cacheField name="весна" numFmtId="0">
      <sharedItems containsSemiMixedTypes="0" containsString="0" containsNumber="1" minValue="24" maxValue="392.03000000000003"/>
    </cacheField>
    <cacheField name="всего" numFmtId="0">
      <sharedItems containsSemiMixedTypes="0" containsString="0" containsNumber="1" minValue="24" maxValue="672.7"/>
    </cacheField>
    <cacheField name="830" numFmtId="2">
      <sharedItems containsSemiMixedTypes="0" containsString="0" containsNumber="1" minValue="2.891566265060241E-2" maxValue="0.810481927710843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4" refreshedVersion="4" minRefreshableVersion="3" recordCount="895" xr:uid="{00000000-000A-0000-FFFF-FFFF01000000}">
  <cacheSource type="worksheet">
    <worksheetSource ref="A1:T896" sheet="Нагрузка"/>
  </cacheSource>
  <cacheFields count="20">
    <cacheField name="семестр" numFmtId="0">
      <sharedItems/>
    </cacheField>
    <cacheField name="Дисциплина" numFmtId="0">
      <sharedItems/>
    </cacheField>
    <cacheField name="Вид нагрузки" numFmtId="0">
      <sharedItems/>
    </cacheField>
    <cacheField name="Группы" numFmtId="0">
      <sharedItems containsBlank="1"/>
    </cacheField>
    <cacheField name="Нагрузка" numFmtId="2">
      <sharedItems containsSemiMixedTypes="0" containsString="0" containsNumber="1" minValue="-1.5" maxValue="80"/>
    </cacheField>
    <cacheField name="Поток" numFmtId="0">
      <sharedItems containsBlank="1"/>
    </cacheField>
    <cacheField name="Количества часов по УП">
      <sharedItems containsString="0" containsBlank="1" containsNumber="1" containsInteger="1" minValue="8" maxValue="80"/>
    </cacheField>
    <cacheField name="Табельный №" numFmtId="0">
      <sharedItems containsBlank="1"/>
    </cacheField>
    <cacheField name="ФИО" numFmtId="0">
      <sharedItems count="30">
        <s v="Моисеев Виктор Сергеевич"/>
        <s v="Варфоломеев Максим Сергеевич"/>
        <s v="Шляпцева Анастасия Дмитриевна"/>
        <s v="Степанов Владимир Валерьевич"/>
        <s v="Никитина Елена Владимировна"/>
        <s v="э-резерв"/>
        <s v="Бережной Дмитрий Васильевич"/>
        <s v="Ряховский Александр Павлович"/>
        <s v="Петров Игорь Алексеевич"/>
        <s v="Александрова Светлана Сергеевна"/>
        <s v="Барабанова Ольга Алексеевна"/>
        <s v="Шленский Алексей Геннадьевич"/>
        <s v="Петров Анатолий Павлович"/>
        <s v="Федоров Анатолий Александрович"/>
        <s v="Палтиевич Андрей Романович"/>
        <s v="Соколов Алексей Викторович"/>
        <s v="Галкин Виктор Иванович"/>
        <s v="Галкин Евгений Владимирович"/>
        <s v="Преображенский Евгений Владимирович"/>
        <s v="Жаров Максим Владимирович"/>
        <s v="Пашков Игорь Николаевич"/>
        <s v="Серов Михаил Михайлович"/>
        <s v="Кубатина Екатерина Павловна"/>
        <s v="Лозован Александр Александрович"/>
        <s v="Смыков Андрей Федорович"/>
        <s v="Бецофен Сергей Яковлевич"/>
        <s v="Беспалов Александр Владимирович"/>
        <s v="Рипецкий Андрей Владимирович"/>
        <s v="Ленковец Александр Сергеевич"/>
        <s v="э-пустое"/>
      </sharedItems>
    </cacheField>
    <cacheField name="Должность" numFmtId="0">
      <sharedItems containsNonDate="0" containsString="0" containsBlank="1"/>
    </cacheField>
    <cacheField name="65+" numFmtId="0">
      <sharedItems containsBlank="1"/>
    </cacheField>
    <cacheField name="Желаемая аудитория" numFmtId="0">
      <sharedItems containsNonDate="0" containsString="0" containsBlank="1"/>
    </cacheField>
    <cacheField name="Описание (пожелания по дням недели, времени, требования по техническому обеспечению аудитории)" numFmtId="0">
      <sharedItems containsBlank="1"/>
    </cacheField>
    <cacheField name="осень" numFmtId="0">
      <sharedItems containsSemiMixedTypes="0" containsString="0" containsNumber="1" minValue="0" maxValue="456"/>
    </cacheField>
    <cacheField name="весна" numFmtId="0">
      <sharedItems containsSemiMixedTypes="0" containsString="0" containsNumber="1" minValue="0" maxValue="431"/>
    </cacheField>
    <cacheField name="всего" numFmtId="0">
      <sharedItems containsSemiMixedTypes="0" containsString="0" containsNumber="1" minValue="1" maxValue="840"/>
    </cacheField>
    <cacheField name="830" numFmtId="2">
      <sharedItems containsSemiMixedTypes="0" containsString="0" containsNumber="1" minValue="1.2048192771084338E-3" maxValue="1.0120481927710843"/>
    </cacheField>
    <cacheField name="ПЧ20%" numFmtId="0">
      <sharedItems containsSemiMixedTypes="0" containsString="0" containsNumber="1" minValue="0.2" maxValue="168"/>
    </cacheField>
    <cacheField name="Ставка-ПЧ" numFmtId="0">
      <sharedItems containsSemiMixedTypes="0" containsString="0" containsNumber="1" minValue="9.6385542168674716E-4" maxValue="0.80963855421686748"/>
    </cacheField>
    <cacheField name="Приказ" numFmtId="2">
      <sharedItems containsSemiMixedTypes="0" containsString="0" containsNumber="1" minValue="0" maxValue="0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8">
  <r>
    <s v="осень"/>
    <s v="Руководство кафедрой"/>
    <s v="Руководство кафедрой"/>
    <m/>
    <n v="30"/>
    <m/>
    <m/>
    <s v="82765     "/>
    <x v="0"/>
    <m/>
    <s v="Нет"/>
    <m/>
    <m/>
    <n v="75.33"/>
    <n v="221.32999999999998"/>
    <n v="296.65999999999997"/>
    <n v="0.35742168674698793"/>
  </r>
  <r>
    <s v="осень"/>
    <s v="Физическая электроника"/>
    <s v="ЛК"/>
    <s v="Т12О-308А-20"/>
    <n v="58"/>
    <s v="14118"/>
    <n v="58"/>
    <s v="94172     "/>
    <x v="1"/>
    <m/>
    <s v="Нет"/>
    <m/>
    <m/>
    <n v="299"/>
    <n v="160"/>
    <n v="459"/>
    <n v="0.553012048192771"/>
  </r>
  <r>
    <s v="осень"/>
    <s v="Физическая электроника"/>
    <s v="ПЗ"/>
    <s v="Т12О-308А-20"/>
    <n v="12"/>
    <s v="14118"/>
    <n v="12"/>
    <s v="94172     "/>
    <x v="1"/>
    <m/>
    <s v="Нет"/>
    <m/>
    <m/>
    <n v="299"/>
    <n v="160"/>
    <n v="459"/>
    <n v="0.553012048192771"/>
  </r>
  <r>
    <s v="осень"/>
    <s v="Физическая электроника"/>
    <s v="Экзамен"/>
    <s v="Т12О-308А-20"/>
    <n v="1"/>
    <s v="14118"/>
    <m/>
    <s v="94172     "/>
    <x v="1"/>
    <m/>
    <s v="Нет"/>
    <m/>
    <m/>
    <n v="299"/>
    <n v="160"/>
    <n v="459"/>
    <n v="0.553012048192771"/>
  </r>
  <r>
    <s v="осень"/>
    <s v="Физическая электроника"/>
    <s v="Консультация"/>
    <s v="Т12О-308А-20"/>
    <n v="5"/>
    <s v="14118"/>
    <m/>
    <s v="94172     "/>
    <x v="1"/>
    <m/>
    <s v="Нет"/>
    <m/>
    <m/>
    <n v="299"/>
    <n v="160"/>
    <n v="459"/>
    <n v="0.553012048192771"/>
  </r>
  <r>
    <s v="осень"/>
    <s v="Современные технологии производства электронных средств"/>
    <s v="Рейтинг"/>
    <s v="М3О-119М-22"/>
    <n v="4"/>
    <s v="13712"/>
    <m/>
    <s v="98323     "/>
    <x v="2"/>
    <m/>
    <s v="Да"/>
    <m/>
    <m/>
    <n v="230"/>
    <n v="121.18"/>
    <n v="351.18"/>
    <n v="0.4231084337349398"/>
  </r>
  <r>
    <s v="осень"/>
    <s v="Современные технологии производства электронных средств"/>
    <s v="ЛК"/>
    <s v="М3О-119М-22"/>
    <n v="16"/>
    <s v="13712"/>
    <n v="16"/>
    <s v="98323     "/>
    <x v="2"/>
    <m/>
    <s v="Да"/>
    <m/>
    <m/>
    <n v="230"/>
    <n v="121.18"/>
    <n v="351.18"/>
    <n v="0.4231084337349398"/>
  </r>
  <r>
    <s v="осень"/>
    <s v="Современные технологии производства электронных средств"/>
    <s v="ПЗ"/>
    <s v="М3О-119М-22"/>
    <n v="12"/>
    <s v="13712"/>
    <n v="12"/>
    <s v="95640     "/>
    <x v="3"/>
    <m/>
    <s v="Нет"/>
    <m/>
    <m/>
    <n v="143"/>
    <n v="196"/>
    <n v="339"/>
    <n v="0.40843373493975904"/>
  </r>
  <r>
    <s v="осень"/>
    <s v="Современные технологии производства электронных средств"/>
    <s v="Консультация"/>
    <s v="М3О-119М-22"/>
    <n v="1"/>
    <s v="13712"/>
    <m/>
    <s v="98323     "/>
    <x v="2"/>
    <m/>
    <s v="Да"/>
    <m/>
    <m/>
    <n v="230"/>
    <n v="121.18"/>
    <n v="351.18"/>
    <n v="0.4231084337349398"/>
  </r>
  <r>
    <s v="осень"/>
    <s v="Прикладные методы и алгоритмы обработки и защиты данных"/>
    <s v="ЛК"/>
    <s v="М3О-234Б-21"/>
    <n v="16"/>
    <s v="10846"/>
    <n v="16"/>
    <s v="97409     "/>
    <x v="4"/>
    <m/>
    <s v="Нет"/>
    <m/>
    <m/>
    <n v="205"/>
    <n v="112"/>
    <n v="317"/>
    <n v="0.3819277108433735"/>
  </r>
  <r>
    <s v="осень"/>
    <s v="Прикладные методы и алгоритмы обработки и защиты данных"/>
    <s v="ПЗ"/>
    <s v="М3О-234Б-21"/>
    <n v="16"/>
    <s v="10846"/>
    <n v="16"/>
    <s v="82021     "/>
    <x v="5"/>
    <m/>
    <s v="Нет"/>
    <m/>
    <m/>
    <n v="334"/>
    <n v="215"/>
    <n v="549"/>
    <n v="0.6614457831325301"/>
  </r>
  <r>
    <s v="осень"/>
    <s v="Прикладные методы и алгоритмы обработки и защиты данных"/>
    <s v="ЛР"/>
    <s v="М3О-234Б-21"/>
    <n v="32"/>
    <s v="10846"/>
    <n v="32"/>
    <s v="82021     "/>
    <x v="5"/>
    <m/>
    <s v="Нет"/>
    <m/>
    <m/>
    <n v="334"/>
    <n v="215"/>
    <n v="549"/>
    <n v="0.6614457831325301"/>
  </r>
  <r>
    <s v="осень"/>
    <s v="Прикладные методы и алгоритмы обработки и защиты данных"/>
    <s v="ЛР"/>
    <s v="М3О-234Б-21"/>
    <n v="32"/>
    <s v="10846"/>
    <n v="32"/>
    <s v="97409     "/>
    <x v="4"/>
    <m/>
    <s v="Нет"/>
    <m/>
    <m/>
    <n v="205"/>
    <n v="112"/>
    <n v="317"/>
    <n v="0.3819277108433735"/>
  </r>
  <r>
    <s v="осень"/>
    <s v="Прикладные методы и алгоритмы обработки и защиты данных"/>
    <s v="Экзамен"/>
    <s v="М3О-234Б-21"/>
    <n v="12"/>
    <s v="10846"/>
    <m/>
    <s v="82021     "/>
    <x v="5"/>
    <m/>
    <s v="Нет"/>
    <m/>
    <m/>
    <n v="334"/>
    <n v="215"/>
    <n v="549"/>
    <n v="0.6614457831325301"/>
  </r>
  <r>
    <s v="осень"/>
    <s v="Прикладные методы и алгоритмы обработки и защиты данных"/>
    <s v="Консультация"/>
    <s v="М3О-234Б-21"/>
    <n v="3"/>
    <s v="10846"/>
    <m/>
    <s v="82021     "/>
    <x v="5"/>
    <m/>
    <s v="Нет"/>
    <m/>
    <m/>
    <n v="334"/>
    <n v="215"/>
    <n v="549"/>
    <n v="0.6614457831325301"/>
  </r>
  <r>
    <s v="осень"/>
    <s v="Промышленные технологии и технологии виртуальной реальности"/>
    <s v="ЛК"/>
    <s v="М3О-334Б-20"/>
    <n v="18"/>
    <s v="10846"/>
    <n v="18"/>
    <s v="94089     "/>
    <x v="6"/>
    <m/>
    <s v="Нет"/>
    <m/>
    <m/>
    <n v="103"/>
    <n v="179"/>
    <n v="282"/>
    <n v="0.3397590361445783"/>
  </r>
  <r>
    <s v="осень"/>
    <s v="Промышленные технологии и технологии виртуальной реальности"/>
    <s v="ПЗ"/>
    <s v="М3О-334Б-20"/>
    <n v="24"/>
    <s v="10846"/>
    <n v="24"/>
    <s v="94089     "/>
    <x v="6"/>
    <m/>
    <s v="Нет"/>
    <m/>
    <m/>
    <n v="103"/>
    <n v="179"/>
    <n v="282"/>
    <n v="0.3397590361445783"/>
  </r>
  <r>
    <s v="осень"/>
    <s v="Промышленные технологии и технологии виртуальной реальности"/>
    <s v="ЛР"/>
    <s v="М3О-334Б-20"/>
    <n v="16"/>
    <s v="10846"/>
    <n v="16"/>
    <s v="94089     "/>
    <x v="6"/>
    <m/>
    <s v="Нет"/>
    <m/>
    <m/>
    <n v="103"/>
    <n v="179"/>
    <n v="282"/>
    <n v="0.3397590361445783"/>
  </r>
  <r>
    <s v="осень"/>
    <s v="Промышленные технологии и технологии виртуальной реальности"/>
    <s v="ЛР"/>
    <s v="М3О-334Б-20"/>
    <n v="16"/>
    <s v="10846"/>
    <n v="16"/>
    <s v="82021     "/>
    <x v="5"/>
    <m/>
    <s v="Нет"/>
    <m/>
    <m/>
    <n v="334"/>
    <n v="215"/>
    <n v="549"/>
    <n v="0.6614457831325301"/>
  </r>
  <r>
    <s v="осень"/>
    <s v="Промышленные технологии и технологии виртуальной реальности"/>
    <s v="Экзамен"/>
    <s v="М3О-334Б-20"/>
    <n v="11"/>
    <s v="10846"/>
    <m/>
    <s v="94089     "/>
    <x v="6"/>
    <m/>
    <s v="Нет"/>
    <m/>
    <m/>
    <n v="103"/>
    <n v="179"/>
    <n v="282"/>
    <n v="0.3397590361445783"/>
  </r>
  <r>
    <s v="осень"/>
    <s v="Промышленные технологии и технологии виртуальной реальности"/>
    <s v="Консультация"/>
    <s v="М3О-334Б-20"/>
    <n v="3"/>
    <s v="10846"/>
    <m/>
    <s v="94089     "/>
    <x v="6"/>
    <m/>
    <s v="Нет"/>
    <m/>
    <m/>
    <n v="103"/>
    <n v="179"/>
    <n v="282"/>
    <n v="0.3397590361445783"/>
  </r>
  <r>
    <s v="осень"/>
    <s v="Технологии цифровой трансформации высокотехнологичных предприятий"/>
    <s v="ЛК"/>
    <s v="М3О-220М-21"/>
    <n v="8"/>
    <s v="13711"/>
    <n v="8"/>
    <s v="93895     "/>
    <x v="7"/>
    <m/>
    <s v="Нет"/>
    <m/>
    <m/>
    <n v="164"/>
    <n v="241"/>
    <n v="405"/>
    <n v="0.4879518072289157"/>
  </r>
  <r>
    <s v="осень"/>
    <s v="Технологии цифровой трансформации высокотехнологичных предприятий"/>
    <s v="Зачет с оценкой"/>
    <s v="М3О-220М-21"/>
    <n v="3"/>
    <s v="13711"/>
    <m/>
    <s v="93895     "/>
    <x v="7"/>
    <m/>
    <s v="Нет"/>
    <m/>
    <m/>
    <n v="164"/>
    <n v="241"/>
    <n v="405"/>
    <n v="0.4879518072289157"/>
  </r>
  <r>
    <s v="осень"/>
    <s v="Технологии цифровой трансформации высокотехнологичных предприятий"/>
    <s v="ПЗ"/>
    <s v="М3О-120М-22"/>
    <n v="40"/>
    <m/>
    <n v="40"/>
    <s v="93895     "/>
    <x v="7"/>
    <m/>
    <s v="Нет"/>
    <m/>
    <m/>
    <n v="164"/>
    <n v="241"/>
    <n v="405"/>
    <n v="0.4879518072289157"/>
  </r>
  <r>
    <s v="осень"/>
    <s v="Технологии цифровой трансформации высокотехнологичных предприятий"/>
    <s v="ПЗ"/>
    <s v="М3О-220М-21"/>
    <n v="40"/>
    <s v="13711"/>
    <n v="40"/>
    <s v="93895     "/>
    <x v="7"/>
    <m/>
    <s v="Нет"/>
    <m/>
    <m/>
    <n v="164"/>
    <n v="241"/>
    <n v="405"/>
    <n v="0.4879518072289157"/>
  </r>
  <r>
    <s v="осень"/>
    <s v="Технологии цифровой трансформации высокотехнологичных предприятий"/>
    <s v="Экзамен"/>
    <s v="М3О-120М-22"/>
    <n v="6"/>
    <m/>
    <m/>
    <s v="93895     "/>
    <x v="7"/>
    <m/>
    <s v="Нет"/>
    <m/>
    <m/>
    <n v="164"/>
    <n v="241"/>
    <n v="405"/>
    <n v="0.4879518072289157"/>
  </r>
  <r>
    <s v="осень"/>
    <s v="Технологии цифровой трансформации высокотехнологичных предприятий"/>
    <s v="Консультация"/>
    <s v="М3О-120М-22"/>
    <n v="2"/>
    <m/>
    <m/>
    <s v="93895     "/>
    <x v="7"/>
    <m/>
    <s v="Нет"/>
    <m/>
    <m/>
    <n v="164"/>
    <n v="241"/>
    <n v="405"/>
    <n v="0.4879518072289157"/>
  </r>
  <r>
    <s v="осень"/>
    <s v="Технологии РЭС нового поколения"/>
    <s v="ЛК"/>
    <s v="М3О-219М-21"/>
    <n v="24"/>
    <s v="13712"/>
    <n v="24"/>
    <s v="98323     "/>
    <x v="2"/>
    <m/>
    <s v="Да"/>
    <m/>
    <m/>
    <n v="230"/>
    <n v="121.18"/>
    <n v="351.18"/>
    <n v="0.4231084337349398"/>
  </r>
  <r>
    <s v="осень"/>
    <s v="Технологии РЭС нового поколения"/>
    <s v="ПЗ"/>
    <s v="М3О-219М-21"/>
    <n v="30"/>
    <s v="13712"/>
    <n v="30"/>
    <s v="93746     "/>
    <x v="8"/>
    <m/>
    <s v="Нет"/>
    <m/>
    <m/>
    <n v="54"/>
    <n v="158.18"/>
    <n v="212.18"/>
    <n v="0.2556385542168675"/>
  </r>
  <r>
    <s v="осень"/>
    <s v="Технологии РЭС нового поколения"/>
    <s v="Экзамен"/>
    <s v="М3О-219М-21"/>
    <n v="2"/>
    <s v="13712"/>
    <m/>
    <s v="98323     "/>
    <x v="2"/>
    <m/>
    <s v="Да"/>
    <m/>
    <m/>
    <n v="230"/>
    <n v="121.18"/>
    <n v="351.18"/>
    <n v="0.4231084337349398"/>
  </r>
  <r>
    <s v="осень"/>
    <s v="Технологии РЭС нового поколения"/>
    <s v="Консультация"/>
    <s v="М3О-219М-21"/>
    <n v="3"/>
    <s v="13712"/>
    <m/>
    <s v="98323     "/>
    <x v="2"/>
    <m/>
    <s v="Да"/>
    <m/>
    <m/>
    <n v="230"/>
    <n v="121.18"/>
    <n v="351.18"/>
    <n v="0.4231084337349398"/>
  </r>
  <r>
    <s v="осень"/>
    <s v="Проектирование РЭС"/>
    <s v="ЛК"/>
    <s v="М3О-219М-21"/>
    <n v="24"/>
    <s v="13712"/>
    <n v="24"/>
    <s v="82529     "/>
    <x v="9"/>
    <m/>
    <s v="Нет"/>
    <m/>
    <m/>
    <n v="206"/>
    <n v="110"/>
    <n v="316"/>
    <n v="0.38072289156626504"/>
  </r>
  <r>
    <s v="осень"/>
    <s v="Проектирование РЭС"/>
    <s v="Зачет с оценкой"/>
    <s v="М3О-219М-21"/>
    <n v="1"/>
    <s v="13712"/>
    <m/>
    <s v="82529     "/>
    <x v="9"/>
    <m/>
    <s v="Нет"/>
    <m/>
    <m/>
    <n v="206"/>
    <n v="110"/>
    <n v="316"/>
    <n v="0.38072289156626504"/>
  </r>
  <r>
    <s v="осень"/>
    <s v="Проектирование РЭС"/>
    <s v="ПЗ"/>
    <s v="М3О-219М-21"/>
    <n v="30"/>
    <s v="13712"/>
    <n v="30"/>
    <s v="82529     "/>
    <x v="9"/>
    <m/>
    <s v="Нет"/>
    <m/>
    <m/>
    <n v="206"/>
    <n v="110"/>
    <n v="316"/>
    <n v="0.38072289156626504"/>
  </r>
  <r>
    <s v="осень"/>
    <s v="Проектирование РЭС"/>
    <s v="Консультация"/>
    <s v="М3О-219М-21"/>
    <n v="1"/>
    <s v="13712"/>
    <m/>
    <s v="82529     "/>
    <x v="9"/>
    <m/>
    <s v="Нет"/>
    <m/>
    <m/>
    <n v="206"/>
    <n v="110"/>
    <n v="316"/>
    <n v="0.38072289156626504"/>
  </r>
  <r>
    <s v="осень"/>
    <s v="Технологии создания интеллектуальных интегрированных производств"/>
    <s v="ЛК"/>
    <s v="М3О-119М-22"/>
    <n v="14"/>
    <s v="13712"/>
    <n v="14"/>
    <s v="93895     "/>
    <x v="7"/>
    <m/>
    <s v="Нет"/>
    <m/>
    <m/>
    <n v="164"/>
    <n v="241"/>
    <n v="405"/>
    <n v="0.4879518072289157"/>
  </r>
  <r>
    <s v="осень"/>
    <s v="Технологии создания интеллектуальных интегрированных производств"/>
    <s v="ПЗ"/>
    <s v="М3О-119М-22"/>
    <n v="18"/>
    <s v="13712"/>
    <n v="18"/>
    <s v="93895     "/>
    <x v="7"/>
    <m/>
    <s v="Нет"/>
    <m/>
    <m/>
    <n v="164"/>
    <n v="241"/>
    <n v="405"/>
    <n v="0.4879518072289157"/>
  </r>
  <r>
    <s v="осень"/>
    <s v="Технологии создания интеллектуальных интегрированных производств"/>
    <s v="Зачет"/>
    <s v="М3О-119М-22"/>
    <n v="4"/>
    <s v="13712"/>
    <m/>
    <s v="93895     "/>
    <x v="7"/>
    <m/>
    <s v="Нет"/>
    <m/>
    <m/>
    <n v="164"/>
    <n v="241"/>
    <n v="405"/>
    <n v="0.4879518072289157"/>
  </r>
  <r>
    <s v="осень"/>
    <s v="Технологии создания интеллектуальных интегрированных производств"/>
    <s v="Консультация"/>
    <s v="М3О-119М-22"/>
    <n v="1"/>
    <s v="13712"/>
    <m/>
    <s v="93895     "/>
    <x v="7"/>
    <m/>
    <s v="Нет"/>
    <m/>
    <m/>
    <n v="164"/>
    <n v="241"/>
    <n v="405"/>
    <n v="0.4879518072289157"/>
  </r>
  <r>
    <s v="осень"/>
    <s v="Моделирование СВЧ функциональных устройств"/>
    <s v="ЛК"/>
    <s v="М3О-219М-21"/>
    <n v="24"/>
    <s v="13712"/>
    <n v="24"/>
    <s v="94172     "/>
    <x v="1"/>
    <m/>
    <s v="Нет"/>
    <m/>
    <m/>
    <n v="299"/>
    <n v="160"/>
    <n v="459"/>
    <n v="0.553012048192771"/>
  </r>
  <r>
    <s v="осень"/>
    <s v="Моделирование СВЧ функциональных устройств"/>
    <s v="ПЗ"/>
    <s v="М3О-219М-21"/>
    <n v="30"/>
    <s v="13712"/>
    <n v="30"/>
    <s v="94172     "/>
    <x v="1"/>
    <m/>
    <s v="Нет"/>
    <m/>
    <m/>
    <n v="299"/>
    <n v="160"/>
    <n v="459"/>
    <n v="0.553012048192771"/>
  </r>
  <r>
    <s v="осень"/>
    <s v="Моделирование СВЧ функциональных устройств"/>
    <s v="Экзамен"/>
    <s v="М3О-219М-21"/>
    <n v="2"/>
    <s v="13712"/>
    <m/>
    <s v="94172     "/>
    <x v="1"/>
    <m/>
    <s v="Нет"/>
    <m/>
    <m/>
    <n v="299"/>
    <n v="160"/>
    <n v="459"/>
    <n v="0.553012048192771"/>
  </r>
  <r>
    <s v="осень"/>
    <s v="Моделирование СВЧ функциональных устройств"/>
    <s v="Консультация"/>
    <s v="М3О-219М-21"/>
    <n v="3"/>
    <s v="13712"/>
    <m/>
    <s v="94172     "/>
    <x v="1"/>
    <m/>
    <s v="Нет"/>
    <m/>
    <m/>
    <n v="299"/>
    <n v="160"/>
    <n v="459"/>
    <n v="0.553012048192771"/>
  </r>
  <r>
    <s v="осень"/>
    <s v="Технологии технологического бизнеса и стартапов"/>
    <s v="ЛК"/>
    <s v="М3О-119М-22"/>
    <n v="16"/>
    <s v="13712"/>
    <n v="16"/>
    <s v="97722     "/>
    <x v="10"/>
    <m/>
    <s v="Нет"/>
    <m/>
    <m/>
    <n v="160.32999999999998"/>
    <n v="148.32999999999998"/>
    <n v="308.65999999999997"/>
    <n v="0.37187951807228914"/>
  </r>
  <r>
    <s v="осень"/>
    <s v="Технологии технологического бизнеса и стартапов"/>
    <s v="Зачет"/>
    <s v="М3О-119М-22"/>
    <n v="4"/>
    <s v="13712"/>
    <m/>
    <s v="97722     "/>
    <x v="10"/>
    <m/>
    <s v="Нет"/>
    <m/>
    <m/>
    <n v="160.32999999999998"/>
    <n v="148.32999999999998"/>
    <n v="308.65999999999997"/>
    <n v="0.37187951807228914"/>
  </r>
  <r>
    <s v="осень"/>
    <s v="Технологии технологического бизнеса и стартапов"/>
    <s v="Консультация"/>
    <s v="М3О-119М-22"/>
    <n v="1"/>
    <s v="13712"/>
    <m/>
    <s v="97722     "/>
    <x v="10"/>
    <m/>
    <s v="Нет"/>
    <m/>
    <m/>
    <n v="160.32999999999998"/>
    <n v="148.32999999999998"/>
    <n v="308.65999999999997"/>
    <n v="0.37187951807228914"/>
  </r>
  <r>
    <s v="осень"/>
    <s v="Технологии автоматизированного проектирования элементов и устройств радиоэлектронных средств"/>
    <s v="ЛК"/>
    <s v="М3О-334Б-20"/>
    <n v="16"/>
    <s v="10846"/>
    <n v="16"/>
    <s v="82529     "/>
    <x v="9"/>
    <m/>
    <s v="Нет"/>
    <m/>
    <m/>
    <n v="206"/>
    <n v="110"/>
    <n v="316"/>
    <n v="0.38072289156626504"/>
  </r>
  <r>
    <s v="осень"/>
    <s v="Технологии автоматизированного проектирования элементов и устройств радиоэлектронных средств"/>
    <s v="Зачет с оценкой"/>
    <s v="М3О-334Б-20"/>
    <n v="8"/>
    <s v="10846"/>
    <m/>
    <s v="82529     "/>
    <x v="9"/>
    <m/>
    <s v="Нет"/>
    <m/>
    <m/>
    <n v="206"/>
    <n v="110"/>
    <n v="316"/>
    <n v="0.38072289156626504"/>
  </r>
  <r>
    <s v="осень"/>
    <s v="Технологии автоматизированного проектирования элементов и устройств радиоэлектронных средств"/>
    <s v="ПЗ"/>
    <s v="М3О-334Б-20"/>
    <n v="16"/>
    <s v="10846"/>
    <n v="16"/>
    <s v="82529     "/>
    <x v="9"/>
    <m/>
    <s v="Нет"/>
    <m/>
    <m/>
    <n v="206"/>
    <n v="110"/>
    <n v="316"/>
    <n v="0.38072289156626504"/>
  </r>
  <r>
    <s v="осень"/>
    <s v="Технологии автоматизированного проектирования элементов и устройств радиоэлектронных средств"/>
    <s v="ЛР"/>
    <s v="М3О-334Б-20"/>
    <n v="8"/>
    <s v="10846"/>
    <n v="8"/>
    <s v="82529     "/>
    <x v="9"/>
    <m/>
    <s v="Нет"/>
    <m/>
    <m/>
    <n v="206"/>
    <n v="110"/>
    <n v="316"/>
    <n v="0.38072289156626504"/>
  </r>
  <r>
    <s v="осень"/>
    <s v="Технологии автоматизированного проектирования элементов и устройств радиоэлектронных средств"/>
    <s v="ЛР"/>
    <s v="М3О-334Б-20"/>
    <n v="8"/>
    <s v="10846"/>
    <n v="8"/>
    <s v="95640     "/>
    <x v="3"/>
    <m/>
    <s v="Нет"/>
    <m/>
    <m/>
    <n v="143"/>
    <n v="196"/>
    <n v="339"/>
    <n v="0.40843373493975904"/>
  </r>
  <r>
    <s v="осень"/>
    <s v="Технологии автоматизированного проектирования элементов и устройств радиоэлектронных средств"/>
    <s v="Консультация"/>
    <s v="М3О-334Б-20"/>
    <n v="1"/>
    <s v="10846"/>
    <m/>
    <s v="82529     "/>
    <x v="9"/>
    <m/>
    <s v="Нет"/>
    <m/>
    <m/>
    <n v="206"/>
    <n v="110"/>
    <n v="316"/>
    <n v="0.38072289156626504"/>
  </r>
  <r>
    <s v="осень"/>
    <s v="Программируемая элементная база"/>
    <s v="ЛК"/>
    <s v="М3О-219М-21"/>
    <n v="14"/>
    <s v="13712"/>
    <n v="14"/>
    <s v="82529     "/>
    <x v="9"/>
    <m/>
    <s v="Нет"/>
    <m/>
    <m/>
    <n v="206"/>
    <n v="110"/>
    <n v="316"/>
    <n v="0.38072289156626504"/>
  </r>
  <r>
    <s v="осень"/>
    <s v="Программируемая элементная база"/>
    <s v="КР"/>
    <s v="М3О-219М-21"/>
    <n v="12"/>
    <s v="13712"/>
    <m/>
    <s v="82529     "/>
    <x v="9"/>
    <m/>
    <s v="Нет"/>
    <m/>
    <m/>
    <n v="206"/>
    <n v="110"/>
    <n v="316"/>
    <n v="0.38072289156626504"/>
  </r>
  <r>
    <s v="осень"/>
    <s v="Программируемая элементная база"/>
    <s v="Зачет с оценкой"/>
    <s v="М3О-219М-21"/>
    <n v="1"/>
    <s v="13712"/>
    <m/>
    <s v="82529     "/>
    <x v="9"/>
    <m/>
    <s v="Нет"/>
    <m/>
    <m/>
    <n v="206"/>
    <n v="110"/>
    <n v="316"/>
    <n v="0.38072289156626504"/>
  </r>
  <r>
    <s v="осень"/>
    <s v="Программируемая элементная база"/>
    <s v="ЛР"/>
    <s v="М3О-219М-21"/>
    <n v="16"/>
    <s v="13712"/>
    <n v="16"/>
    <s v="82529     "/>
    <x v="9"/>
    <m/>
    <s v="Нет"/>
    <m/>
    <m/>
    <n v="206"/>
    <n v="110"/>
    <n v="316"/>
    <n v="0.38072289156626504"/>
  </r>
  <r>
    <s v="осень"/>
    <s v="Программируемая элементная база"/>
    <s v="Консультация"/>
    <s v="М3О-219М-21"/>
    <n v="1"/>
    <s v="13712"/>
    <m/>
    <s v="82529     "/>
    <x v="9"/>
    <m/>
    <s v="Нет"/>
    <m/>
    <m/>
    <n v="206"/>
    <n v="110"/>
    <n v="316"/>
    <n v="0.38072289156626504"/>
  </r>
  <r>
    <s v="осень"/>
    <s v="Стратегический анализ направлений инновационного развития высокотехнологических предприятиях"/>
    <s v="ЛК"/>
    <s v="М3О-219М-21"/>
    <n v="26"/>
    <s v="13712"/>
    <n v="26"/>
    <s v="91852     "/>
    <x v="11"/>
    <m/>
    <s v="Да"/>
    <m/>
    <m/>
    <n v="96"/>
    <n v="367"/>
    <n v="463"/>
    <n v="0.5578313253012048"/>
  </r>
  <r>
    <s v="осень"/>
    <s v="Стратегический анализ направлений инновационного развития высокотехнологических предприятиях"/>
    <s v="ПЗ"/>
    <s v="М3О-219М-21"/>
    <n v="28"/>
    <s v="13712"/>
    <n v="28"/>
    <s v="93895     "/>
    <x v="7"/>
    <m/>
    <s v="Нет"/>
    <m/>
    <m/>
    <n v="164"/>
    <n v="241"/>
    <n v="405"/>
    <n v="0.4879518072289157"/>
  </r>
  <r>
    <s v="осень"/>
    <s v="Стратегический анализ направлений инновационного развития высокотехнологических предприятиях"/>
    <s v="Экзамен"/>
    <s v="М3О-219М-21"/>
    <n v="2"/>
    <s v="13712"/>
    <m/>
    <s v="91852     "/>
    <x v="11"/>
    <m/>
    <s v="Да"/>
    <m/>
    <m/>
    <n v="96"/>
    <n v="367"/>
    <n v="463"/>
    <n v="0.5578313253012048"/>
  </r>
  <r>
    <s v="осень"/>
    <s v="Стратегический анализ направлений инновационного развития высокотехнологических предприятиях"/>
    <s v="Консультация"/>
    <s v="М3О-219М-21"/>
    <n v="3"/>
    <s v="13712"/>
    <m/>
    <s v="91852     "/>
    <x v="11"/>
    <m/>
    <s v="Да"/>
    <m/>
    <m/>
    <n v="96"/>
    <n v="367"/>
    <n v="463"/>
    <n v="0.5578313253012048"/>
  </r>
  <r>
    <s v="осень"/>
    <s v="Современные технологии сборочных производств радиоэлектронных средств"/>
    <s v="ЛК"/>
    <s v="М3О-220М-21"/>
    <n v="8"/>
    <s v="13711"/>
    <n v="8"/>
    <s v="81877     "/>
    <x v="12"/>
    <m/>
    <s v="Да"/>
    <m/>
    <m/>
    <n v="270.67"/>
    <n v="355.03000000000003"/>
    <n v="625.7"/>
    <n v="0.753855421686747"/>
  </r>
  <r>
    <s v="осень"/>
    <s v="Современные технологии сборочных производств радиоэлектронных средств"/>
    <s v="ЛК"/>
    <s v="М3О-119М-22"/>
    <n v="14"/>
    <s v="13712"/>
    <n v="14"/>
    <s v="81877     "/>
    <x v="12"/>
    <m/>
    <s v="Да"/>
    <m/>
    <m/>
    <n v="270.67"/>
    <n v="355.03000000000003"/>
    <n v="625.7"/>
    <n v="0.753855421686747"/>
  </r>
  <r>
    <s v="осень"/>
    <s v="Современные технологии сборочных производств радиоэлектронных средств"/>
    <s v="Зачет с оценкой"/>
    <s v="М3О-119М-22"/>
    <n v="4"/>
    <s v="13712"/>
    <m/>
    <s v="81877     "/>
    <x v="12"/>
    <m/>
    <s v="Да"/>
    <m/>
    <m/>
    <n v="270.67"/>
    <n v="355.03000000000003"/>
    <n v="625.7"/>
    <n v="0.753855421686747"/>
  </r>
  <r>
    <s v="осень"/>
    <s v="Современные технологии сборочных производств радиоэлектронных средств"/>
    <s v="ПЗ"/>
    <s v="М3О-220М-21"/>
    <n v="24"/>
    <s v="13711"/>
    <n v="24"/>
    <s v="95640     "/>
    <x v="3"/>
    <m/>
    <s v="Нет"/>
    <m/>
    <m/>
    <n v="143"/>
    <n v="196"/>
    <n v="339"/>
    <n v="0.40843373493975904"/>
  </r>
  <r>
    <s v="осень"/>
    <s v="Современные технологии сборочных производств радиоэлектронных средств"/>
    <s v="ПЗ"/>
    <s v="М3О-119М-22"/>
    <n v="40"/>
    <s v="13712"/>
    <n v="40"/>
    <s v="95640     "/>
    <x v="3"/>
    <m/>
    <s v="Нет"/>
    <m/>
    <m/>
    <n v="143"/>
    <n v="196"/>
    <n v="339"/>
    <n v="0.40843373493975904"/>
  </r>
  <r>
    <s v="осень"/>
    <s v="Современные технологии сборочных производств радиоэлектронных средств"/>
    <s v="Зачет"/>
    <s v="М3О-220М-21"/>
    <n v="3"/>
    <s v="13711"/>
    <m/>
    <s v="81877     "/>
    <x v="12"/>
    <m/>
    <s v="Да"/>
    <m/>
    <m/>
    <n v="270.67"/>
    <n v="355.03000000000003"/>
    <n v="625.7"/>
    <n v="0.753855421686747"/>
  </r>
  <r>
    <s v="осень"/>
    <s v="Современные технологии сборочных производств радиоэлектронных средств"/>
    <s v="Консультация"/>
    <s v="М3О-119М-22"/>
    <n v="1"/>
    <s v="13712"/>
    <m/>
    <s v="81877     "/>
    <x v="12"/>
    <m/>
    <s v="Да"/>
    <m/>
    <m/>
    <n v="270.67"/>
    <n v="355.03000000000003"/>
    <n v="625.7"/>
    <n v="0.753855421686747"/>
  </r>
  <r>
    <s v="осень"/>
    <s v="Структура программного обеспечения и базы данных"/>
    <s v="ЛК"/>
    <s v="М3О-234Б-21"/>
    <n v="32"/>
    <s v="10846"/>
    <n v="32"/>
    <s v="97409     "/>
    <x v="4"/>
    <m/>
    <s v="Нет"/>
    <m/>
    <m/>
    <n v="205"/>
    <n v="112"/>
    <n v="317"/>
    <n v="0.3819277108433735"/>
  </r>
  <r>
    <s v="осень"/>
    <s v="Структура программного обеспечения и базы данных"/>
    <s v="КР"/>
    <s v="М3О-234Б-21"/>
    <n v="69"/>
    <s v="10846"/>
    <m/>
    <s v="97409     "/>
    <x v="4"/>
    <m/>
    <s v="Нет"/>
    <m/>
    <m/>
    <n v="205"/>
    <n v="112"/>
    <n v="317"/>
    <n v="0.3819277108433735"/>
  </r>
  <r>
    <s v="осень"/>
    <s v="Структура программного обеспечения и базы данных"/>
    <s v="ПЗ"/>
    <s v="М3О-234Б-21"/>
    <n v="24"/>
    <s v="10846"/>
    <n v="24"/>
    <s v="97409     "/>
    <x v="4"/>
    <m/>
    <s v="Нет"/>
    <m/>
    <m/>
    <n v="205"/>
    <n v="112"/>
    <n v="317"/>
    <n v="0.3819277108433735"/>
  </r>
  <r>
    <s v="осень"/>
    <s v="Структура программного обеспечения и базы данных"/>
    <s v="ЛР"/>
    <s v="М3О-234Б-21"/>
    <n v="16"/>
    <s v="10846"/>
    <n v="16"/>
    <s v="97409     "/>
    <x v="4"/>
    <m/>
    <s v="Нет"/>
    <m/>
    <m/>
    <n v="205"/>
    <n v="112"/>
    <n v="317"/>
    <n v="0.3819277108433735"/>
  </r>
  <r>
    <s v="осень"/>
    <s v="Структура программного обеспечения и базы данных"/>
    <s v="ЛР"/>
    <s v="М3О-234Б-21"/>
    <n v="16"/>
    <s v="10846"/>
    <n v="16"/>
    <s v="93681     "/>
    <x v="13"/>
    <m/>
    <s v="Нет"/>
    <m/>
    <m/>
    <n v="128"/>
    <n v="130"/>
    <n v="258"/>
    <n v="0.3108433734939759"/>
  </r>
  <r>
    <s v="осень"/>
    <s v="Структура программного обеспечения и базы данных"/>
    <s v="Экзамен"/>
    <s v="М3О-234Б-21"/>
    <n v="12"/>
    <s v="10846"/>
    <m/>
    <s v="97409     "/>
    <x v="4"/>
    <m/>
    <s v="Нет"/>
    <m/>
    <m/>
    <n v="205"/>
    <n v="112"/>
    <n v="317"/>
    <n v="0.3819277108433735"/>
  </r>
  <r>
    <s v="осень"/>
    <s v="Структура программного обеспечения и базы данных"/>
    <s v="Консультация"/>
    <s v="М3О-234Б-21"/>
    <n v="4"/>
    <s v="10846"/>
    <m/>
    <s v="97409     "/>
    <x v="4"/>
    <m/>
    <s v="Нет"/>
    <m/>
    <m/>
    <n v="205"/>
    <n v="112"/>
    <n v="317"/>
    <n v="0.3819277108433735"/>
  </r>
  <r>
    <s v="осень"/>
    <s v="Программирование цифровых устройств электронных средств"/>
    <s v="ЛК"/>
    <s v="М3О-219М-21"/>
    <n v="16"/>
    <s v="13712"/>
    <n v="16"/>
    <s v="98323     "/>
    <x v="2"/>
    <m/>
    <s v="Да"/>
    <m/>
    <m/>
    <n v="230"/>
    <n v="121.18"/>
    <n v="351.18"/>
    <n v="0.4231084337349398"/>
  </r>
  <r>
    <s v="осень"/>
    <s v="Программирование цифровых устройств электронных средств"/>
    <s v="ПЗ"/>
    <s v="М3О-219М-21"/>
    <n v="32"/>
    <s v="13712"/>
    <n v="32"/>
    <s v="98323     "/>
    <x v="2"/>
    <m/>
    <s v="Да"/>
    <m/>
    <m/>
    <n v="230"/>
    <n v="121.18"/>
    <n v="351.18"/>
    <n v="0.4231084337349398"/>
  </r>
  <r>
    <s v="осень"/>
    <s v="Программирование цифровых устройств электронных средств"/>
    <s v="ЛР"/>
    <s v="М3О-219М-21"/>
    <n v="24"/>
    <s v="13712"/>
    <n v="24"/>
    <s v="98323     "/>
    <x v="2"/>
    <m/>
    <s v="Да"/>
    <m/>
    <m/>
    <n v="230"/>
    <n v="121.18"/>
    <n v="351.18"/>
    <n v="0.4231084337349398"/>
  </r>
  <r>
    <s v="осень"/>
    <s v="Программирование цифровых устройств электронных средств"/>
    <s v="Экзамен"/>
    <s v="М3О-219М-21"/>
    <n v="2"/>
    <s v="13712"/>
    <m/>
    <s v="98323     "/>
    <x v="2"/>
    <m/>
    <s v="Да"/>
    <m/>
    <m/>
    <n v="230"/>
    <n v="121.18"/>
    <n v="351.18"/>
    <n v="0.4231084337349398"/>
  </r>
  <r>
    <s v="осень"/>
    <s v="Программирование цифровых устройств электронных средств"/>
    <s v="Консультация"/>
    <s v="М3О-219М-21"/>
    <n v="3"/>
    <s v="13712"/>
    <m/>
    <s v="98323     "/>
    <x v="2"/>
    <m/>
    <s v="Да"/>
    <m/>
    <m/>
    <n v="230"/>
    <n v="121.18"/>
    <n v="351.18"/>
    <n v="0.4231084337349398"/>
  </r>
  <r>
    <s v="осень"/>
    <s v="Системный анализ  и теория принятия решений"/>
    <s v="ЛК"/>
    <s v="М3О-234Б-21"/>
    <n v="32"/>
    <s v="10846"/>
    <n v="32"/>
    <s v="93681     "/>
    <x v="13"/>
    <m/>
    <s v="Нет"/>
    <m/>
    <m/>
    <n v="128"/>
    <n v="130"/>
    <n v="258"/>
    <n v="0.3108433734939759"/>
  </r>
  <r>
    <s v="осень"/>
    <s v="Системный анализ  и теория принятия решений"/>
    <s v="ПЗ"/>
    <s v="М3О-234Б-21"/>
    <n v="64"/>
    <s v="10846"/>
    <n v="64"/>
    <s v="93681     "/>
    <x v="13"/>
    <m/>
    <s v="Нет"/>
    <m/>
    <m/>
    <n v="128"/>
    <n v="130"/>
    <n v="258"/>
    <n v="0.3108433734939759"/>
  </r>
  <r>
    <s v="осень"/>
    <s v="Системный анализ  и теория принятия решений"/>
    <s v="Экзамен"/>
    <s v="М3О-234Б-21"/>
    <n v="12"/>
    <s v="10846"/>
    <m/>
    <s v="93681     "/>
    <x v="13"/>
    <m/>
    <s v="Нет"/>
    <m/>
    <m/>
    <n v="128"/>
    <n v="130"/>
    <n v="258"/>
    <n v="0.3108433734939759"/>
  </r>
  <r>
    <s v="осень"/>
    <s v="Системный анализ  и теория принятия решений"/>
    <s v="Консультация"/>
    <s v="М3О-234Б-21"/>
    <n v="4"/>
    <s v="10846"/>
    <m/>
    <s v="93681     "/>
    <x v="13"/>
    <m/>
    <s v="Нет"/>
    <m/>
    <m/>
    <n v="128"/>
    <n v="130"/>
    <n v="258"/>
    <n v="0.3108433734939759"/>
  </r>
  <r>
    <s v="осень"/>
    <s v="Теория инноваций"/>
    <s v="ЛК"/>
    <s v="М3О-334Б-20"/>
    <n v="26"/>
    <s v="10846"/>
    <n v="26"/>
    <s v="81877     "/>
    <x v="12"/>
    <m/>
    <s v="Да"/>
    <m/>
    <m/>
    <n v="270.67"/>
    <n v="355.03000000000003"/>
    <n v="625.7"/>
    <n v="0.753855421686747"/>
  </r>
  <r>
    <s v="осень"/>
    <s v="Теория инноваций"/>
    <s v="ПЗ"/>
    <s v="М3О-334Б-20"/>
    <n v="24"/>
    <s v="10846"/>
    <n v="24"/>
    <s v="81877     "/>
    <x v="12"/>
    <m/>
    <s v="Да"/>
    <m/>
    <m/>
    <n v="270.67"/>
    <n v="355.03000000000003"/>
    <n v="625.7"/>
    <n v="0.753855421686747"/>
  </r>
  <r>
    <s v="осень"/>
    <s v="Теория инноваций"/>
    <s v="ЛР"/>
    <s v="М3О-334Б-20"/>
    <n v="16"/>
    <s v="10846"/>
    <n v="16"/>
    <s v="81877     "/>
    <x v="12"/>
    <m/>
    <s v="Да"/>
    <m/>
    <m/>
    <n v="270.67"/>
    <n v="355.03000000000003"/>
    <n v="625.7"/>
    <n v="0.753855421686747"/>
  </r>
  <r>
    <s v="осень"/>
    <s v="Теория инноваций"/>
    <s v="ЛР"/>
    <s v="М3О-334Б-20"/>
    <n v="16"/>
    <s v="10846"/>
    <n v="16"/>
    <s v="94089     "/>
    <x v="6"/>
    <m/>
    <s v="Нет"/>
    <m/>
    <m/>
    <n v="103"/>
    <n v="179"/>
    <n v="282"/>
    <n v="0.3397590361445783"/>
  </r>
  <r>
    <s v="осень"/>
    <s v="Теория инноваций"/>
    <s v="Экзамен"/>
    <s v="М3О-334Б-20"/>
    <n v="11"/>
    <s v="10846"/>
    <m/>
    <s v="81877     "/>
    <x v="12"/>
    <m/>
    <s v="Да"/>
    <m/>
    <m/>
    <n v="270.67"/>
    <n v="355.03000000000003"/>
    <n v="625.7"/>
    <n v="0.753855421686747"/>
  </r>
  <r>
    <s v="осень"/>
    <s v="Теория инноваций"/>
    <s v="Консультация"/>
    <s v="М3О-334Б-20"/>
    <n v="3"/>
    <s v="10846"/>
    <m/>
    <s v="81877     "/>
    <x v="12"/>
    <m/>
    <s v="Да"/>
    <m/>
    <m/>
    <n v="270.67"/>
    <n v="355.03000000000003"/>
    <n v="625.7"/>
    <n v="0.753855421686747"/>
  </r>
  <r>
    <s v="осень"/>
    <s v="Технологии нововведений"/>
    <s v="ЛК"/>
    <s v="М3О-436Б-19"/>
    <n v="18"/>
    <s v="13501"/>
    <n v="18"/>
    <m/>
    <x v="10"/>
    <m/>
    <s v="Нет"/>
    <m/>
    <m/>
    <n v="160.32999999999998"/>
    <n v="148.32999999999998"/>
    <n v="308.65999999999997"/>
    <n v="0.37187951807228914"/>
  </r>
  <r>
    <s v="осень"/>
    <s v="Технологии нововведений"/>
    <s v="ПЗ"/>
    <s v="М3О-436Б-19"/>
    <n v="28"/>
    <s v="13501"/>
    <n v="28"/>
    <s v="97722     "/>
    <x v="10"/>
    <m/>
    <s v="Нет"/>
    <m/>
    <m/>
    <n v="160.32999999999998"/>
    <n v="148.32999999999998"/>
    <n v="308.65999999999997"/>
    <n v="0.37187951807228914"/>
  </r>
  <r>
    <s v="осень"/>
    <s v="Технологии нововведений"/>
    <s v="ЛР"/>
    <s v="М3О-436Б-19"/>
    <n v="32"/>
    <s v="13501"/>
    <n v="16"/>
    <s v="97722     "/>
    <x v="10"/>
    <m/>
    <s v="Нет"/>
    <m/>
    <m/>
    <n v="160.32999999999998"/>
    <n v="148.32999999999998"/>
    <n v="308.65999999999997"/>
    <n v="0.37187951807228914"/>
  </r>
  <r>
    <s v="осень"/>
    <s v="Технологии нововведений"/>
    <s v="Экзамен"/>
    <s v="М3О-436Б-19"/>
    <n v="10"/>
    <s v="13501"/>
    <m/>
    <s v="97722     "/>
    <x v="10"/>
    <m/>
    <s v="Нет"/>
    <m/>
    <m/>
    <n v="160.32999999999998"/>
    <n v="148.32999999999998"/>
    <n v="308.65999999999997"/>
    <n v="0.37187951807228914"/>
  </r>
  <r>
    <s v="осень"/>
    <s v="Технологии нововведений"/>
    <s v="Консультация"/>
    <s v="М3О-436Б-19"/>
    <n v="3"/>
    <s v="13501"/>
    <m/>
    <s v="97722     "/>
    <x v="10"/>
    <m/>
    <s v="Нет"/>
    <m/>
    <m/>
    <n v="160.32999999999998"/>
    <n v="148.32999999999998"/>
    <n v="308.65999999999997"/>
    <n v="0.37187951807228914"/>
  </r>
  <r>
    <s v="осень"/>
    <s v="Прикладные системы ИПИ технологий"/>
    <s v="ЛК"/>
    <s v="М3О-436Б-19"/>
    <n v="24"/>
    <s v="13501"/>
    <n v="24"/>
    <m/>
    <x v="5"/>
    <m/>
    <s v="Нет"/>
    <m/>
    <m/>
    <n v="334"/>
    <n v="215"/>
    <n v="549"/>
    <n v="0.6614457831325301"/>
  </r>
  <r>
    <s v="осень"/>
    <s v="Прикладные системы ИПИ технологий"/>
    <s v="КР"/>
    <s v="М3О-436Б-19"/>
    <n v="57"/>
    <s v="13501"/>
    <m/>
    <s v="82021     "/>
    <x v="5"/>
    <m/>
    <s v="Нет"/>
    <m/>
    <m/>
    <n v="334"/>
    <n v="215"/>
    <n v="549"/>
    <n v="0.6614457831325301"/>
  </r>
  <r>
    <s v="осень"/>
    <s v="Прикладные системы ИПИ технологий"/>
    <s v="ПЗ"/>
    <s v="М3О-436Б-19"/>
    <n v="26"/>
    <s v="13501"/>
    <n v="26"/>
    <s v="82021     "/>
    <x v="5"/>
    <m/>
    <s v="Нет"/>
    <m/>
    <m/>
    <n v="334"/>
    <n v="215"/>
    <n v="549"/>
    <n v="0.6614457831325301"/>
  </r>
  <r>
    <s v="осень"/>
    <s v="Прикладные системы ИПИ технологий"/>
    <s v="ЛР"/>
    <s v="М3О-436Б-19"/>
    <n v="32"/>
    <s v="13501"/>
    <n v="16"/>
    <s v="82021     "/>
    <x v="5"/>
    <m/>
    <s v="Нет"/>
    <m/>
    <m/>
    <n v="334"/>
    <n v="215"/>
    <n v="549"/>
    <n v="0.6614457831325301"/>
  </r>
  <r>
    <s v="осень"/>
    <s v="Прикладные системы ИПИ технологий"/>
    <s v="Экзамен"/>
    <s v="М3О-436Б-19"/>
    <n v="10"/>
    <s v="13501"/>
    <m/>
    <s v="82021     "/>
    <x v="5"/>
    <m/>
    <s v="Нет"/>
    <m/>
    <m/>
    <n v="334"/>
    <n v="215"/>
    <n v="549"/>
    <n v="0.6614457831325301"/>
  </r>
  <r>
    <s v="осень"/>
    <s v="Прикладные системы ИПИ технологий"/>
    <s v="Консультация"/>
    <s v="М3О-436Б-19"/>
    <n v="3"/>
    <s v="13501"/>
    <m/>
    <s v="82021     "/>
    <x v="5"/>
    <m/>
    <s v="Нет"/>
    <m/>
    <m/>
    <n v="334"/>
    <n v="215"/>
    <n v="549"/>
    <n v="0.6614457831325301"/>
  </r>
  <r>
    <s v="осень"/>
    <s v="Инфраструктура нововведений"/>
    <s v="ЛК"/>
    <s v="М3О-334Б-20"/>
    <n v="34"/>
    <s v="10846"/>
    <n v="34"/>
    <s v="90109     "/>
    <x v="14"/>
    <m/>
    <s v="Нет"/>
    <m/>
    <m/>
    <n v="332.33"/>
    <n v="309.88"/>
    <n v="642.21"/>
    <n v="0.7737469879518073"/>
  </r>
  <r>
    <s v="осень"/>
    <s v="Инфраструктура нововведений"/>
    <s v="ПЗ"/>
    <s v="М3О-334Б-20"/>
    <n v="30"/>
    <s v="10846"/>
    <n v="30"/>
    <s v="90109     "/>
    <x v="14"/>
    <m/>
    <s v="Нет"/>
    <m/>
    <m/>
    <n v="332.33"/>
    <n v="309.88"/>
    <n v="642.21"/>
    <n v="0.7737469879518073"/>
  </r>
  <r>
    <s v="осень"/>
    <s v="Инфраструктура нововведений"/>
    <s v="ЛР"/>
    <s v="М3О-334Б-20"/>
    <n v="16"/>
    <s v="10846"/>
    <n v="16"/>
    <s v="90109     "/>
    <x v="14"/>
    <m/>
    <s v="Нет"/>
    <m/>
    <m/>
    <n v="332.33"/>
    <n v="309.88"/>
    <n v="642.21"/>
    <n v="0.7737469879518073"/>
  </r>
  <r>
    <s v="осень"/>
    <s v="Инфраструктура нововведений"/>
    <s v="ЛР"/>
    <s v="М3О-334Б-20"/>
    <n v="16"/>
    <s v="10846"/>
    <n v="16"/>
    <s v="81877     "/>
    <x v="12"/>
    <m/>
    <s v="Да"/>
    <m/>
    <m/>
    <n v="270.67"/>
    <n v="355.03000000000003"/>
    <n v="625.7"/>
    <n v="0.753855421686747"/>
  </r>
  <r>
    <s v="осень"/>
    <s v="Инфраструктура нововведений"/>
    <s v="Экзамен"/>
    <s v="М3О-334Б-20"/>
    <n v="11"/>
    <s v="10846"/>
    <m/>
    <s v="90109     "/>
    <x v="14"/>
    <m/>
    <s v="Нет"/>
    <m/>
    <m/>
    <n v="332.33"/>
    <n v="309.88"/>
    <n v="642.21"/>
    <n v="0.7737469879518073"/>
  </r>
  <r>
    <s v="осень"/>
    <s v="Инфраструктура нововведений"/>
    <s v="Консультация"/>
    <s v="М3О-334Б-20"/>
    <n v="4"/>
    <s v="10846"/>
    <m/>
    <s v="90109     "/>
    <x v="14"/>
    <m/>
    <s v="Нет"/>
    <m/>
    <m/>
    <n v="332.33"/>
    <n v="309.88"/>
    <n v="642.21"/>
    <n v="0.7737469879518073"/>
  </r>
  <r>
    <s v="осень"/>
    <s v="Введение в профессиональную деятельность"/>
    <s v="ЛК"/>
    <s v="М3О-134Б-22, М3О-136Б-22"/>
    <n v="28"/>
    <s v="16272"/>
    <n v="28"/>
    <s v="90109     "/>
    <x v="14"/>
    <m/>
    <s v="Нет"/>
    <m/>
    <m/>
    <n v="332.33"/>
    <n v="309.88"/>
    <n v="642.21"/>
    <n v="0.7737469879518073"/>
  </r>
  <r>
    <s v="осень"/>
    <s v="Введение в профессиональную деятельность"/>
    <s v="Зачет с оценкой"/>
    <s v="М3О-134Б-22"/>
    <n v="7"/>
    <s v="16272"/>
    <m/>
    <s v="90109     "/>
    <x v="14"/>
    <m/>
    <s v="Нет"/>
    <m/>
    <m/>
    <n v="332.33"/>
    <n v="309.88"/>
    <n v="642.21"/>
    <n v="0.7737469879518073"/>
  </r>
  <r>
    <s v="осень"/>
    <s v="Введение в профессиональную деятельность"/>
    <s v="Зачет с оценкой"/>
    <s v="М3О-136Б-22"/>
    <n v="7"/>
    <s v="16272"/>
    <m/>
    <s v="90109     "/>
    <x v="14"/>
    <m/>
    <s v="Нет"/>
    <m/>
    <m/>
    <n v="332.33"/>
    <n v="309.88"/>
    <n v="642.21"/>
    <n v="0.7737469879518073"/>
  </r>
  <r>
    <s v="осень"/>
    <s v="Введение в профессиональную деятельность"/>
    <s v="ПЗ"/>
    <s v="М3О-134Б-22"/>
    <n v="8"/>
    <s v="16272"/>
    <n v="8"/>
    <s v="90109     "/>
    <x v="14"/>
    <m/>
    <s v="Нет"/>
    <m/>
    <m/>
    <n v="332.33"/>
    <n v="309.88"/>
    <n v="642.21"/>
    <n v="0.7737469879518073"/>
  </r>
  <r>
    <s v="осень"/>
    <s v="Введение в профессиональную деятельность"/>
    <s v="ПЗ"/>
    <s v="М3О-136Б-22"/>
    <n v="8"/>
    <s v="16272"/>
    <n v="8"/>
    <s v="90109     "/>
    <x v="14"/>
    <m/>
    <s v="Нет"/>
    <m/>
    <m/>
    <n v="332.33"/>
    <n v="309.88"/>
    <n v="642.21"/>
    <n v="0.7737469879518073"/>
  </r>
  <r>
    <s v="осень"/>
    <s v="Введение в профессиональную деятельность"/>
    <s v="Консультация"/>
    <s v="М3О-134Б-22"/>
    <n v="1"/>
    <s v="16272"/>
    <m/>
    <s v="90109     "/>
    <x v="14"/>
    <m/>
    <s v="Нет"/>
    <m/>
    <m/>
    <n v="332.33"/>
    <n v="309.88"/>
    <n v="642.21"/>
    <n v="0.7737469879518073"/>
  </r>
  <r>
    <s v="осень"/>
    <s v="Введение в профессиональную деятельность"/>
    <s v="Консультация"/>
    <s v="М3О-136Б-22"/>
    <n v="1"/>
    <s v="16272"/>
    <m/>
    <s v="90109     "/>
    <x v="14"/>
    <m/>
    <s v="Нет"/>
    <m/>
    <m/>
    <n v="332.33"/>
    <n v="309.88"/>
    <n v="642.21"/>
    <n v="0.7737469879518073"/>
  </r>
  <r>
    <s v="осень"/>
    <s v="Современные информационные технологии проектирования электронных средств"/>
    <s v="ЛК"/>
    <s v="М3О-219М-21"/>
    <n v="14"/>
    <s v="13712"/>
    <n v="14"/>
    <s v="82021     "/>
    <x v="5"/>
    <m/>
    <s v="Нет"/>
    <m/>
    <m/>
    <n v="334"/>
    <n v="215"/>
    <n v="549"/>
    <n v="0.6614457831325301"/>
  </r>
  <r>
    <s v="осень"/>
    <s v="Современные информационные технологии проектирования электронных средств"/>
    <s v="ПЗ"/>
    <s v="М3О-219М-21"/>
    <n v="24"/>
    <s v="13712"/>
    <n v="24"/>
    <s v="95640     "/>
    <x v="3"/>
    <m/>
    <s v="Нет"/>
    <m/>
    <m/>
    <n v="143"/>
    <n v="196"/>
    <n v="339"/>
    <n v="0.40843373493975904"/>
  </r>
  <r>
    <s v="осень"/>
    <s v="Современные информационные технологии проектирования электронных средств"/>
    <s v="ЛР"/>
    <s v="М3О-219М-21"/>
    <n v="16"/>
    <s v="13712"/>
    <n v="16"/>
    <s v="95640     "/>
    <x v="3"/>
    <m/>
    <s v="Нет"/>
    <m/>
    <m/>
    <n v="143"/>
    <n v="196"/>
    <n v="339"/>
    <n v="0.40843373493975904"/>
  </r>
  <r>
    <s v="осень"/>
    <s v="Современные информационные технологии проектирования электронных средств"/>
    <s v="Экзамен"/>
    <s v="М3О-219М-21"/>
    <n v="2"/>
    <s v="13712"/>
    <m/>
    <s v="82021     "/>
    <x v="5"/>
    <m/>
    <s v="Нет"/>
    <m/>
    <m/>
    <n v="334"/>
    <n v="215"/>
    <n v="549"/>
    <n v="0.6614457831325301"/>
  </r>
  <r>
    <s v="осень"/>
    <s v="Современные информационные технологии проектирования электронных средств"/>
    <s v="Консультация"/>
    <s v="М3О-219М-21"/>
    <n v="3"/>
    <s v="13712"/>
    <m/>
    <s v="95640     "/>
    <x v="3"/>
    <m/>
    <s v="Нет"/>
    <m/>
    <m/>
    <n v="143"/>
    <n v="196"/>
    <n v="339"/>
    <n v="0.40843373493975904"/>
  </r>
  <r>
    <s v="осень"/>
    <s v="Математическое моделирование, численные методы и комплексы программ"/>
    <s v="ЛК"/>
    <s v="М3О-308А-20"/>
    <n v="68"/>
    <s v="15862"/>
    <n v="68"/>
    <s v="94172     "/>
    <x v="1"/>
    <m/>
    <s v="Нет"/>
    <m/>
    <m/>
    <n v="299"/>
    <n v="160"/>
    <n v="459"/>
    <n v="0.553012048192771"/>
  </r>
  <r>
    <s v="осень"/>
    <s v="Математическое моделирование, численные методы и комплексы программ"/>
    <s v="ПЗ"/>
    <s v="М3О-308А-20"/>
    <n v="20"/>
    <s v="15862"/>
    <n v="20"/>
    <s v="94172     "/>
    <x v="1"/>
    <m/>
    <s v="Нет"/>
    <m/>
    <m/>
    <n v="299"/>
    <n v="160"/>
    <n v="459"/>
    <n v="0.553012048192771"/>
  </r>
  <r>
    <s v="осень"/>
    <s v="Математическое моделирование, численные методы и комплексы программ"/>
    <s v="Экзамен"/>
    <s v="М3О-308А-20"/>
    <n v="1"/>
    <s v="15862"/>
    <m/>
    <s v="94172     "/>
    <x v="1"/>
    <m/>
    <s v="Нет"/>
    <m/>
    <m/>
    <n v="299"/>
    <n v="160"/>
    <n v="459"/>
    <n v="0.553012048192771"/>
  </r>
  <r>
    <s v="осень"/>
    <s v="Математическое моделирование, численные методы и комплексы программ"/>
    <s v="Консультация"/>
    <s v="М3О-308А-20"/>
    <n v="5"/>
    <s v="15862"/>
    <m/>
    <s v="94172     "/>
    <x v="1"/>
    <m/>
    <s v="Нет"/>
    <m/>
    <m/>
    <n v="299"/>
    <n v="160"/>
    <n v="459"/>
    <n v="0.553012048192771"/>
  </r>
  <r>
    <s v="осень"/>
    <s v="Моделирование бизнес процессов и основа предпринимательства"/>
    <s v="ЛК"/>
    <s v="М3О-119М-22"/>
    <n v="14"/>
    <s v="13712"/>
    <n v="14"/>
    <s v="96199     "/>
    <x v="15"/>
    <m/>
    <s v="Нет"/>
    <m/>
    <m/>
    <n v="47"/>
    <n v="89"/>
    <n v="136"/>
    <n v="0.163855421686747"/>
  </r>
  <r>
    <s v="осень"/>
    <s v="Моделирование бизнес процессов и основа предпринимательства"/>
    <s v="ПЗ"/>
    <s v="М3О-119М-22"/>
    <n v="18"/>
    <s v="13712"/>
    <n v="18"/>
    <s v="97630     "/>
    <x v="16"/>
    <m/>
    <s v="Нет"/>
    <m/>
    <m/>
    <n v="97"/>
    <n v="80"/>
    <n v="177"/>
    <n v="0.21325301204819277"/>
  </r>
  <r>
    <s v="осень"/>
    <s v="Моделирование бизнес процессов и основа предпринимательства"/>
    <s v="Зачет"/>
    <s v="М3О-119М-22"/>
    <n v="4"/>
    <s v="13712"/>
    <m/>
    <s v="96199     "/>
    <x v="15"/>
    <m/>
    <s v="Нет"/>
    <m/>
    <m/>
    <n v="47"/>
    <n v="89"/>
    <n v="136"/>
    <n v="0.163855421686747"/>
  </r>
  <r>
    <s v="осень"/>
    <s v="Моделирование бизнес процессов и основа предпринимательства"/>
    <s v="Консультация"/>
    <s v="М3О-119М-22"/>
    <n v="1"/>
    <s v="13712"/>
    <m/>
    <s v="97630     "/>
    <x v="16"/>
    <m/>
    <s v="Нет"/>
    <m/>
    <m/>
    <n v="97"/>
    <n v="80"/>
    <n v="177"/>
    <n v="0.21325301204819277"/>
  </r>
  <r>
    <s v="осень"/>
    <s v="Автоматизация технологических процессов"/>
    <s v="ЛК"/>
    <s v="М3О-120М-22"/>
    <n v="16"/>
    <s v="13711"/>
    <n v="16"/>
    <s v="81877     "/>
    <x v="12"/>
    <m/>
    <s v="Да"/>
    <m/>
    <m/>
    <n v="270.67"/>
    <n v="355.03000000000003"/>
    <n v="625.7"/>
    <n v="0.753855421686747"/>
  </r>
  <r>
    <s v="осень"/>
    <s v="Автоматизация технологических процессов"/>
    <s v="ПЗ"/>
    <s v="М3О-120М-22"/>
    <n v="40"/>
    <s v="13711"/>
    <n v="40"/>
    <s v="81877     "/>
    <x v="12"/>
    <m/>
    <s v="Да"/>
    <m/>
    <m/>
    <n v="270.67"/>
    <n v="355.03000000000003"/>
    <n v="625.7"/>
    <n v="0.753855421686747"/>
  </r>
  <r>
    <s v="осень"/>
    <s v="Автоматизация технологических процессов"/>
    <s v="ЛР"/>
    <s v="М3О-120М-22"/>
    <n v="16"/>
    <s v="13711"/>
    <n v="16"/>
    <s v="81877     "/>
    <x v="12"/>
    <m/>
    <s v="Да"/>
    <m/>
    <m/>
    <n v="270.67"/>
    <n v="355.03000000000003"/>
    <n v="625.7"/>
    <n v="0.753855421686747"/>
  </r>
  <r>
    <s v="осень"/>
    <s v="Автоматизация технологических процессов"/>
    <s v="Экзамен"/>
    <s v="М3О-120М-22"/>
    <n v="6"/>
    <s v="13711"/>
    <m/>
    <s v="81877     "/>
    <x v="12"/>
    <m/>
    <s v="Да"/>
    <m/>
    <m/>
    <n v="270.67"/>
    <n v="355.03000000000003"/>
    <n v="625.7"/>
    <n v="0.753855421686747"/>
  </r>
  <r>
    <s v="осень"/>
    <s v="Автоматизация технологических процессов"/>
    <s v="Консультация"/>
    <s v="М3О-120М-22"/>
    <n v="3"/>
    <s v="13711"/>
    <m/>
    <s v="81877     "/>
    <x v="12"/>
    <m/>
    <s v="Да"/>
    <m/>
    <m/>
    <n v="270.67"/>
    <n v="355.03000000000003"/>
    <n v="625.7"/>
    <n v="0.753855421686747"/>
  </r>
  <r>
    <s v="осень"/>
    <s v="Моделирование бизнес-процессов"/>
    <s v="ЛК"/>
    <s v="М3О-436Б-19"/>
    <n v="16"/>
    <s v="13501"/>
    <n v="16"/>
    <m/>
    <x v="15"/>
    <m/>
    <s v="Нет"/>
    <m/>
    <m/>
    <n v="47"/>
    <n v="89"/>
    <n v="136"/>
    <n v="0.163855421686747"/>
  </r>
  <r>
    <s v="осень"/>
    <s v="Моделирование бизнес-процессов"/>
    <s v="ПЗ"/>
    <s v="М3О-436Б-19"/>
    <n v="46"/>
    <s v="13501"/>
    <n v="46"/>
    <s v="97630     "/>
    <x v="16"/>
    <m/>
    <s v="Нет"/>
    <m/>
    <m/>
    <n v="97"/>
    <n v="80"/>
    <n v="177"/>
    <n v="0.21325301204819277"/>
  </r>
  <r>
    <s v="осень"/>
    <s v="Моделирование бизнес-процессов"/>
    <s v="ЛР"/>
    <s v="М3О-436Б-19"/>
    <n v="32"/>
    <s v="13501"/>
    <n v="16"/>
    <s v="97630     "/>
    <x v="16"/>
    <m/>
    <s v="Нет"/>
    <m/>
    <m/>
    <n v="97"/>
    <n v="80"/>
    <n v="177"/>
    <n v="0.21325301204819277"/>
  </r>
  <r>
    <s v="осень"/>
    <s v="Моделирование бизнес-процессов"/>
    <s v="Экзамен"/>
    <s v="М3О-436Б-19"/>
    <n v="10"/>
    <s v="13501"/>
    <m/>
    <s v="96199     "/>
    <x v="15"/>
    <m/>
    <s v="Нет"/>
    <m/>
    <m/>
    <n v="47"/>
    <n v="89"/>
    <n v="136"/>
    <n v="0.163855421686747"/>
  </r>
  <r>
    <s v="осень"/>
    <s v="Моделирование бизнес-процессов"/>
    <s v="Консультация"/>
    <s v="М3О-436Б-19"/>
    <n v="3"/>
    <s v="13501"/>
    <m/>
    <s v="96199     "/>
    <x v="15"/>
    <m/>
    <s v="Нет"/>
    <m/>
    <m/>
    <n v="47"/>
    <n v="89"/>
    <n v="136"/>
    <n v="0.163855421686747"/>
  </r>
  <r>
    <s v="осень"/>
    <s v="Технологии искусственного интеллекта и обучающие системы"/>
    <s v="ЛК"/>
    <s v="М3О-220М-21"/>
    <n v="16"/>
    <s v="13711"/>
    <n v="16"/>
    <s v="82021     "/>
    <x v="5"/>
    <m/>
    <s v="Нет"/>
    <m/>
    <m/>
    <n v="334"/>
    <n v="215"/>
    <n v="549"/>
    <n v="0.6614457831325301"/>
  </r>
  <r>
    <s v="осень"/>
    <s v="Технологии искусственного интеллекта и обучающие системы"/>
    <s v="ПЗ"/>
    <s v="М3О-220М-21"/>
    <n v="48"/>
    <s v="13711"/>
    <n v="48"/>
    <s v="82021     "/>
    <x v="5"/>
    <m/>
    <s v="Нет"/>
    <m/>
    <m/>
    <n v="334"/>
    <n v="215"/>
    <n v="549"/>
    <n v="0.6614457831325301"/>
  </r>
  <r>
    <s v="осень"/>
    <s v="Технологии искусственного интеллекта и обучающие системы"/>
    <s v="ЛР"/>
    <s v="М3О-220М-21"/>
    <n v="16"/>
    <s v="13711"/>
    <n v="16"/>
    <s v="82021     "/>
    <x v="5"/>
    <m/>
    <s v="Нет"/>
    <m/>
    <m/>
    <n v="334"/>
    <n v="215"/>
    <n v="549"/>
    <n v="0.6614457831325301"/>
  </r>
  <r>
    <s v="осень"/>
    <s v="Технологии искусственного интеллекта и обучающие системы"/>
    <s v="Экзамен"/>
    <s v="М3О-220М-21"/>
    <n v="4"/>
    <s v="13711"/>
    <m/>
    <s v="82021     "/>
    <x v="5"/>
    <m/>
    <s v="Нет"/>
    <m/>
    <m/>
    <n v="334"/>
    <n v="215"/>
    <n v="549"/>
    <n v="0.6614457831325301"/>
  </r>
  <r>
    <s v="осень"/>
    <s v="Технологии искусственного интеллекта и обучающие системы"/>
    <s v="Консультация"/>
    <s v="М3О-220М-21"/>
    <n v="3"/>
    <s v="13711"/>
    <m/>
    <s v="82021     "/>
    <x v="5"/>
    <m/>
    <s v="Нет"/>
    <m/>
    <m/>
    <n v="334"/>
    <n v="215"/>
    <n v="549"/>
    <n v="0.6614457831325301"/>
  </r>
  <r>
    <s v="осень"/>
    <s v="Введение в авиационную и ракетно-космическую технику"/>
    <s v="ЛК"/>
    <s v="М3О-134Б-22, М3О-136Б-22"/>
    <n v="26"/>
    <s v="16272"/>
    <n v="26"/>
    <s v="98323     "/>
    <x v="2"/>
    <m/>
    <s v="Да"/>
    <m/>
    <m/>
    <n v="230"/>
    <n v="121.18"/>
    <n v="351.18"/>
    <n v="0.4231084337349398"/>
  </r>
  <r>
    <s v="осень"/>
    <s v="Введение в авиационную и ракетно-космическую технику"/>
    <s v="Зачет с оценкой"/>
    <s v="М3О-134Б-22"/>
    <n v="7"/>
    <s v="16272"/>
    <m/>
    <s v="98323     "/>
    <x v="2"/>
    <m/>
    <s v="Да"/>
    <m/>
    <m/>
    <n v="230"/>
    <n v="121.18"/>
    <n v="351.18"/>
    <n v="0.4231084337349398"/>
  </r>
  <r>
    <s v="осень"/>
    <s v="Введение в авиационную и ракетно-космическую технику"/>
    <s v="Зачет с оценкой"/>
    <s v="М3О-136Б-22"/>
    <n v="7"/>
    <s v="16272"/>
    <m/>
    <s v="98323     "/>
    <x v="2"/>
    <m/>
    <s v="Да"/>
    <m/>
    <m/>
    <n v="230"/>
    <n v="121.18"/>
    <n v="351.18"/>
    <n v="0.4231084337349398"/>
  </r>
  <r>
    <s v="осень"/>
    <s v="Введение в авиационную и ракетно-космическую технику"/>
    <s v="ПЗ"/>
    <s v="М3О-134Б-22"/>
    <n v="8"/>
    <s v="16272"/>
    <n v="8"/>
    <s v="98323     "/>
    <x v="2"/>
    <m/>
    <s v="Да"/>
    <m/>
    <m/>
    <n v="230"/>
    <n v="121.18"/>
    <n v="351.18"/>
    <n v="0.4231084337349398"/>
  </r>
  <r>
    <s v="осень"/>
    <s v="Введение в авиационную и ракетно-космическую технику"/>
    <s v="ПЗ"/>
    <s v="М3О-136Б-22"/>
    <n v="8"/>
    <s v="16272"/>
    <n v="8"/>
    <s v="98323     "/>
    <x v="2"/>
    <m/>
    <s v="Да"/>
    <m/>
    <m/>
    <n v="230"/>
    <n v="121.18"/>
    <n v="351.18"/>
    <n v="0.4231084337349398"/>
  </r>
  <r>
    <s v="осень"/>
    <s v="Введение в авиационную и ракетно-космическую технику"/>
    <s v="Консультация"/>
    <s v="М3О-134Б-22"/>
    <n v="1"/>
    <s v="16272"/>
    <m/>
    <s v="98323     "/>
    <x v="2"/>
    <m/>
    <s v="Да"/>
    <m/>
    <m/>
    <n v="230"/>
    <n v="121.18"/>
    <n v="351.18"/>
    <n v="0.4231084337349398"/>
  </r>
  <r>
    <s v="осень"/>
    <s v="Введение в авиационную и ракетно-космическую технику"/>
    <s v="Консультация"/>
    <s v="М3О-136Б-22"/>
    <n v="1"/>
    <s v="16272"/>
    <m/>
    <s v="98323     "/>
    <x v="2"/>
    <m/>
    <s v="Да"/>
    <m/>
    <m/>
    <n v="230"/>
    <n v="121.18"/>
    <n v="351.18"/>
    <n v="0.4231084337349398"/>
  </r>
  <r>
    <s v="осень"/>
    <s v="Организация производства"/>
    <s v="ЛК"/>
    <s v="М3О-312А-20"/>
    <n v="68"/>
    <s v="15863"/>
    <n v="68"/>
    <s v="90109     "/>
    <x v="14"/>
    <m/>
    <s v="Нет"/>
    <m/>
    <m/>
    <n v="332.33"/>
    <n v="309.88"/>
    <n v="642.21"/>
    <n v="0.7737469879518073"/>
  </r>
  <r>
    <s v="осень"/>
    <s v="Организация производства"/>
    <s v="ПЗ"/>
    <s v="М3О-312А-20"/>
    <n v="20"/>
    <s v="15863"/>
    <n v="20"/>
    <s v="90109     "/>
    <x v="14"/>
    <m/>
    <s v="Нет"/>
    <m/>
    <m/>
    <n v="332.33"/>
    <n v="309.88"/>
    <n v="642.21"/>
    <n v="0.7737469879518073"/>
  </r>
  <r>
    <s v="осень"/>
    <s v="Организация производства"/>
    <s v="Экзамен"/>
    <s v="М3О-312А-20"/>
    <n v="1"/>
    <s v="15863"/>
    <m/>
    <s v="90109     "/>
    <x v="14"/>
    <m/>
    <s v="Нет"/>
    <m/>
    <m/>
    <n v="332.33"/>
    <n v="309.88"/>
    <n v="642.21"/>
    <n v="0.7737469879518073"/>
  </r>
  <r>
    <s v="осень"/>
    <s v="Организация производства"/>
    <s v="Консультация"/>
    <s v="М3О-312А-20"/>
    <n v="5"/>
    <s v="15863"/>
    <m/>
    <s v="90109     "/>
    <x v="14"/>
    <m/>
    <s v="Нет"/>
    <m/>
    <m/>
    <n v="332.33"/>
    <n v="309.88"/>
    <n v="642.21"/>
    <n v="0.7737469879518073"/>
  </r>
  <r>
    <s v="осень"/>
    <s v="Основы микроэлектроники"/>
    <s v="ЛК"/>
    <s v="М3О-334Б-20"/>
    <n v="34"/>
    <s v="10846"/>
    <n v="34"/>
    <s v="83003     "/>
    <x v="17"/>
    <m/>
    <s v="Да"/>
    <m/>
    <m/>
    <n v="280.67"/>
    <n v="392.03000000000003"/>
    <n v="672.7"/>
    <n v="0.8104819277108434"/>
  </r>
  <r>
    <s v="осень"/>
    <s v="Основы микроэлектроники"/>
    <s v="КР"/>
    <s v="М3О-334Б-20"/>
    <n v="66"/>
    <s v="10846"/>
    <m/>
    <s v="83003     "/>
    <x v="17"/>
    <m/>
    <s v="Да"/>
    <m/>
    <m/>
    <n v="280.67"/>
    <n v="392.03000000000003"/>
    <n v="672.7"/>
    <n v="0.8104819277108434"/>
  </r>
  <r>
    <s v="осень"/>
    <s v="Основы микроэлектроники"/>
    <s v="Зачет с оценкой"/>
    <s v="М3О-334Б-20"/>
    <n v="8"/>
    <s v="10846"/>
    <m/>
    <s v="83003     "/>
    <x v="17"/>
    <m/>
    <s v="Да"/>
    <m/>
    <m/>
    <n v="280.67"/>
    <n v="392.03000000000003"/>
    <n v="672.7"/>
    <n v="0.8104819277108434"/>
  </r>
  <r>
    <s v="осень"/>
    <s v="Основы микроэлектроники"/>
    <s v="ПЗ"/>
    <s v="М3О-334Б-20"/>
    <n v="16"/>
    <s v="10846"/>
    <n v="16"/>
    <s v="83003     "/>
    <x v="17"/>
    <m/>
    <s v="Да"/>
    <m/>
    <m/>
    <n v="280.67"/>
    <n v="392.03000000000003"/>
    <n v="672.7"/>
    <n v="0.8104819277108434"/>
  </r>
  <r>
    <s v="осень"/>
    <s v="Основы микроэлектроники"/>
    <s v="ЛР"/>
    <s v="М3О-334Б-20"/>
    <n v="16"/>
    <s v="10846"/>
    <n v="16"/>
    <s v="83003     "/>
    <x v="17"/>
    <m/>
    <s v="Да"/>
    <m/>
    <m/>
    <n v="280.67"/>
    <n v="392.03000000000003"/>
    <n v="672.7"/>
    <n v="0.8104819277108434"/>
  </r>
  <r>
    <s v="осень"/>
    <s v="Основы микроэлектроники"/>
    <s v="ЛР"/>
    <s v="М3О-334Б-20"/>
    <n v="16"/>
    <s v="10846"/>
    <n v="16"/>
    <s v="95640     "/>
    <x v="3"/>
    <m/>
    <s v="Нет"/>
    <m/>
    <m/>
    <n v="143"/>
    <n v="196"/>
    <n v="339"/>
    <n v="0.40843373493975904"/>
  </r>
  <r>
    <s v="осень"/>
    <s v="Основы микроэлектроники"/>
    <s v="Консультация"/>
    <s v="М3О-334Б-20"/>
    <n v="2"/>
    <s v="10846"/>
    <m/>
    <s v="83003     "/>
    <x v="17"/>
    <m/>
    <s v="Да"/>
    <m/>
    <m/>
    <n v="280.67"/>
    <n v="392.03000000000003"/>
    <n v="672.7"/>
    <n v="0.8104819277108434"/>
  </r>
  <r>
    <s v="осень"/>
    <s v="Производственная практика"/>
    <s v="Преддипломная практика"/>
    <s v="М3О-220М-21"/>
    <n v="57"/>
    <m/>
    <m/>
    <s v="83003     "/>
    <x v="17"/>
    <m/>
    <s v="Да"/>
    <m/>
    <m/>
    <n v="280.67"/>
    <n v="392.03000000000003"/>
    <n v="672.7"/>
    <n v="0.8104819277108434"/>
  </r>
  <r>
    <s v="осень"/>
    <s v="Руководство магистрами"/>
    <s v="Руководство магистрами"/>
    <s v="М3О-119М-22"/>
    <n v="45"/>
    <m/>
    <m/>
    <s v="98323     "/>
    <x v="2"/>
    <m/>
    <s v="Да"/>
    <m/>
    <m/>
    <n v="230"/>
    <n v="121.18"/>
    <n v="351.18"/>
    <n v="0.4231084337349398"/>
  </r>
  <r>
    <s v="осень"/>
    <s v="Руководство магистрами"/>
    <s v="Руководство магистрами"/>
    <s v="М3О-119М-22"/>
    <n v="45"/>
    <m/>
    <m/>
    <s v="82529     "/>
    <x v="9"/>
    <m/>
    <s v="Нет"/>
    <m/>
    <m/>
    <n v="206"/>
    <n v="110"/>
    <n v="316"/>
    <n v="0.38072289156626504"/>
  </r>
  <r>
    <s v="осень"/>
    <s v="Руководство магистрами"/>
    <s v="Руководство магистрами"/>
    <s v="М3О-119М-22"/>
    <n v="45"/>
    <m/>
    <m/>
    <s v="94172     "/>
    <x v="1"/>
    <m/>
    <s v="Нет"/>
    <m/>
    <m/>
    <n v="299"/>
    <n v="160"/>
    <n v="459"/>
    <n v="0.553012048192771"/>
  </r>
  <r>
    <s v="осень"/>
    <s v="Руководство магистрами"/>
    <s v="Руководство магистрами"/>
    <s v="М3О-119М-22"/>
    <n v="45"/>
    <m/>
    <m/>
    <s v="83003     "/>
    <x v="17"/>
    <m/>
    <s v="Да"/>
    <m/>
    <m/>
    <n v="280.67"/>
    <n v="392.03000000000003"/>
    <n v="672.7"/>
    <n v="0.8104819277108434"/>
  </r>
  <r>
    <s v="осень"/>
    <s v="Руководство магистрами"/>
    <s v="Руководство магистрами"/>
    <s v="М3О-120М-22"/>
    <n v="36.67"/>
    <m/>
    <m/>
    <s v="81877     "/>
    <x v="12"/>
    <m/>
    <s v="Да"/>
    <m/>
    <m/>
    <n v="270.67"/>
    <n v="355.03000000000003"/>
    <n v="625.7"/>
    <n v="0.753855421686747"/>
  </r>
  <r>
    <s v="осень"/>
    <s v="Руководство магистрами"/>
    <s v="Руководство магистрами"/>
    <s v="М3О-120М-22"/>
    <n v="36.67"/>
    <m/>
    <m/>
    <s v="83003     "/>
    <x v="17"/>
    <m/>
    <s v="Да"/>
    <m/>
    <m/>
    <n v="280.67"/>
    <n v="392.03000000000003"/>
    <n v="672.7"/>
    <n v="0.8104819277108434"/>
  </r>
  <r>
    <s v="осень"/>
    <s v="Руководство магистрами"/>
    <s v="Руководство магистрами"/>
    <s v="М3О-120М-22"/>
    <n v="18.33"/>
    <m/>
    <m/>
    <s v="90109     "/>
    <x v="14"/>
    <m/>
    <s v="Нет"/>
    <m/>
    <m/>
    <n v="332.33"/>
    <n v="309.88"/>
    <n v="642.21"/>
    <n v="0.7737469879518073"/>
  </r>
  <r>
    <s v="осень"/>
    <s v="Руководство магистрами"/>
    <s v="Руководство магистрами"/>
    <s v="М3О-120М-22"/>
    <n v="36.67"/>
    <m/>
    <m/>
    <s v="95641     "/>
    <x v="18"/>
    <m/>
    <s v="Нет"/>
    <m/>
    <m/>
    <n v="51.67"/>
    <n v="225.03000000000003"/>
    <n v="276.70000000000005"/>
    <n v="0.33337349397590366"/>
  </r>
  <r>
    <s v="осень"/>
    <s v="Руководство магистрами"/>
    <s v="Руководство магистрами"/>
    <s v="М3О-120М-22"/>
    <n v="18.33"/>
    <m/>
    <m/>
    <s v="82765     "/>
    <x v="0"/>
    <m/>
    <s v="Нет"/>
    <m/>
    <m/>
    <n v="75.33"/>
    <n v="221.32999999999998"/>
    <n v="296.65999999999997"/>
    <n v="0.35742168674698793"/>
  </r>
  <r>
    <s v="осень"/>
    <s v="Руководство магистрами"/>
    <s v="Руководство магистрами"/>
    <s v="М3О-120М-22"/>
    <n v="18.33"/>
    <m/>
    <m/>
    <s v="97722     "/>
    <x v="10"/>
    <m/>
    <s v="Нет"/>
    <m/>
    <m/>
    <n v="160.32999999999998"/>
    <n v="148.32999999999998"/>
    <n v="308.65999999999997"/>
    <n v="0.37187951807228914"/>
  </r>
  <r>
    <s v="осень"/>
    <s v="Руководство магистрами"/>
    <s v="Руководство магистрами"/>
    <s v="М3О-219М-21"/>
    <n v="24"/>
    <m/>
    <m/>
    <s v="93746     "/>
    <x v="8"/>
    <m/>
    <s v="Нет"/>
    <m/>
    <m/>
    <n v="54"/>
    <n v="158.18"/>
    <n v="212.18"/>
    <n v="0.2556385542168675"/>
  </r>
  <r>
    <s v="осень"/>
    <s v="Руководство магистрами"/>
    <s v="Руководство магистрами"/>
    <s v="М3О-219М-21"/>
    <n v="12"/>
    <m/>
    <m/>
    <s v="82529     "/>
    <x v="9"/>
    <m/>
    <s v="Нет"/>
    <m/>
    <m/>
    <n v="206"/>
    <n v="110"/>
    <n v="316"/>
    <n v="0.38072289156626504"/>
  </r>
  <r>
    <s v="осень"/>
    <s v="Руководство магистрами"/>
    <s v="Руководство магистрами"/>
    <s v="М3О-219М-21"/>
    <n v="12"/>
    <m/>
    <m/>
    <s v="82765     "/>
    <x v="0"/>
    <m/>
    <s v="Нет"/>
    <m/>
    <m/>
    <n v="75.33"/>
    <n v="221.32999999999998"/>
    <n v="296.65999999999997"/>
    <n v="0.35742168674698793"/>
  </r>
  <r>
    <s v="осень"/>
    <s v="Руководство магистрами"/>
    <s v="Руководство магистрами"/>
    <s v="М3О-219М-21"/>
    <n v="12"/>
    <m/>
    <m/>
    <s v="81877     "/>
    <x v="12"/>
    <m/>
    <s v="Да"/>
    <m/>
    <m/>
    <n v="270.67"/>
    <n v="355.03000000000003"/>
    <n v="625.7"/>
    <n v="0.753855421686747"/>
  </r>
  <r>
    <s v="осень"/>
    <s v="Руководство магистрами"/>
    <s v="Руководство магистрами"/>
    <s v="М3О-220М-21"/>
    <n v="30"/>
    <m/>
    <m/>
    <s v="97722     "/>
    <x v="10"/>
    <m/>
    <s v="Нет"/>
    <m/>
    <m/>
    <n v="160.32999999999998"/>
    <n v="148.32999999999998"/>
    <n v="308.65999999999997"/>
    <n v="0.37187951807228914"/>
  </r>
  <r>
    <s v="осень"/>
    <s v="Руководство магистрами"/>
    <s v="Руководство магистрами"/>
    <s v="М3О-220М-21"/>
    <n v="15"/>
    <m/>
    <m/>
    <s v="82765     "/>
    <x v="0"/>
    <m/>
    <s v="Нет"/>
    <m/>
    <m/>
    <n v="75.33"/>
    <n v="221.32999999999998"/>
    <n v="296.65999999999997"/>
    <n v="0.35742168674698793"/>
  </r>
  <r>
    <s v="осень"/>
    <s v="Руководство магистрами"/>
    <s v="Руководство магистрами"/>
    <s v="М3О-220М-21"/>
    <n v="15"/>
    <m/>
    <m/>
    <s v="91852     "/>
    <x v="11"/>
    <m/>
    <s v="Да"/>
    <m/>
    <m/>
    <n v="96"/>
    <n v="367"/>
    <n v="463"/>
    <n v="0.5578313253012048"/>
  </r>
  <r>
    <s v="осень"/>
    <s v="Руководство магистрами"/>
    <s v="Руководство магистрами"/>
    <s v="М3О-220М-21"/>
    <n v="15"/>
    <m/>
    <m/>
    <s v="95641     "/>
    <x v="18"/>
    <m/>
    <s v="Нет"/>
    <m/>
    <m/>
    <n v="51.67"/>
    <n v="225.03000000000003"/>
    <n v="276.70000000000005"/>
    <n v="0.33337349397590366"/>
  </r>
  <r>
    <s v="осень"/>
    <s v="Руководство магистрами"/>
    <s v="Руководство магистрами"/>
    <s v="М3О-220М-21"/>
    <n v="15"/>
    <m/>
    <m/>
    <s v="94089     "/>
    <x v="6"/>
    <m/>
    <s v="Нет"/>
    <m/>
    <m/>
    <n v="103"/>
    <n v="179"/>
    <n v="282"/>
    <n v="0.3397590361445783"/>
  </r>
  <r>
    <s v="осень"/>
    <s v="Руководство магистрами"/>
    <s v="Руководство магистрами"/>
    <s v="М3О-220М-21"/>
    <n v="15"/>
    <m/>
    <m/>
    <s v="90109     "/>
    <x v="14"/>
    <m/>
    <s v="Нет"/>
    <m/>
    <m/>
    <n v="332.33"/>
    <n v="309.88"/>
    <n v="642.21"/>
    <n v="0.7737469879518073"/>
  </r>
  <r>
    <s v="осень"/>
    <s v="Руководство магистрами"/>
    <s v="Руководство магистрами"/>
    <s v="М3О-220М-21"/>
    <n v="15"/>
    <m/>
    <m/>
    <s v="81877     "/>
    <x v="12"/>
    <m/>
    <s v="Да"/>
    <m/>
    <m/>
    <n v="270.67"/>
    <n v="355.03000000000003"/>
    <n v="625.7"/>
    <n v="0.753855421686747"/>
  </r>
  <r>
    <s v="осень"/>
    <s v="Руководство аспирантами"/>
    <s v="Руководство аспирантами"/>
    <s v="М3О-308А-20"/>
    <n v="25"/>
    <m/>
    <m/>
    <s v="94172     "/>
    <x v="1"/>
    <m/>
    <s v="Нет"/>
    <m/>
    <m/>
    <n v="299"/>
    <n v="160"/>
    <n v="459"/>
    <n v="0.553012048192771"/>
  </r>
  <r>
    <s v="осень"/>
    <s v="Руководство аспирантами"/>
    <s v="Руководство аспирантами"/>
    <s v="Т12О-308А-20"/>
    <n v="25"/>
    <m/>
    <m/>
    <s v="90109     "/>
    <x v="14"/>
    <m/>
    <s v="Нет"/>
    <m/>
    <m/>
    <n v="332.33"/>
    <n v="309.88"/>
    <n v="642.21"/>
    <n v="0.7737469879518073"/>
  </r>
  <r>
    <s v="осень"/>
    <s v="Руководство аспирантами"/>
    <s v="Руководство аспирантами"/>
    <s v="М3О-312А-20"/>
    <n v="25"/>
    <m/>
    <m/>
    <s v="90109     "/>
    <x v="14"/>
    <m/>
    <s v="Нет"/>
    <m/>
    <m/>
    <n v="332.33"/>
    <n v="309.88"/>
    <n v="642.21"/>
    <n v="0.7737469879518073"/>
  </r>
  <r>
    <s v="осень"/>
    <s v="Руководство аспирантами"/>
    <s v="Руководство аспирантами"/>
    <s v="М3О-416А-19"/>
    <n v="50"/>
    <m/>
    <m/>
    <s v="91852     "/>
    <x v="11"/>
    <m/>
    <s v="Да"/>
    <m/>
    <m/>
    <n v="96"/>
    <n v="367"/>
    <n v="463"/>
    <n v="0.5578313253012048"/>
  </r>
  <r>
    <s v="весна"/>
    <s v="Руководство кафедрой"/>
    <s v="Руководство кафедрой"/>
    <m/>
    <n v="30"/>
    <m/>
    <m/>
    <s v="82765     "/>
    <x v="0"/>
    <m/>
    <s v="Нет"/>
    <m/>
    <m/>
    <n v="75.33"/>
    <n v="221.32999999999998"/>
    <n v="296.65999999999997"/>
    <n v="0.35742168674698793"/>
  </r>
  <r>
    <s v="весна"/>
    <s v="Вычислительные методы в электродинамике"/>
    <s v="ЛК"/>
    <s v="Т12О-308А-20"/>
    <n v="22"/>
    <s v="14118"/>
    <n v="22"/>
    <s v="94172     "/>
    <x v="1"/>
    <m/>
    <s v="Нет"/>
    <m/>
    <m/>
    <n v="299"/>
    <n v="160"/>
    <n v="459"/>
    <n v="0.553012048192771"/>
  </r>
  <r>
    <s v="весна"/>
    <s v="Вычислительные методы в электродинамике"/>
    <s v="ПЗ"/>
    <s v="Т12О-308А-20"/>
    <n v="8"/>
    <s v="14118"/>
    <n v="8"/>
    <s v="94172     "/>
    <x v="1"/>
    <m/>
    <s v="Нет"/>
    <m/>
    <m/>
    <n v="299"/>
    <n v="160"/>
    <n v="459"/>
    <n v="0.553012048192771"/>
  </r>
  <r>
    <s v="весна"/>
    <s v="Вычислительные методы в электродинамике"/>
    <s v="Консультация"/>
    <s v="Т12О-308А-20"/>
    <n v="1"/>
    <s v="14118"/>
    <m/>
    <s v="94172     "/>
    <x v="1"/>
    <m/>
    <s v="Нет"/>
    <m/>
    <m/>
    <n v="299"/>
    <n v="160"/>
    <n v="459"/>
    <n v="0.553012048192771"/>
  </r>
  <r>
    <s v="весна"/>
    <s v="Современные технологии производства электронных средств"/>
    <s v="ЛК"/>
    <s v="М3О-119М-22"/>
    <n v="12"/>
    <s v="13712"/>
    <n v="12"/>
    <s v="98323     "/>
    <x v="2"/>
    <m/>
    <s v="Да"/>
    <m/>
    <m/>
    <n v="230"/>
    <n v="121.18"/>
    <n v="351.18"/>
    <n v="0.4231084337349398"/>
  </r>
  <r>
    <s v="весна"/>
    <s v="Современные технологии производства электронных средств"/>
    <s v="ПЗ"/>
    <s v="М3О-119М-22"/>
    <n v="8"/>
    <s v="13712"/>
    <n v="8"/>
    <s v="98323     "/>
    <x v="2"/>
    <m/>
    <s v="Да"/>
    <m/>
    <m/>
    <n v="230"/>
    <n v="121.18"/>
    <n v="351.18"/>
    <n v="0.4231084337349398"/>
  </r>
  <r>
    <s v="весна"/>
    <s v="Современные технологии производства электронных средств"/>
    <s v="ЛР"/>
    <s v="М3О-119М-22"/>
    <n v="8"/>
    <s v="13712"/>
    <n v="8"/>
    <s v="98323     "/>
    <x v="2"/>
    <m/>
    <s v="Да"/>
    <m/>
    <m/>
    <n v="230"/>
    <n v="121.18"/>
    <n v="351.18"/>
    <n v="0.4231084337349398"/>
  </r>
  <r>
    <s v="весна"/>
    <s v="Современные технологии производства электронных средств"/>
    <s v="Зачет"/>
    <s v="М3О-119М-22"/>
    <n v="4"/>
    <s v="13712"/>
    <m/>
    <s v="98323     "/>
    <x v="2"/>
    <m/>
    <s v="Да"/>
    <m/>
    <m/>
    <n v="230"/>
    <n v="121.18"/>
    <n v="351.18"/>
    <n v="0.4231084337349398"/>
  </r>
  <r>
    <s v="весна"/>
    <s v="Современные технологии производства электронных средств"/>
    <s v="Консультация"/>
    <s v="М3О-119М-22"/>
    <n v="1"/>
    <s v="13712"/>
    <m/>
    <s v="98323     "/>
    <x v="2"/>
    <m/>
    <s v="Да"/>
    <m/>
    <m/>
    <n v="230"/>
    <n v="121.18"/>
    <n v="351.18"/>
    <n v="0.4231084337349398"/>
  </r>
  <r>
    <s v="весна"/>
    <s v="Управление производством и информационные технологии обработки BIG DATA"/>
    <s v="ЛК"/>
    <s v="М3О-234Б-21"/>
    <n v="24"/>
    <s v="10846"/>
    <n v="24"/>
    <s v="81877     "/>
    <x v="12"/>
    <m/>
    <s v="Да"/>
    <m/>
    <m/>
    <n v="270.67"/>
    <n v="355.03000000000003"/>
    <n v="625.7"/>
    <n v="0.753855421686747"/>
  </r>
  <r>
    <s v="весна"/>
    <s v="Управление производством и информационные технологии обработки BIG DATA"/>
    <s v="Зачет с оценкой"/>
    <s v="М3О-234Б-21"/>
    <n v="8"/>
    <s v="10846"/>
    <m/>
    <s v="81877     "/>
    <x v="12"/>
    <m/>
    <s v="Да"/>
    <m/>
    <m/>
    <n v="270.67"/>
    <n v="355.03000000000003"/>
    <n v="625.7"/>
    <n v="0.753855421686747"/>
  </r>
  <r>
    <s v="весна"/>
    <s v="Управление производством и информационные технологии обработки BIG DATA"/>
    <s v="ПЗ"/>
    <s v="М3О-234Б-21"/>
    <n v="24"/>
    <s v="10846"/>
    <n v="24"/>
    <s v="82021     "/>
    <x v="5"/>
    <m/>
    <s v="Нет"/>
    <m/>
    <m/>
    <n v="334"/>
    <n v="215"/>
    <n v="549"/>
    <n v="0.6614457831325301"/>
  </r>
  <r>
    <s v="весна"/>
    <s v="Управление производством и информационные технологии обработки BIG DATA"/>
    <s v="ЛР"/>
    <s v="М3О-234Б-21"/>
    <n v="16"/>
    <s v="10846"/>
    <n v="16"/>
    <s v="82021     "/>
    <x v="5"/>
    <m/>
    <s v="Нет"/>
    <m/>
    <m/>
    <n v="334"/>
    <n v="215"/>
    <n v="549"/>
    <n v="0.6614457831325301"/>
  </r>
  <r>
    <s v="весна"/>
    <s v="Управление производством и информационные технологии обработки BIG DATA"/>
    <s v="ЛР"/>
    <s v="М3О-234Б-21"/>
    <n v="16"/>
    <s v="10846"/>
    <n v="16"/>
    <s v="81877     "/>
    <x v="12"/>
    <m/>
    <s v="Да"/>
    <m/>
    <m/>
    <n v="270.67"/>
    <n v="355.03000000000003"/>
    <n v="625.7"/>
    <n v="0.753855421686747"/>
  </r>
  <r>
    <s v="весна"/>
    <s v="Управление производством и информационные технологии обработки BIG DATA"/>
    <s v="Консультация"/>
    <s v="М3О-234Б-21"/>
    <n v="1"/>
    <s v="10846"/>
    <m/>
    <s v="81877     "/>
    <x v="12"/>
    <m/>
    <s v="Да"/>
    <m/>
    <m/>
    <n v="270.67"/>
    <n v="355.03000000000003"/>
    <n v="625.7"/>
    <n v="0.753855421686747"/>
  </r>
  <r>
    <s v="весна"/>
    <s v="Стратегический анализ направлений развития высокотехнологичных предприятий"/>
    <s v="ЛК"/>
    <s v="М3О-120М-22"/>
    <n v="8"/>
    <s v="13711"/>
    <n v="8"/>
    <s v="91852     "/>
    <x v="11"/>
    <m/>
    <s v="Да"/>
    <m/>
    <m/>
    <n v="96"/>
    <n v="367"/>
    <n v="463"/>
    <n v="0.5578313253012048"/>
  </r>
  <r>
    <s v="весна"/>
    <s v="Стратегический анализ направлений развития высокотехнологичных предприятий"/>
    <s v="КР"/>
    <s v="М3О-120М-22"/>
    <n v="33"/>
    <s v="13711"/>
    <m/>
    <s v="91852     "/>
    <x v="11"/>
    <m/>
    <s v="Да"/>
    <m/>
    <m/>
    <n v="96"/>
    <n v="367"/>
    <n v="463"/>
    <n v="0.5578313253012048"/>
  </r>
  <r>
    <s v="весна"/>
    <s v="Стратегический анализ направлений развития высокотехнологичных предприятий"/>
    <s v="ПЗ"/>
    <s v="М3О-120М-22"/>
    <n v="48"/>
    <s v="13711"/>
    <n v="48"/>
    <s v="93895     "/>
    <x v="7"/>
    <m/>
    <s v="Нет"/>
    <m/>
    <m/>
    <n v="164"/>
    <n v="241"/>
    <n v="405"/>
    <n v="0.4879518072289157"/>
  </r>
  <r>
    <s v="весна"/>
    <s v="Стратегический анализ направлений развития высокотехнологичных предприятий"/>
    <s v="ЛР"/>
    <s v="М3О-120М-22"/>
    <n v="16"/>
    <s v="13711"/>
    <n v="16"/>
    <s v="91852     "/>
    <x v="11"/>
    <m/>
    <s v="Да"/>
    <m/>
    <m/>
    <n v="96"/>
    <n v="367"/>
    <n v="463"/>
    <n v="0.5578313253012048"/>
  </r>
  <r>
    <s v="весна"/>
    <s v="Стратегический анализ направлений развития высокотехнологичных предприятий"/>
    <s v="Экзамен"/>
    <s v="М3О-120М-22"/>
    <n v="6"/>
    <s v="13711"/>
    <m/>
    <s v="91852     "/>
    <x v="11"/>
    <m/>
    <s v="Да"/>
    <m/>
    <m/>
    <n v="96"/>
    <n v="367"/>
    <n v="463"/>
    <n v="0.5578313253012048"/>
  </r>
  <r>
    <s v="весна"/>
    <s v="Стратегический анализ направлений развития высокотехнологичных предприятий"/>
    <s v="Консультация"/>
    <s v="М3О-120М-22"/>
    <n v="2"/>
    <s v="13711"/>
    <m/>
    <s v="91852     "/>
    <x v="11"/>
    <m/>
    <s v="Да"/>
    <m/>
    <m/>
    <n v="96"/>
    <n v="367"/>
    <n v="463"/>
    <n v="0.5578313253012048"/>
  </r>
  <r>
    <s v="весна"/>
    <s v="Конструирование РЭС"/>
    <s v="ЛК"/>
    <s v="М3О-119М-22"/>
    <n v="22"/>
    <s v="13712"/>
    <n v="22"/>
    <s v="93746     "/>
    <x v="8"/>
    <m/>
    <s v="Нет"/>
    <m/>
    <m/>
    <n v="54"/>
    <n v="158.18"/>
    <n v="212.18"/>
    <n v="0.2556385542168675"/>
  </r>
  <r>
    <s v="весна"/>
    <s v="Конструирование РЭС"/>
    <s v="Зачет с оценкой"/>
    <s v="М3О-119М-22"/>
    <n v="4"/>
    <s v="13712"/>
    <m/>
    <s v="93746     "/>
    <x v="8"/>
    <m/>
    <s v="Нет"/>
    <m/>
    <m/>
    <n v="54"/>
    <n v="158.18"/>
    <n v="212.18"/>
    <n v="0.2556385542168675"/>
  </r>
  <r>
    <s v="весна"/>
    <s v="Конструирование РЭС"/>
    <s v="ПЗ"/>
    <s v="М3О-119М-22"/>
    <n v="32"/>
    <s v="13712"/>
    <n v="32"/>
    <s v="93746     "/>
    <x v="8"/>
    <m/>
    <s v="Нет"/>
    <m/>
    <m/>
    <n v="54"/>
    <n v="158.18"/>
    <n v="212.18"/>
    <n v="0.2556385542168675"/>
  </r>
  <r>
    <s v="весна"/>
    <s v="Конструирование РЭС"/>
    <s v="Консультация"/>
    <s v="М3О-119М-22"/>
    <n v="1"/>
    <s v="13712"/>
    <m/>
    <s v="93746     "/>
    <x v="8"/>
    <m/>
    <s v="Нет"/>
    <m/>
    <m/>
    <n v="54"/>
    <n v="158.18"/>
    <n v="212.18"/>
    <n v="0.2556385542168675"/>
  </r>
  <r>
    <s v="весна"/>
    <s v="Технология управления жизненным циклом изделий и киберфизические системы"/>
    <s v="ЛК"/>
    <s v="М3О-119М-22"/>
    <n v="14"/>
    <s v="13712"/>
    <n v="14"/>
    <s v="82021     "/>
    <x v="5"/>
    <m/>
    <s v="Нет"/>
    <m/>
    <m/>
    <n v="334"/>
    <n v="215"/>
    <n v="549"/>
    <n v="0.6614457831325301"/>
  </r>
  <r>
    <s v="весна"/>
    <s v="Технология управления жизненным циклом изделий и киберфизические системы"/>
    <s v="ПЗ"/>
    <s v="М3О-119М-22"/>
    <n v="20"/>
    <s v="13712"/>
    <n v="20"/>
    <s v="82021     "/>
    <x v="5"/>
    <m/>
    <s v="Нет"/>
    <m/>
    <m/>
    <n v="334"/>
    <n v="215"/>
    <n v="549"/>
    <n v="0.6614457831325301"/>
  </r>
  <r>
    <s v="весна"/>
    <s v="Технология управления жизненным циклом изделий и киберфизические системы"/>
    <s v="ЛР"/>
    <s v="М3О-119М-22"/>
    <n v="20"/>
    <s v="13712"/>
    <n v="20"/>
    <s v="82021     "/>
    <x v="5"/>
    <m/>
    <s v="Нет"/>
    <m/>
    <m/>
    <n v="334"/>
    <n v="215"/>
    <n v="549"/>
    <n v="0.6614457831325301"/>
  </r>
  <r>
    <s v="весна"/>
    <s v="Технология управления жизненным циклом изделий и киберфизические системы"/>
    <s v="Экзамен"/>
    <s v="М3О-119М-22"/>
    <n v="6"/>
    <s v="13712"/>
    <m/>
    <s v="82021     "/>
    <x v="5"/>
    <m/>
    <s v="Нет"/>
    <m/>
    <m/>
    <n v="334"/>
    <n v="215"/>
    <n v="549"/>
    <n v="0.6614457831325301"/>
  </r>
  <r>
    <s v="весна"/>
    <s v="Технология управления жизненным циклом изделий и киберфизические системы"/>
    <s v="Консультация"/>
    <s v="М3О-119М-22"/>
    <n v="3"/>
    <s v="13712"/>
    <m/>
    <s v="82021     "/>
    <x v="5"/>
    <m/>
    <s v="Нет"/>
    <m/>
    <m/>
    <n v="334"/>
    <n v="215"/>
    <n v="549"/>
    <n v="0.6614457831325301"/>
  </r>
  <r>
    <s v="весна"/>
    <s v="IT технологии виртуальной реальности и ИИ в индустриальных системах"/>
    <s v="ЛК"/>
    <s v="М3О-119М-22"/>
    <n v="10"/>
    <s v="13712"/>
    <n v="10"/>
    <s v="82021     "/>
    <x v="5"/>
    <m/>
    <s v="Нет"/>
    <m/>
    <m/>
    <n v="334"/>
    <n v="215"/>
    <n v="549"/>
    <n v="0.6614457831325301"/>
  </r>
  <r>
    <s v="весна"/>
    <s v="IT технологии виртуальной реальности и ИИ в индустриальных системах"/>
    <s v="ПЗ"/>
    <s v="М3О-119М-22"/>
    <n v="26"/>
    <s v="13712"/>
    <n v="26"/>
    <s v="82021     "/>
    <x v="5"/>
    <m/>
    <s v="Нет"/>
    <m/>
    <m/>
    <n v="334"/>
    <n v="215"/>
    <n v="549"/>
    <n v="0.6614457831325301"/>
  </r>
  <r>
    <s v="весна"/>
    <s v="IT технологии виртуальной реальности и ИИ в индустриальных системах"/>
    <s v="Зачет"/>
    <s v="М3О-119М-22"/>
    <n v="4"/>
    <s v="13712"/>
    <m/>
    <s v="82021     "/>
    <x v="5"/>
    <m/>
    <s v="Нет"/>
    <m/>
    <m/>
    <n v="334"/>
    <n v="215"/>
    <n v="549"/>
    <n v="0.6614457831325301"/>
  </r>
  <r>
    <s v="весна"/>
    <s v="IT технологии виртуальной реальности и ИИ в индустриальных системах"/>
    <s v="Консультация"/>
    <s v="М3О-119М-22"/>
    <n v="1"/>
    <s v="13712"/>
    <m/>
    <s v="82021     "/>
    <x v="5"/>
    <m/>
    <s v="Нет"/>
    <m/>
    <m/>
    <n v="334"/>
    <n v="215"/>
    <n v="549"/>
    <n v="0.6614457831325301"/>
  </r>
  <r>
    <s v="весна"/>
    <s v="Технологии технологического бизнеса и стартапов"/>
    <s v="ПЗ"/>
    <s v="М3О-119М-22"/>
    <n v="16"/>
    <m/>
    <n v="16"/>
    <m/>
    <x v="10"/>
    <m/>
    <s v="Нет"/>
    <m/>
    <m/>
    <n v="160.32999999999998"/>
    <n v="148.32999999999998"/>
    <n v="308.65999999999997"/>
    <n v="0.37187951807228914"/>
  </r>
  <r>
    <s v="весна"/>
    <s v="Технологии технологического бизнеса и стартапов"/>
    <s v="Экзамен"/>
    <s v="М3О-119М-22"/>
    <n v="6"/>
    <m/>
    <m/>
    <m/>
    <x v="10"/>
    <m/>
    <s v="Нет"/>
    <m/>
    <m/>
    <n v="160.32999999999998"/>
    <n v="148.32999999999998"/>
    <n v="308.65999999999997"/>
    <n v="0.37187951807228914"/>
  </r>
  <r>
    <s v="весна"/>
    <s v="Технологии технологического бизнеса и стартапов"/>
    <s v="Консультация"/>
    <s v="М3О-119М-22"/>
    <n v="2"/>
    <m/>
    <m/>
    <m/>
    <x v="10"/>
    <m/>
    <s v="Нет"/>
    <m/>
    <m/>
    <n v="160.32999999999998"/>
    <n v="148.32999999999998"/>
    <n v="308.65999999999997"/>
    <n v="0.37187951807228914"/>
  </r>
  <r>
    <s v="весна"/>
    <s v="Техническая электродинамика"/>
    <s v="ЛК"/>
    <s v="М3О-119М-22"/>
    <n v="22"/>
    <s v="13712"/>
    <n v="22"/>
    <s v="94172     "/>
    <x v="1"/>
    <m/>
    <s v="Нет"/>
    <m/>
    <m/>
    <n v="299"/>
    <n v="160"/>
    <n v="459"/>
    <n v="0.553012048192771"/>
  </r>
  <r>
    <s v="весна"/>
    <s v="Техническая электродинамика"/>
    <s v="ПЗ"/>
    <s v="М3О-119М-22"/>
    <n v="28"/>
    <s v="13712"/>
    <n v="28"/>
    <s v="94172     "/>
    <x v="1"/>
    <m/>
    <s v="Нет"/>
    <m/>
    <m/>
    <n v="299"/>
    <n v="160"/>
    <n v="459"/>
    <n v="0.553012048192771"/>
  </r>
  <r>
    <s v="весна"/>
    <s v="Техническая электродинамика"/>
    <s v="Экзамен"/>
    <s v="М3О-119М-22"/>
    <n v="6"/>
    <s v="13712"/>
    <m/>
    <s v="94172     "/>
    <x v="1"/>
    <m/>
    <s v="Нет"/>
    <m/>
    <m/>
    <n v="299"/>
    <n v="160"/>
    <n v="459"/>
    <n v="0.553012048192771"/>
  </r>
  <r>
    <s v="весна"/>
    <s v="Техническая электродинамика"/>
    <s v="Консультация"/>
    <s v="М3О-119М-22"/>
    <n v="3"/>
    <s v="13712"/>
    <m/>
    <s v="94172     "/>
    <x v="1"/>
    <m/>
    <s v="Нет"/>
    <m/>
    <m/>
    <n v="299"/>
    <n v="160"/>
    <n v="459"/>
    <n v="0.553012048192771"/>
  </r>
  <r>
    <s v="весна"/>
    <s v="Программируемая элементная база"/>
    <s v="Рейтинг"/>
    <s v="М3О-119М-22"/>
    <n v="4"/>
    <s v="13712"/>
    <m/>
    <s v="82529     "/>
    <x v="9"/>
    <m/>
    <s v="Нет"/>
    <m/>
    <m/>
    <n v="206"/>
    <n v="110"/>
    <n v="316"/>
    <n v="0.38072289156626504"/>
  </r>
  <r>
    <s v="весна"/>
    <s v="Программируемая элементная база"/>
    <s v="ЛК"/>
    <s v="М3О-119М-22"/>
    <n v="16"/>
    <s v="13712"/>
    <n v="16"/>
    <s v="82529     "/>
    <x v="9"/>
    <m/>
    <s v="Нет"/>
    <m/>
    <m/>
    <n v="206"/>
    <n v="110"/>
    <n v="316"/>
    <n v="0.38072289156626504"/>
  </r>
  <r>
    <s v="весна"/>
    <s v="Программируемая элементная база"/>
    <s v="ЛР"/>
    <s v="М3О-119М-22"/>
    <n v="16"/>
    <s v="13712"/>
    <n v="16"/>
    <s v="82529     "/>
    <x v="9"/>
    <m/>
    <s v="Нет"/>
    <m/>
    <m/>
    <n v="206"/>
    <n v="110"/>
    <n v="316"/>
    <n v="0.38072289156626504"/>
  </r>
  <r>
    <s v="весна"/>
    <s v="Программируемая элементная база"/>
    <s v="Консультация"/>
    <s v="М3О-119М-22"/>
    <n v="1"/>
    <s v="13712"/>
    <m/>
    <s v="82529     "/>
    <x v="9"/>
    <m/>
    <s v="Нет"/>
    <m/>
    <m/>
    <n v="206"/>
    <n v="110"/>
    <n v="316"/>
    <n v="0.38072289156626504"/>
  </r>
  <r>
    <s v="весна"/>
    <s v="Информационные технологии управления инновационными проектами и бизнес процессами"/>
    <s v="ЛК"/>
    <s v="М3О-334Б-20"/>
    <n v="32"/>
    <s v="10846"/>
    <n v="32"/>
    <s v="96199     "/>
    <x v="15"/>
    <m/>
    <s v="Нет"/>
    <m/>
    <m/>
    <n v="47"/>
    <n v="89"/>
    <n v="136"/>
    <n v="0.163855421686747"/>
  </r>
  <r>
    <s v="весна"/>
    <s v="Информационные технологии управления инновационными проектами и бизнес процессами"/>
    <s v="ПЗ"/>
    <s v="М3О-334Б-20"/>
    <n v="48"/>
    <s v="10846"/>
    <n v="48"/>
    <s v="97630     "/>
    <x v="16"/>
    <m/>
    <s v="Нет"/>
    <m/>
    <m/>
    <n v="97"/>
    <n v="80"/>
    <n v="177"/>
    <n v="0.21325301204819277"/>
  </r>
  <r>
    <s v="весна"/>
    <s v="Информационные технологии управления инновационными проектами и бизнес процессами"/>
    <s v="ЛР"/>
    <s v="М3О-334Б-20"/>
    <n v="16"/>
    <s v="10846"/>
    <n v="16"/>
    <s v="97630     "/>
    <x v="16"/>
    <m/>
    <s v="Нет"/>
    <m/>
    <m/>
    <n v="97"/>
    <n v="80"/>
    <n v="177"/>
    <n v="0.21325301204819277"/>
  </r>
  <r>
    <s v="весна"/>
    <s v="Информационные технологии управления инновационными проектами и бизнес процессами"/>
    <s v="ЛР"/>
    <s v="М3О-334Б-20"/>
    <n v="16"/>
    <s v="10846"/>
    <n v="16"/>
    <s v="96199     "/>
    <x v="16"/>
    <m/>
    <s v="Нет"/>
    <m/>
    <m/>
    <n v="97"/>
    <n v="80"/>
    <n v="177"/>
    <n v="0.21325301204819277"/>
  </r>
  <r>
    <s v="весна"/>
    <s v="Информационные технологии управления инновационными проектами и бизнес процессами"/>
    <s v="Экзамен"/>
    <s v="М3О-334Б-20"/>
    <n v="11"/>
    <s v="10846"/>
    <m/>
    <s v="96199     "/>
    <x v="15"/>
    <m/>
    <s v="Нет"/>
    <m/>
    <m/>
    <n v="47"/>
    <n v="89"/>
    <n v="136"/>
    <n v="0.163855421686747"/>
  </r>
  <r>
    <s v="весна"/>
    <s v="Информационные технологии управления инновационными проектами и бизнес процессами"/>
    <s v="Консультация"/>
    <s v="М3О-334Б-20"/>
    <n v="4"/>
    <s v="10846"/>
    <m/>
    <s v="96199     "/>
    <x v="15"/>
    <m/>
    <s v="Нет"/>
    <m/>
    <m/>
    <n v="47"/>
    <n v="89"/>
    <n v="136"/>
    <n v="0.163855421686747"/>
  </r>
  <r>
    <s v="весна"/>
    <s v="Информационные технологии обработки BIG DATA"/>
    <s v="ЛК"/>
    <s v="М3О-334Б-20"/>
    <n v="20"/>
    <s v="10846"/>
    <n v="20"/>
    <s v="82021     "/>
    <x v="5"/>
    <m/>
    <s v="Нет"/>
    <m/>
    <m/>
    <n v="334"/>
    <n v="215"/>
    <n v="549"/>
    <n v="0.6614457831325301"/>
  </r>
  <r>
    <s v="весна"/>
    <s v="Информационные технологии обработки BIG DATA"/>
    <s v="Зачет с оценкой"/>
    <s v="М3О-334Б-20"/>
    <n v="8"/>
    <s v="10846"/>
    <m/>
    <s v="82021     "/>
    <x v="5"/>
    <m/>
    <s v="Нет"/>
    <m/>
    <m/>
    <n v="334"/>
    <n v="215"/>
    <n v="549"/>
    <n v="0.6614457831325301"/>
  </r>
  <r>
    <s v="весна"/>
    <s v="Информационные технологии обработки BIG DATA"/>
    <s v="ПЗ"/>
    <s v="М3О-334Б-20"/>
    <n v="18"/>
    <s v="10846"/>
    <n v="18"/>
    <s v="82021     "/>
    <x v="5"/>
    <m/>
    <s v="Нет"/>
    <m/>
    <m/>
    <n v="334"/>
    <n v="215"/>
    <n v="549"/>
    <n v="0.6614457831325301"/>
  </r>
  <r>
    <s v="весна"/>
    <s v="Информационные технологии обработки BIG DATA"/>
    <s v="ЛР"/>
    <s v="М3О-334Б-20"/>
    <n v="24"/>
    <s v="10846"/>
    <n v="12"/>
    <s v="82021     "/>
    <x v="5"/>
    <m/>
    <s v="Нет"/>
    <m/>
    <m/>
    <n v="334"/>
    <n v="215"/>
    <n v="549"/>
    <n v="0.6614457831325301"/>
  </r>
  <r>
    <s v="весна"/>
    <s v="Информационные технологии обработки BIG DATA"/>
    <s v="Консультация"/>
    <s v="М3О-334Б-20"/>
    <n v="1"/>
    <s v="10846"/>
    <m/>
    <s v="82021     "/>
    <x v="5"/>
    <m/>
    <s v="Нет"/>
    <m/>
    <m/>
    <n v="334"/>
    <n v="215"/>
    <n v="549"/>
    <n v="0.6614457831325301"/>
  </r>
  <r>
    <s v="весна"/>
    <s v="Маркетинг в инновационной сфере"/>
    <s v="ЛК"/>
    <s v="М3О-334Б-20"/>
    <n v="24"/>
    <s v="10846"/>
    <n v="24"/>
    <s v="95641     "/>
    <x v="18"/>
    <m/>
    <s v="Нет"/>
    <m/>
    <m/>
    <n v="51.67"/>
    <n v="225.03000000000003"/>
    <n v="276.70000000000005"/>
    <n v="0.33337349397590366"/>
  </r>
  <r>
    <s v="весна"/>
    <s v="Маркетинг в инновационной сфере"/>
    <s v="ПЗ"/>
    <s v="М3О-334Б-20"/>
    <n v="24"/>
    <s v="10846"/>
    <n v="24"/>
    <s v="95640     "/>
    <x v="3"/>
    <m/>
    <s v="Нет"/>
    <m/>
    <m/>
    <n v="143"/>
    <n v="196"/>
    <n v="339"/>
    <n v="0.40843373493975904"/>
  </r>
  <r>
    <s v="весна"/>
    <s v="Маркетинг в инновационной сфере"/>
    <s v="ЛР"/>
    <s v="М3О-334Б-20"/>
    <n v="16"/>
    <s v="10846"/>
    <n v="16"/>
    <s v="95640     "/>
    <x v="3"/>
    <m/>
    <s v="Нет"/>
    <m/>
    <m/>
    <n v="143"/>
    <n v="196"/>
    <n v="339"/>
    <n v="0.40843373493975904"/>
  </r>
  <r>
    <s v="весна"/>
    <s v="Маркетинг в инновационной сфере"/>
    <s v="ЛР"/>
    <s v="М3О-334Б-20"/>
    <n v="16"/>
    <s v="10846"/>
    <n v="16"/>
    <s v="95641     "/>
    <x v="18"/>
    <m/>
    <s v="Нет"/>
    <m/>
    <m/>
    <n v="51.67"/>
    <n v="225.03000000000003"/>
    <n v="276.70000000000005"/>
    <n v="0.33337349397590366"/>
  </r>
  <r>
    <s v="весна"/>
    <s v="Маркетинг в инновационной сфере"/>
    <s v="Экзамен"/>
    <s v="М3О-334Б-20"/>
    <n v="11"/>
    <s v="10846"/>
    <m/>
    <s v="95641     "/>
    <x v="18"/>
    <m/>
    <s v="Нет"/>
    <m/>
    <m/>
    <n v="51.67"/>
    <n v="225.03000000000003"/>
    <n v="276.70000000000005"/>
    <n v="0.33337349397590366"/>
  </r>
  <r>
    <s v="весна"/>
    <s v="Маркетинг в инновационной сфере"/>
    <s v="Консультация"/>
    <s v="М3О-334Б-20"/>
    <n v="3"/>
    <s v="10846"/>
    <m/>
    <s v="95641     "/>
    <x v="18"/>
    <m/>
    <s v="Нет"/>
    <m/>
    <m/>
    <n v="51.67"/>
    <n v="225.03000000000003"/>
    <n v="276.70000000000005"/>
    <n v="0.33337349397590366"/>
  </r>
  <r>
    <s v="весна"/>
    <s v="Микрокомпьютерные системы автоматизации бизнес процессов"/>
    <s v="ЛК"/>
    <s v="М3О-334Б-20"/>
    <n v="32"/>
    <s v="10846"/>
    <n v="32"/>
    <s v="91852     "/>
    <x v="11"/>
    <m/>
    <s v="Да"/>
    <m/>
    <m/>
    <n v="96"/>
    <n v="367"/>
    <n v="463"/>
    <n v="0.5578313253012048"/>
  </r>
  <r>
    <s v="весна"/>
    <s v="Микрокомпьютерные системы автоматизации бизнес процессов"/>
    <s v="КР"/>
    <s v="М3О-334Б-20"/>
    <n v="66"/>
    <s v="10846"/>
    <m/>
    <s v="91852     "/>
    <x v="11"/>
    <m/>
    <s v="Да"/>
    <m/>
    <m/>
    <n v="96"/>
    <n v="367"/>
    <n v="463"/>
    <n v="0.5578313253012048"/>
  </r>
  <r>
    <s v="весна"/>
    <s v="Микрокомпьютерные системы автоматизации бизнес процессов"/>
    <s v="ПЗ"/>
    <s v="М3О-334Б-20"/>
    <n v="32"/>
    <s v="10846"/>
    <n v="32"/>
    <s v="93895     "/>
    <x v="7"/>
    <m/>
    <s v="Нет"/>
    <m/>
    <m/>
    <n v="164"/>
    <n v="241"/>
    <n v="405"/>
    <n v="0.4879518072289157"/>
  </r>
  <r>
    <s v="весна"/>
    <s v="Микрокомпьютерные системы автоматизации бизнес процессов"/>
    <s v="ЛР"/>
    <s v="М3О-334Б-20"/>
    <n v="16"/>
    <s v="10846"/>
    <n v="16"/>
    <s v="93895     "/>
    <x v="7"/>
    <m/>
    <s v="Нет"/>
    <m/>
    <m/>
    <n v="164"/>
    <n v="241"/>
    <n v="405"/>
    <n v="0.4879518072289157"/>
  </r>
  <r>
    <s v="весна"/>
    <s v="Микрокомпьютерные системы автоматизации бизнес процессов"/>
    <s v="ЛР"/>
    <s v="М3О-334Б-20"/>
    <n v="16"/>
    <s v="10846"/>
    <n v="16"/>
    <s v="91852     "/>
    <x v="11"/>
    <m/>
    <s v="Да"/>
    <m/>
    <m/>
    <n v="96"/>
    <n v="367"/>
    <n v="463"/>
    <n v="0.5578313253012048"/>
  </r>
  <r>
    <s v="весна"/>
    <s v="Микрокомпьютерные системы автоматизации бизнес процессов"/>
    <s v="Экзамен"/>
    <s v="М3О-334Б-20"/>
    <n v="11"/>
    <s v="10846"/>
    <m/>
    <s v="91852     "/>
    <x v="11"/>
    <m/>
    <s v="Да"/>
    <m/>
    <m/>
    <n v="96"/>
    <n v="367"/>
    <n v="463"/>
    <n v="0.5578313253012048"/>
  </r>
  <r>
    <s v="весна"/>
    <s v="Микрокомпьютерные системы автоматизации бизнес процессов"/>
    <s v="Консультация"/>
    <s v="М3О-334Б-20"/>
    <n v="4"/>
    <s v="10846"/>
    <m/>
    <s v="91852     "/>
    <x v="11"/>
    <m/>
    <s v="Да"/>
    <m/>
    <m/>
    <n v="96"/>
    <n v="367"/>
    <n v="463"/>
    <n v="0.5578313253012048"/>
  </r>
  <r>
    <s v="весна"/>
    <s v="Алгоритмы решения нестандартных задач. Технология принятия решений"/>
    <s v="ЛК"/>
    <s v="М3О-436Б-19"/>
    <n v="16"/>
    <s v="13501"/>
    <n v="16"/>
    <m/>
    <x v="13"/>
    <m/>
    <s v="Нет"/>
    <m/>
    <m/>
    <n v="128"/>
    <n v="130"/>
    <n v="258"/>
    <n v="0.3108433734939759"/>
  </r>
  <r>
    <s v="весна"/>
    <s v="Алгоритмы решения нестандартных задач. Технология принятия решений"/>
    <s v="Зачет с оценкой"/>
    <s v="М3О-436Б-19"/>
    <n v="7"/>
    <s v="13501"/>
    <m/>
    <s v="93681     "/>
    <x v="13"/>
    <m/>
    <s v="Нет"/>
    <m/>
    <m/>
    <n v="128"/>
    <n v="130"/>
    <n v="258"/>
    <n v="0.3108433734939759"/>
  </r>
  <r>
    <s v="весна"/>
    <s v="Алгоритмы решения нестандартных задач. Технология принятия решений"/>
    <s v="ПЗ"/>
    <s v="М3О-436Б-19"/>
    <n v="20"/>
    <s v="13501"/>
    <n v="20"/>
    <s v="93681     "/>
    <x v="13"/>
    <m/>
    <s v="Нет"/>
    <m/>
    <m/>
    <n v="128"/>
    <n v="130"/>
    <n v="258"/>
    <n v="0.3108433734939759"/>
  </r>
  <r>
    <s v="весна"/>
    <s v="Алгоритмы решения нестандартных задач. Технология принятия решений"/>
    <s v="ЛР"/>
    <s v="М3О-436Б-19"/>
    <n v="24"/>
    <s v="13501"/>
    <n v="12"/>
    <s v="93681     "/>
    <x v="13"/>
    <m/>
    <s v="Нет"/>
    <m/>
    <m/>
    <n v="128"/>
    <n v="130"/>
    <n v="258"/>
    <n v="0.3108433734939759"/>
  </r>
  <r>
    <s v="весна"/>
    <s v="Алгоритмы решения нестандартных задач. Технология принятия решений"/>
    <s v="Консультация"/>
    <s v="М3О-436Б-19"/>
    <n v="1"/>
    <s v="13501"/>
    <m/>
    <s v="93681     "/>
    <x v="13"/>
    <m/>
    <s v="Нет"/>
    <m/>
    <m/>
    <n v="128"/>
    <n v="130"/>
    <n v="258"/>
    <n v="0.3108433734939759"/>
  </r>
  <r>
    <s v="весна"/>
    <s v="Управление инновационной деятельностью"/>
    <s v="ЛК"/>
    <s v="М3О-436Б-19"/>
    <n v="24"/>
    <s v="13501"/>
    <n v="24"/>
    <m/>
    <x v="7"/>
    <m/>
    <s v="Нет"/>
    <m/>
    <m/>
    <n v="164"/>
    <n v="241"/>
    <n v="405"/>
    <n v="0.4879518072289157"/>
  </r>
  <r>
    <s v="весна"/>
    <s v="Управление инновационной деятельностью"/>
    <s v="ПЗ"/>
    <s v="М3О-436Б-19"/>
    <n v="24"/>
    <s v="13501"/>
    <n v="24"/>
    <s v="93895     "/>
    <x v="7"/>
    <m/>
    <s v="Нет"/>
    <m/>
    <m/>
    <n v="164"/>
    <n v="241"/>
    <n v="405"/>
    <n v="0.4879518072289157"/>
  </r>
  <r>
    <s v="весна"/>
    <s v="Управление инновационной деятельностью"/>
    <s v="ЛР"/>
    <s v="М3О-436Б-19"/>
    <n v="24"/>
    <s v="13501"/>
    <n v="12"/>
    <s v="93895     "/>
    <x v="7"/>
    <m/>
    <s v="Нет"/>
    <m/>
    <m/>
    <n v="164"/>
    <n v="241"/>
    <n v="405"/>
    <n v="0.4879518072289157"/>
  </r>
  <r>
    <s v="весна"/>
    <s v="Управление инновационной деятельностью"/>
    <s v="Экзамен"/>
    <s v="М3О-436Б-19"/>
    <n v="10"/>
    <s v="13501"/>
    <m/>
    <s v="93895     "/>
    <x v="7"/>
    <m/>
    <s v="Нет"/>
    <m/>
    <m/>
    <n v="164"/>
    <n v="241"/>
    <n v="405"/>
    <n v="0.4879518072289157"/>
  </r>
  <r>
    <s v="весна"/>
    <s v="Управление инновационной деятельностью"/>
    <s v="Консультация"/>
    <s v="М3О-436Б-19"/>
    <n v="3"/>
    <s v="13501"/>
    <m/>
    <s v="93895     "/>
    <x v="7"/>
    <m/>
    <s v="Нет"/>
    <m/>
    <m/>
    <n v="164"/>
    <n v="241"/>
    <n v="405"/>
    <n v="0.4879518072289157"/>
  </r>
  <r>
    <s v="весна"/>
    <s v="Современные проблемы инноватики"/>
    <s v="ЛК"/>
    <s v="М3О-120М-22"/>
    <n v="8"/>
    <s v="13711"/>
    <n v="8"/>
    <s v="91852     "/>
    <x v="11"/>
    <m/>
    <s v="Да"/>
    <m/>
    <m/>
    <n v="96"/>
    <n v="367"/>
    <n v="463"/>
    <n v="0.5578313253012048"/>
  </r>
  <r>
    <s v="весна"/>
    <s v="Современные проблемы инноватики"/>
    <s v="ПЗ"/>
    <s v="М3О-120М-22"/>
    <n v="40"/>
    <s v="13711"/>
    <n v="40"/>
    <s v="91852     "/>
    <x v="11"/>
    <m/>
    <s v="Да"/>
    <m/>
    <m/>
    <n v="96"/>
    <n v="367"/>
    <n v="463"/>
    <n v="0.5578313253012048"/>
  </r>
  <r>
    <s v="весна"/>
    <s v="Современные проблемы инноватики"/>
    <s v="Зачет"/>
    <s v="М3О-120М-22"/>
    <n v="4"/>
    <s v="13711"/>
    <m/>
    <s v="91852     "/>
    <x v="11"/>
    <m/>
    <s v="Да"/>
    <m/>
    <m/>
    <n v="96"/>
    <n v="367"/>
    <n v="463"/>
    <n v="0.5578313253012048"/>
  </r>
  <r>
    <s v="весна"/>
    <s v="Современные технологии электронной техники и микроэлектроники"/>
    <s v="ЛК"/>
    <s v="М3О-120М-22"/>
    <n v="8"/>
    <s v="13711"/>
    <n v="8"/>
    <s v="97722     "/>
    <x v="10"/>
    <m/>
    <s v="Нет"/>
    <m/>
    <m/>
    <n v="160.32999999999998"/>
    <n v="148.32999999999998"/>
    <n v="308.65999999999997"/>
    <n v="0.37187951807228914"/>
  </r>
  <r>
    <s v="весна"/>
    <s v="Современные технологии электронной техники и микроэлектроники"/>
    <s v="ПЗ"/>
    <s v="М3О-120М-22"/>
    <n v="24"/>
    <s v="13711"/>
    <n v="24"/>
    <s v="97722     "/>
    <x v="10"/>
    <m/>
    <s v="Нет"/>
    <m/>
    <m/>
    <n v="160.32999999999998"/>
    <n v="148.32999999999998"/>
    <n v="308.65999999999997"/>
    <n v="0.37187951807228914"/>
  </r>
  <r>
    <s v="весна"/>
    <s v="Современные технологии электронной техники и микроэлектроники"/>
    <s v="Зачет"/>
    <s v="М3О-120М-22"/>
    <n v="4"/>
    <s v="13711"/>
    <m/>
    <s v="97722     "/>
    <x v="10"/>
    <m/>
    <s v="Нет"/>
    <m/>
    <m/>
    <n v="160.32999999999998"/>
    <n v="148.32999999999998"/>
    <n v="308.65999999999997"/>
    <n v="0.37187951807228914"/>
  </r>
  <r>
    <s v="весна"/>
    <s v="Технологии и материаловедение"/>
    <s v="ЛК"/>
    <s v="М3О-234Б-21"/>
    <n v="32"/>
    <s v="10846"/>
    <n v="32"/>
    <s v="94089     "/>
    <x v="6"/>
    <m/>
    <s v="Нет"/>
    <m/>
    <m/>
    <n v="103"/>
    <n v="179"/>
    <n v="282"/>
    <n v="0.3397590361445783"/>
  </r>
  <r>
    <s v="весна"/>
    <s v="Технологии и материаловедение"/>
    <s v="ПЗ"/>
    <s v="М3О-234Б-21"/>
    <n v="96"/>
    <s v="10846"/>
    <n v="96"/>
    <s v="94089     "/>
    <x v="6"/>
    <m/>
    <s v="Нет"/>
    <m/>
    <m/>
    <n v="103"/>
    <n v="179"/>
    <n v="282"/>
    <n v="0.3397590361445783"/>
  </r>
  <r>
    <s v="весна"/>
    <s v="Технологии и материаловедение"/>
    <s v="Экзамен"/>
    <s v="М3О-234Б-21"/>
    <n v="12"/>
    <s v="10846"/>
    <m/>
    <s v="94089     "/>
    <x v="6"/>
    <m/>
    <s v="Нет"/>
    <m/>
    <m/>
    <n v="103"/>
    <n v="179"/>
    <n v="282"/>
    <n v="0.3397590361445783"/>
  </r>
  <r>
    <s v="весна"/>
    <s v="Технологии и материаловедение"/>
    <s v="Консультация"/>
    <s v="М3О-234Б-21"/>
    <n v="4"/>
    <s v="10846"/>
    <m/>
    <s v="94089     "/>
    <x v="6"/>
    <m/>
    <s v="Нет"/>
    <m/>
    <m/>
    <n v="103"/>
    <n v="179"/>
    <n v="282"/>
    <n v="0.3397590361445783"/>
  </r>
  <r>
    <s v="весна"/>
    <s v="Структура программного обеспечения и базы данных"/>
    <s v="ЛК"/>
    <s v="М3О-134Б-22, М3О-136Б-22"/>
    <n v="16"/>
    <s v="16272"/>
    <n v="16"/>
    <s v="97409     "/>
    <x v="4"/>
    <m/>
    <s v="Нет"/>
    <m/>
    <m/>
    <n v="205"/>
    <n v="112"/>
    <n v="317"/>
    <n v="0.3819277108433735"/>
  </r>
  <r>
    <s v="весна"/>
    <s v="Структура программного обеспечения и базы данных"/>
    <s v="Зачет с оценкой"/>
    <s v="М3О-134Б-22"/>
    <n v="7"/>
    <s v="16272"/>
    <m/>
    <s v="97409     "/>
    <x v="4"/>
    <m/>
    <s v="Нет"/>
    <m/>
    <m/>
    <n v="205"/>
    <n v="112"/>
    <n v="317"/>
    <n v="0.3819277108433735"/>
  </r>
  <r>
    <s v="весна"/>
    <s v="Структура программного обеспечения и базы данных"/>
    <s v="Зачет с оценкой"/>
    <s v="М3О-136Б-22"/>
    <n v="7"/>
    <s v="16272"/>
    <m/>
    <s v="97409     "/>
    <x v="4"/>
    <m/>
    <s v="Нет"/>
    <m/>
    <m/>
    <n v="205"/>
    <n v="112"/>
    <n v="317"/>
    <n v="0.3819277108433735"/>
  </r>
  <r>
    <s v="весна"/>
    <s v="Структура программного обеспечения и базы данных"/>
    <s v="ПЗ"/>
    <s v="М3О-134Б-22"/>
    <n v="24"/>
    <s v="16272"/>
    <n v="24"/>
    <s v="97409     "/>
    <x v="4"/>
    <m/>
    <s v="Нет"/>
    <m/>
    <m/>
    <n v="205"/>
    <n v="112"/>
    <n v="317"/>
    <n v="0.3819277108433735"/>
  </r>
  <r>
    <s v="весна"/>
    <s v="Структура программного обеспечения и базы данных"/>
    <s v="ПЗ"/>
    <s v="М3О-136Б-22"/>
    <n v="24"/>
    <s v="16272"/>
    <n v="24"/>
    <s v="97409     "/>
    <x v="4"/>
    <m/>
    <s v="Нет"/>
    <m/>
    <m/>
    <n v="205"/>
    <n v="112"/>
    <n v="317"/>
    <n v="0.3819277108433735"/>
  </r>
  <r>
    <s v="весна"/>
    <s v="Структура программного обеспечения и базы данных"/>
    <s v="ЛР"/>
    <s v="М3О-134Б-22"/>
    <n v="16"/>
    <s v="16272"/>
    <n v="16"/>
    <s v="97409     "/>
    <x v="4"/>
    <m/>
    <s v="Нет"/>
    <m/>
    <m/>
    <n v="205"/>
    <n v="112"/>
    <n v="317"/>
    <n v="0.3819277108433735"/>
  </r>
  <r>
    <s v="весна"/>
    <s v="Структура программного обеспечения и базы данных"/>
    <s v="ЛР"/>
    <s v="М3О-134Б-22"/>
    <n v="16"/>
    <s v="16272"/>
    <n v="16"/>
    <s v="93681     "/>
    <x v="13"/>
    <m/>
    <s v="Нет"/>
    <m/>
    <m/>
    <n v="128"/>
    <n v="130"/>
    <n v="258"/>
    <n v="0.3108433734939759"/>
  </r>
  <r>
    <s v="весна"/>
    <s v="Структура программного обеспечения и базы данных"/>
    <s v="ЛР"/>
    <s v="М3О-136Б-22"/>
    <n v="16"/>
    <s v="16272"/>
    <n v="16"/>
    <s v="97409     "/>
    <x v="4"/>
    <m/>
    <s v="Нет"/>
    <m/>
    <m/>
    <n v="205"/>
    <n v="112"/>
    <n v="317"/>
    <n v="0.3819277108433735"/>
  </r>
  <r>
    <s v="весна"/>
    <s v="Структура программного обеспечения и базы данных"/>
    <s v="ЛР"/>
    <s v="М3О-136Б-22"/>
    <n v="16"/>
    <s v="16272"/>
    <n v="16"/>
    <s v="93681     "/>
    <x v="13"/>
    <m/>
    <s v="Нет"/>
    <m/>
    <m/>
    <n v="128"/>
    <n v="130"/>
    <n v="258"/>
    <n v="0.3108433734939759"/>
  </r>
  <r>
    <s v="весна"/>
    <s v="Структура программного обеспечения и базы данных"/>
    <s v="Консультация"/>
    <s v="М3О-134Б-22"/>
    <n v="1"/>
    <s v="16272"/>
    <m/>
    <s v="97409     "/>
    <x v="4"/>
    <m/>
    <s v="Нет"/>
    <m/>
    <m/>
    <n v="205"/>
    <n v="112"/>
    <n v="317"/>
    <n v="0.3819277108433735"/>
  </r>
  <r>
    <s v="весна"/>
    <s v="Структура программного обеспечения и базы данных"/>
    <s v="Консультация"/>
    <s v="М3О-136Б-22"/>
    <n v="1"/>
    <s v="16272"/>
    <m/>
    <s v="97409     "/>
    <x v="4"/>
    <m/>
    <s v="Нет"/>
    <m/>
    <m/>
    <n v="205"/>
    <n v="112"/>
    <n v="317"/>
    <n v="0.3819277108433735"/>
  </r>
  <r>
    <s v="весна"/>
    <s v="Микро- и нанотехнологии"/>
    <s v="ЛК"/>
    <s v="М3О-119М-22"/>
    <n v="16"/>
    <s v="13712"/>
    <n v="16"/>
    <s v="83003     "/>
    <x v="17"/>
    <m/>
    <s v="Да"/>
    <m/>
    <m/>
    <n v="280.67"/>
    <n v="392.03000000000003"/>
    <n v="672.7"/>
    <n v="0.8104819277108434"/>
  </r>
  <r>
    <s v="весна"/>
    <s v="Микро- и нанотехнологии"/>
    <s v="ПЗ"/>
    <s v="М3О-119М-22"/>
    <n v="22"/>
    <s v="13712"/>
    <n v="22"/>
    <s v="83003     "/>
    <x v="17"/>
    <m/>
    <s v="Да"/>
    <m/>
    <m/>
    <n v="280.67"/>
    <n v="392.03000000000003"/>
    <n v="672.7"/>
    <n v="0.8104819277108434"/>
  </r>
  <r>
    <s v="весна"/>
    <s v="Микро- и нанотехнологии"/>
    <s v="ЛР"/>
    <s v="М3О-119М-22"/>
    <n v="16"/>
    <s v="13712"/>
    <n v="16"/>
    <s v="83003     "/>
    <x v="17"/>
    <m/>
    <s v="Да"/>
    <m/>
    <m/>
    <n v="280.67"/>
    <n v="392.03000000000003"/>
    <n v="672.7"/>
    <n v="0.8104819277108434"/>
  </r>
  <r>
    <s v="весна"/>
    <s v="Микро- и нанотехнологии"/>
    <s v="Экзамен"/>
    <s v="М3О-119М-22"/>
    <n v="6"/>
    <s v="13712"/>
    <m/>
    <s v="83003     "/>
    <x v="17"/>
    <m/>
    <s v="Да"/>
    <m/>
    <m/>
    <n v="280.67"/>
    <n v="392.03000000000003"/>
    <n v="672.7"/>
    <n v="0.8104819277108434"/>
  </r>
  <r>
    <s v="весна"/>
    <s v="Микро- и нанотехнологии"/>
    <s v="Консультация"/>
    <s v="М3О-119М-22"/>
    <n v="3"/>
    <s v="13712"/>
    <m/>
    <s v="83003     "/>
    <x v="17"/>
    <m/>
    <s v="Да"/>
    <m/>
    <m/>
    <n v="280.67"/>
    <n v="392.03000000000003"/>
    <n v="672.7"/>
    <n v="0.8104819277108434"/>
  </r>
  <r>
    <s v="весна"/>
    <s v="Стратегический анализ инновационных направлений развития высокотехнологичных предприятий"/>
    <s v="ЛК"/>
    <s v="М3О-214А-21, М8О-204А-21"/>
    <n v="24"/>
    <s v="15861"/>
    <n v="24"/>
    <m/>
    <x v="11"/>
    <m/>
    <s v="Нет"/>
    <m/>
    <m/>
    <n v="96"/>
    <n v="367"/>
    <n v="463"/>
    <n v="0.5578313253012048"/>
  </r>
  <r>
    <s v="весна"/>
    <s v="Стратегический анализ инновационных направлений развития высокотехнологичных предприятий"/>
    <s v="Зачет с оценкой"/>
    <s v="М8О-204А-21"/>
    <n v="1"/>
    <s v="15861"/>
    <m/>
    <s v="91852     "/>
    <x v="11"/>
    <m/>
    <s v="Да"/>
    <m/>
    <m/>
    <n v="96"/>
    <n v="367"/>
    <n v="463"/>
    <n v="0.5578313253012048"/>
  </r>
  <r>
    <s v="весна"/>
    <s v="Стратегический анализ инновационных направлений развития высокотехнологичных предприятий"/>
    <s v="Зачет с оценкой"/>
    <s v="М3О-214А-21"/>
    <n v="1"/>
    <s v="15861"/>
    <m/>
    <s v="91852     "/>
    <x v="11"/>
    <m/>
    <s v="Да"/>
    <m/>
    <m/>
    <n v="96"/>
    <n v="367"/>
    <n v="463"/>
    <n v="0.5578313253012048"/>
  </r>
  <r>
    <s v="весна"/>
    <s v="Стратегический анализ инновационных направлений развития высокотехнологичных предприятий"/>
    <s v="ПЗ"/>
    <s v="М3О-214А-21, М8О-204А-21"/>
    <n v="8"/>
    <s v="15861"/>
    <n v="8"/>
    <m/>
    <x v="11"/>
    <m/>
    <s v="Нет"/>
    <m/>
    <m/>
    <n v="96"/>
    <n v="367"/>
    <n v="463"/>
    <n v="0.5578313253012048"/>
  </r>
  <r>
    <s v="весна"/>
    <s v="Стратегический анализ инновационных направлений развития высокотехнологичных предприятий"/>
    <s v="Консультация"/>
    <s v="М8О-204А-21"/>
    <n v="1"/>
    <s v="15861"/>
    <m/>
    <s v="91852     "/>
    <x v="11"/>
    <m/>
    <s v="Да"/>
    <m/>
    <m/>
    <n v="96"/>
    <n v="367"/>
    <n v="463"/>
    <n v="0.5578313253012048"/>
  </r>
  <r>
    <s v="весна"/>
    <s v="Стратегический анализ инновационных направлений развития высокотехнологичных предприятий"/>
    <s v="Консультация"/>
    <s v="М3О-214А-21"/>
    <n v="1"/>
    <s v="15861"/>
    <m/>
    <s v="91852     "/>
    <x v="11"/>
    <m/>
    <s v="Да"/>
    <m/>
    <m/>
    <n v="96"/>
    <n v="367"/>
    <n v="463"/>
    <n v="0.5578313253012048"/>
  </r>
  <r>
    <s v="весна"/>
    <s v="Управление инновационными процессами"/>
    <s v="ЛК"/>
    <s v="М3О-120М-22"/>
    <n v="16"/>
    <s v="13711"/>
    <n v="16"/>
    <s v="90109     "/>
    <x v="14"/>
    <m/>
    <s v="Нет"/>
    <m/>
    <m/>
    <n v="332.33"/>
    <n v="309.88"/>
    <n v="642.21"/>
    <n v="0.7737469879518073"/>
  </r>
  <r>
    <s v="весна"/>
    <s v="Управление инновационными процессами"/>
    <s v="Зачет с оценкой"/>
    <s v="М3О-120М-22"/>
    <n v="4"/>
    <s v="13711"/>
    <m/>
    <s v="90109     "/>
    <x v="14"/>
    <m/>
    <s v="Нет"/>
    <m/>
    <m/>
    <n v="332.33"/>
    <n v="309.88"/>
    <n v="642.21"/>
    <n v="0.7737469879518073"/>
  </r>
  <r>
    <s v="весна"/>
    <s v="Управление инновационными процессами"/>
    <s v="ПЗ"/>
    <s v="М3О-120М-22"/>
    <n v="40"/>
    <s v="13711"/>
    <n v="40"/>
    <s v="90109     "/>
    <x v="14"/>
    <m/>
    <s v="Нет"/>
    <m/>
    <m/>
    <n v="332.33"/>
    <n v="309.88"/>
    <n v="642.21"/>
    <n v="0.7737469879518073"/>
  </r>
  <r>
    <s v="весна"/>
    <s v="Управление инновационными процессами"/>
    <s v="ЛР"/>
    <s v="М3О-120М-22"/>
    <n v="16"/>
    <s v="13711"/>
    <n v="16"/>
    <s v="90109     "/>
    <x v="14"/>
    <m/>
    <s v="Нет"/>
    <m/>
    <m/>
    <n v="332.33"/>
    <n v="309.88"/>
    <n v="642.21"/>
    <n v="0.7737469879518073"/>
  </r>
  <r>
    <s v="весна"/>
    <s v="Управление инновационными процессами"/>
    <s v="Консультация"/>
    <s v="М3О-120М-22"/>
    <n v="1"/>
    <s v="13711"/>
    <m/>
    <s v="90109     "/>
    <x v="14"/>
    <m/>
    <s v="Нет"/>
    <m/>
    <m/>
    <n v="332.33"/>
    <n v="309.88"/>
    <n v="642.21"/>
    <n v="0.7737469879518073"/>
  </r>
  <r>
    <s v="весна"/>
    <s v="Основы внешнеэкономической деятельности"/>
    <s v="ЛК"/>
    <s v="М3О-234Б-21"/>
    <n v="32"/>
    <s v="10846"/>
    <n v="32"/>
    <s v="96199     "/>
    <x v="15"/>
    <m/>
    <s v="Нет"/>
    <m/>
    <m/>
    <n v="47"/>
    <n v="89"/>
    <n v="136"/>
    <n v="0.163855421686747"/>
  </r>
  <r>
    <s v="весна"/>
    <s v="Основы внешнеэкономической деятельности"/>
    <s v="Зачет с оценкой"/>
    <s v="М3О-234Б-21"/>
    <n v="8"/>
    <s v="10846"/>
    <m/>
    <s v="96199     "/>
    <x v="15"/>
    <m/>
    <s v="Нет"/>
    <m/>
    <m/>
    <n v="47"/>
    <n v="89"/>
    <n v="136"/>
    <n v="0.163855421686747"/>
  </r>
  <r>
    <s v="весна"/>
    <s v="Основы внешнеэкономической деятельности"/>
    <s v="ПЗ"/>
    <s v="М3О-234Б-21"/>
    <n v="24"/>
    <s v="10846"/>
    <n v="24"/>
    <s v="99488     "/>
    <x v="19"/>
    <m/>
    <s v="Нет"/>
    <m/>
    <m/>
    <n v="0"/>
    <n v="24"/>
    <n v="24"/>
    <n v="0.02891566265060241"/>
  </r>
  <r>
    <s v="весна"/>
    <s v="Основы внешнеэкономической деятельности"/>
    <s v="Консультация"/>
    <s v="М3О-234Б-21"/>
    <n v="2"/>
    <s v="10846"/>
    <m/>
    <s v="96199     "/>
    <x v="15"/>
    <m/>
    <s v="Нет"/>
    <m/>
    <m/>
    <n v="47"/>
    <n v="89"/>
    <n v="136"/>
    <n v="0.163855421686747"/>
  </r>
  <r>
    <s v="весна"/>
    <s v="Управление инновационными проектами"/>
    <s v="ЛК"/>
    <s v="М3О-436Б-19"/>
    <n v="24"/>
    <s v="13501"/>
    <n v="24"/>
    <m/>
    <x v="3"/>
    <m/>
    <s v="Нет"/>
    <m/>
    <m/>
    <n v="143"/>
    <n v="196"/>
    <n v="339"/>
    <n v="0.40843373493975904"/>
  </r>
  <r>
    <s v="весна"/>
    <s v="Управление инновационными проектами"/>
    <s v="ПЗ"/>
    <s v="М3О-436Б-19"/>
    <n v="24"/>
    <s v="13501"/>
    <n v="24"/>
    <s v="95640     "/>
    <x v="3"/>
    <m/>
    <s v="Нет"/>
    <m/>
    <m/>
    <n v="143"/>
    <n v="196"/>
    <n v="339"/>
    <n v="0.40843373493975904"/>
  </r>
  <r>
    <s v="весна"/>
    <s v="Управление инновационными проектами"/>
    <s v="ЛР"/>
    <s v="М3О-436Б-19"/>
    <n v="48"/>
    <s v="13501"/>
    <n v="24"/>
    <s v="95640     "/>
    <x v="3"/>
    <m/>
    <s v="Нет"/>
    <m/>
    <m/>
    <n v="143"/>
    <n v="196"/>
    <n v="339"/>
    <n v="0.40843373493975904"/>
  </r>
  <r>
    <s v="весна"/>
    <s v="Управление инновационными проектами"/>
    <s v="Экзамен"/>
    <s v="М3О-436Б-19"/>
    <n v="10"/>
    <s v="13501"/>
    <m/>
    <s v="95641     "/>
    <x v="18"/>
    <m/>
    <s v="Нет"/>
    <m/>
    <m/>
    <n v="51.67"/>
    <n v="225.03000000000003"/>
    <n v="276.70000000000005"/>
    <n v="0.33337349397590366"/>
  </r>
  <r>
    <s v="весна"/>
    <s v="Управление инновационными проектами"/>
    <s v="Консультация"/>
    <s v="М3О-436Б-19"/>
    <n v="3"/>
    <s v="13501"/>
    <m/>
    <s v="95641     "/>
    <x v="18"/>
    <m/>
    <s v="Нет"/>
    <m/>
    <m/>
    <n v="51.67"/>
    <n v="225.03000000000003"/>
    <n v="276.70000000000005"/>
    <n v="0.33337349397590366"/>
  </r>
  <r>
    <s v="весна"/>
    <s v="Проектно-технологическая практика"/>
    <s v="Преддипломная практика"/>
    <s v="М3О-219М-21"/>
    <n v="32"/>
    <m/>
    <m/>
    <s v="83003     "/>
    <x v="17"/>
    <m/>
    <s v="Да"/>
    <m/>
    <m/>
    <n v="280.67"/>
    <n v="392.03000000000003"/>
    <n v="672.7"/>
    <n v="0.8104819277108434"/>
  </r>
  <r>
    <s v="весна"/>
    <s v="Производственная практика"/>
    <s v="Практика"/>
    <s v="М3О-334Б-20"/>
    <n v="60"/>
    <m/>
    <m/>
    <s v="93895     "/>
    <x v="7"/>
    <m/>
    <s v="Нет"/>
    <m/>
    <m/>
    <n v="164"/>
    <n v="241"/>
    <n v="405"/>
    <n v="0.4879518072289157"/>
  </r>
  <r>
    <s v="весна"/>
    <s v="Учебная практика"/>
    <s v="Практика"/>
    <s v="М3О-134Б-22"/>
    <n v="60"/>
    <m/>
    <m/>
    <s v="81877     "/>
    <x v="12"/>
    <m/>
    <s v="Да"/>
    <m/>
    <m/>
    <n v="270.67"/>
    <n v="355.03000000000003"/>
    <n v="625.7"/>
    <n v="0.753855421686747"/>
  </r>
  <r>
    <s v="весна"/>
    <s v="Учебная практика"/>
    <s v="Практика"/>
    <s v="М3О-136Б-22"/>
    <n v="60"/>
    <m/>
    <m/>
    <s v="81877     "/>
    <x v="12"/>
    <m/>
    <s v="Да"/>
    <m/>
    <m/>
    <n v="270.67"/>
    <n v="355.03000000000003"/>
    <n v="625.7"/>
    <n v="0.753855421686747"/>
  </r>
  <r>
    <s v="весна"/>
    <s v="Педагогическая практика"/>
    <s v="Практика"/>
    <s v="М3О-120М-22"/>
    <n v="30"/>
    <m/>
    <m/>
    <s v="93681     "/>
    <x v="13"/>
    <m/>
    <s v="Нет"/>
    <m/>
    <m/>
    <n v="128"/>
    <n v="130"/>
    <n v="258"/>
    <n v="0.3108433734939759"/>
  </r>
  <r>
    <s v="весна"/>
    <s v="Педагогическая практика"/>
    <s v="Практика"/>
    <s v="М3О-308А-20"/>
    <n v="30"/>
    <m/>
    <m/>
    <s v="82765     "/>
    <x v="0"/>
    <m/>
    <s v="Нет"/>
    <m/>
    <m/>
    <n v="75.33"/>
    <n v="221.32999999999998"/>
    <n v="296.65999999999997"/>
    <n v="0.35742168674698793"/>
  </r>
  <r>
    <s v="весна"/>
    <s v="Педагогическая практика"/>
    <s v="Практика"/>
    <s v="Т12О-308А-20"/>
    <n v="30"/>
    <m/>
    <m/>
    <s v="82765     "/>
    <x v="0"/>
    <m/>
    <s v="Нет"/>
    <m/>
    <m/>
    <n v="75.33"/>
    <n v="221.32999999999998"/>
    <n v="296.65999999999997"/>
    <n v="0.35742168674698793"/>
  </r>
  <r>
    <s v="весна"/>
    <s v="Педагогическая практика"/>
    <s v="Практика"/>
    <s v="М3О-312А-20"/>
    <n v="30"/>
    <m/>
    <m/>
    <s v="82765     "/>
    <x v="0"/>
    <m/>
    <s v="Нет"/>
    <m/>
    <m/>
    <n v="75.33"/>
    <n v="221.32999999999998"/>
    <n v="296.65999999999997"/>
    <n v="0.35742168674698793"/>
  </r>
  <r>
    <s v="весна"/>
    <s v="Педагогическая практика"/>
    <s v="Преддипломная практика"/>
    <s v="М3О-416А-19"/>
    <n v="4"/>
    <m/>
    <m/>
    <s v="82765     "/>
    <x v="0"/>
    <m/>
    <s v="Нет"/>
    <m/>
    <m/>
    <n v="75.33"/>
    <n v="221.32999999999998"/>
    <n v="296.65999999999997"/>
    <n v="0.35742168674698793"/>
  </r>
  <r>
    <s v="весна"/>
    <s v="Учебно-ознакомительная практика"/>
    <s v="Практика"/>
    <s v="М3О-234Б-21"/>
    <n v="60"/>
    <m/>
    <m/>
    <s v="95640     "/>
    <x v="3"/>
    <m/>
    <s v="Нет"/>
    <m/>
    <m/>
    <n v="143"/>
    <n v="196"/>
    <n v="339"/>
    <n v="0.40843373493975904"/>
  </r>
  <r>
    <s v="весна"/>
    <s v="Государственный экзамен"/>
    <s v="Преддипломная практика"/>
    <s v="М3О-416А-19"/>
    <n v="4"/>
    <m/>
    <m/>
    <s v="82765     "/>
    <x v="0"/>
    <m/>
    <s v="Нет"/>
    <m/>
    <m/>
    <n v="75.33"/>
    <n v="221.32999999999998"/>
    <n v="296.65999999999997"/>
    <n v="0.35742168674698793"/>
  </r>
  <r>
    <s v="весна"/>
    <s v="Представление научного доклада об основных результатах подготовленной научно-квалификационной работы (диссертации)"/>
    <s v="Преддипломная практика"/>
    <s v="М3О-416А-19"/>
    <n v="8"/>
    <m/>
    <m/>
    <s v="82765     "/>
    <x v="0"/>
    <m/>
    <s v="Нет"/>
    <m/>
    <m/>
    <n v="75.33"/>
    <n v="221.32999999999998"/>
    <n v="296.65999999999997"/>
    <n v="0.35742168674698793"/>
  </r>
  <r>
    <s v="весна"/>
    <s v="Преддипломная практика"/>
    <s v="Преддипломная практика"/>
    <s v="М3О-219М-21"/>
    <n v="28"/>
    <m/>
    <m/>
    <s v="83003     "/>
    <x v="17"/>
    <m/>
    <s v="Да"/>
    <m/>
    <m/>
    <n v="280.67"/>
    <n v="392.03000000000003"/>
    <n v="672.7"/>
    <n v="0.8104819277108434"/>
  </r>
  <r>
    <s v="весна"/>
    <s v="Преддипломная практика"/>
    <s v="Преддипломная практика"/>
    <s v="М3О-220М-21"/>
    <n v="63"/>
    <m/>
    <m/>
    <s v="83003     "/>
    <x v="17"/>
    <m/>
    <s v="Да"/>
    <m/>
    <m/>
    <n v="280.67"/>
    <n v="392.03000000000003"/>
    <n v="672.7"/>
    <n v="0.8104819277108434"/>
  </r>
  <r>
    <s v="весна"/>
    <s v="Преддипломная практика"/>
    <s v="Преддипломная практика"/>
    <s v="М3О-436Б-19"/>
    <n v="38"/>
    <m/>
    <m/>
    <s v="83003     "/>
    <x v="17"/>
    <m/>
    <s v="Да"/>
    <m/>
    <m/>
    <n v="280.67"/>
    <n v="392.03000000000003"/>
    <n v="672.7"/>
    <n v="0.8104819277108434"/>
  </r>
  <r>
    <s v="весна"/>
    <s v="Научно-исследовательская практика"/>
    <s v="Преддипломная практика"/>
    <s v="М3О-416А-19"/>
    <n v="4"/>
    <m/>
    <m/>
    <s v="82765     "/>
    <x v="0"/>
    <m/>
    <s v="Нет"/>
    <m/>
    <m/>
    <n v="75.33"/>
    <n v="221.32999999999998"/>
    <n v="296.65999999999997"/>
    <n v="0.35742168674698793"/>
  </r>
  <r>
    <s v="весна"/>
    <s v="Руководство магистрами"/>
    <s v="Руководство магистрами"/>
    <s v="М3О-119М-22"/>
    <n v="45"/>
    <m/>
    <m/>
    <s v="98323     "/>
    <x v="2"/>
    <m/>
    <s v="Да"/>
    <m/>
    <m/>
    <n v="230"/>
    <n v="121.18"/>
    <n v="351.18"/>
    <n v="0.4231084337349398"/>
  </r>
  <r>
    <s v="весна"/>
    <s v="Руководство магистрами"/>
    <s v="Руководство магистрами"/>
    <s v="М3О-119М-22"/>
    <n v="45"/>
    <m/>
    <m/>
    <s v="82529     "/>
    <x v="9"/>
    <m/>
    <s v="Нет"/>
    <m/>
    <m/>
    <n v="206"/>
    <n v="110"/>
    <n v="316"/>
    <n v="0.38072289156626504"/>
  </r>
  <r>
    <s v="весна"/>
    <s v="Руководство магистрами"/>
    <s v="Руководство магистрами"/>
    <s v="М3О-119М-22"/>
    <n v="45"/>
    <m/>
    <m/>
    <s v="94172     "/>
    <x v="1"/>
    <m/>
    <s v="Нет"/>
    <m/>
    <m/>
    <n v="299"/>
    <n v="160"/>
    <n v="459"/>
    <n v="0.553012048192771"/>
  </r>
  <r>
    <s v="весна"/>
    <s v="Руководство магистрами"/>
    <s v="Руководство магистрами"/>
    <s v="М3О-119М-22"/>
    <n v="45"/>
    <m/>
    <m/>
    <s v="83003     "/>
    <x v="17"/>
    <m/>
    <s v="Да"/>
    <m/>
    <m/>
    <n v="280.67"/>
    <n v="392.03000000000003"/>
    <n v="672.7"/>
    <n v="0.8104819277108434"/>
  </r>
  <r>
    <s v="весна"/>
    <s v="Руководство магистрами"/>
    <s v="Руководство магистрами"/>
    <s v="М3О-120М-22"/>
    <n v="36.67"/>
    <m/>
    <m/>
    <s v="83003     "/>
    <x v="17"/>
    <m/>
    <s v="Да"/>
    <m/>
    <m/>
    <n v="280.67"/>
    <n v="392.03000000000003"/>
    <n v="672.7"/>
    <n v="0.8104819277108434"/>
  </r>
  <r>
    <s v="весна"/>
    <s v="Руководство магистрами"/>
    <s v="Руководство магистрами"/>
    <s v="М3О-120М-22"/>
    <n v="36.67"/>
    <m/>
    <m/>
    <s v="95641     "/>
    <x v="18"/>
    <m/>
    <s v="Нет"/>
    <m/>
    <m/>
    <n v="51.67"/>
    <n v="225.03000000000003"/>
    <n v="276.70000000000005"/>
    <n v="0.33337349397590366"/>
  </r>
  <r>
    <s v="весна"/>
    <s v="Руководство магистрами"/>
    <s v="Руководство магистрами"/>
    <s v="М3О-120М-22"/>
    <n v="36.67"/>
    <m/>
    <m/>
    <s v="81877     "/>
    <x v="12"/>
    <m/>
    <s v="Да"/>
    <m/>
    <m/>
    <n v="270.67"/>
    <n v="355.03000000000003"/>
    <n v="625.7"/>
    <n v="0.753855421686747"/>
  </r>
  <r>
    <s v="весна"/>
    <s v="Руководство магистрами"/>
    <s v="Руководство магистрами"/>
    <s v="М3О-120М-22"/>
    <n v="18.33"/>
    <m/>
    <m/>
    <s v="97722     "/>
    <x v="10"/>
    <m/>
    <s v="Нет"/>
    <m/>
    <m/>
    <n v="160.32999999999998"/>
    <n v="148.32999999999998"/>
    <n v="308.65999999999997"/>
    <n v="0.37187951807228914"/>
  </r>
  <r>
    <s v="весна"/>
    <s v="Руководство магистрами"/>
    <s v="Руководство магистрами"/>
    <s v="М3О-120М-22"/>
    <n v="18.33"/>
    <m/>
    <m/>
    <s v="82765     "/>
    <x v="0"/>
    <m/>
    <s v="Нет"/>
    <m/>
    <m/>
    <n v="75.33"/>
    <n v="221.32999999999998"/>
    <n v="296.65999999999997"/>
    <n v="0.35742168674698793"/>
  </r>
  <r>
    <s v="весна"/>
    <s v="Руководство магистрами"/>
    <s v="Руководство магистрами"/>
    <s v="М3О-120М-22"/>
    <n v="18.33"/>
    <m/>
    <m/>
    <s v="90109     "/>
    <x v="14"/>
    <m/>
    <s v="Нет"/>
    <m/>
    <m/>
    <n v="332.33"/>
    <n v="309.88"/>
    <n v="642.21"/>
    <n v="0.7737469879518073"/>
  </r>
  <r>
    <s v="весна"/>
    <s v="Руководство аспирантами"/>
    <s v="Руководство аспирантами"/>
    <s v="М3О-308А-20"/>
    <n v="25"/>
    <m/>
    <m/>
    <s v="94172     "/>
    <x v="1"/>
    <m/>
    <s v="Нет"/>
    <m/>
    <m/>
    <n v="299"/>
    <n v="160"/>
    <n v="459"/>
    <n v="0.553012048192771"/>
  </r>
  <r>
    <s v="весна"/>
    <s v="Руководство аспирантами"/>
    <s v="Руководство аспирантами"/>
    <s v="Т12О-308А-20"/>
    <n v="25"/>
    <m/>
    <m/>
    <s v="90109     "/>
    <x v="14"/>
    <m/>
    <s v="Нет"/>
    <m/>
    <m/>
    <n v="332.33"/>
    <n v="309.88"/>
    <n v="642.21"/>
    <n v="0.7737469879518073"/>
  </r>
  <r>
    <s v="весна"/>
    <s v="Руководство аспирантами"/>
    <s v="Руководство аспирантами"/>
    <s v="М3О-312А-20"/>
    <n v="25"/>
    <m/>
    <m/>
    <s v="90109     "/>
    <x v="14"/>
    <m/>
    <s v="Нет"/>
    <m/>
    <m/>
    <n v="332.33"/>
    <n v="309.88"/>
    <n v="642.21"/>
    <n v="0.7737469879518073"/>
  </r>
  <r>
    <s v="весна"/>
    <s v="Диплом"/>
    <s v="Диплом"/>
    <s v="М3О-416А-19"/>
    <n v="50"/>
    <m/>
    <m/>
    <s v="91852     "/>
    <x v="11"/>
    <m/>
    <s v="Да"/>
    <m/>
    <m/>
    <n v="96"/>
    <n v="367"/>
    <n v="463"/>
    <n v="0.5578313253012048"/>
  </r>
  <r>
    <s v="весна"/>
    <s v="Диплом"/>
    <s v="Диплом"/>
    <s v="М3О-219М-21"/>
    <n v="56"/>
    <m/>
    <m/>
    <s v="93746     "/>
    <x v="8"/>
    <m/>
    <s v="Нет"/>
    <m/>
    <m/>
    <n v="54"/>
    <n v="158.18"/>
    <n v="212.18"/>
    <n v="0.2556385542168675"/>
  </r>
  <r>
    <s v="весна"/>
    <s v="Диплом"/>
    <s v="Диплом"/>
    <s v="М3О-219М-21"/>
    <n v="28"/>
    <m/>
    <m/>
    <s v="82765     "/>
    <x v="0"/>
    <m/>
    <s v="Нет"/>
    <m/>
    <m/>
    <n v="75.33"/>
    <n v="221.32999999999998"/>
    <n v="296.65999999999997"/>
    <n v="0.35742168674698793"/>
  </r>
  <r>
    <s v="весна"/>
    <s v="Диплом"/>
    <s v="Диплом"/>
    <s v="М3О-219М-21"/>
    <n v="28"/>
    <m/>
    <m/>
    <s v="81877     "/>
    <x v="12"/>
    <m/>
    <s v="Да"/>
    <m/>
    <m/>
    <n v="270.67"/>
    <n v="355.03000000000003"/>
    <n v="625.7"/>
    <n v="0.753855421686747"/>
  </r>
  <r>
    <s v="весна"/>
    <s v="Диплом"/>
    <s v="Диплом"/>
    <s v="М3О-219М-21"/>
    <n v="28"/>
    <m/>
    <m/>
    <s v="82529     "/>
    <x v="9"/>
    <m/>
    <s v="Нет"/>
    <m/>
    <m/>
    <n v="206"/>
    <n v="110"/>
    <n v="316"/>
    <n v="0.38072289156626504"/>
  </r>
  <r>
    <s v="весна"/>
    <s v="Диплом"/>
    <s v="Диплом"/>
    <s v="М3О-220М-21"/>
    <n v="70"/>
    <m/>
    <m/>
    <s v="97722     "/>
    <x v="10"/>
    <m/>
    <s v="Нет"/>
    <m/>
    <m/>
    <n v="160.32999999999998"/>
    <n v="148.32999999999998"/>
    <n v="308.65999999999997"/>
    <n v="0.37187951807228914"/>
  </r>
  <r>
    <s v="весна"/>
    <s v="Диплом"/>
    <s v="Диплом"/>
    <s v="М3О-220М-21"/>
    <n v="35"/>
    <m/>
    <m/>
    <s v="82765     "/>
    <x v="0"/>
    <m/>
    <s v="Нет"/>
    <m/>
    <m/>
    <n v="75.33"/>
    <n v="221.32999999999998"/>
    <n v="296.65999999999997"/>
    <n v="0.35742168674698793"/>
  </r>
  <r>
    <s v="весна"/>
    <s v="Диплом"/>
    <s v="Диплом"/>
    <s v="М3О-220М-21"/>
    <n v="35"/>
    <m/>
    <m/>
    <s v="81877     "/>
    <x v="12"/>
    <m/>
    <s v="Да"/>
    <m/>
    <m/>
    <n v="270.67"/>
    <n v="355.03000000000003"/>
    <n v="625.7"/>
    <n v="0.753855421686747"/>
  </r>
  <r>
    <s v="весна"/>
    <s v="Диплом"/>
    <s v="Диплом"/>
    <s v="М3О-220М-21"/>
    <n v="35"/>
    <m/>
    <m/>
    <s v="95641     "/>
    <x v="18"/>
    <m/>
    <s v="Нет"/>
    <m/>
    <m/>
    <n v="51.67"/>
    <n v="225.03000000000003"/>
    <n v="276.70000000000005"/>
    <n v="0.33337349397590366"/>
  </r>
  <r>
    <s v="весна"/>
    <s v="Диплом"/>
    <s v="Диплом"/>
    <s v="М3О-220М-21"/>
    <n v="35"/>
    <m/>
    <m/>
    <s v="91852     "/>
    <x v="11"/>
    <m/>
    <s v="Да"/>
    <m/>
    <m/>
    <n v="96"/>
    <n v="367"/>
    <n v="463"/>
    <n v="0.5578313253012048"/>
  </r>
  <r>
    <s v="весна"/>
    <s v="Диплом"/>
    <s v="Диплом"/>
    <s v="М3О-220М-21"/>
    <n v="35"/>
    <m/>
    <m/>
    <s v="90109     "/>
    <x v="14"/>
    <m/>
    <s v="Нет"/>
    <m/>
    <m/>
    <n v="332.33"/>
    <n v="309.88"/>
    <n v="642.21"/>
    <n v="0.7737469879518073"/>
  </r>
  <r>
    <s v="весна"/>
    <s v="Диплом"/>
    <s v="Диплом"/>
    <s v="М3О-220М-21"/>
    <n v="35"/>
    <m/>
    <m/>
    <s v="94089     "/>
    <x v="6"/>
    <m/>
    <s v="Нет"/>
    <m/>
    <m/>
    <n v="103"/>
    <n v="179"/>
    <n v="282"/>
    <n v="0.3397590361445783"/>
  </r>
  <r>
    <s v="весна"/>
    <s v="Диплом"/>
    <s v="Диплом"/>
    <s v="М3О-436Б-19"/>
    <n v="129.55"/>
    <m/>
    <m/>
    <s v="90109     "/>
    <x v="14"/>
    <m/>
    <s v="Нет"/>
    <m/>
    <m/>
    <n v="332.33"/>
    <n v="309.88"/>
    <n v="642.21"/>
    <n v="0.7737469879518073"/>
  </r>
  <r>
    <s v="весна"/>
    <s v="Диплом"/>
    <s v="Диплом"/>
    <s v="М3О-436Б-19"/>
    <n v="86.36"/>
    <m/>
    <m/>
    <s v="95641     "/>
    <x v="18"/>
    <m/>
    <s v="Нет"/>
    <m/>
    <m/>
    <n v="51.67"/>
    <n v="225.03000000000003"/>
    <n v="276.70000000000005"/>
    <n v="0.33337349397590366"/>
  </r>
  <r>
    <s v="весна"/>
    <s v="Диплом"/>
    <s v="Диплом"/>
    <s v="М3О-436Б-19"/>
    <n v="43.18"/>
    <m/>
    <m/>
    <s v="93746     "/>
    <x v="8"/>
    <m/>
    <s v="Нет"/>
    <m/>
    <m/>
    <n v="54"/>
    <n v="158.18"/>
    <n v="212.18"/>
    <n v="0.2556385542168675"/>
  </r>
  <r>
    <s v="весна"/>
    <s v="Диплом"/>
    <s v="Диплом"/>
    <s v="М3О-436Б-19"/>
    <n v="86.36"/>
    <m/>
    <m/>
    <s v="83003     "/>
    <x v="17"/>
    <m/>
    <s v="Да"/>
    <m/>
    <m/>
    <n v="280.67"/>
    <n v="392.03000000000003"/>
    <n v="672.7"/>
    <n v="0.8104819277108434"/>
  </r>
  <r>
    <s v="весна"/>
    <s v="Диплом"/>
    <s v="Диплом"/>
    <s v="М3О-436Б-19"/>
    <n v="86.36"/>
    <m/>
    <m/>
    <s v="81877     "/>
    <x v="12"/>
    <m/>
    <s v="Да"/>
    <m/>
    <m/>
    <n v="270.67"/>
    <n v="355.03000000000003"/>
    <n v="625.7"/>
    <n v="0.753855421686747"/>
  </r>
  <r>
    <s v="весна"/>
    <s v="Диплом"/>
    <s v="Диплом"/>
    <s v="М3О-436Б-19"/>
    <n v="43.18"/>
    <m/>
    <m/>
    <s v="98323     "/>
    <x v="2"/>
    <m/>
    <s v="Да"/>
    <m/>
    <m/>
    <n v="230"/>
    <n v="121.18"/>
    <n v="351.18"/>
    <n v="0.423108433734939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95">
  <r>
    <s v="осень"/>
    <s v="Руководство кафедрой"/>
    <s v="Руководство кафедрой"/>
    <m/>
    <n v="30"/>
    <m/>
    <m/>
    <s v="82061"/>
    <x v="0"/>
    <m/>
    <s v="Да"/>
    <m/>
    <m/>
    <n v="105"/>
    <n v="102"/>
    <n v="207"/>
    <n v="0.2493975903614458"/>
    <n v="41.400000000000006"/>
    <n v="0.19951807228915663"/>
    <n v="0.2"/>
  </r>
  <r>
    <s v="осень"/>
    <s v="Контроль качества отливок"/>
    <s v="ЛК"/>
    <s v="Т11О-101М-23"/>
    <n v="16"/>
    <s v="18008"/>
    <n v="16"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Контроль качества отливок"/>
    <s v="ПЗ"/>
    <s v="Т11О-101М-23"/>
    <n v="20"/>
    <s v="18008"/>
    <n v="20"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Контроль качества отливок"/>
    <s v="ЛР"/>
    <s v="Т11О-101М-23"/>
    <n v="16"/>
    <s v="18008"/>
    <n v="16"/>
    <s v="94221"/>
    <x v="2"/>
    <m/>
    <s v="Нет"/>
    <m/>
    <m/>
    <n v="111"/>
    <n v="265"/>
    <n v="376"/>
    <n v="0.4530120481927711"/>
    <n v="75.2"/>
    <n v="0.3624096385542169"/>
    <n v="0.45"/>
  </r>
  <r>
    <s v="осень"/>
    <s v="Контроль качества отливок"/>
    <s v="Зачет"/>
    <s v="Т11О-101М-23"/>
    <n v="3"/>
    <s v="18008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Контроль качества отливок"/>
    <s v="Консультация"/>
    <s v="Т11О-101М-23"/>
    <n v="1"/>
    <s v="18008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Технология и оборудование сварки плавлением"/>
    <s v="КП"/>
    <s v="Т11О-401Б-20"/>
    <n v="18"/>
    <s v="11924"/>
    <m/>
    <s v="89090"/>
    <x v="3"/>
    <m/>
    <s v="Нет"/>
    <m/>
    <m/>
    <n v="169"/>
    <n v="340"/>
    <n v="509"/>
    <n v="0.6132530120481928"/>
    <n v="101.80000000000001"/>
    <n v="0.4906024096385543"/>
    <n v="0.4"/>
  </r>
  <r>
    <s v="осень"/>
    <s v="Технология и оборудование сварки плавлением"/>
    <s v="КП"/>
    <s v="Т11О-401Б-20"/>
    <n v="18"/>
    <s v="11924"/>
    <m/>
    <s v="82056"/>
    <x v="4"/>
    <m/>
    <s v="Да"/>
    <m/>
    <m/>
    <n v="188"/>
    <n v="294"/>
    <n v="482"/>
    <n v="0.5807228915662651"/>
    <n v="96.4"/>
    <n v="0.46457831325301213"/>
    <n v="0.5"/>
  </r>
  <r>
    <s v="осень"/>
    <s v="Технология и оборудование сварки плавлением"/>
    <s v="ЛК"/>
    <s v="Т11О-401Б-20"/>
    <n v="44"/>
    <s v="11924"/>
    <n v="44"/>
    <s v="89090"/>
    <x v="3"/>
    <m/>
    <s v="Нет"/>
    <m/>
    <m/>
    <n v="169"/>
    <n v="340"/>
    <n v="509"/>
    <n v="0.6132530120481928"/>
    <n v="101.80000000000001"/>
    <n v="0.4906024096385543"/>
    <n v="0.4"/>
  </r>
  <r>
    <s v="осень"/>
    <s v="Технология и оборудование сварки плавлением"/>
    <s v="ПЗ"/>
    <s v="Т11О-401Б-20"/>
    <n v="32"/>
    <s v="11924"/>
    <n v="64"/>
    <s v="89090"/>
    <x v="3"/>
    <m/>
    <s v="Нет"/>
    <m/>
    <m/>
    <n v="169"/>
    <n v="340"/>
    <n v="509"/>
    <n v="0.6132530120481928"/>
    <n v="101.80000000000001"/>
    <n v="0.4906024096385543"/>
    <n v="0.4"/>
  </r>
  <r>
    <s v="осень"/>
    <s v="Технология и оборудование сварки плавлением"/>
    <s v="ПЗ"/>
    <s v="Т11О-401Б-20"/>
    <n v="32"/>
    <s v="11924"/>
    <n v="64"/>
    <s v="89090"/>
    <x v="4"/>
    <m/>
    <s v="Нет"/>
    <m/>
    <m/>
    <n v="188"/>
    <n v="294"/>
    <n v="482"/>
    <n v="0.5807228915662651"/>
    <n v="96.4"/>
    <n v="0.46457831325301213"/>
    <n v="0.5"/>
  </r>
  <r>
    <s v="осень"/>
    <s v="Технология и оборудование сварки плавлением"/>
    <s v="ЛР"/>
    <s v="Т11О-401Б-20"/>
    <n v="36"/>
    <s v="11924"/>
    <n v="36"/>
    <s v="89090"/>
    <x v="3"/>
    <m/>
    <s v="Нет"/>
    <m/>
    <m/>
    <n v="169"/>
    <n v="340"/>
    <n v="509"/>
    <n v="0.6132530120481928"/>
    <n v="101.80000000000001"/>
    <n v="0.4906024096385543"/>
    <n v="0.4"/>
  </r>
  <r>
    <s v="осень"/>
    <s v="Технология и оборудование сварки плавлением"/>
    <s v="Экзамен"/>
    <s v="Т11О-401Б-20"/>
    <n v="4"/>
    <s v="11924"/>
    <m/>
    <s v="89090"/>
    <x v="3"/>
    <m/>
    <s v="Нет"/>
    <m/>
    <m/>
    <n v="169"/>
    <n v="340"/>
    <n v="509"/>
    <n v="0.6132530120481928"/>
    <n v="101.80000000000001"/>
    <n v="0.4906024096385543"/>
    <n v="0.4"/>
  </r>
  <r>
    <s v="осень"/>
    <s v="Технология и оборудование сварки плавлением"/>
    <s v="Экзамен"/>
    <s v="Т11О-401Б-20"/>
    <n v="-1.5"/>
    <s v="11924"/>
    <m/>
    <m/>
    <x v="5"/>
    <m/>
    <s v="Нет"/>
    <m/>
    <m/>
    <n v="14.5"/>
    <n v="78"/>
    <n v="92.5"/>
    <n v="0.11144578313253012"/>
    <n v="18.5"/>
    <n v="0.0891566265060241"/>
    <n v="0"/>
  </r>
  <r>
    <s v="осень"/>
    <s v="Технология и оборудование сварки плавлением"/>
    <s v="Консультация"/>
    <s v="Т11О-401Б-20"/>
    <n v="4"/>
    <s v="11924"/>
    <m/>
    <s v="89090"/>
    <x v="3"/>
    <m/>
    <s v="Нет"/>
    <m/>
    <m/>
    <n v="169"/>
    <n v="340"/>
    <n v="509"/>
    <n v="0.6132530120481928"/>
    <n v="101.80000000000001"/>
    <n v="0.4906024096385543"/>
    <n v="0.4"/>
  </r>
  <r>
    <s v="осень"/>
    <s v="Прикладная гидравлика"/>
    <s v="ЛК"/>
    <s v="Т11О-402Б-20"/>
    <n v="24"/>
    <s v="11923"/>
    <n v="24"/>
    <s v="82018"/>
    <x v="6"/>
    <m/>
    <s v="Нет"/>
    <m/>
    <m/>
    <n v="233"/>
    <n v="200"/>
    <n v="433"/>
    <n v="0.5216867469879518"/>
    <n v="86.60000000000001"/>
    <n v="0.4173493975903615"/>
    <n v="0.5"/>
  </r>
  <r>
    <s v="осень"/>
    <s v="Прикладная гидравлика"/>
    <s v="ЛК"/>
    <s v="Т11О-301Б-21"/>
    <n v="24"/>
    <s v="14668"/>
    <n v="24"/>
    <s v="82018"/>
    <x v="6"/>
    <m/>
    <s v="Нет"/>
    <m/>
    <m/>
    <n v="233"/>
    <n v="200"/>
    <n v="433"/>
    <n v="0.5216867469879518"/>
    <n v="86.60000000000001"/>
    <n v="0.4173493975903615"/>
    <n v="0.5"/>
  </r>
  <r>
    <s v="осень"/>
    <s v="Прикладная гидравлика"/>
    <s v="Зачет с оценкой"/>
    <s v="Т11О-402Б-20"/>
    <n v="3"/>
    <s v="11923"/>
    <m/>
    <s v="82018"/>
    <x v="6"/>
    <m/>
    <s v="Нет"/>
    <m/>
    <m/>
    <n v="233"/>
    <n v="200"/>
    <n v="433"/>
    <n v="0.5216867469879518"/>
    <n v="86.60000000000001"/>
    <n v="0.4173493975903615"/>
    <n v="0.5"/>
  </r>
  <r>
    <s v="осень"/>
    <s v="Прикладная гидравлика"/>
    <s v="Зачет с оценкой"/>
    <s v="Т11О-301Б-21"/>
    <n v="3"/>
    <s v="14668"/>
    <m/>
    <s v="82018"/>
    <x v="6"/>
    <m/>
    <s v="Нет"/>
    <m/>
    <m/>
    <n v="233"/>
    <n v="200"/>
    <n v="433"/>
    <n v="0.5216867469879518"/>
    <n v="86.60000000000001"/>
    <n v="0.4173493975903615"/>
    <n v="0.5"/>
  </r>
  <r>
    <s v="осень"/>
    <s v="Прикладная гидравлика"/>
    <s v="ПЗ"/>
    <s v="Т11О-402Б-20"/>
    <n v="28"/>
    <s v="11923"/>
    <n v="28"/>
    <s v="82018"/>
    <x v="6"/>
    <m/>
    <s v="Нет"/>
    <m/>
    <m/>
    <n v="233"/>
    <n v="200"/>
    <n v="433"/>
    <n v="0.5216867469879518"/>
    <n v="86.60000000000001"/>
    <n v="0.4173493975903615"/>
    <n v="0.5"/>
  </r>
  <r>
    <s v="осень"/>
    <s v="Прикладная гидравлика"/>
    <s v="ПЗ"/>
    <s v="Т11О-301Б-21"/>
    <n v="28"/>
    <s v="14668"/>
    <n v="28"/>
    <s v="82018"/>
    <x v="6"/>
    <m/>
    <s v="Нет"/>
    <m/>
    <m/>
    <n v="233"/>
    <n v="200"/>
    <n v="433"/>
    <n v="0.5216867469879518"/>
    <n v="86.60000000000001"/>
    <n v="0.4173493975903615"/>
    <n v="0.5"/>
  </r>
  <r>
    <s v="осень"/>
    <s v="Прикладная гидравлика"/>
    <s v="ЛР"/>
    <s v="Т11О-402Б-20"/>
    <n v="8"/>
    <s v="11923"/>
    <n v="8"/>
    <s v="82018"/>
    <x v="6"/>
    <m/>
    <s v="Нет"/>
    <m/>
    <m/>
    <n v="233"/>
    <n v="200"/>
    <n v="433"/>
    <n v="0.5216867469879518"/>
    <n v="86.60000000000001"/>
    <n v="0.4173493975903615"/>
    <n v="0.5"/>
  </r>
  <r>
    <s v="осень"/>
    <s v="Прикладная гидравлика"/>
    <s v="ЛР"/>
    <s v="Т11О-301Б-21"/>
    <n v="8"/>
    <s v="14668"/>
    <n v="8"/>
    <s v="82018"/>
    <x v="6"/>
    <m/>
    <s v="Нет"/>
    <m/>
    <m/>
    <n v="233"/>
    <n v="200"/>
    <n v="433"/>
    <n v="0.5216867469879518"/>
    <n v="86.60000000000001"/>
    <n v="0.4173493975903615"/>
    <n v="0.5"/>
  </r>
  <r>
    <s v="осень"/>
    <s v="Прикладная гидравлика"/>
    <s v="Консультация"/>
    <s v="Т11О-402Б-20"/>
    <n v="1"/>
    <s v="11923"/>
    <m/>
    <s v="82018"/>
    <x v="6"/>
    <m/>
    <s v="Нет"/>
    <m/>
    <m/>
    <n v="233"/>
    <n v="200"/>
    <n v="433"/>
    <n v="0.5216867469879518"/>
    <n v="86.60000000000001"/>
    <n v="0.4173493975903615"/>
    <n v="0.5"/>
  </r>
  <r>
    <s v="осень"/>
    <s v="Прикладная гидравлика"/>
    <s v="Консультация"/>
    <s v="Т11О-301Б-21"/>
    <n v="1"/>
    <s v="14668"/>
    <m/>
    <s v="82018"/>
    <x v="6"/>
    <m/>
    <s v="Нет"/>
    <m/>
    <m/>
    <n v="233"/>
    <n v="200"/>
    <n v="433"/>
    <n v="0.5216867469879518"/>
    <n v="86.60000000000001"/>
    <n v="0.4173493975903615"/>
    <n v="0.5"/>
  </r>
  <r>
    <s v="осень"/>
    <s v="Теория литейных процессов"/>
    <s v="ЛК"/>
    <s v="Т11О-402Б-20"/>
    <n v="56"/>
    <s v="11923"/>
    <n v="56"/>
    <s v="81891"/>
    <x v="7"/>
    <m/>
    <s v="Да"/>
    <m/>
    <m/>
    <n v="381"/>
    <n v="162"/>
    <n v="543"/>
    <n v="0.6542168674698795"/>
    <n v="108.60000000000001"/>
    <n v="0.5233734939759036"/>
    <n v="0.5"/>
  </r>
  <r>
    <s v="осень"/>
    <s v="Теория литейных процессов"/>
    <s v="КР"/>
    <s v="Т11О-402Б-20"/>
    <n v="18"/>
    <s v="11923"/>
    <m/>
    <s v="81891"/>
    <x v="7"/>
    <m/>
    <s v="Да"/>
    <m/>
    <m/>
    <n v="381"/>
    <n v="162"/>
    <n v="543"/>
    <n v="0.6542168674698795"/>
    <n v="108.60000000000001"/>
    <n v="0.5233734939759036"/>
    <n v="0.5"/>
  </r>
  <r>
    <s v="осень"/>
    <s v="Теория литейных процессов"/>
    <s v="ПЗ"/>
    <s v="Т11О-402Б-20"/>
    <n v="20"/>
    <s v="11923"/>
    <n v="20"/>
    <s v="81891"/>
    <x v="7"/>
    <m/>
    <s v="Да"/>
    <m/>
    <m/>
    <n v="381"/>
    <n v="162"/>
    <n v="543"/>
    <n v="0.6542168674698795"/>
    <n v="108.60000000000001"/>
    <n v="0.5233734939759036"/>
    <n v="0.5"/>
  </r>
  <r>
    <s v="осень"/>
    <s v="Теория литейных процессов"/>
    <s v="ЛР"/>
    <s v="Т11О-402Б-20"/>
    <n v="16"/>
    <s v="11923"/>
    <n v="32"/>
    <s v="94221"/>
    <x v="2"/>
    <m/>
    <s v="Нет"/>
    <m/>
    <m/>
    <n v="111"/>
    <n v="265"/>
    <n v="376"/>
    <n v="0.4530120481927711"/>
    <n v="75.2"/>
    <n v="0.3624096385542169"/>
    <n v="0.45"/>
  </r>
  <r>
    <s v="осень"/>
    <s v="Теория литейных процессов"/>
    <s v="ЛР"/>
    <s v="Т11О-402Б-20"/>
    <n v="16"/>
    <s v="11923"/>
    <n v="32"/>
    <s v="82027"/>
    <x v="8"/>
    <m/>
    <s v="Нет"/>
    <m/>
    <m/>
    <n v="78"/>
    <n v="240.5"/>
    <n v="318.5"/>
    <n v="0.38373493975903616"/>
    <n v="63.7"/>
    <n v="0.30698795180722893"/>
    <n v="0.35"/>
  </r>
  <r>
    <s v="осень"/>
    <s v="Теория литейных процессов"/>
    <s v="Экзамен"/>
    <s v="Т11О-402Б-20"/>
    <n v="4"/>
    <s v="11923"/>
    <m/>
    <s v="81891"/>
    <x v="7"/>
    <m/>
    <s v="Да"/>
    <m/>
    <m/>
    <n v="381"/>
    <n v="162"/>
    <n v="543"/>
    <n v="0.6542168674698795"/>
    <n v="108.60000000000001"/>
    <n v="0.5233734939759036"/>
    <n v="0.5"/>
  </r>
  <r>
    <s v="осень"/>
    <s v="Теория литейных процессов"/>
    <s v="Экзамен"/>
    <s v="Т11О-402Б-20"/>
    <n v="1"/>
    <s v="11923"/>
    <m/>
    <m/>
    <x v="5"/>
    <m/>
    <s v="Нет"/>
    <m/>
    <m/>
    <n v="14.5"/>
    <n v="78"/>
    <n v="92.5"/>
    <n v="0.11144578313253012"/>
    <n v="18.5"/>
    <n v="0.0891566265060241"/>
    <n v="0"/>
  </r>
  <r>
    <s v="осень"/>
    <s v="Теория литейных процессов"/>
    <s v="Консультация"/>
    <s v="Т11О-402Б-20"/>
    <n v="4"/>
    <s v="11923"/>
    <m/>
    <s v="81891"/>
    <x v="7"/>
    <m/>
    <s v="Да"/>
    <m/>
    <m/>
    <n v="381"/>
    <n v="162"/>
    <n v="543"/>
    <n v="0.6542168674698795"/>
    <n v="108.60000000000001"/>
    <n v="0.5233734939759036"/>
    <n v="0.5"/>
  </r>
  <r>
    <s v="осень"/>
    <s v="Защита интеллектуальной собственности и патентоведение"/>
    <s v="ЛК"/>
    <s v="Т11О-101М-23"/>
    <n v="18"/>
    <s v="18008"/>
    <n v="18"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Защита интеллектуальной собственности и патентоведение"/>
    <s v="ПЗ"/>
    <s v="Т11О-101М-23"/>
    <n v="28"/>
    <s v="18008"/>
    <n v="28"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Защита интеллектуальной собственности и патентоведение"/>
    <s v="Зачет"/>
    <s v="Т11О-101М-23"/>
    <n v="3"/>
    <s v="18008"/>
    <m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Защита интеллектуальной собственности и патентоведение"/>
    <s v="Консультация"/>
    <s v="Т11О-101М-23"/>
    <n v="1"/>
    <s v="18008"/>
    <m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Разработка ресурсосберегающих технологий диффузионной сварки"/>
    <s v="ЛК"/>
    <s v="Т11О-101М-23"/>
    <n v="24"/>
    <s v="18008"/>
    <n v="24"/>
    <s v="82090"/>
    <x v="10"/>
    <m/>
    <s v="Да"/>
    <m/>
    <m/>
    <n v="161"/>
    <n v="92"/>
    <n v="253"/>
    <n v="0.30481927710843376"/>
    <n v="50.6"/>
    <n v="0.243855421686747"/>
    <n v="0.25"/>
  </r>
  <r>
    <s v="осень"/>
    <s v="Разработка ресурсосберегающих технологий диффузионной сварки"/>
    <s v="КР"/>
    <s v="Т11О-101М-23"/>
    <n v="26"/>
    <s v="18008"/>
    <m/>
    <s v="82090"/>
    <x v="10"/>
    <m/>
    <s v="Да"/>
    <m/>
    <m/>
    <n v="161"/>
    <n v="92"/>
    <n v="253"/>
    <n v="0.30481927710843376"/>
    <n v="50.6"/>
    <n v="0.243855421686747"/>
    <n v="0.25"/>
  </r>
  <r>
    <s v="осень"/>
    <s v="Разработка ресурсосберегающих технологий диффузионной сварки"/>
    <s v="Зачет с оценкой"/>
    <s v="Т11О-101М-23"/>
    <n v="4"/>
    <s v="18008"/>
    <m/>
    <s v="82090"/>
    <x v="10"/>
    <m/>
    <s v="Да"/>
    <m/>
    <m/>
    <n v="161"/>
    <n v="92"/>
    <n v="253"/>
    <n v="0.30481927710843376"/>
    <n v="50.6"/>
    <n v="0.243855421686747"/>
    <n v="0.25"/>
  </r>
  <r>
    <s v="осень"/>
    <s v="Разработка ресурсосберегающих технологий диффузионной сварки"/>
    <s v="ПЗ"/>
    <s v="Т11О-101М-23"/>
    <n v="42"/>
    <s v="18008"/>
    <n v="42"/>
    <s v="82090"/>
    <x v="10"/>
    <m/>
    <s v="Да"/>
    <m/>
    <m/>
    <n v="161"/>
    <n v="92"/>
    <n v="253"/>
    <n v="0.30481927710843376"/>
    <n v="50.6"/>
    <n v="0.243855421686747"/>
    <n v="0.25"/>
  </r>
  <r>
    <s v="осень"/>
    <s v="Разработка ресурсосберегающих технологий диффузионной сварки"/>
    <s v="Консультация"/>
    <s v="Т11О-101М-23"/>
    <n v="1"/>
    <s v="18008"/>
    <m/>
    <s v="82090"/>
    <x v="10"/>
    <m/>
    <s v="Да"/>
    <m/>
    <m/>
    <n v="161"/>
    <n v="92"/>
    <n v="253"/>
    <n v="0.30481927710843376"/>
    <n v="50.6"/>
    <n v="0.243855421686747"/>
    <n v="0.25"/>
  </r>
  <r>
    <s v="осень"/>
    <s v="Моделирование и оптимизация технологических процессов"/>
    <s v="ЛК"/>
    <s v="Т11О-201М-22"/>
    <n v="18"/>
    <s v="04489"/>
    <n v="18"/>
    <s v="81722"/>
    <x v="11"/>
    <m/>
    <s v="Нет"/>
    <m/>
    <m/>
    <n v="298"/>
    <n v="310"/>
    <n v="608"/>
    <n v="0.7325301204819277"/>
    <n v="121.60000000000001"/>
    <n v="0.5860240963855422"/>
    <n v="0.7"/>
  </r>
  <r>
    <s v="осень"/>
    <s v="Моделирование и оптимизация технологических процессов"/>
    <s v="КР"/>
    <s v="Т11О-201М-22"/>
    <n v="24"/>
    <s v="04489"/>
    <m/>
    <s v="81722"/>
    <x v="11"/>
    <m/>
    <s v="Нет"/>
    <m/>
    <m/>
    <n v="298"/>
    <n v="310"/>
    <n v="608"/>
    <n v="0.7325301204819277"/>
    <n v="121.60000000000001"/>
    <n v="0.5860240963855422"/>
    <n v="0.7"/>
  </r>
  <r>
    <s v="осень"/>
    <s v="Моделирование и оптимизация технологических процессов"/>
    <s v="Зачет с оценкой"/>
    <s v="Т11О-201М-22"/>
    <n v="4"/>
    <s v="04489"/>
    <m/>
    <s v="81722"/>
    <x v="11"/>
    <m/>
    <s v="Нет"/>
    <m/>
    <m/>
    <n v="298"/>
    <n v="310"/>
    <n v="608"/>
    <n v="0.7325301204819277"/>
    <n v="121.60000000000001"/>
    <n v="0.5860240963855422"/>
    <n v="0.7"/>
  </r>
  <r>
    <s v="осень"/>
    <s v="Моделирование и оптимизация технологических процессов"/>
    <s v="ПЗ"/>
    <s v="Т11О-201М-22"/>
    <n v="62"/>
    <s v="04489"/>
    <n v="62"/>
    <s v="81722"/>
    <x v="11"/>
    <m/>
    <s v="Нет"/>
    <m/>
    <m/>
    <n v="298"/>
    <n v="310"/>
    <n v="608"/>
    <n v="0.7325301204819277"/>
    <n v="121.60000000000001"/>
    <n v="0.5860240963855422"/>
    <n v="0.7"/>
  </r>
  <r>
    <s v="осень"/>
    <s v="Моделирование и оптимизация технологических процессов"/>
    <s v="Консультация"/>
    <s v="Т11О-201М-22"/>
    <n v="1"/>
    <s v="04489"/>
    <m/>
    <s v="81722"/>
    <x v="11"/>
    <m/>
    <s v="Нет"/>
    <m/>
    <m/>
    <n v="298"/>
    <n v="310"/>
    <n v="608"/>
    <n v="0.7325301204819277"/>
    <n v="121.60000000000001"/>
    <n v="0.5860240963855422"/>
    <n v="0.7"/>
  </r>
  <r>
    <s v="осень"/>
    <s v="Физико-математическое моделирование процессов обработки металлов давлением"/>
    <s v="ЛК"/>
    <s v="Т11О-201М-22"/>
    <n v="12"/>
    <s v="04489"/>
    <n v="12"/>
    <s v="81732"/>
    <x v="12"/>
    <m/>
    <s v="Да"/>
    <m/>
    <m/>
    <n v="171"/>
    <n v="88"/>
    <n v="259"/>
    <n v="0.31204819277108437"/>
    <n v="51.800000000000004"/>
    <n v="0.2496385542168675"/>
    <n v="0.25"/>
  </r>
  <r>
    <s v="осень"/>
    <s v="Физико-математическое моделирование процессов обработки металлов давлением"/>
    <s v="ПЗ"/>
    <s v="Т11О-201М-22"/>
    <n v="42"/>
    <s v="04489"/>
    <n v="42"/>
    <s v="81732"/>
    <x v="12"/>
    <m/>
    <s v="Да"/>
    <m/>
    <m/>
    <n v="171"/>
    <n v="88"/>
    <n v="259"/>
    <n v="0.31204819277108437"/>
    <n v="51.800000000000004"/>
    <n v="0.2496385542168675"/>
    <n v="0.25"/>
  </r>
  <r>
    <s v="осень"/>
    <s v="Физико-математическое моделирование процессов обработки металлов давлением"/>
    <s v="Экзамен"/>
    <s v="Т11О-201М-22"/>
    <n v="4"/>
    <s v="04489"/>
    <m/>
    <s v="81732"/>
    <x v="12"/>
    <m/>
    <s v="Да"/>
    <m/>
    <m/>
    <n v="171"/>
    <n v="88"/>
    <n v="259"/>
    <n v="0.31204819277108437"/>
    <n v="51.800000000000004"/>
    <n v="0.2496385542168675"/>
    <n v="0.25"/>
  </r>
  <r>
    <s v="осень"/>
    <s v="Физико-математическое моделирование процессов обработки металлов давлением"/>
    <s v="Экзамен"/>
    <s v="Т11О-201М-22"/>
    <n v="2"/>
    <s v="04489"/>
    <m/>
    <s v="82075"/>
    <x v="5"/>
    <m/>
    <s v="Да"/>
    <m/>
    <m/>
    <n v="14.5"/>
    <n v="78"/>
    <n v="92.5"/>
    <n v="0.11144578313253012"/>
    <n v="18.5"/>
    <n v="0.0891566265060241"/>
    <n v="0"/>
  </r>
  <r>
    <s v="осень"/>
    <s v="Физико-математическое моделирование процессов обработки металлов давлением"/>
    <s v="Консультация"/>
    <s v="Т11О-201М-22"/>
    <n v="1"/>
    <s v="04489"/>
    <m/>
    <s v="81732"/>
    <x v="12"/>
    <m/>
    <s v="Да"/>
    <m/>
    <m/>
    <n v="171"/>
    <n v="88"/>
    <n v="259"/>
    <n v="0.31204819277108437"/>
    <n v="51.800000000000004"/>
    <n v="0.2496385542168675"/>
    <n v="0.25"/>
  </r>
  <r>
    <s v="осень"/>
    <s v="Физико-математическое моделирование процессов обработки металлов давлением"/>
    <s v="Консультация"/>
    <s v="Т11О-201М-22"/>
    <n v="1"/>
    <s v="04489"/>
    <m/>
    <s v="82075"/>
    <x v="5"/>
    <m/>
    <s v="Да"/>
    <m/>
    <m/>
    <n v="14.5"/>
    <n v="78"/>
    <n v="92.5"/>
    <n v="0.11144578313253012"/>
    <n v="18.5"/>
    <n v="0.0891566265060241"/>
    <n v="0"/>
  </r>
  <r>
    <s v="осень"/>
    <s v="Физика и техника высоких давлений"/>
    <s v="ЛК"/>
    <s v="Т11О-201М-22"/>
    <n v="18"/>
    <s v="04489"/>
    <n v="18"/>
    <s v="81730"/>
    <x v="13"/>
    <m/>
    <s v="Да"/>
    <m/>
    <m/>
    <n v="186"/>
    <n v="42"/>
    <n v="228"/>
    <n v="0.2746987951807229"/>
    <n v="45.6"/>
    <n v="0.2197590361445783"/>
    <n v="0.2"/>
  </r>
  <r>
    <s v="осень"/>
    <s v="Физика и техника высоких давлений"/>
    <s v="ПЗ"/>
    <s v="Т11О-201М-22"/>
    <n v="36"/>
    <s v="04489"/>
    <n v="36"/>
    <s v="81730"/>
    <x v="13"/>
    <m/>
    <s v="Да"/>
    <m/>
    <m/>
    <n v="186"/>
    <n v="42"/>
    <n v="228"/>
    <n v="0.2746987951807229"/>
    <n v="45.6"/>
    <n v="0.2197590361445783"/>
    <n v="0.2"/>
  </r>
  <r>
    <s v="осень"/>
    <s v="Физика и техника высоких давлений"/>
    <s v="Экзамен"/>
    <s v="Т11О-201М-22"/>
    <n v="4"/>
    <s v="04489"/>
    <m/>
    <s v="81730"/>
    <x v="13"/>
    <m/>
    <s v="Да"/>
    <m/>
    <m/>
    <n v="186"/>
    <n v="42"/>
    <n v="228"/>
    <n v="0.2746987951807229"/>
    <n v="45.6"/>
    <n v="0.2197590361445783"/>
    <n v="0.2"/>
  </r>
  <r>
    <s v="осень"/>
    <s v="Физика и техника высоких давлений"/>
    <s v="Экзамен"/>
    <s v="Т11О-201М-22"/>
    <n v="2"/>
    <s v="04489"/>
    <m/>
    <s v="82075"/>
    <x v="5"/>
    <m/>
    <s v="Да"/>
    <m/>
    <m/>
    <n v="14.5"/>
    <n v="78"/>
    <n v="92.5"/>
    <n v="0.11144578313253012"/>
    <n v="18.5"/>
    <n v="0.0891566265060241"/>
    <n v="0"/>
  </r>
  <r>
    <s v="осень"/>
    <s v="Физика и техника высоких давлений"/>
    <s v="Консультация"/>
    <s v="Т11О-201М-22"/>
    <n v="1"/>
    <s v="04489"/>
    <m/>
    <s v="81730"/>
    <x v="13"/>
    <m/>
    <s v="Да"/>
    <m/>
    <m/>
    <n v="186"/>
    <n v="42"/>
    <n v="228"/>
    <n v="0.2746987951807229"/>
    <n v="45.6"/>
    <n v="0.2197590361445783"/>
    <n v="0.2"/>
  </r>
  <r>
    <s v="осень"/>
    <s v="Физика и техника высоких давлений"/>
    <s v="Консультация"/>
    <s v="Т11О-201М-22"/>
    <n v="1"/>
    <s v="04489"/>
    <m/>
    <s v="82075"/>
    <x v="5"/>
    <m/>
    <s v="Да"/>
    <m/>
    <m/>
    <n v="14.5"/>
    <n v="78"/>
    <n v="92.5"/>
    <n v="0.11144578313253012"/>
    <n v="18.5"/>
    <n v="0.0891566265060241"/>
    <n v="0"/>
  </r>
  <r>
    <s v="осень"/>
    <s v="Основы автоматизации технологических процессов"/>
    <s v="ЛК"/>
    <s v="Т11О-301Б-21, Т11О-303Б-21, Т11О-304Б-21, Т11О-305Б-21"/>
    <n v="24"/>
    <s v="17358"/>
    <n v="24"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автоматизации технологических процессов"/>
    <s v="Зачет с оценкой"/>
    <s v="Т11О-301Б-21"/>
    <n v="3"/>
    <s v="17358"/>
    <m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автоматизации технологических процессов"/>
    <s v="Зачет с оценкой"/>
    <s v="Т11О-303Б-21"/>
    <n v="5"/>
    <s v="17358"/>
    <m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автоматизации технологических процессов"/>
    <s v="Зачет с оценкой"/>
    <s v="Т11О-305Б-21"/>
    <n v="5"/>
    <s v="17358"/>
    <m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автоматизации технологических процессов"/>
    <s v="ПЗ"/>
    <s v="Т11О-301Б-21"/>
    <n v="8"/>
    <s v="17358"/>
    <n v="8"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автоматизации технологических процессов"/>
    <s v="ПЗ"/>
    <s v="Т11О-303Б-21"/>
    <n v="8"/>
    <s v="17358"/>
    <n v="8"/>
    <s v="81722"/>
    <x v="11"/>
    <m/>
    <s v="Нет"/>
    <m/>
    <m/>
    <n v="298"/>
    <n v="310"/>
    <n v="608"/>
    <n v="0.7325301204819277"/>
    <n v="121.60000000000001"/>
    <n v="0.5860240963855422"/>
    <n v="0.7"/>
  </r>
  <r>
    <s v="осень"/>
    <s v="Основы автоматизации технологических процессов"/>
    <s v="ПЗ"/>
    <s v="Т11О-304Б-21"/>
    <n v="8"/>
    <s v="17358"/>
    <n v="8"/>
    <s v="81729"/>
    <x v="15"/>
    <m/>
    <s v="Нет"/>
    <m/>
    <m/>
    <n v="276"/>
    <n v="323"/>
    <n v="599"/>
    <n v="0.7216867469879518"/>
    <n v="119.80000000000001"/>
    <n v="0.5773493975903614"/>
    <n v="0.55"/>
  </r>
  <r>
    <s v="осень"/>
    <s v="Основы автоматизации технологических процессов"/>
    <s v="ПЗ"/>
    <s v="Т11О-305Б-21"/>
    <n v="8"/>
    <s v="17358"/>
    <n v="8"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автоматизации технологических процессов"/>
    <s v="ЛР"/>
    <s v="Т11О-301Б-21"/>
    <n v="24"/>
    <s v="17358"/>
    <n v="24"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автоматизации технологических процессов"/>
    <s v="ЛР"/>
    <s v="Т11О-303Б-21"/>
    <n v="48"/>
    <s v="17358"/>
    <n v="24"/>
    <s v="81722"/>
    <x v="11"/>
    <m/>
    <s v="Нет"/>
    <m/>
    <m/>
    <n v="298"/>
    <n v="310"/>
    <n v="608"/>
    <n v="0.7325301204819277"/>
    <n v="121.60000000000001"/>
    <n v="0.5860240963855422"/>
    <n v="0.7"/>
  </r>
  <r>
    <s v="осень"/>
    <s v="Основы автоматизации технологических процессов"/>
    <s v="ЛР"/>
    <s v="Т11О-304Б-21"/>
    <n v="24"/>
    <s v="17358"/>
    <n v="24"/>
    <s v="81729"/>
    <x v="15"/>
    <m/>
    <s v="Нет"/>
    <m/>
    <m/>
    <n v="276"/>
    <n v="323"/>
    <n v="599"/>
    <n v="0.7216867469879518"/>
    <n v="119.80000000000001"/>
    <n v="0.5773493975903614"/>
    <n v="0.55"/>
  </r>
  <r>
    <s v="осень"/>
    <s v="Основы автоматизации технологических процессов"/>
    <s v="ЛР"/>
    <s v="Т11О-305Б-21"/>
    <n v="48"/>
    <s v="17358"/>
    <n v="24"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автоматизации технологических процессов"/>
    <s v="Экзамен"/>
    <s v="Т11О-304Б-21"/>
    <n v="7"/>
    <s v="17358"/>
    <m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автоматизации технологических процессов"/>
    <s v="Консультация"/>
    <s v="Т11О-301Б-21"/>
    <n v="1"/>
    <s v="17358"/>
    <m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автоматизации технологических процессов"/>
    <s v="Консультация"/>
    <s v="Т11О-303Б-21"/>
    <n v="1"/>
    <s v="17358"/>
    <m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автоматизации технологических процессов"/>
    <s v="Консультация"/>
    <s v="Т11О-304Б-21"/>
    <n v="3"/>
    <s v="17358"/>
    <m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автоматизации технологических процессов"/>
    <s v="Консультация"/>
    <s v="Т11О-305Б-21"/>
    <n v="1"/>
    <s v="17358"/>
    <m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Основы математического и имитационного моделирования"/>
    <s v="ЛК"/>
    <s v="Т11О-302Б-21"/>
    <n v="16"/>
    <s v="14861"/>
    <n v="16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Основы математического и имитационного моделирования"/>
    <s v="ПЗ"/>
    <s v="Т11О-302Б-21"/>
    <n v="24"/>
    <s v="14861"/>
    <n v="24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Основы математического и имитационного моделирования"/>
    <s v="Зачет"/>
    <s v="Т11О-302Б-21"/>
    <n v="4"/>
    <s v="1486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Основы математического и имитационного моделирования"/>
    <s v="Консультация"/>
    <s v="Т11О-302Б-21"/>
    <n v="1"/>
    <s v="1486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Диагностика и надежность автоматизированных систем"/>
    <s v="ЛК"/>
    <s v="Т11О-302Б-21"/>
    <n v="12"/>
    <s v="14861"/>
    <n v="12"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Диагностика и надежность автоматизированных систем"/>
    <s v="ПЗ"/>
    <s v="Т11О-302Б-21"/>
    <n v="14"/>
    <s v="14861"/>
    <n v="14"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Диагностика и надежность автоматизированных систем"/>
    <s v="ЛР"/>
    <s v="Т11О-302Б-21"/>
    <n v="16"/>
    <s v="14861"/>
    <n v="8"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Диагностика и надежность автоматизированных систем"/>
    <s v="Зачет"/>
    <s v="Т11О-302Б-21"/>
    <n v="4"/>
    <s v="14861"/>
    <m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Диагностика и надежность автоматизированных систем"/>
    <s v="Консультация"/>
    <s v="Т11О-302Б-21"/>
    <n v="1"/>
    <s v="14861"/>
    <m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CALS-технологии в производстве продукции"/>
    <s v="ЛК"/>
    <s v="Т11О-403Б-20"/>
    <n v="24"/>
    <s v="13288"/>
    <n v="24"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CALS-технологии в производстве продукции"/>
    <s v="ПЗ"/>
    <s v="Т11О-403Б-20"/>
    <n v="40"/>
    <s v="13288"/>
    <n v="40"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CALS-технологии в производстве продукции"/>
    <s v="Экзамен"/>
    <s v="Т11О-403Б-20"/>
    <n v="6"/>
    <s v="13288"/>
    <m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CALS-технологии в производстве продукции"/>
    <s v="Консультация"/>
    <s v="Т11О-403Б-20"/>
    <n v="3"/>
    <s v="13288"/>
    <m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Теория и технология композиционных материалов"/>
    <s v="ЛК"/>
    <s v="Т11О-101М-23"/>
    <n v="24"/>
    <s v="18008"/>
    <n v="24"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Теория и технология композиционных материалов"/>
    <s v="Зачет с оценкой"/>
    <s v="Т11О-101М-23"/>
    <n v="4"/>
    <s v="18008"/>
    <m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Теория и технология композиционных материалов"/>
    <s v="ПЗ"/>
    <s v="Т11О-101М-23"/>
    <n v="48"/>
    <s v="18008"/>
    <n v="48"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Теория и технология композиционных материалов"/>
    <s v="Консультация"/>
    <s v="Т11О-101М-23"/>
    <n v="1"/>
    <s v="18008"/>
    <m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Технология прокатно-прессового производства"/>
    <s v="ЛК"/>
    <s v="Т11О-401Б-20"/>
    <n v="40"/>
    <s v="11924"/>
    <n v="40"/>
    <s v="81722"/>
    <x v="11"/>
    <m/>
    <s v="Нет"/>
    <m/>
    <m/>
    <n v="298"/>
    <n v="310"/>
    <n v="608"/>
    <n v="0.7325301204819277"/>
    <n v="121.60000000000001"/>
    <n v="0.5860240963855422"/>
    <n v="0.7"/>
  </r>
  <r>
    <s v="осень"/>
    <s v="Технология прокатно-прессового производства"/>
    <s v="ПЗ"/>
    <s v="Т11О-401Б-20"/>
    <n v="68"/>
    <s v="11924"/>
    <n v="68"/>
    <s v="81722"/>
    <x v="11"/>
    <m/>
    <s v="Нет"/>
    <m/>
    <m/>
    <n v="298"/>
    <n v="310"/>
    <n v="608"/>
    <n v="0.7325301204819277"/>
    <n v="121.60000000000001"/>
    <n v="0.5860240963855422"/>
    <n v="0.7"/>
  </r>
  <r>
    <s v="осень"/>
    <s v="Технология прокатно-прессового производства"/>
    <s v="Экзамен"/>
    <s v="Т11О-401Б-20"/>
    <n v="6"/>
    <s v="11924"/>
    <m/>
    <s v="81722"/>
    <x v="11"/>
    <m/>
    <s v="Нет"/>
    <m/>
    <m/>
    <n v="298"/>
    <n v="310"/>
    <n v="608"/>
    <n v="0.7325301204819277"/>
    <n v="121.60000000000001"/>
    <n v="0.5860240963855422"/>
    <n v="0.7"/>
  </r>
  <r>
    <s v="осень"/>
    <s v="Технология прокатно-прессового производства"/>
    <s v="Консультация"/>
    <s v="Т11О-401Б-20"/>
    <n v="4"/>
    <s v="11924"/>
    <m/>
    <s v="81722"/>
    <x v="11"/>
    <m/>
    <s v="Нет"/>
    <m/>
    <m/>
    <n v="298"/>
    <n v="310"/>
    <n v="608"/>
    <n v="0.7325301204819277"/>
    <n v="121.60000000000001"/>
    <n v="0.5860240963855422"/>
    <n v="0.7"/>
  </r>
  <r>
    <s v="осень"/>
    <s v="Методы прогнозирования в управлении жизненным циклом продукции"/>
    <s v="ЛК"/>
    <s v="Т11О-302Б-21"/>
    <n v="28"/>
    <s v="14861"/>
    <n v="28"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Методы прогнозирования в управлении жизненным циклом продукции"/>
    <s v="КР"/>
    <s v="Т11О-302Б-21"/>
    <n v="36"/>
    <s v="14861"/>
    <m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Методы прогнозирования в управлении жизненным циклом продукции"/>
    <s v="Зачет с оценкой"/>
    <s v="Т11О-302Б-21"/>
    <n v="5"/>
    <s v="14861"/>
    <m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Методы прогнозирования в управлении жизненным циклом продукции"/>
    <s v="ПЗ"/>
    <s v="Т11О-302Б-21"/>
    <n v="40"/>
    <s v="14861"/>
    <n v="40"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Методы прогнозирования в управлении жизненным циклом продукции"/>
    <s v="Консультация"/>
    <s v="Т11О-302Б-21"/>
    <n v="1"/>
    <s v="14861"/>
    <m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Программирование и алгоритмизация"/>
    <s v="ЛК"/>
    <s v="Т11О-206Б-22"/>
    <n v="12"/>
    <s v="16776"/>
    <n v="12"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Программирование и алгоритмизация"/>
    <s v="Зачет с оценкой"/>
    <s v="Т11О-206Б-22"/>
    <n v="5"/>
    <s v="16776"/>
    <m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Программирование и алгоритмизация"/>
    <s v="ПЗ"/>
    <s v="Т11О-206Б-22"/>
    <n v="24"/>
    <s v="16776"/>
    <n v="24"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Программирование и алгоритмизация"/>
    <s v="Консультация"/>
    <s v="Т11О-206Б-22"/>
    <n v="1"/>
    <s v="16776"/>
    <m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Средства автоматизации и управления"/>
    <s v="ЛК"/>
    <s v="Т11О-403Б-20"/>
    <n v="16"/>
    <s v="13288"/>
    <n v="16"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Средства автоматизации и управления"/>
    <s v="ПЗ"/>
    <s v="Т11О-403Б-20"/>
    <n v="16"/>
    <s v="13288"/>
    <n v="16"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Средства автоматизации и управления"/>
    <s v="ЛР"/>
    <s v="Т11О-403Б-20"/>
    <n v="8"/>
    <s v="13288"/>
    <n v="8"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Средства автоматизации и управления"/>
    <s v="Зачет"/>
    <s v="Т11О-403Б-20"/>
    <n v="2"/>
    <s v="13288"/>
    <m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Средства автоматизации и управления"/>
    <s v="Консультация"/>
    <s v="Т11О-403Б-20"/>
    <n v="1"/>
    <s v="13288"/>
    <m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Технологические процессы автоматизированных производств"/>
    <s v="ЛК"/>
    <s v="Т11О-403Б-20"/>
    <n v="16"/>
    <s v="13288"/>
    <n v="16"/>
    <s v="81721"/>
    <x v="6"/>
    <m/>
    <s v="Нет"/>
    <m/>
    <m/>
    <n v="233"/>
    <n v="200"/>
    <n v="433"/>
    <n v="0.5216867469879518"/>
    <n v="86.60000000000001"/>
    <n v="0.4173493975903615"/>
    <n v="0.5"/>
  </r>
  <r>
    <s v="осень"/>
    <s v="Технологические процессы автоматизированных производств"/>
    <s v="Зачет с оценкой"/>
    <s v="Т11О-403Б-20"/>
    <n v="4"/>
    <s v="13288"/>
    <m/>
    <s v="81721"/>
    <x v="6"/>
    <m/>
    <s v="Нет"/>
    <m/>
    <m/>
    <n v="233"/>
    <n v="200"/>
    <n v="433"/>
    <n v="0.5216867469879518"/>
    <n v="86.60000000000001"/>
    <n v="0.4173493975903615"/>
    <n v="0.5"/>
  </r>
  <r>
    <s v="осень"/>
    <s v="Технологические процессы автоматизированных производств"/>
    <s v="ПЗ"/>
    <s v="Т11О-403Б-20"/>
    <n v="32"/>
    <s v="13288"/>
    <n v="32"/>
    <s v="81721"/>
    <x v="6"/>
    <m/>
    <s v="Нет"/>
    <m/>
    <m/>
    <n v="233"/>
    <n v="200"/>
    <n v="433"/>
    <n v="0.5216867469879518"/>
    <n v="86.60000000000001"/>
    <n v="0.4173493975903615"/>
    <n v="0.5"/>
  </r>
  <r>
    <s v="осень"/>
    <s v="Технологические процессы автоматизированных производств"/>
    <s v="ЛР"/>
    <s v="Т11О-403Б-20"/>
    <n v="8"/>
    <s v="13288"/>
    <n v="8"/>
    <s v="81721"/>
    <x v="6"/>
    <m/>
    <s v="Нет"/>
    <m/>
    <m/>
    <n v="233"/>
    <n v="200"/>
    <n v="433"/>
    <n v="0.5216867469879518"/>
    <n v="86.60000000000001"/>
    <n v="0.4173493975903615"/>
    <n v="0.5"/>
  </r>
  <r>
    <s v="осень"/>
    <s v="Технологические процессы автоматизированных производств"/>
    <s v="Консультация"/>
    <s v="Т11О-403Б-20"/>
    <n v="1"/>
    <s v="13288"/>
    <m/>
    <s v="81721"/>
    <x v="6"/>
    <m/>
    <s v="Нет"/>
    <m/>
    <m/>
    <n v="233"/>
    <n v="200"/>
    <n v="433"/>
    <n v="0.5216867469879518"/>
    <n v="86.60000000000001"/>
    <n v="0.4173493975903615"/>
    <n v="0.5"/>
  </r>
  <r>
    <s v="осень"/>
    <s v="Основы технологии и организации получения продукции методами КШП"/>
    <s v="ЛК"/>
    <s v="Т11О-403Б-20"/>
    <n v="24"/>
    <s v="13288"/>
    <n v="24"/>
    <s v="81729"/>
    <x v="15"/>
    <m/>
    <s v="Нет"/>
    <m/>
    <m/>
    <n v="276"/>
    <n v="323"/>
    <n v="599"/>
    <n v="0.7216867469879518"/>
    <n v="119.80000000000001"/>
    <n v="0.5773493975903614"/>
    <n v="0.55"/>
  </r>
  <r>
    <s v="осень"/>
    <s v="Основы технологии и организации получения продукции методами КШП"/>
    <s v="Зачет с оценкой"/>
    <s v="Т11О-403Б-20"/>
    <n v="4"/>
    <s v="13288"/>
    <m/>
    <s v="81729"/>
    <x v="15"/>
    <m/>
    <s v="Нет"/>
    <m/>
    <m/>
    <n v="276"/>
    <n v="323"/>
    <n v="599"/>
    <n v="0.7216867469879518"/>
    <n v="119.80000000000001"/>
    <n v="0.5773493975903614"/>
    <n v="0.55"/>
  </r>
  <r>
    <s v="осень"/>
    <s v="Основы технологии и организации получения продукции методами КШП"/>
    <s v="ПЗ"/>
    <s v="Т11О-403Б-20"/>
    <n v="40"/>
    <s v="13288"/>
    <n v="40"/>
    <s v="81729"/>
    <x v="15"/>
    <m/>
    <s v="Нет"/>
    <m/>
    <m/>
    <n v="276"/>
    <n v="323"/>
    <n v="599"/>
    <n v="0.7216867469879518"/>
    <n v="119.80000000000001"/>
    <n v="0.5773493975903614"/>
    <n v="0.55"/>
  </r>
  <r>
    <s v="осень"/>
    <s v="Основы технологии и организации получения продукции методами КШП"/>
    <s v="Консультация"/>
    <s v="Т11О-403Б-20"/>
    <n v="1"/>
    <s v="13288"/>
    <m/>
    <s v="81729"/>
    <x v="15"/>
    <m/>
    <s v="Нет"/>
    <m/>
    <m/>
    <n v="276"/>
    <n v="323"/>
    <n v="599"/>
    <n v="0.7216867469879518"/>
    <n v="119.80000000000001"/>
    <n v="0.5773493975903614"/>
    <n v="0.55"/>
  </r>
  <r>
    <s v="осень"/>
    <s v="Методы управления информационными и материальными потоками"/>
    <s v="ЛК"/>
    <s v="Т11О-403Б-20"/>
    <n v="32"/>
    <s v="13288"/>
    <n v="32"/>
    <s v="81716"/>
    <x v="19"/>
    <m/>
    <s v="Нет"/>
    <m/>
    <m/>
    <n v="242"/>
    <n v="0"/>
    <n v="242"/>
    <n v="0.29156626506024097"/>
    <n v="48.400000000000006"/>
    <n v="0.2332530120481928"/>
    <n v="0.2"/>
  </r>
  <r>
    <s v="осень"/>
    <s v="Методы управления информационными и материальными потоками"/>
    <s v="ПЗ"/>
    <s v="Т11О-403Б-20"/>
    <n v="32"/>
    <s v="13288"/>
    <n v="32"/>
    <s v="81716"/>
    <x v="19"/>
    <m/>
    <s v="Нет"/>
    <m/>
    <m/>
    <n v="242"/>
    <n v="0"/>
    <n v="242"/>
    <n v="0.29156626506024097"/>
    <n v="48.400000000000006"/>
    <n v="0.2332530120481928"/>
    <n v="0.2"/>
  </r>
  <r>
    <s v="осень"/>
    <s v="Методы управления информационными и материальными потоками"/>
    <s v="Экзамен"/>
    <s v="Т11О-403Б-20"/>
    <n v="6"/>
    <s v="13288"/>
    <m/>
    <s v="81716"/>
    <x v="19"/>
    <m/>
    <s v="Нет"/>
    <m/>
    <m/>
    <n v="242"/>
    <n v="0"/>
    <n v="242"/>
    <n v="0.29156626506024097"/>
    <n v="48.400000000000006"/>
    <n v="0.2332530120481928"/>
    <n v="0.2"/>
  </r>
  <r>
    <s v="осень"/>
    <s v="Методы управления информационными и материальными потоками"/>
    <s v="Консультация"/>
    <s v="Т11О-403Б-20"/>
    <n v="3"/>
    <s v="13288"/>
    <m/>
    <s v="81716"/>
    <x v="19"/>
    <m/>
    <s v="Нет"/>
    <m/>
    <m/>
    <n v="242"/>
    <n v="0"/>
    <n v="242"/>
    <n v="0.29156626506024097"/>
    <n v="48.400000000000006"/>
    <n v="0.2332530120481928"/>
    <n v="0.2"/>
  </r>
  <r>
    <s v="осень"/>
    <s v="Основы функционального моделирования"/>
    <s v="ЛК"/>
    <s v="Т11О-206Б-22"/>
    <n v="12"/>
    <s v="16776"/>
    <n v="12"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Основы функционального моделирования"/>
    <s v="ПЗ"/>
    <s v="Т11О-206Б-22"/>
    <n v="24"/>
    <s v="16776"/>
    <n v="24"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Основы функционального моделирования"/>
    <s v="Зачет"/>
    <s v="Т11О-206Б-22"/>
    <n v="4"/>
    <s v="16776"/>
    <m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Основы функционального моделирования"/>
    <s v="Консультация"/>
    <s v="Т11О-206Б-22"/>
    <n v="1"/>
    <s v="16776"/>
    <m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TPS-технологии"/>
    <s v="ЛК"/>
    <s v="Т11О-403Б-20"/>
    <n v="24"/>
    <s v="13288"/>
    <n v="24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TPS-технологии"/>
    <s v="ПЗ"/>
    <s v="Т11О-403Б-20"/>
    <n v="40"/>
    <s v="13288"/>
    <n v="40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TPS-технологии"/>
    <s v="ЛР"/>
    <s v="Т11О-403Б-20"/>
    <n v="8"/>
    <s v="13288"/>
    <n v="8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TPS-технологии"/>
    <s v="Экзамен"/>
    <s v="Т11О-403Б-20"/>
    <n v="6"/>
    <s v="13288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TPS-технологии"/>
    <s v="Консультация"/>
    <s v="Т11О-403Б-20"/>
    <n v="3"/>
    <s v="13288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Применение вычислительной техники в инженерной деятельности"/>
    <s v="ЛК"/>
    <s v="Т11О-401Б-20"/>
    <n v="18"/>
    <s v="11924"/>
    <n v="18"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Применение вычислительной техники в инженерной деятельности"/>
    <s v="ЛР"/>
    <s v="Т11О-401Б-20"/>
    <n v="32"/>
    <s v="11924"/>
    <n v="32"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Применение вычислительной техники в инженерной деятельности"/>
    <s v="Зачет"/>
    <s v="Т11О-401Б-20"/>
    <n v="2"/>
    <s v="11924"/>
    <m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Применение вычислительной техники в инженерной деятельности"/>
    <s v="Консультация"/>
    <s v="Т11О-401Б-20"/>
    <n v="1"/>
    <s v="11924"/>
    <m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Технология кузнечно-штамповочного производства"/>
    <s v="ЛК"/>
    <s v="Т11О-401Б-20"/>
    <n v="20"/>
    <s v="11924"/>
    <n v="20"/>
    <s v="81729"/>
    <x v="15"/>
    <m/>
    <s v="Нет"/>
    <m/>
    <m/>
    <n v="276"/>
    <n v="323"/>
    <n v="599"/>
    <n v="0.7216867469879518"/>
    <n v="119.80000000000001"/>
    <n v="0.5773493975903614"/>
    <n v="0.55"/>
  </r>
  <r>
    <s v="осень"/>
    <s v="Технология кузнечно-штамповочного производства"/>
    <s v="ПЗ"/>
    <s v="Т11О-401Б-20"/>
    <n v="30"/>
    <s v="11924"/>
    <n v="30"/>
    <s v="81729"/>
    <x v="15"/>
    <m/>
    <s v="Нет"/>
    <m/>
    <m/>
    <n v="276"/>
    <n v="323"/>
    <n v="599"/>
    <n v="0.7216867469879518"/>
    <n v="119.80000000000001"/>
    <n v="0.5773493975903614"/>
    <n v="0.55"/>
  </r>
  <r>
    <s v="осень"/>
    <s v="Технология кузнечно-штамповочного производства"/>
    <s v="Зачет"/>
    <s v="Т11О-401Б-20"/>
    <n v="2"/>
    <s v="11924"/>
    <m/>
    <s v="81729"/>
    <x v="15"/>
    <m/>
    <s v="Нет"/>
    <m/>
    <m/>
    <n v="276"/>
    <n v="323"/>
    <n v="599"/>
    <n v="0.7216867469879518"/>
    <n v="119.80000000000001"/>
    <n v="0.5773493975903614"/>
    <n v="0.55"/>
  </r>
  <r>
    <s v="осень"/>
    <s v="Технология кузнечно-штамповочного производства"/>
    <s v="Консультация"/>
    <s v="Т11О-401Б-20"/>
    <n v="1"/>
    <s v="11924"/>
    <m/>
    <s v="81729"/>
    <x v="15"/>
    <m/>
    <s v="Нет"/>
    <m/>
    <m/>
    <n v="276"/>
    <n v="323"/>
    <n v="599"/>
    <n v="0.7216867469879518"/>
    <n v="119.80000000000001"/>
    <n v="0.5773493975903614"/>
    <n v="0.55"/>
  </r>
  <r>
    <s v="осень"/>
    <s v="Технологии конструкционных материалов"/>
    <s v="ЛК"/>
    <s v="Т11О-201Б-22, Т11О-202Б-22, Т11О-203Б-22"/>
    <n v="18"/>
    <s v="16107"/>
    <n v="18"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Технологии конструкционных материалов"/>
    <s v="ПЗ"/>
    <s v="Т11О-201Б-22"/>
    <n v="18"/>
    <s v="16107"/>
    <n v="18"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Технологии конструкционных материалов"/>
    <s v="ПЗ"/>
    <s v="Т11О-203Б-22"/>
    <n v="18"/>
    <s v="16107"/>
    <n v="18"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Технологии конструкционных материалов"/>
    <s v="ПЗ"/>
    <s v="Т11О-202Б-22"/>
    <n v="18"/>
    <s v="16107"/>
    <n v="18"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Технологии конструкционных материалов"/>
    <s v="Зачет"/>
    <s v="Т11О-201Б-22"/>
    <n v="2"/>
    <s v="16107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Технологии конструкционных материалов"/>
    <s v="Зачет"/>
    <s v="Т11О-201Б-22"/>
    <n v="1"/>
    <s v="16107"/>
    <m/>
    <m/>
    <x v="5"/>
    <m/>
    <s v="Нет"/>
    <m/>
    <m/>
    <n v="14.5"/>
    <n v="78"/>
    <n v="92.5"/>
    <n v="0.11144578313253012"/>
    <n v="18.5"/>
    <n v="0.0891566265060241"/>
    <n v="0"/>
  </r>
  <r>
    <s v="осень"/>
    <s v="Технологии конструкционных материалов"/>
    <s v="Зачет"/>
    <s v="Т11О-203Б-22"/>
    <n v="3"/>
    <s v="16107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Технологии конструкционных материалов"/>
    <s v="Зачет"/>
    <s v="Т11О-203Б-22"/>
    <n v="1"/>
    <s v="16107"/>
    <m/>
    <m/>
    <x v="5"/>
    <m/>
    <s v="Нет"/>
    <m/>
    <m/>
    <n v="14.5"/>
    <n v="78"/>
    <n v="92.5"/>
    <n v="0.11144578313253012"/>
    <n v="18.5"/>
    <n v="0.0891566265060241"/>
    <n v="0"/>
  </r>
  <r>
    <s v="осень"/>
    <s v="Технологии конструкционных материалов"/>
    <s v="Зачет"/>
    <s v="Т11О-202Б-22"/>
    <n v="3"/>
    <s v="16107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Технологии конструкционных материалов"/>
    <s v="Зачет"/>
    <s v="Т11О-202Б-22"/>
    <n v="1"/>
    <s v="16107"/>
    <m/>
    <m/>
    <x v="5"/>
    <m/>
    <s v="Нет"/>
    <m/>
    <m/>
    <n v="14.5"/>
    <n v="78"/>
    <n v="92.5"/>
    <n v="0.11144578313253012"/>
    <n v="18.5"/>
    <n v="0.0891566265060241"/>
    <n v="0"/>
  </r>
  <r>
    <s v="осень"/>
    <s v="Технологии конструкционных материалов"/>
    <s v="Консультация"/>
    <s v="Т11О-201Б-22"/>
    <n v="1"/>
    <s v="16107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Технологии конструкционных материалов"/>
    <s v="Консультация"/>
    <s v="Т11О-203Б-22"/>
    <n v="1"/>
    <s v="16107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Технологии конструкционных материалов"/>
    <s v="Консультация"/>
    <s v="Т11О-202Б-22"/>
    <n v="1"/>
    <s v="16107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Производство отливок из легких сплавов"/>
    <s v="ЛК"/>
    <s v="Т11О-202М-22"/>
    <n v="20"/>
    <s v="16103"/>
    <n v="20"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Производство отливок из легких сплавов"/>
    <s v="КР"/>
    <s v="Т11О-202М-22"/>
    <n v="14"/>
    <s v="16103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Производство отливок из легких сплавов"/>
    <s v="Зачет с оценкой"/>
    <s v="Т11О-202М-22"/>
    <n v="2"/>
    <s v="16103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Производство отливок из легких сплавов"/>
    <s v="ПЗ"/>
    <s v="Т11О-202М-22"/>
    <n v="12"/>
    <s v="16103"/>
    <n v="12"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Производство отливок из легких сплавов"/>
    <s v="ЛР"/>
    <s v="Т11О-202М-22"/>
    <n v="24"/>
    <s v="16103"/>
    <n v="24"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Производство отливок из легких сплавов"/>
    <s v="Консультация"/>
    <s v="Т11О-202М-22"/>
    <n v="1"/>
    <s v="16103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САПР технологических процессов в литейном производстве"/>
    <s v="ЛК"/>
    <s v="Т11О-202М-22"/>
    <n v="14"/>
    <s v="16103"/>
    <n v="14"/>
    <s v="82061"/>
    <x v="0"/>
    <m/>
    <s v="Да"/>
    <m/>
    <m/>
    <n v="105"/>
    <n v="102"/>
    <n v="207"/>
    <n v="0.2493975903614458"/>
    <n v="41.400000000000006"/>
    <n v="0.19951807228915663"/>
    <n v="0.2"/>
  </r>
  <r>
    <s v="осень"/>
    <s v="САПР технологических процессов в литейном производстве"/>
    <s v="КР"/>
    <s v="Т11О-202М-22"/>
    <n v="14"/>
    <s v="16103"/>
    <m/>
    <s v="82061"/>
    <x v="6"/>
    <m/>
    <s v="Да"/>
    <m/>
    <m/>
    <n v="233"/>
    <n v="200"/>
    <n v="433"/>
    <n v="0.5216867469879518"/>
    <n v="86.60000000000001"/>
    <n v="0.4173493975903615"/>
    <n v="0.5"/>
  </r>
  <r>
    <s v="осень"/>
    <s v="САПР технологических процессов в литейном производстве"/>
    <s v="ПЗ"/>
    <s v="Т11О-202М-22"/>
    <n v="40"/>
    <s v="16103"/>
    <n v="40"/>
    <s v="82061"/>
    <x v="0"/>
    <m/>
    <s v="Да"/>
    <m/>
    <m/>
    <n v="105"/>
    <n v="102"/>
    <n v="207"/>
    <n v="0.2493975903614458"/>
    <n v="41.400000000000006"/>
    <n v="0.19951807228915663"/>
    <n v="0.2"/>
  </r>
  <r>
    <s v="осень"/>
    <s v="САПР технологических процессов в литейном производстве"/>
    <s v="Экзамен"/>
    <s v="Т11О-202М-22"/>
    <n v="4"/>
    <s v="16103"/>
    <m/>
    <s v="82061"/>
    <x v="0"/>
    <m/>
    <s v="Да"/>
    <m/>
    <m/>
    <n v="105"/>
    <n v="102"/>
    <n v="207"/>
    <n v="0.2493975903614458"/>
    <n v="41.400000000000006"/>
    <n v="0.19951807228915663"/>
    <n v="0.2"/>
  </r>
  <r>
    <s v="осень"/>
    <s v="САПР технологических процессов в литейном производстве"/>
    <s v="Консультация"/>
    <s v="Т11О-202М-22"/>
    <n v="2"/>
    <s v="16103"/>
    <m/>
    <s v="82061"/>
    <x v="0"/>
    <m/>
    <s v="Да"/>
    <m/>
    <m/>
    <n v="105"/>
    <n v="102"/>
    <n v="207"/>
    <n v="0.2493975903614458"/>
    <n v="41.400000000000006"/>
    <n v="0.19951807228915663"/>
    <n v="0.2"/>
  </r>
  <r>
    <s v="осень"/>
    <s v="Специальные методы литья"/>
    <s v="ЛК"/>
    <s v="Т11О-101М-23"/>
    <n v="24"/>
    <s v="18008"/>
    <n v="24"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Специальные методы литья"/>
    <s v="КР"/>
    <s v="Т11О-101М-23"/>
    <n v="26"/>
    <s v="18008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Специальные методы литья"/>
    <s v="ПЗ"/>
    <s v="Т11О-101М-23"/>
    <n v="26"/>
    <s v="18008"/>
    <n v="26"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Специальные методы литья"/>
    <s v="ЛР"/>
    <s v="Т11О-101М-23"/>
    <n v="16"/>
    <s v="18008"/>
    <n v="16"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Специальные методы литья"/>
    <s v="Экзамен"/>
    <s v="Т11О-101М-23"/>
    <n v="7"/>
    <s v="18008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Специальные методы литья"/>
    <s v="Консультация"/>
    <s v="Т11О-101М-23"/>
    <n v="3"/>
    <s v="18008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Твердофазные методы получения композиционных материалов"/>
    <s v="ЛК"/>
    <s v="Т11О-402Б-20"/>
    <n v="24"/>
    <s v="11923"/>
    <n v="24"/>
    <s v="82090"/>
    <x v="10"/>
    <m/>
    <s v="Да"/>
    <m/>
    <m/>
    <n v="161"/>
    <n v="92"/>
    <n v="253"/>
    <n v="0.30481927710843376"/>
    <n v="50.6"/>
    <n v="0.243855421686747"/>
    <n v="0.25"/>
  </r>
  <r>
    <s v="осень"/>
    <s v="Твердофазные методы получения композиционных материалов"/>
    <s v="Зачет с оценкой"/>
    <s v="Т11О-402Б-20"/>
    <n v="3"/>
    <s v="11923"/>
    <m/>
    <s v="82090"/>
    <x v="10"/>
    <m/>
    <s v="Да"/>
    <m/>
    <m/>
    <n v="161"/>
    <n v="92"/>
    <n v="253"/>
    <n v="0.30481927710843376"/>
    <n v="50.6"/>
    <n v="0.243855421686747"/>
    <n v="0.25"/>
  </r>
  <r>
    <s v="осень"/>
    <s v="Твердофазные методы получения композиционных материалов"/>
    <s v="ПЗ"/>
    <s v="Т11О-402Б-20"/>
    <n v="28"/>
    <s v="11923"/>
    <n v="28"/>
    <s v="82090"/>
    <x v="10"/>
    <m/>
    <s v="Да"/>
    <m/>
    <m/>
    <n v="161"/>
    <n v="92"/>
    <n v="253"/>
    <n v="0.30481927710843376"/>
    <n v="50.6"/>
    <n v="0.243855421686747"/>
    <n v="0.25"/>
  </r>
  <r>
    <s v="осень"/>
    <s v="Твердофазные методы получения композиционных материалов"/>
    <s v="ЛР"/>
    <s v="Т11О-402Б-20"/>
    <n v="8"/>
    <s v="11923"/>
    <n v="8"/>
    <s v="82090"/>
    <x v="10"/>
    <m/>
    <s v="Да"/>
    <m/>
    <m/>
    <n v="161"/>
    <n v="92"/>
    <n v="253"/>
    <n v="0.30481927710843376"/>
    <n v="50.6"/>
    <n v="0.243855421686747"/>
    <n v="0.25"/>
  </r>
  <r>
    <s v="осень"/>
    <s v="Твердофазные методы получения композиционных материалов"/>
    <s v="Консультация"/>
    <s v="Т11О-402Б-20"/>
    <n v="1"/>
    <s v="11923"/>
    <m/>
    <s v="82090"/>
    <x v="10"/>
    <m/>
    <s v="Да"/>
    <m/>
    <m/>
    <n v="161"/>
    <n v="92"/>
    <n v="253"/>
    <n v="0.30481927710843376"/>
    <n v="50.6"/>
    <n v="0.243855421686747"/>
    <n v="0.25"/>
  </r>
  <r>
    <s v="осень"/>
    <s v="Теория затвердевания отливки"/>
    <s v="ЛК"/>
    <s v="Т11О-402Б-20"/>
    <n v="24"/>
    <s v="11923"/>
    <n v="24"/>
    <s v="81891"/>
    <x v="7"/>
    <m/>
    <s v="Да"/>
    <m/>
    <m/>
    <n v="381"/>
    <n v="162"/>
    <n v="543"/>
    <n v="0.6542168674698795"/>
    <n v="108.60000000000001"/>
    <n v="0.5233734939759036"/>
    <n v="0.5"/>
  </r>
  <r>
    <s v="осень"/>
    <s v="Теория затвердевания отливки"/>
    <s v="Зачет с оценкой"/>
    <s v="Т11О-402Б-20"/>
    <n v="3"/>
    <s v="11923"/>
    <m/>
    <s v="81891"/>
    <x v="7"/>
    <m/>
    <s v="Да"/>
    <m/>
    <m/>
    <n v="381"/>
    <n v="162"/>
    <n v="543"/>
    <n v="0.6542168674698795"/>
    <n v="108.60000000000001"/>
    <n v="0.5233734939759036"/>
    <n v="0.5"/>
  </r>
  <r>
    <s v="осень"/>
    <s v="Теория затвердевания отливки"/>
    <s v="ПЗ"/>
    <s v="Т11О-402Б-20"/>
    <n v="12"/>
    <s v="11923"/>
    <n v="12"/>
    <s v="81891"/>
    <x v="7"/>
    <m/>
    <s v="Да"/>
    <m/>
    <m/>
    <n v="381"/>
    <n v="162"/>
    <n v="543"/>
    <n v="0.6542168674698795"/>
    <n v="108.60000000000001"/>
    <n v="0.5233734939759036"/>
    <n v="0.5"/>
  </r>
  <r>
    <s v="осень"/>
    <s v="Теория затвердевания отливки"/>
    <s v="ЛР"/>
    <s v="Т11О-402Б-20"/>
    <n v="24"/>
    <s v="11923"/>
    <n v="24"/>
    <s v="81891"/>
    <x v="7"/>
    <m/>
    <s v="Да"/>
    <m/>
    <m/>
    <n v="381"/>
    <n v="162"/>
    <n v="543"/>
    <n v="0.6542168674698795"/>
    <n v="108.60000000000001"/>
    <n v="0.5233734939759036"/>
    <n v="0.5"/>
  </r>
  <r>
    <s v="осень"/>
    <s v="Теория затвердевания отливки"/>
    <s v="Консультация"/>
    <s v="Т11О-402Б-20"/>
    <n v="1"/>
    <s v="11923"/>
    <m/>
    <s v="81891"/>
    <x v="7"/>
    <m/>
    <s v="Да"/>
    <m/>
    <m/>
    <n v="381"/>
    <n v="162"/>
    <n v="543"/>
    <n v="0.6542168674698795"/>
    <n v="108.60000000000001"/>
    <n v="0.5233734939759036"/>
    <n v="0.5"/>
  </r>
  <r>
    <s v="осень"/>
    <s v="Оборудование и автоматизация литейных цехов"/>
    <s v="ЛК"/>
    <s v="Т11О-402Б-20"/>
    <n v="28"/>
    <s v="11923"/>
    <n v="28"/>
    <s v="94221"/>
    <x v="2"/>
    <m/>
    <s v="Нет"/>
    <m/>
    <m/>
    <n v="111"/>
    <n v="265"/>
    <n v="376"/>
    <n v="0.4530120481927711"/>
    <n v="75.2"/>
    <n v="0.3624096385542169"/>
    <n v="0.45"/>
  </r>
  <r>
    <s v="осень"/>
    <s v="Оборудование и автоматизация литейных цехов"/>
    <s v="Зачет с оценкой"/>
    <s v="Т11О-402Б-20"/>
    <n v="3"/>
    <s v="11923"/>
    <m/>
    <s v="94221"/>
    <x v="2"/>
    <m/>
    <s v="Нет"/>
    <m/>
    <m/>
    <n v="111"/>
    <n v="265"/>
    <n v="376"/>
    <n v="0.4530120481927711"/>
    <n v="75.2"/>
    <n v="0.3624096385542169"/>
    <n v="0.45"/>
  </r>
  <r>
    <s v="осень"/>
    <s v="Оборудование и автоматизация литейных цехов"/>
    <s v="ПЗ"/>
    <s v="Т11О-402Б-20"/>
    <n v="32"/>
    <s v="11923"/>
    <n v="32"/>
    <s v="94221"/>
    <x v="2"/>
    <m/>
    <s v="Нет"/>
    <m/>
    <m/>
    <n v="111"/>
    <n v="265"/>
    <n v="376"/>
    <n v="0.4530120481927711"/>
    <n v="75.2"/>
    <n v="0.3624096385542169"/>
    <n v="0.45"/>
  </r>
  <r>
    <s v="осень"/>
    <s v="Оборудование и автоматизация литейных цехов"/>
    <s v="Консультация"/>
    <s v="Т11О-402Б-20"/>
    <n v="1"/>
    <s v="11923"/>
    <m/>
    <s v="94221"/>
    <x v="2"/>
    <m/>
    <s v="Нет"/>
    <m/>
    <m/>
    <n v="111"/>
    <n v="265"/>
    <n v="376"/>
    <n v="0.4530120481927711"/>
    <n v="75.2"/>
    <n v="0.3624096385542169"/>
    <n v="0.45"/>
  </r>
  <r>
    <s v="осень"/>
    <s v="Введение в искусственный интеллект в технологиях материалов, изделий и в системах принятия решений"/>
    <s v="ЛК"/>
    <s v="Т11О-308Б-21"/>
    <n v="30"/>
    <s v="14816"/>
    <n v="30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Введение в искусственный интеллект в технологиях материалов, изделий и в системах принятия решений"/>
    <s v="Зачет с оценкой"/>
    <s v="Т11О-308Б-21"/>
    <n v="4"/>
    <s v="14816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Введение в искусственный интеллект в технологиях материалов, изделий и в системах принятия решений"/>
    <s v="Зачет с оценкой"/>
    <s v="Т11О-308Б-21"/>
    <n v="1"/>
    <s v="14816"/>
    <m/>
    <m/>
    <x v="5"/>
    <m/>
    <s v="Нет"/>
    <m/>
    <m/>
    <n v="14.5"/>
    <n v="78"/>
    <n v="92.5"/>
    <n v="0.11144578313253012"/>
    <n v="18.5"/>
    <n v="0.0891566265060241"/>
    <n v="0"/>
  </r>
  <r>
    <s v="осень"/>
    <s v="Введение в искусственный интеллект в технологиях материалов, изделий и в системах принятия решений"/>
    <s v="ПЗ"/>
    <s v="Т11О-308Б-21"/>
    <n v="4"/>
    <s v="14816"/>
    <n v="8"/>
    <s v="82086"/>
    <x v="8"/>
    <m/>
    <s v="Нет"/>
    <m/>
    <m/>
    <n v="78"/>
    <n v="240.5"/>
    <n v="318.5"/>
    <n v="0.38373493975903616"/>
    <n v="63.7"/>
    <n v="0.30698795180722893"/>
    <n v="0.35"/>
  </r>
  <r>
    <s v="осень"/>
    <s v="Введение в искусственный интеллект в технологиях материалов, изделий и в системах принятия решений"/>
    <s v="ПЗ"/>
    <s v="Т11О-308Б-21"/>
    <n v="4"/>
    <s v="14816"/>
    <n v="8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Введение в искусственный интеллект в технологиях материалов, изделий и в системах принятия решений"/>
    <s v="ЛР"/>
    <s v="Т11О-308Б-21"/>
    <n v="4"/>
    <s v="14816"/>
    <n v="12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Введение в искусственный интеллект в технологиях материалов, изделий и в системах принятия решений"/>
    <s v="ЛР"/>
    <s v="Т11О-308Б-21"/>
    <n v="4"/>
    <s v="14816"/>
    <n v="12"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Введение в искусственный интеллект в технологиях материалов, изделий и в системах принятия решений"/>
    <s v="ЛР"/>
    <s v="Т11О-308Б-21"/>
    <n v="4"/>
    <s v="14816"/>
    <n v="12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Введение в искусственный интеллект в технологиях материалов, изделий и в системах принятия решений"/>
    <s v="Консультация"/>
    <s v="Т11О-308Б-21"/>
    <n v="2"/>
    <s v="14816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Спецглавы теории литейных процессов"/>
    <s v="ЛК"/>
    <s v="Т11О-202М-22"/>
    <n v="14"/>
    <s v="16103"/>
    <n v="14"/>
    <s v="81891"/>
    <x v="7"/>
    <m/>
    <s v="Да"/>
    <m/>
    <m/>
    <n v="381"/>
    <n v="162"/>
    <n v="543"/>
    <n v="0.6542168674698795"/>
    <n v="108.60000000000001"/>
    <n v="0.5233734939759036"/>
    <n v="0.5"/>
  </r>
  <r>
    <s v="осень"/>
    <s v="Спецглавы теории литейных процессов"/>
    <s v="Зачет с оценкой"/>
    <s v="Т11О-202М-22"/>
    <n v="2"/>
    <s v="16103"/>
    <m/>
    <s v="81891"/>
    <x v="7"/>
    <m/>
    <s v="Да"/>
    <m/>
    <m/>
    <n v="381"/>
    <n v="162"/>
    <n v="543"/>
    <n v="0.6542168674698795"/>
    <n v="108.60000000000001"/>
    <n v="0.5233734939759036"/>
    <n v="0.5"/>
  </r>
  <r>
    <s v="осень"/>
    <s v="Спецглавы теории литейных процессов"/>
    <s v="ПЗ"/>
    <s v="Т11О-202М-22"/>
    <n v="36"/>
    <s v="16103"/>
    <n v="36"/>
    <s v="81891"/>
    <x v="7"/>
    <m/>
    <s v="Да"/>
    <m/>
    <m/>
    <n v="381"/>
    <n v="162"/>
    <n v="543"/>
    <n v="0.6542168674698795"/>
    <n v="108.60000000000001"/>
    <n v="0.5233734939759036"/>
    <n v="0.5"/>
  </r>
  <r>
    <s v="осень"/>
    <s v="Спецглавы теории литейных процессов"/>
    <s v="Консультация"/>
    <s v="Т11О-202М-22"/>
    <n v="1"/>
    <s v="16103"/>
    <m/>
    <s v="81891"/>
    <x v="7"/>
    <m/>
    <s v="Да"/>
    <m/>
    <m/>
    <n v="381"/>
    <n v="162"/>
    <n v="543"/>
    <n v="0.6542168674698795"/>
    <n v="108.60000000000001"/>
    <n v="0.5233734939759036"/>
    <n v="0.5"/>
  </r>
  <r>
    <s v="осень"/>
    <s v="Технология листовой штамповки"/>
    <s v="КП"/>
    <s v="Т11О-401Б-20"/>
    <n v="33"/>
    <s v="11924"/>
    <m/>
    <s v="81716"/>
    <x v="19"/>
    <m/>
    <s v="Нет"/>
    <m/>
    <m/>
    <n v="242"/>
    <n v="0"/>
    <n v="242"/>
    <n v="0.29156626506024097"/>
    <n v="48.400000000000006"/>
    <n v="0.2332530120481928"/>
    <n v="0.2"/>
  </r>
  <r>
    <s v="осень"/>
    <s v="Технология листовой штамповки"/>
    <s v="ЛК"/>
    <s v="Т11О-401Б-20"/>
    <n v="46"/>
    <s v="11924"/>
    <n v="46"/>
    <s v="81716"/>
    <x v="19"/>
    <m/>
    <s v="Нет"/>
    <m/>
    <m/>
    <n v="242"/>
    <n v="0"/>
    <n v="242"/>
    <n v="0.29156626506024097"/>
    <n v="48.400000000000006"/>
    <n v="0.2332530120481928"/>
    <n v="0.2"/>
  </r>
  <r>
    <s v="осень"/>
    <s v="Технология листовой штамповки"/>
    <s v="ПЗ"/>
    <s v="Т11О-401Б-20"/>
    <n v="80"/>
    <s v="11924"/>
    <n v="80"/>
    <s v="81716"/>
    <x v="19"/>
    <m/>
    <s v="Нет"/>
    <m/>
    <m/>
    <n v="242"/>
    <n v="0"/>
    <n v="242"/>
    <n v="0.29156626506024097"/>
    <n v="48.400000000000006"/>
    <n v="0.2332530120481928"/>
    <n v="0.2"/>
  </r>
  <r>
    <s v="осень"/>
    <s v="Технология листовой штамповки"/>
    <s v="Экзамен"/>
    <s v="Т11О-401Б-20"/>
    <n v="6"/>
    <s v="11924"/>
    <m/>
    <s v="81716"/>
    <x v="19"/>
    <m/>
    <s v="Нет"/>
    <m/>
    <m/>
    <n v="242"/>
    <n v="0"/>
    <n v="242"/>
    <n v="0.29156626506024097"/>
    <n v="48.400000000000006"/>
    <n v="0.2332530120481928"/>
    <n v="0.2"/>
  </r>
  <r>
    <s v="осень"/>
    <s v="Технология листовой штамповки"/>
    <s v="Консультация"/>
    <s v="Т11О-401Б-20"/>
    <n v="4"/>
    <s v="11924"/>
    <m/>
    <s v="81716"/>
    <x v="19"/>
    <m/>
    <s v="Нет"/>
    <m/>
    <m/>
    <n v="242"/>
    <n v="0"/>
    <n v="242"/>
    <n v="0.29156626506024097"/>
    <n v="48.400000000000006"/>
    <n v="0.2332530120481928"/>
    <n v="0.2"/>
  </r>
  <r>
    <s v="осень"/>
    <s v="Нагревательные печи и устройства"/>
    <s v="ЛК"/>
    <s v="Т11О-401Б-20"/>
    <n v="18"/>
    <s v="11924"/>
    <n v="18"/>
    <s v="81729"/>
    <x v="15"/>
    <m/>
    <s v="Нет"/>
    <m/>
    <m/>
    <n v="276"/>
    <n v="323"/>
    <n v="599"/>
    <n v="0.7216867469879518"/>
    <n v="119.80000000000001"/>
    <n v="0.5773493975903614"/>
    <n v="0.55"/>
  </r>
  <r>
    <s v="осень"/>
    <s v="Нагревательные печи и устройства"/>
    <s v="ПЗ"/>
    <s v="Т11О-401Б-20"/>
    <n v="32"/>
    <s v="11924"/>
    <n v="32"/>
    <s v="94921"/>
    <x v="15"/>
    <m/>
    <s v="Нет"/>
    <m/>
    <m/>
    <n v="276"/>
    <n v="323"/>
    <n v="599"/>
    <n v="0.7216867469879518"/>
    <n v="119.80000000000001"/>
    <n v="0.5773493975903614"/>
    <n v="0.55"/>
  </r>
  <r>
    <s v="осень"/>
    <s v="Нагревательные печи и устройства"/>
    <s v="Зачет"/>
    <s v="Т11О-401Б-20"/>
    <n v="2"/>
    <s v="11924"/>
    <m/>
    <s v="81729"/>
    <x v="15"/>
    <m/>
    <s v="Нет"/>
    <m/>
    <m/>
    <n v="276"/>
    <n v="323"/>
    <n v="599"/>
    <n v="0.7216867469879518"/>
    <n v="119.80000000000001"/>
    <n v="0.5773493975903614"/>
    <n v="0.55"/>
  </r>
  <r>
    <s v="осень"/>
    <s v="Нагревательные печи и устройства"/>
    <s v="Консультация"/>
    <s v="Т11О-401Б-20"/>
    <n v="1"/>
    <s v="11924"/>
    <m/>
    <s v="81729"/>
    <x v="15"/>
    <m/>
    <s v="Нет"/>
    <m/>
    <m/>
    <n v="276"/>
    <n v="323"/>
    <n v="599"/>
    <n v="0.7216867469879518"/>
    <n v="119.80000000000001"/>
    <n v="0.5773493975903614"/>
    <n v="0.55"/>
  </r>
  <r>
    <s v="осень"/>
    <s v="Процессы порошковой металлургии - 2"/>
    <s v="ЛК"/>
    <s v="Т11О-402Б-20"/>
    <n v="44"/>
    <s v="11923"/>
    <n v="44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Процессы порошковой металлургии - 2"/>
    <s v="КР"/>
    <s v="Т11О-402Б-20"/>
    <n v="18"/>
    <s v="11923"/>
    <m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Процессы порошковой металлургии - 2"/>
    <s v="ПЗ"/>
    <s v="Т11О-402Б-20"/>
    <n v="30"/>
    <s v="11923"/>
    <n v="30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Процессы порошковой металлургии - 2"/>
    <s v="ЛР"/>
    <s v="Т11О-402Б-20"/>
    <n v="16"/>
    <s v="11923"/>
    <n v="16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Процессы порошковой металлургии - 2"/>
    <s v="Экзамен"/>
    <s v="Т11О-402Б-20"/>
    <n v="5"/>
    <s v="11923"/>
    <m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Процессы порошковой металлургии - 2"/>
    <s v="Консультация"/>
    <s v="Т11О-402Б-20"/>
    <n v="4"/>
    <s v="11923"/>
    <m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Теория, технология и оборудование нанесения покрытий"/>
    <s v="ЛК"/>
    <s v="Т11О-402Б-20"/>
    <n v="36"/>
    <s v="11923"/>
    <n v="36"/>
    <s v="95460"/>
    <x v="22"/>
    <m/>
    <s v="Нет"/>
    <m/>
    <m/>
    <n v="84"/>
    <n v="62"/>
    <n v="146"/>
    <n v="0.17590361445783131"/>
    <n v="29.200000000000003"/>
    <n v="0.14072289156626505"/>
    <n v="0.15"/>
  </r>
  <r>
    <s v="осень"/>
    <s v="Теория, технология и оборудование нанесения покрытий"/>
    <s v="Зачет с оценкой"/>
    <s v="Т11О-402Б-20"/>
    <n v="3"/>
    <s v="11923"/>
    <m/>
    <s v="95460"/>
    <x v="22"/>
    <m/>
    <s v="Нет"/>
    <m/>
    <m/>
    <n v="84"/>
    <n v="62"/>
    <n v="146"/>
    <n v="0.17590361445783131"/>
    <n v="29.200000000000003"/>
    <n v="0.14072289156626505"/>
    <n v="0.15"/>
  </r>
  <r>
    <s v="осень"/>
    <s v="Теория, технология и оборудование нанесения покрытий"/>
    <s v="ПЗ"/>
    <s v="Т11О-402Б-20"/>
    <n v="20"/>
    <s v="11923"/>
    <n v="20"/>
    <s v="95460"/>
    <x v="22"/>
    <m/>
    <s v="Нет"/>
    <m/>
    <m/>
    <n v="84"/>
    <n v="62"/>
    <n v="146"/>
    <n v="0.17590361445783131"/>
    <n v="29.200000000000003"/>
    <n v="0.14072289156626505"/>
    <n v="0.15"/>
  </r>
  <r>
    <s v="осень"/>
    <s v="Теория, технология и оборудование нанесения покрытий"/>
    <s v="ЛР"/>
    <s v="Т11О-402Б-20"/>
    <n v="16"/>
    <s v="11923"/>
    <n v="16"/>
    <s v="82060"/>
    <x v="23"/>
    <m/>
    <s v="Да"/>
    <m/>
    <m/>
    <n v="239"/>
    <n v="313"/>
    <n v="552"/>
    <n v="0.6650602409638554"/>
    <n v="110.4"/>
    <n v="0.5320481927710844"/>
    <n v="0.55"/>
  </r>
  <r>
    <s v="осень"/>
    <s v="Теория, технология и оборудование нанесения покрытий"/>
    <s v="Консультация"/>
    <s v="Т11О-402Б-20"/>
    <n v="2"/>
    <s v="11923"/>
    <m/>
    <s v="95460"/>
    <x v="22"/>
    <m/>
    <s v="Нет"/>
    <m/>
    <m/>
    <n v="84"/>
    <n v="62"/>
    <n v="146"/>
    <n v="0.17590361445783131"/>
    <n v="29.200000000000003"/>
    <n v="0.14072289156626505"/>
    <n v="0.15"/>
  </r>
  <r>
    <s v="осень"/>
    <s v="Сварка, родственные процессы и технологии"/>
    <s v="ЛК"/>
    <s v="Т11О-306А-21"/>
    <n v="68"/>
    <s v="15646"/>
    <n v="68"/>
    <s v="82056"/>
    <x v="4"/>
    <m/>
    <s v="Да"/>
    <m/>
    <s v="Федотов Александр Юрьевич"/>
    <n v="188"/>
    <n v="294"/>
    <n v="482"/>
    <n v="0.5807228915662651"/>
    <n v="96.4"/>
    <n v="0.46457831325301213"/>
    <n v="0.5"/>
  </r>
  <r>
    <s v="осень"/>
    <s v="Сварка, родственные процессы и технологии"/>
    <s v="ПЗ"/>
    <s v="Т11О-306А-21"/>
    <n v="20"/>
    <s v="15646"/>
    <n v="20"/>
    <s v="82056"/>
    <x v="4"/>
    <m/>
    <s v="Да"/>
    <m/>
    <m/>
    <n v="188"/>
    <n v="294"/>
    <n v="482"/>
    <n v="0.5807228915662651"/>
    <n v="96.4"/>
    <n v="0.46457831325301213"/>
    <n v="0.5"/>
  </r>
  <r>
    <s v="осень"/>
    <s v="Сварка, родственные процессы и технологии"/>
    <s v="Экзамен"/>
    <s v="Т11О-306А-21"/>
    <n v="1"/>
    <s v="15646"/>
    <m/>
    <s v="82056"/>
    <x v="4"/>
    <m/>
    <s v="Да"/>
    <m/>
    <m/>
    <n v="188"/>
    <n v="294"/>
    <n v="482"/>
    <n v="0.5807228915662651"/>
    <n v="96.4"/>
    <n v="0.46457831325301213"/>
    <n v="0.5"/>
  </r>
  <r>
    <s v="осень"/>
    <s v="Сварка, родственные процессы и технологии"/>
    <s v="Консультация"/>
    <s v="Т11О-306А-21"/>
    <n v="4"/>
    <s v="15646"/>
    <m/>
    <s v="82056"/>
    <x v="4"/>
    <m/>
    <s v="Да"/>
    <m/>
    <m/>
    <n v="188"/>
    <n v="294"/>
    <n v="482"/>
    <n v="0.5807228915662651"/>
    <n v="96.4"/>
    <n v="0.46457831325301213"/>
    <n v="0.5"/>
  </r>
  <r>
    <s v="осень"/>
    <s v="Сварка, родственные процессы и технологии"/>
    <s v="Консультация"/>
    <s v="Т11О-306А-21"/>
    <n v="1"/>
    <s v="15646"/>
    <m/>
    <m/>
    <x v="5"/>
    <m/>
    <s v="Нет"/>
    <m/>
    <m/>
    <n v="14.5"/>
    <n v="78"/>
    <n v="92.5"/>
    <n v="0.11144578313253012"/>
    <n v="18.5"/>
    <n v="0.0891566265060241"/>
    <n v="0"/>
  </r>
  <r>
    <s v="осень"/>
    <s v="Спецглавы информатики"/>
    <s v="ЛК"/>
    <s v="Т11О-201Б-22"/>
    <n v="36"/>
    <s v="14668"/>
    <n v="36"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Спецглавы информатики"/>
    <s v="Зачет с оценкой"/>
    <s v="Т11О-201Б-22"/>
    <n v="5"/>
    <s v="14668"/>
    <m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Спецглавы информатики"/>
    <s v="ПЗ"/>
    <s v="Т11О-201Б-22"/>
    <n v="46"/>
    <s v="14668"/>
    <n v="46"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Спецглавы информатики"/>
    <s v="Консультация"/>
    <s v="Т11О-201Б-22"/>
    <n v="2"/>
    <s v="14668"/>
    <m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Проектирование сварных и паянных конструкций"/>
    <s v="ЛК"/>
    <s v="Т11О-401Б-20"/>
    <n v="34"/>
    <s v="11924"/>
    <n v="34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Проектирование сварных и паянных конструкций"/>
    <s v="Зачет с оценкой"/>
    <s v="Т11О-401Б-20"/>
    <n v="3"/>
    <s v="11924"/>
    <m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Проектирование сварных и паянных конструкций"/>
    <s v="ПЗ"/>
    <s v="Т11О-401Б-20"/>
    <n v="40"/>
    <s v="11924"/>
    <n v="40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Проектирование сварных и паянных конструкций"/>
    <s v="ЛР"/>
    <s v="Т11О-401Б-20"/>
    <n v="16"/>
    <s v="11924"/>
    <n v="16"/>
    <s v="89090"/>
    <x v="3"/>
    <m/>
    <s v="Нет"/>
    <m/>
    <m/>
    <n v="169"/>
    <n v="340"/>
    <n v="509"/>
    <n v="0.6132530120481928"/>
    <n v="101.80000000000001"/>
    <n v="0.4906024096385543"/>
    <n v="0.4"/>
  </r>
  <r>
    <s v="осень"/>
    <s v="Проектирование сварных и паянных конструкций"/>
    <s v="Консультация"/>
    <s v="Т11О-401Б-20"/>
    <n v="2"/>
    <s v="11924"/>
    <m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Вакуумные технологии в металлургии"/>
    <s v="ЛК"/>
    <s v="Т11О-402Б-20"/>
    <n v="30"/>
    <s v="11923"/>
    <n v="30"/>
    <s v="95460"/>
    <x v="23"/>
    <m/>
    <s v="Нет"/>
    <m/>
    <m/>
    <n v="239"/>
    <n v="313"/>
    <n v="552"/>
    <n v="0.6650602409638554"/>
    <n v="110.4"/>
    <n v="0.5320481927710844"/>
    <n v="0.55"/>
  </r>
  <r>
    <s v="осень"/>
    <s v="Вакуумные технологии в металлургии"/>
    <s v="Зачет с оценкой"/>
    <s v="Т11О-402Б-20"/>
    <n v="3"/>
    <s v="11923"/>
    <m/>
    <s v="95460"/>
    <x v="22"/>
    <m/>
    <s v="Нет"/>
    <m/>
    <m/>
    <n v="84"/>
    <n v="62"/>
    <n v="146"/>
    <n v="0.17590361445783131"/>
    <n v="29.200000000000003"/>
    <n v="0.14072289156626505"/>
    <n v="0.15"/>
  </r>
  <r>
    <s v="осень"/>
    <s v="Вакуумные технологии в металлургии"/>
    <s v="ПЗ"/>
    <s v="Т11О-402Б-20"/>
    <n v="18"/>
    <s v="11923"/>
    <n v="18"/>
    <s v="95460"/>
    <x v="22"/>
    <m/>
    <s v="Нет"/>
    <m/>
    <m/>
    <n v="84"/>
    <n v="62"/>
    <n v="146"/>
    <n v="0.17590361445783131"/>
    <n v="29.200000000000003"/>
    <n v="0.14072289156626505"/>
    <n v="0.15"/>
  </r>
  <r>
    <s v="осень"/>
    <s v="Вакуумные технологии в металлургии"/>
    <s v="ЛР"/>
    <s v="Т11О-402Б-20"/>
    <n v="12"/>
    <s v="11923"/>
    <n v="12"/>
    <s v="82060"/>
    <x v="23"/>
    <m/>
    <s v="Да"/>
    <m/>
    <m/>
    <n v="239"/>
    <n v="313"/>
    <n v="552"/>
    <n v="0.6650602409638554"/>
    <n v="110.4"/>
    <n v="0.5320481927710844"/>
    <n v="0.55"/>
  </r>
  <r>
    <s v="осень"/>
    <s v="Вакуумные технологии в металлургии"/>
    <s v="Консультация"/>
    <s v="Т11О-402Б-20"/>
    <n v="2"/>
    <s v="11923"/>
    <m/>
    <s v="95460"/>
    <x v="22"/>
    <m/>
    <s v="Нет"/>
    <m/>
    <m/>
    <n v="84"/>
    <n v="62"/>
    <n v="146"/>
    <n v="0.17590361445783131"/>
    <n v="29.200000000000003"/>
    <n v="0.14072289156626505"/>
    <n v="0.15"/>
  </r>
  <r>
    <s v="осень"/>
    <s v="Основы предпринимательства и производственной деятельности в области реализации технологий металлургии"/>
    <s v="ЛК"/>
    <s v="Т11О-201М-22, Т11О-202М-22"/>
    <n v="10"/>
    <s v="16104"/>
    <n v="10"/>
    <s v="81730"/>
    <x v="13"/>
    <m/>
    <s v="Да"/>
    <m/>
    <m/>
    <n v="186"/>
    <n v="42"/>
    <n v="228"/>
    <n v="0.2746987951807229"/>
    <n v="45.6"/>
    <n v="0.2197590361445783"/>
    <n v="0.2"/>
  </r>
  <r>
    <s v="осень"/>
    <s v="Основы предпринимательства и производственной деятельности в области реализации технологий металлургии"/>
    <s v="ПЗ"/>
    <s v="Т11О-201М-22"/>
    <n v="44"/>
    <s v="16104"/>
    <n v="44"/>
    <s v="81730"/>
    <x v="13"/>
    <m/>
    <s v="Да"/>
    <m/>
    <m/>
    <n v="186"/>
    <n v="42"/>
    <n v="228"/>
    <n v="0.2746987951807229"/>
    <n v="45.6"/>
    <n v="0.2197590361445783"/>
    <n v="0.2"/>
  </r>
  <r>
    <s v="осень"/>
    <s v="Основы предпринимательства и производственной деятельности в области реализации технологий металлургии"/>
    <s v="ПЗ"/>
    <s v="Т11О-202М-22"/>
    <n v="44"/>
    <s v="16104"/>
    <n v="44"/>
    <s v="81730"/>
    <x v="13"/>
    <m/>
    <s v="Да"/>
    <m/>
    <m/>
    <n v="186"/>
    <n v="42"/>
    <n v="228"/>
    <n v="0.2746987951807229"/>
    <n v="45.6"/>
    <n v="0.2197590361445783"/>
    <n v="0.2"/>
  </r>
  <r>
    <s v="осень"/>
    <s v="Основы предпринимательства и производственной деятельности в области реализации технологий металлургии"/>
    <s v="Экзамен"/>
    <s v="Т11О-201М-22"/>
    <n v="6"/>
    <s v="16104"/>
    <m/>
    <s v="81730"/>
    <x v="13"/>
    <m/>
    <s v="Да"/>
    <m/>
    <m/>
    <n v="186"/>
    <n v="42"/>
    <n v="228"/>
    <n v="0.2746987951807229"/>
    <n v="45.6"/>
    <n v="0.2197590361445783"/>
    <n v="0.2"/>
  </r>
  <r>
    <s v="осень"/>
    <s v="Основы предпринимательства и производственной деятельности в области реализации технологий металлургии"/>
    <s v="Экзамен"/>
    <s v="Т11О-202М-22"/>
    <n v="4"/>
    <s v="16104"/>
    <m/>
    <s v="81730"/>
    <x v="13"/>
    <m/>
    <s v="Да"/>
    <m/>
    <m/>
    <n v="186"/>
    <n v="42"/>
    <n v="228"/>
    <n v="0.2746987951807229"/>
    <n v="45.6"/>
    <n v="0.2197590361445783"/>
    <n v="0.2"/>
  </r>
  <r>
    <s v="осень"/>
    <s v="Основы предпринимательства и производственной деятельности в области реализации технологий металлургии"/>
    <s v="Консультация"/>
    <s v="Т11О-201М-22"/>
    <n v="2"/>
    <s v="16104"/>
    <m/>
    <s v="81730"/>
    <x v="13"/>
    <m/>
    <s v="Да"/>
    <m/>
    <m/>
    <n v="186"/>
    <n v="42"/>
    <n v="228"/>
    <n v="0.2746987951807229"/>
    <n v="45.6"/>
    <n v="0.2197590361445783"/>
    <n v="0.2"/>
  </r>
  <r>
    <s v="осень"/>
    <s v="Основы предпринимательства и производственной деятельности в области реализации технологий металлургии"/>
    <s v="Консультация"/>
    <s v="Т11О-202М-22"/>
    <n v="2"/>
    <s v="16104"/>
    <m/>
    <s v="81730"/>
    <x v="13"/>
    <m/>
    <s v="Да"/>
    <m/>
    <m/>
    <n v="186"/>
    <n v="42"/>
    <n v="228"/>
    <n v="0.2746987951807229"/>
    <n v="45.6"/>
    <n v="0.2197590361445783"/>
    <n v="0.2"/>
  </r>
  <r>
    <s v="осень"/>
    <s v="Современное состояние, перспективы и тенденции развития металлургии"/>
    <s v="ЛК"/>
    <s v="Т11О-201М-22, Т11О-202М-22"/>
    <n v="8"/>
    <s v="16104"/>
    <n v="8"/>
    <s v="81732"/>
    <x v="12"/>
    <m/>
    <s v="Да"/>
    <m/>
    <m/>
    <n v="171"/>
    <n v="88"/>
    <n v="259"/>
    <n v="0.31204819277108437"/>
    <n v="51.800000000000004"/>
    <n v="0.2496385542168675"/>
    <n v="0.25"/>
  </r>
  <r>
    <s v="осень"/>
    <s v="Современное состояние, перспективы и тенденции развития металлургии"/>
    <s v="ПЗ"/>
    <s v="Т11О-201М-22"/>
    <n v="28"/>
    <s v="16104"/>
    <n v="28"/>
    <s v="81732"/>
    <x v="12"/>
    <m/>
    <s v="Да"/>
    <m/>
    <m/>
    <n v="171"/>
    <n v="88"/>
    <n v="259"/>
    <n v="0.31204819277108437"/>
    <n v="51.800000000000004"/>
    <n v="0.2496385542168675"/>
    <n v="0.25"/>
  </r>
  <r>
    <s v="осень"/>
    <s v="Современное состояние, перспективы и тенденции развития металлургии"/>
    <s v="ПЗ"/>
    <s v="Т11О-202М-22"/>
    <n v="28"/>
    <s v="16104"/>
    <n v="28"/>
    <s v="81732"/>
    <x v="12"/>
    <m/>
    <s v="Да"/>
    <m/>
    <m/>
    <n v="171"/>
    <n v="88"/>
    <n v="259"/>
    <n v="0.31204819277108437"/>
    <n v="51.800000000000004"/>
    <n v="0.2496385542168675"/>
    <n v="0.25"/>
  </r>
  <r>
    <s v="осень"/>
    <s v="Современное состояние, перспективы и тенденции развития металлургии"/>
    <s v="Зачет"/>
    <s v="Т11О-201М-22"/>
    <n v="2"/>
    <s v="16104"/>
    <m/>
    <s v="81732"/>
    <x v="12"/>
    <m/>
    <s v="Да"/>
    <m/>
    <m/>
    <n v="171"/>
    <n v="88"/>
    <n v="259"/>
    <n v="0.31204819277108437"/>
    <n v="51.800000000000004"/>
    <n v="0.2496385542168675"/>
    <n v="0.25"/>
  </r>
  <r>
    <s v="осень"/>
    <s v="Современное состояние, перспективы и тенденции развития металлургии"/>
    <s v="Зачет"/>
    <s v="Т11О-202М-22"/>
    <n v="1"/>
    <s v="16104"/>
    <m/>
    <s v="81732"/>
    <x v="12"/>
    <m/>
    <s v="Да"/>
    <m/>
    <m/>
    <n v="171"/>
    <n v="88"/>
    <n v="259"/>
    <n v="0.31204819277108437"/>
    <n v="51.800000000000004"/>
    <n v="0.2496385542168675"/>
    <n v="0.25"/>
  </r>
  <r>
    <s v="осень"/>
    <s v="Основы вакуумной металлургии"/>
    <s v="ЛК"/>
    <s v="Т11О-201М-22, Т11О-202М-22"/>
    <n v="12"/>
    <s v="16104"/>
    <n v="12"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Основы вакуумной металлургии"/>
    <s v="ПЗ"/>
    <s v="Т11О-201М-22"/>
    <n v="24"/>
    <s v="16104"/>
    <n v="24"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Основы вакуумной металлургии"/>
    <s v="ПЗ"/>
    <s v="Т11О-202М-22"/>
    <n v="24"/>
    <s v="16104"/>
    <n v="24"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Основы вакуумной металлургии"/>
    <s v="Зачет"/>
    <s v="Т11О-201М-22"/>
    <n v="2"/>
    <s v="16104"/>
    <m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Основы вакуумной металлургии"/>
    <s v="Зачет"/>
    <s v="Т11О-202М-22"/>
    <n v="1"/>
    <s v="16104"/>
    <m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Основы вакуумной металлургии"/>
    <s v="Консультация"/>
    <s v="Т11О-201М-22"/>
    <n v="1"/>
    <s v="16104"/>
    <m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Основы вакуумной металлургии"/>
    <s v="Консультация"/>
    <s v="Т11О-202М-22"/>
    <n v="1"/>
    <s v="16104"/>
    <m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Теплотехника и основы теплопередачи"/>
    <s v="ЛК"/>
    <s v="Т11О-301Б-21, Т11О-303Б-21, Т11О-305Б-21, Т11О-306Б-21, Т11О-307Б-21"/>
    <n v="24"/>
    <s v="17352"/>
    <n v="24"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ПЗ"/>
    <s v="Т11О-301Б-21"/>
    <n v="16"/>
    <s v="17352"/>
    <n v="16"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ПЗ"/>
    <s v="Т11О-303Б-21"/>
    <n v="16"/>
    <s v="17352"/>
    <n v="16"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ПЗ"/>
    <s v="Т11О-305Б-21"/>
    <n v="16"/>
    <s v="17352"/>
    <n v="16"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ПЗ"/>
    <s v="Т11О-306Б-21"/>
    <n v="16"/>
    <s v="17352"/>
    <n v="16"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ПЗ"/>
    <s v="Т11О-307Б-21"/>
    <n v="16"/>
    <s v="17352"/>
    <n v="16"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ЛР"/>
    <s v="Т11О-301Б-21"/>
    <n v="24"/>
    <s v="17352"/>
    <n v="24"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ЛР"/>
    <s v="Т11О-303Б-21"/>
    <n v="48"/>
    <s v="17352"/>
    <n v="24"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ЛР"/>
    <s v="Т11О-305Б-21"/>
    <n v="48"/>
    <s v="17352"/>
    <n v="24"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ЛР"/>
    <s v="Т11О-306Б-21"/>
    <n v="48"/>
    <s v="17352"/>
    <n v="24"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ЛР"/>
    <s v="Т11О-307Б-21"/>
    <n v="24"/>
    <s v="17352"/>
    <n v="24"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Экзамен"/>
    <s v="Т11О-301Б-21"/>
    <n v="5"/>
    <s v="17352"/>
    <m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Экзамен"/>
    <s v="Т11О-303Б-21"/>
    <n v="8"/>
    <s v="17352"/>
    <m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Экзамен"/>
    <s v="Т11О-305Б-21"/>
    <n v="9"/>
    <s v="17352"/>
    <m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Экзамен"/>
    <s v="Т11О-306Б-21"/>
    <n v="9"/>
    <s v="17352"/>
    <m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Экзамен"/>
    <s v="Т11О-307Б-21"/>
    <n v="7"/>
    <s v="17352"/>
    <m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Консультация"/>
    <s v="Т11О-301Б-21"/>
    <n v="3"/>
    <s v="17352"/>
    <m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Консультация"/>
    <s v="Т11О-303Б-21"/>
    <n v="3"/>
    <s v="17352"/>
    <m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Консультация"/>
    <s v="Т11О-305Б-21"/>
    <n v="3"/>
    <s v="17352"/>
    <m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Консультация"/>
    <s v="Т11О-306Б-21"/>
    <n v="3"/>
    <s v="17352"/>
    <m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Теплотехника и основы теплопередачи"/>
    <s v="Консультация"/>
    <s v="Т11О-307Б-21"/>
    <n v="3"/>
    <s v="17352"/>
    <m/>
    <s v="82086"/>
    <x v="24"/>
    <m/>
    <s v="Нет"/>
    <m/>
    <m/>
    <n v="364"/>
    <n v="147"/>
    <n v="511"/>
    <n v="0.6156626506024097"/>
    <n v="102.2"/>
    <n v="0.49253012048192774"/>
    <n v="0.5"/>
  </r>
  <r>
    <s v="осень"/>
    <s v="Порошковая металлургия и композиционные материалы"/>
    <s v="ЛК"/>
    <s v="Т11О-302А-21"/>
    <n v="68"/>
    <s v="15650"/>
    <n v="68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Порошковая металлургия и композиционные материалы"/>
    <s v="ПЗ"/>
    <s v="Т11О-302А-21"/>
    <n v="20"/>
    <s v="15650"/>
    <n v="20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Порошковая металлургия и композиционные материалы"/>
    <s v="Экзамен"/>
    <s v="Т11О-302А-21"/>
    <n v="1"/>
    <s v="15650"/>
    <m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Порошковая металлургия и композиционные материалы"/>
    <s v="Консультация"/>
    <s v="Т11О-302А-21"/>
    <n v="5"/>
    <s v="15650"/>
    <m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Основы технологии и автоматизации производства продукции методами ТЛП"/>
    <s v="ЛК"/>
    <s v="Т11О-302Б-21"/>
    <n v="38"/>
    <s v="14861"/>
    <n v="38"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Основы технологии и автоматизации производства продукции методами ТЛП"/>
    <s v="КР"/>
    <s v="Т11О-302Б-21"/>
    <n v="36"/>
    <s v="14861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Основы технологии и автоматизации производства продукции методами ТЛП"/>
    <s v="ПЗ"/>
    <s v="Т11О-302Б-21"/>
    <n v="28"/>
    <s v="14861"/>
    <n v="28"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Основы технологии и автоматизации производства продукции методами ТЛП"/>
    <s v="Экзамен"/>
    <s v="Т11О-302Б-21"/>
    <n v="9"/>
    <s v="14861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Основы технологии и автоматизации производства продукции методами ТЛП"/>
    <s v="Консультация"/>
    <s v="Т11О-302Б-21"/>
    <n v="3"/>
    <s v="14861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осень"/>
    <s v="Основы технологии и автоматизации производства продукции методами ПМиЗП"/>
    <s v="ЛК"/>
    <s v="Т11О-302Б-21"/>
    <n v="24"/>
    <s v="14861"/>
    <n v="24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Основы технологии и автоматизации производства продукции методами ПМиЗП"/>
    <s v="Зачет с оценкой"/>
    <s v="Т11О-302Б-21"/>
    <n v="5"/>
    <s v="14861"/>
    <m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Основы технологии и автоматизации производства продукции методами ПМиЗП"/>
    <s v="ПЗ"/>
    <s v="Т11О-302Б-21"/>
    <n v="8"/>
    <s v="14861"/>
    <n v="8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Основы технологии и автоматизации производства продукции методами ПМиЗП"/>
    <s v="ЛР"/>
    <s v="Т11О-302Б-21"/>
    <n v="64"/>
    <s v="14861"/>
    <n v="32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Основы технологии и автоматизации производства продукции методами ПМиЗП"/>
    <s v="Консультация"/>
    <s v="Т11О-302Б-21"/>
    <n v="1"/>
    <s v="14861"/>
    <m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Финишные технологии производства продукции"/>
    <s v="ЛК"/>
    <s v="Т11О-302Б-21"/>
    <n v="20"/>
    <s v="14861"/>
    <n v="20"/>
    <s v="81729"/>
    <x v="15"/>
    <m/>
    <s v="Нет"/>
    <m/>
    <m/>
    <n v="276"/>
    <n v="323"/>
    <n v="599"/>
    <n v="0.7216867469879518"/>
    <n v="119.80000000000001"/>
    <n v="0.5773493975903614"/>
    <n v="0.55"/>
  </r>
  <r>
    <s v="осень"/>
    <s v="Финишные технологии производства продукции"/>
    <s v="Зачет с оценкой"/>
    <s v="Т11О-302Б-21"/>
    <n v="5"/>
    <s v="14861"/>
    <m/>
    <s v="81729"/>
    <x v="15"/>
    <m/>
    <s v="Нет"/>
    <m/>
    <m/>
    <n v="276"/>
    <n v="323"/>
    <n v="599"/>
    <n v="0.7216867469879518"/>
    <n v="119.80000000000001"/>
    <n v="0.5773493975903614"/>
    <n v="0.55"/>
  </r>
  <r>
    <s v="осень"/>
    <s v="Финишные технологии производства продукции"/>
    <s v="ПЗ"/>
    <s v="Т11О-302Б-21"/>
    <n v="12"/>
    <s v="14861"/>
    <n v="12"/>
    <s v="81729"/>
    <x v="15"/>
    <m/>
    <s v="Нет"/>
    <m/>
    <m/>
    <n v="276"/>
    <n v="323"/>
    <n v="599"/>
    <n v="0.7216867469879518"/>
    <n v="119.80000000000001"/>
    <n v="0.5773493975903614"/>
    <n v="0.55"/>
  </r>
  <r>
    <s v="осень"/>
    <s v="Финишные технологии производства продукции"/>
    <s v="ЛР"/>
    <s v="Т11О-302Б-21"/>
    <n v="16"/>
    <s v="14861"/>
    <n v="8"/>
    <s v="81729"/>
    <x v="15"/>
    <m/>
    <s v="Нет"/>
    <m/>
    <m/>
    <n v="276"/>
    <n v="323"/>
    <n v="599"/>
    <n v="0.7216867469879518"/>
    <n v="119.80000000000001"/>
    <n v="0.5773493975903614"/>
    <n v="0.55"/>
  </r>
  <r>
    <s v="осень"/>
    <s v="Финишные технологии производства продукции"/>
    <s v="Консультация"/>
    <s v="Т11О-302Б-21"/>
    <n v="1"/>
    <s v="14861"/>
    <m/>
    <s v="81729"/>
    <x v="15"/>
    <m/>
    <s v="Нет"/>
    <m/>
    <m/>
    <n v="276"/>
    <n v="323"/>
    <n v="599"/>
    <n v="0.7216867469879518"/>
    <n v="119.80000000000001"/>
    <n v="0.5773493975903614"/>
    <n v="0.55"/>
  </r>
  <r>
    <s v="осень"/>
    <s v="Искусственный интеллект в технологиях материалов"/>
    <s v="ЛК"/>
    <s v="Т11О-301Б-21, Т11О-302Б-21, Т11О-303Б-21, Т11О-304Б-21, Т11О-305Б-21, Т11О-306Б-21, Т11О-307Б-21"/>
    <n v="30"/>
    <s v="17351"/>
    <n v="30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Зачет с оценкой"/>
    <s v="Т11О-301Б-21"/>
    <n v="3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Зачет с оценкой"/>
    <s v="Т11О-302Б-21"/>
    <n v="4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Зачет с оценкой"/>
    <s v="Т11О-302Б-21"/>
    <n v="1"/>
    <s v="17351"/>
    <m/>
    <m/>
    <x v="9"/>
    <m/>
    <s v="Нет"/>
    <m/>
    <m/>
    <n v="337"/>
    <n v="205"/>
    <n v="542"/>
    <n v="0.653012048192771"/>
    <n v="108.4"/>
    <n v="0.5224096385542168"/>
    <n v="0.65"/>
  </r>
  <r>
    <s v="осень"/>
    <s v="Искусственный интеллект в технологиях материалов"/>
    <s v="Зачет с оценкой"/>
    <s v="Т11О-303Б-21"/>
    <n v="4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Зачет с оценкой"/>
    <s v="Т11О-303Б-21"/>
    <n v="1"/>
    <s v="17351"/>
    <m/>
    <m/>
    <x v="9"/>
    <m/>
    <s v="Нет"/>
    <m/>
    <m/>
    <n v="337"/>
    <n v="205"/>
    <n v="542"/>
    <n v="0.653012048192771"/>
    <n v="108.4"/>
    <n v="0.5224096385542168"/>
    <n v="0.65"/>
  </r>
  <r>
    <s v="осень"/>
    <s v="Искусственный интеллект в технологиях материалов"/>
    <s v="Зачет с оценкой"/>
    <s v="Т11О-304Б-21"/>
    <n v="4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Зачет с оценкой"/>
    <s v="Т11О-305Б-21"/>
    <n v="4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Зачет с оценкой"/>
    <s v="Т11О-305Б-21"/>
    <n v="1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Зачет с оценкой"/>
    <s v="Т11О-306Б-21"/>
    <n v="4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Зачет с оценкой"/>
    <s v="Т11О-306Б-21"/>
    <n v="1"/>
    <s v="17351"/>
    <m/>
    <m/>
    <x v="9"/>
    <m/>
    <s v="Нет"/>
    <m/>
    <m/>
    <n v="337"/>
    <n v="205"/>
    <n v="542"/>
    <n v="0.653012048192771"/>
    <n v="108.4"/>
    <n v="0.5224096385542168"/>
    <n v="0.65"/>
  </r>
  <r>
    <s v="осень"/>
    <s v="Искусственный интеллект в технологиях материалов"/>
    <s v="Зачет с оценкой"/>
    <s v="Т11О-307Б-21"/>
    <n v="4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ПЗ"/>
    <s v="Т11О-301Б-21"/>
    <n v="4"/>
    <s v="17351"/>
    <n v="8"/>
    <s v="82086"/>
    <x v="8"/>
    <m/>
    <s v="Нет"/>
    <m/>
    <m/>
    <n v="78"/>
    <n v="240.5"/>
    <n v="318.5"/>
    <n v="0.38373493975903616"/>
    <n v="63.7"/>
    <n v="0.30698795180722893"/>
    <n v="0.35"/>
  </r>
  <r>
    <s v="осень"/>
    <s v="Искусственный интеллект в технологиях материалов"/>
    <s v="ПЗ"/>
    <s v="Т11О-301Б-21"/>
    <n v="4"/>
    <s v="17351"/>
    <n v="8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Искусственный интеллект в технологиях материалов"/>
    <s v="ПЗ"/>
    <s v="Т11О-302Б-21"/>
    <n v="4"/>
    <s v="17351"/>
    <n v="8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Искусственный интеллект в технологиях материалов"/>
    <s v="ПЗ"/>
    <s v="Т11О-302Б-21"/>
    <n v="4"/>
    <s v="17351"/>
    <n v="8"/>
    <s v="82086"/>
    <x v="8"/>
    <m/>
    <s v="Нет"/>
    <m/>
    <m/>
    <n v="78"/>
    <n v="240.5"/>
    <n v="318.5"/>
    <n v="0.38373493975903616"/>
    <n v="63.7"/>
    <n v="0.30698795180722893"/>
    <n v="0.35"/>
  </r>
  <r>
    <s v="осень"/>
    <s v="Искусственный интеллект в технологиях материалов"/>
    <s v="ПЗ"/>
    <s v="Т11О-303Б-21"/>
    <n v="4"/>
    <s v="17351"/>
    <n v="8"/>
    <s v="82086"/>
    <x v="8"/>
    <m/>
    <s v="Нет"/>
    <m/>
    <m/>
    <n v="78"/>
    <n v="240.5"/>
    <n v="318.5"/>
    <n v="0.38373493975903616"/>
    <n v="63.7"/>
    <n v="0.30698795180722893"/>
    <n v="0.35"/>
  </r>
  <r>
    <s v="осень"/>
    <s v="Искусственный интеллект в технологиях материалов"/>
    <s v="ПЗ"/>
    <s v="Т11О-303Б-21"/>
    <n v="4"/>
    <s v="17351"/>
    <n v="8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Искусственный интеллект в технологиях материалов"/>
    <s v="ПЗ"/>
    <s v="Т11О-304Б-21"/>
    <n v="4"/>
    <s v="17351"/>
    <n v="8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Искусственный интеллект в технологиях материалов"/>
    <s v="ПЗ"/>
    <s v="Т11О-304Б-21"/>
    <n v="4"/>
    <s v="17351"/>
    <n v="8"/>
    <s v="82086"/>
    <x v="8"/>
    <m/>
    <s v="Нет"/>
    <m/>
    <m/>
    <n v="78"/>
    <n v="240.5"/>
    <n v="318.5"/>
    <n v="0.38373493975903616"/>
    <n v="63.7"/>
    <n v="0.30698795180722893"/>
    <n v="0.35"/>
  </r>
  <r>
    <s v="осень"/>
    <s v="Искусственный интеллект в технологиях материалов"/>
    <s v="ПЗ"/>
    <s v="Т11О-305Б-21"/>
    <n v="4"/>
    <s v="17351"/>
    <n v="8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Искусственный интеллект в технологиях материалов"/>
    <s v="ПЗ"/>
    <s v="Т11О-305Б-21"/>
    <n v="4"/>
    <s v="17351"/>
    <n v="8"/>
    <s v="82086"/>
    <x v="8"/>
    <m/>
    <s v="Нет"/>
    <m/>
    <m/>
    <n v="78"/>
    <n v="240.5"/>
    <n v="318.5"/>
    <n v="0.38373493975903616"/>
    <n v="63.7"/>
    <n v="0.30698795180722893"/>
    <n v="0.35"/>
  </r>
  <r>
    <s v="осень"/>
    <s v="Искусственный интеллект в технологиях материалов"/>
    <s v="ПЗ"/>
    <s v="Т11О-306Б-21"/>
    <n v="4"/>
    <s v="17351"/>
    <n v="8"/>
    <s v="82086"/>
    <x v="8"/>
    <m/>
    <s v="Нет"/>
    <m/>
    <m/>
    <n v="78"/>
    <n v="240.5"/>
    <n v="318.5"/>
    <n v="0.38373493975903616"/>
    <n v="63.7"/>
    <n v="0.30698795180722893"/>
    <n v="0.35"/>
  </r>
  <r>
    <s v="осень"/>
    <s v="Искусственный интеллект в технологиях материалов"/>
    <s v="ПЗ"/>
    <s v="Т11О-306Б-21"/>
    <n v="4"/>
    <s v="17351"/>
    <n v="8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Искусственный интеллект в технологиях материалов"/>
    <s v="ПЗ"/>
    <s v="Т11О-307Б-21"/>
    <n v="4"/>
    <s v="17351"/>
    <n v="8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Искусственный интеллект в технологиях материалов"/>
    <s v="ПЗ"/>
    <s v="Т11О-307Б-21"/>
    <n v="4"/>
    <s v="17351"/>
    <n v="8"/>
    <s v="82086"/>
    <x v="8"/>
    <m/>
    <s v="Нет"/>
    <m/>
    <m/>
    <n v="78"/>
    <n v="240.5"/>
    <n v="318.5"/>
    <n v="0.38373493975903616"/>
    <n v="63.7"/>
    <n v="0.30698795180722893"/>
    <n v="0.35"/>
  </r>
  <r>
    <s v="осень"/>
    <s v="Искусственный интеллект в технологиях материалов"/>
    <s v="ЛР"/>
    <s v="Т11О-301Б-21"/>
    <n v="4"/>
    <s v="17351"/>
    <n v="12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ЛР"/>
    <s v="Т11О-301Б-21"/>
    <n v="4"/>
    <s v="17351"/>
    <n v="12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Искусственный интеллект в технологиях материалов"/>
    <s v="ЛР"/>
    <s v="Т11О-301Б-21"/>
    <n v="4"/>
    <s v="17351"/>
    <n v="12"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Искусственный интеллект в технологиях материалов"/>
    <s v="ЛР"/>
    <s v="Т11О-302Б-21"/>
    <n v="8"/>
    <s v="17351"/>
    <n v="12"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Искусственный интеллект в технологиях материалов"/>
    <s v="ЛР"/>
    <s v="Т11О-302Б-21"/>
    <n v="8"/>
    <s v="17351"/>
    <n v="12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Искусственный интеллект в технологиях материалов"/>
    <s v="ЛР"/>
    <s v="Т11О-302Б-21"/>
    <n v="8"/>
    <s v="17351"/>
    <n v="12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ЛР"/>
    <s v="Т11О-303Б-21"/>
    <n v="8"/>
    <s v="17351"/>
    <n v="12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ЛР"/>
    <s v="Т11О-303Б-21"/>
    <n v="8"/>
    <s v="17351"/>
    <n v="12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Искусственный интеллект в технологиях материалов"/>
    <s v="ЛР"/>
    <s v="Т11О-303Б-21"/>
    <n v="8"/>
    <s v="17351"/>
    <n v="12"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Искусственный интеллект в технологиях материалов"/>
    <s v="ЛР"/>
    <s v="Т11О-304Б-21"/>
    <n v="4"/>
    <s v="17351"/>
    <n v="12"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Искусственный интеллект в технологиях материалов"/>
    <s v="ЛР"/>
    <s v="Т11О-304Б-21"/>
    <n v="4"/>
    <s v="17351"/>
    <n v="12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Искусственный интеллект в технологиях материалов"/>
    <s v="ЛР"/>
    <s v="Т11О-304Б-21"/>
    <n v="4"/>
    <s v="17351"/>
    <n v="12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ЛР"/>
    <s v="Т11О-305Б-21"/>
    <n v="8"/>
    <s v="17351"/>
    <n v="12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ЛР"/>
    <s v="Т11О-305Б-21"/>
    <n v="8"/>
    <s v="17351"/>
    <n v="12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Искусственный интеллект в технологиях материалов"/>
    <s v="ЛР"/>
    <s v="Т11О-305Б-21"/>
    <n v="8"/>
    <s v="17351"/>
    <n v="12"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Искусственный интеллект в технологиях материалов"/>
    <s v="ЛР"/>
    <s v="Т11О-306Б-21"/>
    <n v="8"/>
    <s v="17351"/>
    <n v="12"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Искусственный интеллект в технологиях материалов"/>
    <s v="ЛР"/>
    <s v="Т11О-306Б-21"/>
    <n v="8"/>
    <s v="17351"/>
    <n v="12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Искусственный интеллект в технологиях материалов"/>
    <s v="ЛР"/>
    <s v="Т11О-306Б-21"/>
    <n v="8"/>
    <s v="17351"/>
    <n v="12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ЛР"/>
    <s v="Т11О-307Б-21"/>
    <n v="4"/>
    <s v="17351"/>
    <n v="12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ЛР"/>
    <s v="Т11О-307Б-21"/>
    <n v="4"/>
    <s v="17351"/>
    <n v="12"/>
    <s v="82066"/>
    <x v="21"/>
    <m/>
    <s v="Да"/>
    <m/>
    <m/>
    <n v="297"/>
    <n v="310"/>
    <n v="607"/>
    <n v="0.7313253012048193"/>
    <n v="121.4"/>
    <n v="0.5850602409638554"/>
    <n v="0.6"/>
  </r>
  <r>
    <s v="осень"/>
    <s v="Искусственный интеллект в технологиях материалов"/>
    <s v="ЛР"/>
    <s v="Т11О-307Б-21"/>
    <n v="4"/>
    <s v="17351"/>
    <n v="12"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Искусственный интеллект в технологиях материалов"/>
    <s v="Консультация"/>
    <s v="Т11О-301Б-21"/>
    <n v="2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Консультация"/>
    <s v="Т11О-302Б-21"/>
    <n v="2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Консультация"/>
    <s v="Т11О-303Б-21"/>
    <n v="2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Консультация"/>
    <s v="Т11О-304Б-21"/>
    <n v="2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Консультация"/>
    <s v="Т11О-305Б-21"/>
    <n v="2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Консультация"/>
    <s v="Т11О-306Б-21"/>
    <n v="2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скусственный интеллект в технологиях материалов"/>
    <s v="Консультация"/>
    <s v="Т11О-307Б-21"/>
    <n v="2"/>
    <s v="17351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Информатика"/>
    <s v="ЛК"/>
    <s v="Т11О-101Б-23"/>
    <n v="16"/>
    <s v="14668"/>
    <n v="16"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Информатика"/>
    <s v="ЛК"/>
    <s v="Т11О-104Б-23"/>
    <n v="24"/>
    <s v="18010"/>
    <n v="24"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Информатика"/>
    <s v="Зачет с оценкой"/>
    <s v="Т11О-104Б-23"/>
    <n v="6"/>
    <s v="18010"/>
    <m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Информатика"/>
    <s v="ПЗ"/>
    <s v="Т11О-101Б-23"/>
    <n v="38"/>
    <s v="14668"/>
    <n v="38"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Информатика"/>
    <s v="ПЗ"/>
    <s v="Т11О-104Б-23"/>
    <n v="32"/>
    <s v="18010"/>
    <n v="32"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Информатика"/>
    <s v="ЛР"/>
    <s v="Т11О-104Б-23"/>
    <n v="24"/>
    <s v="18010"/>
    <n v="12"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Информатика"/>
    <s v="Экзамен"/>
    <s v="Т11О-101Б-23"/>
    <n v="10"/>
    <s v="14668"/>
    <m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Информатика"/>
    <s v="Консультация"/>
    <s v="Т11О-101Б-23"/>
    <n v="2"/>
    <s v="14668"/>
    <m/>
    <s v="82026"/>
    <x v="9"/>
    <m/>
    <s v="Нет"/>
    <m/>
    <m/>
    <n v="337"/>
    <n v="205"/>
    <n v="542"/>
    <n v="0.653012048192771"/>
    <n v="108.4"/>
    <n v="0.5224096385542168"/>
    <n v="0.65"/>
  </r>
  <r>
    <s v="осень"/>
    <s v="Информатика"/>
    <s v="Консультация"/>
    <s v="Т11О-104Б-23"/>
    <n v="1"/>
    <s v="18010"/>
    <m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Введение в специальность"/>
    <s v="ЛК"/>
    <s v="Т11О-104Б-23"/>
    <n v="18"/>
    <s v="18010"/>
    <n v="18"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Введение в специальность"/>
    <s v="ЛР"/>
    <s v="Т11О-104Б-23"/>
    <n v="32"/>
    <s v="18010"/>
    <n v="16"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Введение в специальность"/>
    <s v="Зачет"/>
    <s v="Т11О-104Б-23"/>
    <n v="4"/>
    <s v="18010"/>
    <m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Введение в специальность"/>
    <s v="Консультация"/>
    <s v="Т11О-104Б-23"/>
    <n v="1"/>
    <s v="18010"/>
    <m/>
    <s v="81724"/>
    <x v="17"/>
    <m/>
    <s v="Нет"/>
    <m/>
    <m/>
    <n v="456"/>
    <n v="384"/>
    <n v="840"/>
    <n v="1.0120481927710843"/>
    <n v="168"/>
    <n v="0.8096385542168675"/>
    <n v="0.8"/>
  </r>
  <r>
    <s v="осень"/>
    <s v="Современное состояние и тенденции развития технологических процессов литейного производства"/>
    <s v="ЛК"/>
    <s v="Т11О-205А-22"/>
    <n v="30"/>
    <s v="16787"/>
    <n v="30"/>
    <s v="81891"/>
    <x v="7"/>
    <m/>
    <s v="Да"/>
    <m/>
    <m/>
    <n v="381"/>
    <n v="162"/>
    <n v="543"/>
    <n v="0.6542168674698795"/>
    <n v="108.60000000000001"/>
    <n v="0.5233734939759036"/>
    <n v="0.5"/>
  </r>
  <r>
    <s v="осень"/>
    <s v="Современное состояние и тенденции развития технологических процессов литейного производства"/>
    <s v="ПЗ"/>
    <s v="Т11О-205А-22"/>
    <n v="24"/>
    <s v="16787"/>
    <n v="24"/>
    <s v="81891"/>
    <x v="7"/>
    <m/>
    <s v="Да"/>
    <m/>
    <m/>
    <n v="381"/>
    <n v="162"/>
    <n v="543"/>
    <n v="0.6542168674698795"/>
    <n v="108.60000000000001"/>
    <n v="0.5233734939759036"/>
    <n v="0.5"/>
  </r>
  <r>
    <s v="осень"/>
    <s v="Современное состояние и тенденции развития технологических процессов литейного производства"/>
    <s v="Консультация"/>
    <s v="Т11О-205А-22"/>
    <n v="2"/>
    <s v="16787"/>
    <m/>
    <s v="81891"/>
    <x v="7"/>
    <m/>
    <s v="Да"/>
    <m/>
    <m/>
    <n v="381"/>
    <n v="162"/>
    <n v="543"/>
    <n v="0.6542168674698795"/>
    <n v="108.60000000000001"/>
    <n v="0.5233734939759036"/>
    <n v="0.5"/>
  </r>
  <r>
    <s v="осень"/>
    <s v="Современное состояние и тенденции развития технологических процессов пластического деформирования металлических материалов"/>
    <s v="ЛК"/>
    <s v="Т11О-206А-22"/>
    <n v="30"/>
    <s v="16788"/>
    <n v="30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Современное состояние и тенденции развития технологических процессов пластического деформирования металлических материалов"/>
    <s v="ПЗ"/>
    <s v="Т11О-206А-22"/>
    <n v="24"/>
    <s v="16788"/>
    <n v="24"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Современное состояние и тенденции развития технологических процессов пластического деформирования металлических материалов"/>
    <s v="Консультация"/>
    <s v="Т11О-206А-22"/>
    <n v="2"/>
    <s v="16788"/>
    <m/>
    <s v="81728"/>
    <x v="16"/>
    <m/>
    <s v="Да"/>
    <m/>
    <m/>
    <n v="438"/>
    <n v="361"/>
    <n v="799"/>
    <n v="0.9626506024096385"/>
    <n v="159.8"/>
    <n v="0.7701204819277109"/>
    <n v="0.75"/>
  </r>
  <r>
    <s v="осень"/>
    <s v="Современное состояние и тенденции развития технологических процессов в области производства композиционных материалов и нанесения покрытий"/>
    <s v="ЛК"/>
    <s v="Т11О-207А-22"/>
    <n v="30"/>
    <s v="16789"/>
    <n v="30"/>
    <s v="82060"/>
    <x v="23"/>
    <m/>
    <s v="Да"/>
    <m/>
    <m/>
    <n v="239"/>
    <n v="313"/>
    <n v="552"/>
    <n v="0.6650602409638554"/>
    <n v="110.4"/>
    <n v="0.5320481927710844"/>
    <n v="0.55"/>
  </r>
  <r>
    <s v="осень"/>
    <s v="Современное состояние и тенденции развития технологических процессов в области производства композиционных материалов и нанесения покрытий"/>
    <s v="ПЗ"/>
    <s v="Т11О-207А-22"/>
    <n v="24"/>
    <s v="16789"/>
    <n v="24"/>
    <s v="82060"/>
    <x v="23"/>
    <m/>
    <s v="Да"/>
    <m/>
    <m/>
    <n v="239"/>
    <n v="313"/>
    <n v="552"/>
    <n v="0.6650602409638554"/>
    <n v="110.4"/>
    <n v="0.5320481927710844"/>
    <n v="0.55"/>
  </r>
  <r>
    <s v="осень"/>
    <s v="Современное состояние и тенденции развития технологических процессов в области производства композиционных материалов и нанесения покрытий"/>
    <s v="Консультация"/>
    <s v="Т11О-207А-22"/>
    <n v="2"/>
    <s v="16789"/>
    <m/>
    <s v="82060"/>
    <x v="23"/>
    <m/>
    <s v="Да"/>
    <m/>
    <m/>
    <n v="239"/>
    <n v="313"/>
    <n v="552"/>
    <n v="0.6650602409638554"/>
    <n v="110.4"/>
    <n v="0.5320481927710844"/>
    <n v="0.55"/>
  </r>
  <r>
    <s v="осень"/>
    <s v="Современное состояние и тенденции развития технологических процессов в области сварки и пайки металлических материалов"/>
    <s v="ЛК"/>
    <s v="Т11О-203А-22"/>
    <n v="15"/>
    <s v="16786"/>
    <n v="30"/>
    <s v="92509"/>
    <x v="20"/>
    <m/>
    <s v="Нет"/>
    <m/>
    <s v="Гаджиев Магомед Ражабович"/>
    <n v="410"/>
    <n v="260"/>
    <n v="670"/>
    <n v="0.8072289156626506"/>
    <n v="134"/>
    <n v="0.6457831325301205"/>
    <n v="0.55"/>
  </r>
  <r>
    <s v="осень"/>
    <s v="Современное состояние и тенденции развития технологических процессов в области сварки и пайки металлических материалов"/>
    <s v="ЛК"/>
    <s v="Т11О-203А-22"/>
    <n v="15"/>
    <s v="16786"/>
    <n v="30"/>
    <s v="81958"/>
    <x v="25"/>
    <m/>
    <s v="Да"/>
    <m/>
    <s v="Максименко Екатерина Игоревна"/>
    <n v="180"/>
    <n v="129"/>
    <n v="309"/>
    <n v="0.372289156626506"/>
    <n v="61.800000000000004"/>
    <n v="0.2978313253012048"/>
    <n v="0.3"/>
  </r>
  <r>
    <s v="осень"/>
    <s v="Современное состояние и тенденции развития технологических процессов в области сварки и пайки металлических материалов"/>
    <s v="Зачет с оценкой"/>
    <s v="Т11О-203А-22"/>
    <n v="1"/>
    <s v="16786"/>
    <m/>
    <s v="81958"/>
    <x v="25"/>
    <m/>
    <s v="Да"/>
    <m/>
    <m/>
    <n v="180"/>
    <n v="129"/>
    <n v="309"/>
    <n v="0.372289156626506"/>
    <n v="61.800000000000004"/>
    <n v="0.2978313253012048"/>
    <n v="0.3"/>
  </r>
  <r>
    <s v="осень"/>
    <s v="Современное состояние и тенденции развития технологических процессов в области сварки и пайки металлических материалов"/>
    <s v="ПЗ"/>
    <s v="Т11О-203А-22"/>
    <n v="12"/>
    <s v="16786"/>
    <n v="24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Современное состояние и тенденции развития технологических процессов в области сварки и пайки металлических материалов"/>
    <s v="ПЗ"/>
    <s v="Т11О-203А-22"/>
    <n v="12"/>
    <s v="16786"/>
    <n v="24"/>
    <s v="81958"/>
    <x v="25"/>
    <m/>
    <s v="Да"/>
    <m/>
    <m/>
    <n v="180"/>
    <n v="129"/>
    <n v="309"/>
    <n v="0.372289156626506"/>
    <n v="61.800000000000004"/>
    <n v="0.2978313253012048"/>
    <n v="0.3"/>
  </r>
  <r>
    <s v="осень"/>
    <s v="Современное состояние и тенденции развития технологических процессов в области сварки и пайки металлических материалов"/>
    <s v="Консультация"/>
    <s v="Т11О-203А-22"/>
    <n v="2"/>
    <s v="16786"/>
    <m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Жидкофазные технологии соединения материалов"/>
    <s v="ЛК"/>
    <s v="Т11О-101М-23"/>
    <n v="24"/>
    <s v="18008"/>
    <n v="24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Жидкофазные технологии соединения материалов"/>
    <s v="Зачет с оценкой"/>
    <s v="Т11О-101М-23"/>
    <n v="3"/>
    <s v="18008"/>
    <m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Жидкофазные технологии соединения материалов"/>
    <s v="Зачет с оценкой"/>
    <s v="Т11О-101М-23"/>
    <n v="1"/>
    <s v="18008"/>
    <m/>
    <m/>
    <x v="5"/>
    <m/>
    <s v="Нет"/>
    <m/>
    <m/>
    <n v="14.5"/>
    <n v="78"/>
    <n v="92.5"/>
    <n v="0.11144578313253012"/>
    <n v="18.5"/>
    <n v="0.0891566265060241"/>
    <n v="0"/>
  </r>
  <r>
    <s v="осень"/>
    <s v="Жидкофазные технологии соединения материалов"/>
    <s v="ПЗ"/>
    <s v="Т11О-101М-23"/>
    <n v="48"/>
    <s v="18008"/>
    <n v="48"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Жидкофазные технологии соединения материалов"/>
    <s v="Консультация"/>
    <s v="Т11О-101М-23"/>
    <n v="1"/>
    <s v="18008"/>
    <m/>
    <s v="92509"/>
    <x v="20"/>
    <m/>
    <s v="Нет"/>
    <m/>
    <m/>
    <n v="410"/>
    <n v="260"/>
    <n v="670"/>
    <n v="0.8072289156626506"/>
    <n v="134"/>
    <n v="0.6457831325301205"/>
    <n v="0.55"/>
  </r>
  <r>
    <s v="осень"/>
    <s v="Введение в авиационную и ракетно-космическую технику"/>
    <s v="ЛК"/>
    <s v="Т11О-104Б-23"/>
    <n v="18"/>
    <s v="18010"/>
    <n v="18"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Введение в авиационную и ракетно-космическую технику"/>
    <s v="Зачет с оценкой"/>
    <s v="Т11О-104Б-23"/>
    <n v="4"/>
    <s v="18010"/>
    <m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Введение в авиационную и ракетно-космическую технику"/>
    <s v="Зачет с оценкой"/>
    <s v="Т11О-104Б-23"/>
    <n v="2"/>
    <s v="18010"/>
    <m/>
    <m/>
    <x v="5"/>
    <m/>
    <s v="Нет"/>
    <m/>
    <m/>
    <n v="14.5"/>
    <n v="78"/>
    <n v="92.5"/>
    <n v="0.11144578313253012"/>
    <n v="18.5"/>
    <n v="0.0891566265060241"/>
    <n v="0"/>
  </r>
  <r>
    <s v="осень"/>
    <s v="Введение в авиационную и ракетно-космическую технику"/>
    <s v="ПЗ"/>
    <s v="Т11О-104Б-23"/>
    <n v="16"/>
    <s v="18010"/>
    <n v="16"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Введение в авиационную и ракетно-космическую технику"/>
    <s v="Консультация"/>
    <s v="Т11О-104Б-23"/>
    <n v="1"/>
    <s v="18010"/>
    <m/>
    <s v="81720"/>
    <x v="14"/>
    <m/>
    <s v="Нет"/>
    <m/>
    <m/>
    <n v="279"/>
    <n v="431"/>
    <n v="710"/>
    <n v="0.8554216867469879"/>
    <n v="142"/>
    <n v="0.6843373493975904"/>
    <n v="0.65"/>
  </r>
  <r>
    <s v="осень"/>
    <s v="Теория автоматического управления"/>
    <s v="ЛК"/>
    <s v="Т11О-302Б-21"/>
    <n v="18"/>
    <s v="14861"/>
    <n v="18"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Теория автоматического управления"/>
    <s v="ПЗ"/>
    <s v="Т11О-302Б-21"/>
    <n v="16"/>
    <s v="14861"/>
    <n v="16"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Теория автоматического управления"/>
    <s v="Экзамен"/>
    <s v="Т11О-302Б-21"/>
    <n v="6"/>
    <s v="14861"/>
    <m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Теория автоматического управления"/>
    <s v="Экзамен"/>
    <s v="Т11О-302Б-21"/>
    <n v="3"/>
    <s v="14861"/>
    <m/>
    <m/>
    <x v="9"/>
    <m/>
    <s v="Нет"/>
    <m/>
    <m/>
    <n v="337"/>
    <n v="205"/>
    <n v="542"/>
    <n v="0.653012048192771"/>
    <n v="108.4"/>
    <n v="0.5224096385542168"/>
    <n v="0.65"/>
  </r>
  <r>
    <s v="осень"/>
    <s v="Теория автоматического управления"/>
    <s v="Консультация"/>
    <s v="Т11О-302Б-21"/>
    <n v="2"/>
    <s v="14861"/>
    <m/>
    <s v="81721"/>
    <x v="18"/>
    <m/>
    <s v="Нет"/>
    <m/>
    <m/>
    <n v="175"/>
    <n v="120"/>
    <n v="295"/>
    <n v="0.35542168674698793"/>
    <n v="59"/>
    <n v="0.28433734939759037"/>
    <n v="0.25"/>
  </r>
  <r>
    <s v="осень"/>
    <s v="Методология научных исследований"/>
    <s v="ЛК"/>
    <s v="Т11О-201М-22, Т11О-202М-22"/>
    <n v="12"/>
    <s v="16104"/>
    <n v="12"/>
    <s v="81958"/>
    <x v="25"/>
    <m/>
    <s v="Да"/>
    <m/>
    <m/>
    <n v="180"/>
    <n v="129"/>
    <n v="309"/>
    <n v="0.372289156626506"/>
    <n v="61.800000000000004"/>
    <n v="0.2978313253012048"/>
    <n v="0.3"/>
  </r>
  <r>
    <s v="осень"/>
    <s v="Методология научных исследований"/>
    <s v="Зачет с оценкой"/>
    <s v="Т11О-201М-22"/>
    <n v="1"/>
    <s v="16104"/>
    <m/>
    <m/>
    <x v="5"/>
    <m/>
    <s v="Нет"/>
    <m/>
    <m/>
    <n v="14.5"/>
    <n v="78"/>
    <n v="92.5"/>
    <n v="0.11144578313253012"/>
    <n v="18.5"/>
    <n v="0.0891566265060241"/>
    <n v="0"/>
  </r>
  <r>
    <s v="осень"/>
    <s v="Методология научных исследований"/>
    <s v="Зачет с оценкой"/>
    <s v="Т11О-201М-22"/>
    <n v="3"/>
    <s v="16104"/>
    <m/>
    <s v="81958"/>
    <x v="25"/>
    <m/>
    <s v="Да"/>
    <m/>
    <m/>
    <n v="180"/>
    <n v="129"/>
    <n v="309"/>
    <n v="0.372289156626506"/>
    <n v="61.800000000000004"/>
    <n v="0.2978313253012048"/>
    <n v="0.3"/>
  </r>
  <r>
    <s v="осень"/>
    <s v="Методология научных исследований"/>
    <s v="Зачет с оценкой"/>
    <s v="Т11О-202М-22"/>
    <n v="2"/>
    <s v="16104"/>
    <m/>
    <s v="81958"/>
    <x v="25"/>
    <m/>
    <s v="Да"/>
    <m/>
    <m/>
    <n v="180"/>
    <n v="129"/>
    <n v="309"/>
    <n v="0.372289156626506"/>
    <n v="61.800000000000004"/>
    <n v="0.2978313253012048"/>
    <n v="0.3"/>
  </r>
  <r>
    <s v="осень"/>
    <s v="Методология научных исследований"/>
    <s v="ПЗ"/>
    <s v="Т11О-201М-22"/>
    <n v="24"/>
    <s v="16104"/>
    <n v="24"/>
    <s v="81958"/>
    <x v="25"/>
    <m/>
    <s v="Да"/>
    <m/>
    <m/>
    <n v="180"/>
    <n v="129"/>
    <n v="309"/>
    <n v="0.372289156626506"/>
    <n v="61.800000000000004"/>
    <n v="0.2978313253012048"/>
    <n v="0.3"/>
  </r>
  <r>
    <s v="осень"/>
    <s v="Методология научных исследований"/>
    <s v="ПЗ"/>
    <s v="Т11О-202М-22"/>
    <n v="24"/>
    <s v="16104"/>
    <n v="24"/>
    <s v="81958"/>
    <x v="25"/>
    <m/>
    <s v="Да"/>
    <m/>
    <m/>
    <n v="180"/>
    <n v="129"/>
    <n v="309"/>
    <n v="0.372289156626506"/>
    <n v="61.800000000000004"/>
    <n v="0.2978313253012048"/>
    <n v="0.3"/>
  </r>
  <r>
    <s v="осень"/>
    <s v="Методология научных исследований"/>
    <s v="Консультация"/>
    <s v="Т11О-201М-22"/>
    <n v="1"/>
    <s v="16104"/>
    <m/>
    <s v="81958"/>
    <x v="25"/>
    <m/>
    <s v="Да"/>
    <m/>
    <m/>
    <n v="180"/>
    <n v="129"/>
    <n v="309"/>
    <n v="0.372289156626506"/>
    <n v="61.800000000000004"/>
    <n v="0.2978313253012048"/>
    <n v="0.3"/>
  </r>
  <r>
    <s v="осень"/>
    <s v="Методология научных исследований"/>
    <s v="Консультация"/>
    <s v="Т11О-202М-22"/>
    <n v="1"/>
    <s v="16104"/>
    <m/>
    <s v="81958"/>
    <x v="25"/>
    <m/>
    <s v="Да"/>
    <m/>
    <m/>
    <n v="180"/>
    <n v="129"/>
    <n v="309"/>
    <n v="0.372289156626506"/>
    <n v="61.800000000000004"/>
    <n v="0.2978313253012048"/>
    <n v="0.3"/>
  </r>
  <r>
    <s v="осень"/>
    <s v="Практика аспиранта"/>
    <s v="Практика"/>
    <s v="Т11О-203А-22"/>
    <n v="10"/>
    <m/>
    <m/>
    <s v="92509"/>
    <x v="20"/>
    <m/>
    <s v="Нет"/>
    <m/>
    <s v="Гаджиев Магомед Ражабович"/>
    <n v="410"/>
    <n v="260"/>
    <n v="670"/>
    <n v="0.8072289156626506"/>
    <n v="134"/>
    <n v="0.6457831325301205"/>
    <n v="0.55"/>
  </r>
  <r>
    <s v="осень"/>
    <s v="Практика аспиранта"/>
    <s v="Практика"/>
    <s v="Т11О-203А-22"/>
    <n v="10"/>
    <m/>
    <m/>
    <s v="81958"/>
    <x v="25"/>
    <m/>
    <s v="Да"/>
    <m/>
    <s v="Максименко Екатерина Игоревна"/>
    <n v="180"/>
    <n v="129"/>
    <n v="309"/>
    <n v="0.372289156626506"/>
    <n v="61.800000000000004"/>
    <n v="0.2978313253012048"/>
    <n v="0.3"/>
  </r>
  <r>
    <s v="осень"/>
    <s v="Практика аспиранта"/>
    <s v="Практика"/>
    <s v="Т11О-205А-22"/>
    <n v="20"/>
    <m/>
    <m/>
    <s v="81891"/>
    <x v="7"/>
    <m/>
    <s v="Да"/>
    <m/>
    <s v="Федорцов Руслан Сергеевич"/>
    <n v="381"/>
    <n v="162"/>
    <n v="543"/>
    <n v="0.6542168674698795"/>
    <n v="108.60000000000001"/>
    <n v="0.5233734939759036"/>
    <n v="0.5"/>
  </r>
  <r>
    <s v="осень"/>
    <s v="Практика аспиранта"/>
    <s v="Практика"/>
    <s v="Т11О-206А-22"/>
    <n v="20"/>
    <m/>
    <m/>
    <s v="81728"/>
    <x v="16"/>
    <m/>
    <s v="Да"/>
    <m/>
    <s v="Батталов Тагир Хикимьянович"/>
    <n v="438"/>
    <n v="361"/>
    <n v="799"/>
    <n v="0.9626506024096385"/>
    <n v="159.8"/>
    <n v="0.7701204819277109"/>
    <n v="0.75"/>
  </r>
  <r>
    <s v="осень"/>
    <s v="Практика аспиранта"/>
    <s v="Практика"/>
    <s v="Т11О-207А-22"/>
    <n v="20"/>
    <m/>
    <m/>
    <s v="82060"/>
    <x v="23"/>
    <m/>
    <s v="Да"/>
    <m/>
    <s v="Рыбаков Егор Михайлович"/>
    <n v="239"/>
    <n v="313"/>
    <n v="552"/>
    <n v="0.6650602409638554"/>
    <n v="110.4"/>
    <n v="0.5320481927710844"/>
    <n v="0.55"/>
  </r>
  <r>
    <s v="осень"/>
    <s v="Производственная практика"/>
    <s v="Преддипломная практика"/>
    <s v="Т11О-201М-22"/>
    <n v="13"/>
    <m/>
    <m/>
    <s v="81891"/>
    <x v="7"/>
    <m/>
    <s v="Да"/>
    <m/>
    <m/>
    <n v="381"/>
    <n v="162"/>
    <n v="543"/>
    <n v="0.6542168674698795"/>
    <n v="108.60000000000001"/>
    <n v="0.5233734939759036"/>
    <n v="0.5"/>
  </r>
  <r>
    <s v="осень"/>
    <s v="Производственная практика"/>
    <s v="Преддипломная практика"/>
    <s v="Т11О-202М-22"/>
    <n v="8"/>
    <m/>
    <m/>
    <s v="81891"/>
    <x v="7"/>
    <m/>
    <s v="Да"/>
    <m/>
    <m/>
    <n v="381"/>
    <n v="162"/>
    <n v="543"/>
    <n v="0.6542168674698795"/>
    <n v="108.60000000000001"/>
    <n v="0.5233734939759036"/>
    <n v="0.5"/>
  </r>
  <r>
    <s v="осень"/>
    <s v="Педагогическая практика"/>
    <s v="Преддипломная практика"/>
    <s v="Т11О-201М-22"/>
    <n v="13"/>
    <m/>
    <m/>
    <m/>
    <x v="9"/>
    <m/>
    <s v="Да"/>
    <m/>
    <m/>
    <n v="337"/>
    <n v="205"/>
    <n v="542"/>
    <n v="0.653012048192771"/>
    <n v="108.4"/>
    <n v="0.5224096385542168"/>
    <n v="0.65"/>
  </r>
  <r>
    <s v="осень"/>
    <s v="Педагогическая практика"/>
    <s v="Преддипломная практика"/>
    <s v="Т11О-202М-22"/>
    <n v="8"/>
    <m/>
    <m/>
    <m/>
    <x v="9"/>
    <m/>
    <s v="Да"/>
    <m/>
    <m/>
    <n v="337"/>
    <n v="205"/>
    <n v="542"/>
    <n v="0.653012048192771"/>
    <n v="108.4"/>
    <n v="0.5224096385542168"/>
    <n v="0.65"/>
  </r>
  <r>
    <s v="осень"/>
    <s v="Руководство магистрами"/>
    <s v="Руководство магистрами"/>
    <s v="Т11О-201М-22"/>
    <n v="15"/>
    <m/>
    <m/>
    <s v="81728"/>
    <x v="16"/>
    <m/>
    <s v="Да"/>
    <m/>
    <s v="Александров Антон Васильевич"/>
    <n v="438"/>
    <n v="361"/>
    <n v="799"/>
    <n v="0.9626506024096385"/>
    <n v="159.8"/>
    <n v="0.7701204819277109"/>
    <n v="0.75"/>
  </r>
  <r>
    <s v="осень"/>
    <s v="Руководство магистрами"/>
    <s v="Руководство магистрами"/>
    <s v="Т11О-201М-22"/>
    <n v="30"/>
    <m/>
    <m/>
    <s v="81732"/>
    <x v="12"/>
    <m/>
    <s v="Да"/>
    <m/>
    <s v="Барабанкова Дарья Александровна, Чалый Никита Олегович"/>
    <n v="171"/>
    <n v="88"/>
    <n v="259"/>
    <n v="0.31204819277108437"/>
    <n v="51.800000000000004"/>
    <n v="0.2496385542168675"/>
    <n v="0.25"/>
  </r>
  <r>
    <s v="осень"/>
    <s v="Руководство магистрами"/>
    <s v="Руководство магистрами"/>
    <s v="Т11О-201М-22"/>
    <n v="15"/>
    <m/>
    <m/>
    <s v="81731"/>
    <x v="26"/>
    <m/>
    <s v="Нет"/>
    <m/>
    <s v="Голубев Константин Михайлович"/>
    <n v="15"/>
    <n v="146"/>
    <n v="161"/>
    <n v="0.19397590361445782"/>
    <n v="32.2"/>
    <n v="0.15518072289156626"/>
    <n v="0.15"/>
  </r>
  <r>
    <s v="осень"/>
    <s v="Руководство магистрами"/>
    <s v="Руководство магистрами"/>
    <s v="Т11О-201М-22"/>
    <n v="30"/>
    <m/>
    <m/>
    <s v="82056"/>
    <x v="4"/>
    <m/>
    <s v="Да"/>
    <m/>
    <s v="Диесперов Сергей Николаевич"/>
    <n v="188"/>
    <n v="294"/>
    <n v="482"/>
    <n v="0.5807228915662651"/>
    <n v="96.4"/>
    <n v="0.46457831325301213"/>
    <n v="0.5"/>
  </r>
  <r>
    <s v="осень"/>
    <s v="Руководство магистрами"/>
    <s v="Руководство магистрами"/>
    <s v="Т11О-201М-22"/>
    <n v="15"/>
    <m/>
    <m/>
    <s v="92509"/>
    <x v="20"/>
    <m/>
    <s v="Нет"/>
    <m/>
    <s v="Редьков Евгений Алексеевич"/>
    <n v="410"/>
    <n v="260"/>
    <n v="670"/>
    <n v="0.8072289156626506"/>
    <n v="134"/>
    <n v="0.6457831325301205"/>
    <n v="0.55"/>
  </r>
  <r>
    <s v="осень"/>
    <s v="Руководство магистрами"/>
    <s v="Руководство магистрами"/>
    <s v="Т11О-201М-22"/>
    <n v="15"/>
    <m/>
    <m/>
    <s v="89090"/>
    <x v="3"/>
    <m/>
    <s v="Нет"/>
    <m/>
    <s v="Чугункин Никита Игоревич"/>
    <n v="169"/>
    <n v="340"/>
    <n v="509"/>
    <n v="0.6132530120481928"/>
    <n v="101.80000000000001"/>
    <n v="0.4906024096385543"/>
    <n v="0.4"/>
  </r>
  <r>
    <s v="осень"/>
    <s v="Руководство магистрами"/>
    <s v="Руководство магистрами"/>
    <s v="Т11О-201М-22"/>
    <n v="15"/>
    <m/>
    <m/>
    <s v="81720"/>
    <x v="14"/>
    <m/>
    <s v="Нет"/>
    <m/>
    <s v="Булатов Асадбек Улугбек угли"/>
    <n v="279"/>
    <n v="431"/>
    <n v="710"/>
    <n v="0.8554216867469879"/>
    <n v="142"/>
    <n v="0.6843373493975904"/>
    <n v="0.65"/>
  </r>
  <r>
    <s v="осень"/>
    <s v="Руководство магистрами"/>
    <s v="Руководство магистрами"/>
    <s v="Т11О-201М-22"/>
    <n v="15"/>
    <m/>
    <m/>
    <s v="0000065837"/>
    <x v="9"/>
    <m/>
    <s v="Нет"/>
    <m/>
    <s v="Лепешкин Георгий Игоревич, Мардеев Эмиль Ренатович, Прунский Дмитрий Евгеньевич"/>
    <n v="337"/>
    <n v="205"/>
    <n v="542"/>
    <n v="0.653012048192771"/>
    <n v="108.4"/>
    <n v="0.5224096385542168"/>
    <n v="0.65"/>
  </r>
  <r>
    <s v="осень"/>
    <s v="Руководство магистрами"/>
    <s v="Руководство магистрами"/>
    <s v="Т11О-201М-22"/>
    <n v="30"/>
    <m/>
    <m/>
    <s v="0000065837"/>
    <x v="27"/>
    <m/>
    <s v="Нет"/>
    <m/>
    <s v="Лепешкин Георгий Игоревич, Мардеев Эмиль Ренатович, Прунский Дмитрий Евгеньевич"/>
    <n v="30"/>
    <n v="79"/>
    <n v="109"/>
    <n v="0.13132530120481928"/>
    <n v="21.8"/>
    <n v="0.10506024096385543"/>
    <n v="0"/>
  </r>
  <r>
    <s v="осень"/>
    <s v="Руководство магистрами"/>
    <s v="Руководство магистрами"/>
    <s v="Т11О-202М-22"/>
    <n v="15"/>
    <m/>
    <m/>
    <s v="81891"/>
    <x v="7"/>
    <m/>
    <s v="Да"/>
    <m/>
    <s v="Акулов Михаил Андреевич"/>
    <n v="381"/>
    <n v="162"/>
    <n v="543"/>
    <n v="0.6542168674698795"/>
    <n v="108.60000000000001"/>
    <n v="0.5233734939759036"/>
    <n v="0.5"/>
  </r>
  <r>
    <s v="осень"/>
    <s v="Руководство магистрами"/>
    <s v="Руководство магистрами"/>
    <s v="Т11О-202М-22"/>
    <n v="15"/>
    <m/>
    <m/>
    <s v="82086"/>
    <x v="24"/>
    <m/>
    <s v="Нет"/>
    <m/>
    <s v="Вилонов Андрей Сергеевич"/>
    <n v="364"/>
    <n v="147"/>
    <n v="511"/>
    <n v="0.6156626506024097"/>
    <n v="102.2"/>
    <n v="0.49253012048192774"/>
    <n v="0.5"/>
  </r>
  <r>
    <s v="осень"/>
    <s v="Руководство магистрами"/>
    <s v="Руководство магистрами"/>
    <s v="Т11О-202М-22"/>
    <n v="15"/>
    <m/>
    <m/>
    <s v="82027"/>
    <x v="8"/>
    <m/>
    <s v="Нет"/>
    <m/>
    <s v="Майоров Дмитрий Игоревич"/>
    <n v="78"/>
    <n v="240.5"/>
    <n v="318.5"/>
    <n v="0.38373493975903616"/>
    <n v="63.7"/>
    <n v="0.30698795180722893"/>
    <n v="0.35"/>
  </r>
  <r>
    <s v="осень"/>
    <s v="Руководство магистрами"/>
    <s v="Руководство магистрами"/>
    <s v="Т11О-202М-22"/>
    <n v="15"/>
    <m/>
    <m/>
    <s v="82018"/>
    <x v="6"/>
    <m/>
    <s v="Нет"/>
    <m/>
    <s v="Мамаева Дарья Генадьевна"/>
    <n v="233"/>
    <n v="200"/>
    <n v="433"/>
    <n v="0.5216867469879518"/>
    <n v="86.60000000000001"/>
    <n v="0.4173493975903615"/>
    <n v="0.5"/>
  </r>
  <r>
    <s v="осень"/>
    <s v="Руководство магистрами"/>
    <s v="Руководство магистрами"/>
    <s v="Т11О-202М-22"/>
    <n v="15"/>
    <m/>
    <m/>
    <s v="82020"/>
    <x v="1"/>
    <m/>
    <s v="Нет"/>
    <m/>
    <s v="Овчинников Алексей Денисович"/>
    <n v="442"/>
    <n v="269"/>
    <n v="711"/>
    <n v="0.8566265060240964"/>
    <n v="142.20000000000002"/>
    <n v="0.6853012048192771"/>
    <n v="0.7"/>
  </r>
  <r>
    <s v="осень"/>
    <s v="Руководство магистрами"/>
    <s v="Руководство магистрами"/>
    <s v="Т11О-202М-22"/>
    <n v="15"/>
    <m/>
    <m/>
    <s v="82066"/>
    <x v="21"/>
    <m/>
    <s v="Да"/>
    <m/>
    <s v="Скрыпченко Егор Николаевич"/>
    <n v="297"/>
    <n v="310"/>
    <n v="607"/>
    <n v="0.7313253012048193"/>
    <n v="121.4"/>
    <n v="0.5850602409638554"/>
    <n v="0.6"/>
  </r>
  <r>
    <s v="осень"/>
    <s v="Руководство магистрами"/>
    <s v="Руководство магистрами"/>
    <s v="Т11О-202М-22"/>
    <n v="15"/>
    <m/>
    <m/>
    <s v="94221"/>
    <x v="2"/>
    <m/>
    <s v="Нет"/>
    <m/>
    <s v="Солдатов Павел Александрович"/>
    <n v="111"/>
    <n v="265"/>
    <n v="376"/>
    <n v="0.4530120481927711"/>
    <n v="75.2"/>
    <n v="0.3624096385542169"/>
    <n v="0.45"/>
  </r>
  <r>
    <s v="осень"/>
    <s v="Руководство магистрами"/>
    <s v="Руководство магистрами"/>
    <s v="Т11О-101М-23"/>
    <n v="15"/>
    <m/>
    <m/>
    <m/>
    <x v="0"/>
    <m/>
    <s v="Нет"/>
    <m/>
    <s v="Журавлев"/>
    <n v="105"/>
    <n v="102"/>
    <n v="207"/>
    <n v="0.2493975903614458"/>
    <n v="41.400000000000006"/>
    <n v="0.19951807228915663"/>
    <n v="0.2"/>
  </r>
  <r>
    <s v="осень"/>
    <s v="Руководство магистрами"/>
    <s v="Руководство магистрами"/>
    <s v="Т11О-101М-23"/>
    <n v="15"/>
    <m/>
    <m/>
    <m/>
    <x v="23"/>
    <m/>
    <s v="Нет"/>
    <m/>
    <s v="Пачковский"/>
    <n v="239"/>
    <n v="313"/>
    <n v="552"/>
    <n v="0.6650602409638554"/>
    <n v="110.4"/>
    <n v="0.5320481927710844"/>
    <n v="0.55"/>
  </r>
  <r>
    <s v="осень"/>
    <s v="Руководство магистрами"/>
    <s v="Руководство магистрами"/>
    <s v="Т11О-101М-23"/>
    <n v="15"/>
    <m/>
    <m/>
    <m/>
    <x v="1"/>
    <m/>
    <s v="Нет"/>
    <m/>
    <s v="Рябова"/>
    <n v="442"/>
    <n v="269"/>
    <n v="711"/>
    <n v="0.8566265060240964"/>
    <n v="142.20000000000002"/>
    <n v="0.6853012048192771"/>
    <n v="0.7"/>
  </r>
  <r>
    <s v="осень"/>
    <s v="Руководство магистрами"/>
    <s v="Руководство магистрами"/>
    <s v="Т11О-101М-23"/>
    <n v="15"/>
    <m/>
    <m/>
    <m/>
    <x v="6"/>
    <m/>
    <s v="Нет"/>
    <m/>
    <m/>
    <n v="233"/>
    <n v="200"/>
    <n v="433"/>
    <n v="0.5216867469879518"/>
    <n v="86.60000000000001"/>
    <n v="0.4173493975903615"/>
    <n v="0.5"/>
  </r>
  <r>
    <s v="осень"/>
    <s v="Руководство магистрами"/>
    <s v="Руководство магистрами"/>
    <s v="Т11О-101М-23"/>
    <n v="15"/>
    <m/>
    <m/>
    <m/>
    <x v="21"/>
    <m/>
    <s v="Нет"/>
    <m/>
    <m/>
    <n v="297"/>
    <n v="310"/>
    <n v="607"/>
    <n v="0.7313253012048193"/>
    <n v="121.4"/>
    <n v="0.5850602409638554"/>
    <n v="0.6"/>
  </r>
  <r>
    <s v="осень"/>
    <s v="Руководство магистрами"/>
    <s v="Руководство магистрами"/>
    <s v="Т11О-101М-23"/>
    <n v="15"/>
    <m/>
    <m/>
    <m/>
    <x v="4"/>
    <m/>
    <s v="Нет"/>
    <m/>
    <m/>
    <n v="188"/>
    <n v="294"/>
    <n v="482"/>
    <n v="0.5807228915662651"/>
    <n v="96.4"/>
    <n v="0.46457831325301213"/>
    <n v="0.5"/>
  </r>
  <r>
    <s v="осень"/>
    <s v="Руководство магистрами"/>
    <s v="Руководство магистрами"/>
    <s v="Т11О-101М-23"/>
    <n v="15"/>
    <m/>
    <m/>
    <m/>
    <x v="12"/>
    <m/>
    <s v="Нет"/>
    <m/>
    <m/>
    <n v="171"/>
    <n v="88"/>
    <n v="259"/>
    <n v="0.31204819277108437"/>
    <n v="51.800000000000004"/>
    <n v="0.2496385542168675"/>
    <n v="0.25"/>
  </r>
  <r>
    <s v="осень"/>
    <s v="Руководство магистрами"/>
    <s v="Руководство магистрами"/>
    <s v="Т11О-101М-23"/>
    <n v="15"/>
    <m/>
    <m/>
    <m/>
    <x v="13"/>
    <m/>
    <s v="Нет"/>
    <m/>
    <m/>
    <n v="186"/>
    <n v="42"/>
    <n v="228"/>
    <n v="0.2746987951807229"/>
    <n v="45.6"/>
    <n v="0.2197590361445783"/>
    <n v="0.2"/>
  </r>
  <r>
    <s v="осень"/>
    <s v="Руководство магистрами"/>
    <s v="Руководство магистрами"/>
    <s v="Т11О-101М-23"/>
    <n v="15"/>
    <m/>
    <m/>
    <m/>
    <x v="8"/>
    <m/>
    <s v="Нет"/>
    <m/>
    <m/>
    <n v="78"/>
    <n v="240.5"/>
    <n v="318.5"/>
    <n v="0.38373493975903616"/>
    <n v="63.7"/>
    <n v="0.30698795180722893"/>
    <n v="0.35"/>
  </r>
  <r>
    <s v="осень"/>
    <s v="Руководство магистрами"/>
    <s v="Руководство магистрами"/>
    <s v="Т11О-101М-23"/>
    <n v="15"/>
    <m/>
    <m/>
    <m/>
    <x v="15"/>
    <m/>
    <s v="Нет"/>
    <m/>
    <m/>
    <n v="276"/>
    <n v="323"/>
    <n v="599"/>
    <n v="0.7216867469879518"/>
    <n v="119.80000000000001"/>
    <n v="0.5773493975903614"/>
    <n v="0.55"/>
  </r>
  <r>
    <s v="осень"/>
    <s v="Руководство магистрами"/>
    <s v="Руководство магистрами"/>
    <s v="Т11О-101М-23"/>
    <n v="15"/>
    <m/>
    <m/>
    <m/>
    <x v="16"/>
    <m/>
    <s v="Нет"/>
    <m/>
    <m/>
    <n v="438"/>
    <n v="361"/>
    <n v="799"/>
    <n v="0.9626506024096385"/>
    <n v="159.8"/>
    <n v="0.7701204819277109"/>
    <n v="0.75"/>
  </r>
  <r>
    <s v="осень"/>
    <s v="Руководство магистрами"/>
    <s v="Руководство магистрами"/>
    <s v="Т11О-101М-23"/>
    <n v="15"/>
    <m/>
    <m/>
    <m/>
    <x v="23"/>
    <m/>
    <s v="Нет"/>
    <m/>
    <m/>
    <n v="239"/>
    <n v="313"/>
    <n v="552"/>
    <n v="0.6650602409638554"/>
    <n v="110.4"/>
    <n v="0.5320481927710844"/>
    <n v="0.55"/>
  </r>
  <r>
    <s v="осень"/>
    <s v="Руководство магистрами"/>
    <s v="Руководство магистрами"/>
    <s v="Т11О-101М-23"/>
    <n v="15"/>
    <m/>
    <m/>
    <m/>
    <x v="11"/>
    <m/>
    <s v="Нет"/>
    <m/>
    <m/>
    <n v="298"/>
    <n v="310"/>
    <n v="608"/>
    <n v="0.7325301204819277"/>
    <n v="121.60000000000001"/>
    <n v="0.5860240963855422"/>
    <n v="0.7"/>
  </r>
  <r>
    <s v="осень"/>
    <s v="Руководство аспирантами"/>
    <s v="Руководство аспирантами"/>
    <s v="Т11О-407А-20"/>
    <n v="25"/>
    <m/>
    <m/>
    <s v="81958"/>
    <x v="25"/>
    <m/>
    <s v="Да"/>
    <m/>
    <s v="Прокопенко Денис Алексеевич"/>
    <n v="180"/>
    <n v="129"/>
    <n v="309"/>
    <n v="0.372289156626506"/>
    <n v="61.800000000000004"/>
    <n v="0.2978313253012048"/>
    <n v="0.3"/>
  </r>
  <r>
    <s v="осень"/>
    <s v="Руководство аспирантами"/>
    <s v="Руководство аспирантами"/>
    <s v="Т11О-407А-20"/>
    <n v="25"/>
    <m/>
    <m/>
    <s v="82060"/>
    <x v="23"/>
    <m/>
    <s v="Да"/>
    <m/>
    <s v="Митрофанов Андрей Леонидович"/>
    <n v="239"/>
    <n v="313"/>
    <n v="552"/>
    <n v="0.6650602409638554"/>
    <n v="110.4"/>
    <n v="0.5320481927710844"/>
    <n v="0.55"/>
  </r>
  <r>
    <s v="осень"/>
    <s v="Руководство аспирантами"/>
    <s v="Руководство аспирантами"/>
    <s v="Т11О-302А-21"/>
    <n v="25"/>
    <m/>
    <m/>
    <s v="92509"/>
    <x v="20"/>
    <m/>
    <s v="Нет"/>
    <m/>
    <s v="Жуков Евгений Юрьевич"/>
    <n v="410"/>
    <n v="260"/>
    <n v="670"/>
    <n v="0.8072289156626506"/>
    <n v="134"/>
    <n v="0.6457831325301205"/>
    <n v="0.55"/>
  </r>
  <r>
    <s v="осень"/>
    <s v="Руководство аспирантами"/>
    <s v="Руководство аспирантами"/>
    <s v="Т11О-306А-21"/>
    <n v="25"/>
    <m/>
    <m/>
    <s v="82056"/>
    <x v="9"/>
    <m/>
    <s v="Да"/>
    <m/>
    <s v="Федотов Александр Юрьевич а/о"/>
    <n v="337"/>
    <n v="205"/>
    <n v="542"/>
    <n v="0.653012048192771"/>
    <n v="108.4"/>
    <n v="0.5224096385542168"/>
    <n v="0.65"/>
  </r>
  <r>
    <s v="осень"/>
    <s v="Руководство аспирантами"/>
    <s v="Руководство аспирантами"/>
    <s v="Т11О-203А-22"/>
    <n v="50"/>
    <m/>
    <m/>
    <s v="92509"/>
    <x v="20"/>
    <m/>
    <s v="Нет"/>
    <m/>
    <s v="Гаджиев Магомед Ражабович"/>
    <n v="410"/>
    <n v="260"/>
    <n v="670"/>
    <n v="0.8072289156626506"/>
    <n v="134"/>
    <n v="0.6457831325301205"/>
    <n v="0.55"/>
  </r>
  <r>
    <s v="осень"/>
    <s v="Руководство аспирантами"/>
    <s v="Руководство аспирантами"/>
    <s v="Т11О-203А-22"/>
    <n v="50"/>
    <m/>
    <m/>
    <s v="81958"/>
    <x v="25"/>
    <m/>
    <s v="Да"/>
    <m/>
    <s v="Максименко Екатерина Игоревна"/>
    <n v="180"/>
    <n v="129"/>
    <n v="309"/>
    <n v="0.372289156626506"/>
    <n v="61.800000000000004"/>
    <n v="0.2978313253012048"/>
    <n v="0.3"/>
  </r>
  <r>
    <s v="осень"/>
    <s v="Руководство аспирантами"/>
    <s v="Руководство аспирантами"/>
    <s v="Т11О-205А-22"/>
    <n v="50"/>
    <m/>
    <m/>
    <s v="81891"/>
    <x v="7"/>
    <m/>
    <s v="Да"/>
    <m/>
    <s v="Федорцов Руслан Сергеевич"/>
    <n v="381"/>
    <n v="162"/>
    <n v="543"/>
    <n v="0.6542168674698795"/>
    <n v="108.60000000000001"/>
    <n v="0.5233734939759036"/>
    <n v="0.5"/>
  </r>
  <r>
    <s v="осень"/>
    <s v="Руководство аспирантами"/>
    <s v="Руководство аспирантами"/>
    <s v="Т11О-206А-22"/>
    <n v="50"/>
    <m/>
    <m/>
    <s v="81728"/>
    <x v="16"/>
    <m/>
    <s v="Да"/>
    <m/>
    <s v="Батталов Тагир Хакимьянович"/>
    <n v="438"/>
    <n v="361"/>
    <n v="799"/>
    <n v="0.9626506024096385"/>
    <n v="159.8"/>
    <n v="0.7701204819277109"/>
    <n v="0.75"/>
  </r>
  <r>
    <s v="осень"/>
    <s v="Руководство аспирантами"/>
    <s v="Руководство аспирантами"/>
    <s v="Т11О-207А-22"/>
    <n v="50"/>
    <m/>
    <m/>
    <s v="82060"/>
    <x v="23"/>
    <m/>
    <s v="Да"/>
    <m/>
    <s v="Рыбаков Егор Михайлович"/>
    <n v="239"/>
    <n v="313"/>
    <n v="552"/>
    <n v="0.6650602409638554"/>
    <n v="110.4"/>
    <n v="0.5320481927710844"/>
    <n v="0.55"/>
  </r>
  <r>
    <s v="весна"/>
    <s v="Руководство кафедрой"/>
    <s v="Руководство кафедрой"/>
    <m/>
    <n v="30"/>
    <m/>
    <m/>
    <s v="82061"/>
    <x v="0"/>
    <m/>
    <s v="Нет"/>
    <m/>
    <m/>
    <n v="105"/>
    <n v="102"/>
    <n v="207"/>
    <n v="0.2493975903614458"/>
    <n v="41.400000000000006"/>
    <n v="0.19951807228915663"/>
    <n v="0.2"/>
  </r>
  <r>
    <s v="весна"/>
    <s v="Информационные технологии в ОМД"/>
    <s v="ЛК"/>
    <s v="Т11О-401Б-20"/>
    <n v="16"/>
    <s v="11924"/>
    <n v="16"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Информационные технологии в ОМД"/>
    <s v="ЛР"/>
    <s v="Т11О-401Б-20"/>
    <n v="32"/>
    <s v="11924"/>
    <n v="32"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Информационные технологии в ОМД"/>
    <s v="Зачет"/>
    <s v="Т11О-401Б-20"/>
    <n v="2"/>
    <s v="11924"/>
    <m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Информационные технологии в ОМД"/>
    <s v="Консультация"/>
    <s v="Т11О-401Б-20"/>
    <n v="1"/>
    <s v="11924"/>
    <m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Металлургия конструкционных материалов из гранулируемых сплавов"/>
    <s v="ЛК"/>
    <s v="Т11О-201М-22, Т11О-202М-22"/>
    <n v="8"/>
    <s v="16104"/>
    <n v="16"/>
    <s v="82056"/>
    <x v="4"/>
    <m/>
    <s v="Нет"/>
    <m/>
    <m/>
    <n v="188"/>
    <n v="294"/>
    <n v="482"/>
    <n v="0.5807228915662651"/>
    <n v="96.4"/>
    <n v="0.46457831325301213"/>
    <n v="0.5"/>
  </r>
  <r>
    <s v="весна"/>
    <s v="Металлургия конструкционных материалов из гранулируемых сплавов"/>
    <s v="ЛК"/>
    <s v="Т11О-201М-22, Т11О-202М-22"/>
    <n v="8"/>
    <s v="16104"/>
    <n v="16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Металлургия конструкционных материалов из гранулируемых сплавов"/>
    <s v="КР"/>
    <s v="Т11О-201М-22"/>
    <n v="24"/>
    <s v="16104"/>
    <m/>
    <s v="82056"/>
    <x v="4"/>
    <m/>
    <s v="Нет"/>
    <m/>
    <m/>
    <n v="188"/>
    <n v="294"/>
    <n v="482"/>
    <n v="0.5807228915662651"/>
    <n v="96.4"/>
    <n v="0.46457831325301213"/>
    <n v="0.5"/>
  </r>
  <r>
    <s v="весна"/>
    <s v="Металлургия конструкционных материалов из гранулируемых сплавов"/>
    <s v="КР"/>
    <s v="Т11О-202М-22"/>
    <n v="14"/>
    <s v="16104"/>
    <m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Металлургия конструкционных материалов из гранулируемых сплавов"/>
    <s v="ПЗ"/>
    <s v="Т11О-201М-22"/>
    <n v="22"/>
    <s v="16104"/>
    <n v="44"/>
    <s v="82056"/>
    <x v="4"/>
    <m/>
    <s v="Нет"/>
    <m/>
    <m/>
    <n v="188"/>
    <n v="294"/>
    <n v="482"/>
    <n v="0.5807228915662651"/>
    <n v="96.4"/>
    <n v="0.46457831325301213"/>
    <n v="0.5"/>
  </r>
  <r>
    <s v="весна"/>
    <s v="Металлургия конструкционных материалов из гранулируемых сплавов"/>
    <s v="ПЗ"/>
    <s v="Т11О-201М-22"/>
    <n v="22"/>
    <s v="16104"/>
    <n v="44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Металлургия конструкционных материалов из гранулируемых сплавов"/>
    <s v="ПЗ"/>
    <s v="Т11О-202М-22"/>
    <n v="22"/>
    <s v="16104"/>
    <n v="44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Металлургия конструкционных материалов из гранулируемых сплавов"/>
    <s v="ПЗ"/>
    <s v="Т11О-202М-22"/>
    <n v="22"/>
    <s v="16104"/>
    <n v="44"/>
    <s v="82056"/>
    <x v="4"/>
    <m/>
    <s v="Нет"/>
    <m/>
    <m/>
    <n v="188"/>
    <n v="294"/>
    <n v="482"/>
    <n v="0.5807228915662651"/>
    <n v="96.4"/>
    <n v="0.46457831325301213"/>
    <n v="0.5"/>
  </r>
  <r>
    <s v="весна"/>
    <s v="Металлургия конструкционных материалов из гранулируемых сплавов"/>
    <s v="Экзамен"/>
    <s v="Т11О-201М-22"/>
    <n v="2"/>
    <s v="16104"/>
    <m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Металлургия конструкционных материалов из гранулируемых сплавов"/>
    <s v="Экзамен"/>
    <s v="Т11О-201М-22"/>
    <n v="2"/>
    <s v="16104"/>
    <m/>
    <s v="82056"/>
    <x v="4"/>
    <m/>
    <s v="Нет"/>
    <m/>
    <m/>
    <n v="188"/>
    <n v="294"/>
    <n v="482"/>
    <n v="0.5807228915662651"/>
    <n v="96.4"/>
    <n v="0.46457831325301213"/>
    <n v="0.5"/>
  </r>
  <r>
    <s v="весна"/>
    <s v="Металлургия конструкционных материалов из гранулируемых сплавов"/>
    <s v="Экзамен"/>
    <s v="Т11О-201М-22"/>
    <n v="2"/>
    <s v="16104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Металлургия конструкционных материалов из гранулируемых сплавов"/>
    <s v="Экзамен"/>
    <s v="Т11О-202М-22"/>
    <n v="2"/>
    <s v="16104"/>
    <m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Металлургия конструкционных материалов из гранулируемых сплавов"/>
    <s v="Экзамен"/>
    <s v="Т11О-202М-22"/>
    <n v="2"/>
    <s v="16104"/>
    <m/>
    <s v="82056"/>
    <x v="4"/>
    <m/>
    <s v="Нет"/>
    <m/>
    <m/>
    <n v="188"/>
    <n v="294"/>
    <n v="482"/>
    <n v="0.5807228915662651"/>
    <n v="96.4"/>
    <n v="0.46457831325301213"/>
    <n v="0.5"/>
  </r>
  <r>
    <s v="весна"/>
    <s v="Металлургия конструкционных материалов из гранулируемых сплавов"/>
    <s v="Консультация"/>
    <s v="Т11О-201М-22"/>
    <n v="1"/>
    <s v="16104"/>
    <m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Металлургия конструкционных материалов из гранулируемых сплавов"/>
    <s v="Консультация"/>
    <s v="Т11О-201М-22"/>
    <n v="1"/>
    <s v="16104"/>
    <m/>
    <s v="82056"/>
    <x v="4"/>
    <m/>
    <s v="Нет"/>
    <m/>
    <m/>
    <n v="188"/>
    <n v="294"/>
    <n v="482"/>
    <n v="0.5807228915662651"/>
    <n v="96.4"/>
    <n v="0.46457831325301213"/>
    <n v="0.5"/>
  </r>
  <r>
    <s v="весна"/>
    <s v="Металлургия конструкционных материалов из гранулируемых сплавов"/>
    <s v="Консультация"/>
    <s v="Т11О-202М-22"/>
    <n v="1"/>
    <s v="16104"/>
    <m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Металлургия конструкционных материалов из гранулируемых сплавов"/>
    <s v="Консультация"/>
    <s v="Т11О-202М-22"/>
    <n v="1"/>
    <s v="16104"/>
    <m/>
    <s v="82056"/>
    <x v="4"/>
    <m/>
    <s v="Нет"/>
    <m/>
    <m/>
    <n v="188"/>
    <n v="294"/>
    <n v="482"/>
    <n v="0.5807228915662651"/>
    <n v="96.4"/>
    <n v="0.46457831325301213"/>
    <n v="0.5"/>
  </r>
  <r>
    <s v="весна"/>
    <s v="Автоматизация управления жизненным циклом продукции"/>
    <s v="ЛК"/>
    <s v="Т11О-403Б-20"/>
    <n v="16"/>
    <s v="13288"/>
    <n v="16"/>
    <s v="81722"/>
    <x v="11"/>
    <m/>
    <s v="Нет"/>
    <m/>
    <m/>
    <n v="298"/>
    <n v="310"/>
    <n v="608"/>
    <n v="0.7325301204819277"/>
    <n v="121.60000000000001"/>
    <n v="0.5860240963855422"/>
    <n v="0.7"/>
  </r>
  <r>
    <s v="весна"/>
    <s v="Автоматизация управления жизненным циклом продукции"/>
    <s v="ПЗ"/>
    <s v="Т11О-403Б-20"/>
    <n v="16"/>
    <s v="13288"/>
    <n v="16"/>
    <s v="81722"/>
    <x v="11"/>
    <m/>
    <s v="Нет"/>
    <m/>
    <m/>
    <n v="298"/>
    <n v="310"/>
    <n v="608"/>
    <n v="0.7325301204819277"/>
    <n v="121.60000000000001"/>
    <n v="0.5860240963855422"/>
    <n v="0.7"/>
  </r>
  <r>
    <s v="весна"/>
    <s v="Автоматизация управления жизненным циклом продукции"/>
    <s v="Зачет"/>
    <s v="Т11О-403Б-20"/>
    <n v="1"/>
    <s v="13288"/>
    <m/>
    <s v="81722"/>
    <x v="11"/>
    <m/>
    <s v="Нет"/>
    <m/>
    <m/>
    <n v="298"/>
    <n v="310"/>
    <n v="608"/>
    <n v="0.7325301204819277"/>
    <n v="121.60000000000001"/>
    <n v="0.5860240963855422"/>
    <n v="0.7"/>
  </r>
  <r>
    <s v="весна"/>
    <s v="Автоматизация управления жизненным циклом продукции"/>
    <s v="Зачет"/>
    <s v="Т11О-403Б-20"/>
    <n v="1"/>
    <s v="1328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Автоматизация управления жизненным циклом продукции"/>
    <s v="Консультация"/>
    <s v="Т11О-403Б-20"/>
    <n v="1"/>
    <s v="13288"/>
    <m/>
    <s v="81722"/>
    <x v="11"/>
    <m/>
    <s v="Нет"/>
    <m/>
    <m/>
    <n v="298"/>
    <n v="310"/>
    <n v="608"/>
    <n v="0.7325301204819277"/>
    <n v="121.60000000000001"/>
    <n v="0.5860240963855422"/>
    <n v="0.7"/>
  </r>
  <r>
    <s v="весна"/>
    <s v="Вычислительные машины и сети"/>
    <s v="ЛК"/>
    <s v="Т11О-206Б-22"/>
    <n v="16"/>
    <s v="16776"/>
    <n v="16"/>
    <s v="82026"/>
    <x v="9"/>
    <m/>
    <s v="Нет"/>
    <m/>
    <m/>
    <n v="337"/>
    <n v="205"/>
    <n v="542"/>
    <n v="0.653012048192771"/>
    <n v="108.4"/>
    <n v="0.5224096385542168"/>
    <n v="0.65"/>
  </r>
  <r>
    <s v="весна"/>
    <s v="Вычислительные машины и сети"/>
    <s v="ПЗ"/>
    <s v="Т11О-206Б-22"/>
    <n v="16"/>
    <s v="16776"/>
    <n v="16"/>
    <s v="82026"/>
    <x v="9"/>
    <m/>
    <s v="Нет"/>
    <m/>
    <m/>
    <n v="337"/>
    <n v="205"/>
    <n v="542"/>
    <n v="0.653012048192771"/>
    <n v="108.4"/>
    <n v="0.5224096385542168"/>
    <n v="0.65"/>
  </r>
  <r>
    <s v="весна"/>
    <s v="Вычислительные машины и сети"/>
    <s v="Зачет"/>
    <s v="Т11О-206Б-22"/>
    <n v="3"/>
    <s v="16776"/>
    <m/>
    <s v="82026"/>
    <x v="9"/>
    <m/>
    <s v="Нет"/>
    <m/>
    <m/>
    <n v="337"/>
    <n v="205"/>
    <n v="542"/>
    <n v="0.653012048192771"/>
    <n v="108.4"/>
    <n v="0.5224096385542168"/>
    <n v="0.65"/>
  </r>
  <r>
    <s v="весна"/>
    <s v="Вычислительные машины и сети"/>
    <s v="Зачет"/>
    <s v="Т11О-206Б-22"/>
    <n v="1"/>
    <s v="16776"/>
    <m/>
    <m/>
    <x v="9"/>
    <m/>
    <s v="Нет"/>
    <m/>
    <m/>
    <n v="337"/>
    <n v="205"/>
    <n v="542"/>
    <n v="0.653012048192771"/>
    <n v="108.4"/>
    <n v="0.5224096385542168"/>
    <n v="0.65"/>
  </r>
  <r>
    <s v="весна"/>
    <s v="Вычислительные машины и сети"/>
    <s v="Консультация"/>
    <s v="Т11О-206Б-22"/>
    <n v="1"/>
    <s v="16776"/>
    <m/>
    <s v="82026"/>
    <x v="9"/>
    <m/>
    <s v="Нет"/>
    <m/>
    <m/>
    <n v="337"/>
    <n v="205"/>
    <n v="542"/>
    <n v="0.653012048192771"/>
    <n v="108.4"/>
    <n v="0.5224096385542168"/>
    <n v="0.65"/>
  </r>
  <r>
    <s v="весна"/>
    <s v="Процессы порошковой металлургии"/>
    <s v="ЛК"/>
    <s v="Т11О-301Б-21"/>
    <n v="32"/>
    <s v="14668"/>
    <n v="32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Процессы порошковой металлургии"/>
    <s v="ПЗ"/>
    <s v="Т11О-301Б-21"/>
    <n v="20"/>
    <s v="14668"/>
    <n v="20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Процессы порошковой металлургии"/>
    <s v="ЛР"/>
    <s v="Т11О-301Б-21"/>
    <n v="16"/>
    <s v="14668"/>
    <n v="16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Процессы порошковой металлургии"/>
    <s v="Экзамен"/>
    <s v="Т11О-301Б-21"/>
    <n v="3"/>
    <s v="14668"/>
    <m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Процессы порошковой металлургии"/>
    <s v="Экзамен"/>
    <s v="Т11О-301Б-21"/>
    <n v="2"/>
    <s v="1466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Процессы порошковой металлургии"/>
    <s v="Консультация"/>
    <s v="Т11О-301Б-21"/>
    <n v="2"/>
    <s v="14668"/>
    <m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Процессы порошковой металлургии"/>
    <s v="Консультация"/>
    <s v="Т11О-301Б-21"/>
    <n v="1"/>
    <s v="1466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хнология и оборудование сварки давлением"/>
    <s v="ЛК"/>
    <s v="Т11О-401Б-20"/>
    <n v="24"/>
    <s v="11924"/>
    <n v="24"/>
    <s v="89090"/>
    <x v="3"/>
    <m/>
    <s v="Нет"/>
    <m/>
    <m/>
    <n v="169"/>
    <n v="340"/>
    <n v="509"/>
    <n v="0.6132530120481928"/>
    <n v="101.80000000000001"/>
    <n v="0.4906024096385543"/>
    <n v="0.4"/>
  </r>
  <r>
    <s v="весна"/>
    <s v="Технология и оборудование сварки давлением"/>
    <s v="ПЗ"/>
    <s v="Т11О-401Б-20"/>
    <n v="12"/>
    <s v="11924"/>
    <n v="12"/>
    <s v="89090"/>
    <x v="3"/>
    <m/>
    <s v="Нет"/>
    <m/>
    <m/>
    <n v="169"/>
    <n v="340"/>
    <n v="509"/>
    <n v="0.6132530120481928"/>
    <n v="101.80000000000001"/>
    <n v="0.4906024096385543"/>
    <n v="0.4"/>
  </r>
  <r>
    <s v="весна"/>
    <s v="Технология и оборудование сварки давлением"/>
    <s v="ЛР"/>
    <s v="Т11О-401Б-20"/>
    <n v="28"/>
    <s v="11924"/>
    <n v="28"/>
    <s v="89090"/>
    <x v="3"/>
    <m/>
    <s v="Нет"/>
    <m/>
    <m/>
    <n v="169"/>
    <n v="340"/>
    <n v="509"/>
    <n v="0.6132530120481928"/>
    <n v="101.80000000000001"/>
    <n v="0.4906024096385543"/>
    <n v="0.4"/>
  </r>
  <r>
    <s v="весна"/>
    <s v="Технология и оборудование сварки давлением"/>
    <s v="Экзамен"/>
    <s v="Т11О-401Б-20"/>
    <n v="4"/>
    <s v="11924"/>
    <m/>
    <s v="89090"/>
    <x v="3"/>
    <m/>
    <s v="Нет"/>
    <m/>
    <m/>
    <n v="169"/>
    <n v="340"/>
    <n v="509"/>
    <n v="0.6132530120481928"/>
    <n v="101.80000000000001"/>
    <n v="0.4906024096385543"/>
    <n v="0.4"/>
  </r>
  <r>
    <s v="весна"/>
    <s v="Технология и оборудование сварки давлением"/>
    <s v="Экзамен"/>
    <s v="Т11О-401Б-20"/>
    <n v="2"/>
    <s v="11924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хнология и оборудование сварки давлением"/>
    <s v="Консультация"/>
    <s v="Т11О-401Б-20"/>
    <n v="2"/>
    <s v="11924"/>
    <m/>
    <s v="89090"/>
    <x v="3"/>
    <m/>
    <s v="Нет"/>
    <m/>
    <m/>
    <n v="169"/>
    <n v="340"/>
    <n v="509"/>
    <n v="0.6132530120481928"/>
    <n v="101.80000000000001"/>
    <n v="0.4906024096385543"/>
    <n v="0.4"/>
  </r>
  <r>
    <s v="весна"/>
    <s v="Технология и оборудование сварки давлением"/>
    <s v="Консультация"/>
    <s v="Т11О-401Б-20"/>
    <n v="1"/>
    <s v="11924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ория металлургических процессов"/>
    <s v="ЛК"/>
    <s v="Т11О-201Б-22"/>
    <n v="32"/>
    <s v="14668"/>
    <n v="32"/>
    <s v="94221"/>
    <x v="2"/>
    <m/>
    <s v="Нет"/>
    <m/>
    <m/>
    <n v="111"/>
    <n v="265"/>
    <n v="376"/>
    <n v="0.4530120481927711"/>
    <n v="75.2"/>
    <n v="0.3624096385542169"/>
    <n v="0.45"/>
  </r>
  <r>
    <s v="весна"/>
    <s v="Теория металлургических процессов"/>
    <s v="Зачет с оценкой"/>
    <s v="Т11О-201Б-22"/>
    <n v="3"/>
    <s v="14668"/>
    <m/>
    <s v="94221"/>
    <x v="2"/>
    <m/>
    <s v="Нет"/>
    <m/>
    <m/>
    <n v="111"/>
    <n v="265"/>
    <n v="376"/>
    <n v="0.4530120481927711"/>
    <n v="75.2"/>
    <n v="0.3624096385542169"/>
    <n v="0.45"/>
  </r>
  <r>
    <s v="весна"/>
    <s v="Теория металлургических процессов"/>
    <s v="Зачет с оценкой"/>
    <s v="Т11О-201Б-22"/>
    <n v="2"/>
    <s v="1466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ория металлургических процессов"/>
    <s v="ПЗ"/>
    <s v="Т11О-201Б-22"/>
    <n v="16"/>
    <s v="14668"/>
    <n v="16"/>
    <s v="94221"/>
    <x v="2"/>
    <m/>
    <s v="Нет"/>
    <m/>
    <m/>
    <n v="111"/>
    <n v="265"/>
    <n v="376"/>
    <n v="0.4530120481927711"/>
    <n v="75.2"/>
    <n v="0.3624096385542169"/>
    <n v="0.45"/>
  </r>
  <r>
    <s v="весна"/>
    <s v="Теория металлургических процессов"/>
    <s v="ЛР"/>
    <s v="Т11О-201Б-22"/>
    <n v="32"/>
    <s v="14668"/>
    <n v="16"/>
    <s v="94221"/>
    <x v="2"/>
    <m/>
    <s v="Нет"/>
    <m/>
    <m/>
    <n v="111"/>
    <n v="265"/>
    <n v="376"/>
    <n v="0.4530120481927711"/>
    <n v="75.2"/>
    <n v="0.3624096385542169"/>
    <n v="0.45"/>
  </r>
  <r>
    <s v="весна"/>
    <s v="Теория металлургических процессов"/>
    <s v="Консультация"/>
    <s v="Т11О-201Б-22"/>
    <n v="1"/>
    <s v="14668"/>
    <m/>
    <s v="94221"/>
    <x v="2"/>
    <m/>
    <s v="Нет"/>
    <m/>
    <m/>
    <n v="111"/>
    <n v="265"/>
    <n v="376"/>
    <n v="0.4530120481927711"/>
    <n v="75.2"/>
    <n v="0.3624096385542169"/>
    <n v="0.45"/>
  </r>
  <r>
    <s v="весна"/>
    <s v="Теория металлургических процессов"/>
    <s v="Консультация"/>
    <s v="Т11О-201Б-22"/>
    <n v="1"/>
    <s v="1466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хнология литейного производства"/>
    <s v="ЛК"/>
    <s v="Т11О-301Б-21"/>
    <n v="32"/>
    <s v="14668"/>
    <n v="32"/>
    <s v="82061"/>
    <x v="0"/>
    <m/>
    <s v="Нет"/>
    <m/>
    <m/>
    <n v="105"/>
    <n v="102"/>
    <n v="207"/>
    <n v="0.2493975903614458"/>
    <n v="41.400000000000006"/>
    <n v="0.19951807228915663"/>
    <n v="0.2"/>
  </r>
  <r>
    <s v="весна"/>
    <s v="Технология литейного производства"/>
    <s v="ПЗ"/>
    <s v="Т11О-301Б-21"/>
    <n v="20"/>
    <s v="14668"/>
    <n v="20"/>
    <s v="82061"/>
    <x v="0"/>
    <m/>
    <s v="Нет"/>
    <m/>
    <m/>
    <n v="105"/>
    <n v="102"/>
    <n v="207"/>
    <n v="0.2493975903614458"/>
    <n v="41.400000000000006"/>
    <n v="0.19951807228915663"/>
    <n v="0.2"/>
  </r>
  <r>
    <s v="весна"/>
    <s v="Технология литейного производства"/>
    <s v="ЛР"/>
    <s v="Т11О-301Б-21"/>
    <n v="16"/>
    <s v="14668"/>
    <n v="16"/>
    <s v="82061"/>
    <x v="8"/>
    <m/>
    <s v="Нет"/>
    <m/>
    <m/>
    <n v="78"/>
    <n v="240.5"/>
    <n v="318.5"/>
    <n v="0.38373493975903616"/>
    <n v="63.7"/>
    <n v="0.30698795180722893"/>
    <n v="0.35"/>
  </r>
  <r>
    <s v="весна"/>
    <s v="Технология литейного производства"/>
    <s v="Экзамен"/>
    <s v="Т11О-301Б-21"/>
    <n v="3"/>
    <s v="14668"/>
    <m/>
    <s v="82061"/>
    <x v="0"/>
    <m/>
    <s v="Нет"/>
    <m/>
    <m/>
    <n v="105"/>
    <n v="102"/>
    <n v="207"/>
    <n v="0.2493975903614458"/>
    <n v="41.400000000000006"/>
    <n v="0.19951807228915663"/>
    <n v="0.2"/>
  </r>
  <r>
    <s v="весна"/>
    <s v="Технология литейного производства"/>
    <s v="Экзамен"/>
    <s v="Т11О-301Б-21"/>
    <n v="2"/>
    <s v="1466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хнология литейного производства"/>
    <s v="Консультация"/>
    <s v="Т11О-301Б-21"/>
    <n v="2"/>
    <s v="14668"/>
    <m/>
    <s v="82061"/>
    <x v="0"/>
    <m/>
    <s v="Нет"/>
    <m/>
    <m/>
    <n v="105"/>
    <n v="102"/>
    <n v="207"/>
    <n v="0.2493975903614458"/>
    <n v="41.400000000000006"/>
    <n v="0.19951807228915663"/>
    <n v="0.2"/>
  </r>
  <r>
    <s v="весна"/>
    <s v="Технология литейного производства"/>
    <s v="Консультация"/>
    <s v="Т11О-301Б-21"/>
    <n v="1"/>
    <s v="1466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оретические основы, технология и оборудование пайки"/>
    <s v="ЛК"/>
    <s v="Т11О-401Б-20"/>
    <n v="24"/>
    <s v="11924"/>
    <n v="24"/>
    <s v="92509"/>
    <x v="20"/>
    <m/>
    <s v="Нет"/>
    <m/>
    <m/>
    <n v="410"/>
    <n v="260"/>
    <n v="670"/>
    <n v="0.8072289156626506"/>
    <n v="134"/>
    <n v="0.6457831325301205"/>
    <n v="0.55"/>
  </r>
  <r>
    <s v="весна"/>
    <s v="Теоретические основы, технология и оборудование пайки"/>
    <s v="ПЗ"/>
    <s v="Т11О-401Б-20"/>
    <n v="12"/>
    <s v="11924"/>
    <n v="12"/>
    <s v="92509"/>
    <x v="20"/>
    <m/>
    <s v="Нет"/>
    <m/>
    <m/>
    <n v="410"/>
    <n v="260"/>
    <n v="670"/>
    <n v="0.8072289156626506"/>
    <n v="134"/>
    <n v="0.6457831325301205"/>
    <n v="0.55"/>
  </r>
  <r>
    <s v="весна"/>
    <s v="Теоретические основы, технология и оборудование пайки"/>
    <s v="ЛР"/>
    <s v="Т11О-401Б-20"/>
    <n v="28"/>
    <s v="11924"/>
    <n v="28"/>
    <s v="92509"/>
    <x v="20"/>
    <m/>
    <s v="Нет"/>
    <m/>
    <m/>
    <n v="410"/>
    <n v="260"/>
    <n v="670"/>
    <n v="0.8072289156626506"/>
    <n v="134"/>
    <n v="0.6457831325301205"/>
    <n v="0.55"/>
  </r>
  <r>
    <s v="весна"/>
    <s v="Теоретические основы, технология и оборудование пайки"/>
    <s v="Экзамен"/>
    <s v="Т11О-401Б-20"/>
    <n v="4"/>
    <s v="11924"/>
    <m/>
    <s v="92509"/>
    <x v="20"/>
    <m/>
    <s v="Нет"/>
    <m/>
    <m/>
    <n v="410"/>
    <n v="260"/>
    <n v="670"/>
    <n v="0.8072289156626506"/>
    <n v="134"/>
    <n v="0.6457831325301205"/>
    <n v="0.55"/>
  </r>
  <r>
    <s v="весна"/>
    <s v="Теоретические основы, технология и оборудование пайки"/>
    <s v="Экзамен"/>
    <s v="Т11О-401Б-20"/>
    <n v="2"/>
    <s v="11924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оретические основы, технология и оборудование пайки"/>
    <s v="Консультация"/>
    <s v="Т11О-401Б-20"/>
    <n v="2"/>
    <s v="11924"/>
    <m/>
    <s v="92509"/>
    <x v="20"/>
    <m/>
    <s v="Нет"/>
    <m/>
    <m/>
    <n v="410"/>
    <n v="260"/>
    <n v="670"/>
    <n v="0.8072289156626506"/>
    <n v="134"/>
    <n v="0.6457831325301205"/>
    <n v="0.55"/>
  </r>
  <r>
    <s v="весна"/>
    <s v="Теоретические основы, технология и оборудование пайки"/>
    <s v="Консультация"/>
    <s v="Т11О-401Б-20"/>
    <n v="1"/>
    <s v="11924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Методы и средства подготовки научно-технической и конструкторской документации"/>
    <s v="ЛК"/>
    <s v="Т11О-403Б-20"/>
    <n v="24"/>
    <s v="13288"/>
    <n v="24"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Методы и средства подготовки научно-технической и конструкторской документации"/>
    <s v="Зачет с оценкой"/>
    <s v="Т11О-403Б-20"/>
    <n v="3"/>
    <s v="13288"/>
    <m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Методы и средства подготовки научно-технической и конструкторской документации"/>
    <s v="Зачет с оценкой"/>
    <s v="Т11О-403Б-20"/>
    <n v="1"/>
    <s v="1328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Методы и средства подготовки научно-технической и конструкторской документации"/>
    <s v="ПЗ"/>
    <s v="Т11О-403Б-20"/>
    <n v="16"/>
    <s v="13288"/>
    <n v="16"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Методы и средства подготовки научно-технической и конструкторской документации"/>
    <s v="ЛР"/>
    <s v="Т11О-403Б-20"/>
    <n v="16"/>
    <s v="13288"/>
    <n v="16"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Методы и средства подготовки научно-технической и конструкторской документации"/>
    <s v="Консультация"/>
    <s v="Т11О-403Б-20"/>
    <n v="1"/>
    <s v="13288"/>
    <m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Производство отливок из титановых сплавов"/>
    <s v="ЛК"/>
    <s v="Т11О-101М-23"/>
    <n v="34"/>
    <s v="18008"/>
    <n v="34"/>
    <s v="82018"/>
    <x v="6"/>
    <m/>
    <s v="Нет"/>
    <m/>
    <m/>
    <n v="233"/>
    <n v="200"/>
    <n v="433"/>
    <n v="0.5216867469879518"/>
    <n v="86.60000000000001"/>
    <n v="0.4173493975903615"/>
    <n v="0.5"/>
  </r>
  <r>
    <s v="весна"/>
    <s v="Производство отливок из титановых сплавов"/>
    <s v="Зачет с оценкой"/>
    <s v="Т11О-101М-23"/>
    <n v="3"/>
    <s v="18008"/>
    <m/>
    <s v="82018"/>
    <x v="6"/>
    <m/>
    <s v="Нет"/>
    <m/>
    <m/>
    <n v="233"/>
    <n v="200"/>
    <n v="433"/>
    <n v="0.5216867469879518"/>
    <n v="86.60000000000001"/>
    <n v="0.4173493975903615"/>
    <n v="0.5"/>
  </r>
  <r>
    <s v="весна"/>
    <s v="Производство отливок из титановых сплавов"/>
    <s v="Зачет с оценкой"/>
    <s v="Т11О-101М-23"/>
    <n v="1"/>
    <s v="1800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Производство отливок из титановых сплавов"/>
    <s v="ПЗ"/>
    <s v="Т11О-101М-23"/>
    <n v="34"/>
    <s v="18008"/>
    <n v="34"/>
    <s v="82018"/>
    <x v="6"/>
    <m/>
    <s v="Нет"/>
    <m/>
    <m/>
    <n v="233"/>
    <n v="200"/>
    <n v="433"/>
    <n v="0.5216867469879518"/>
    <n v="86.60000000000001"/>
    <n v="0.4173493975903615"/>
    <n v="0.5"/>
  </r>
  <r>
    <s v="весна"/>
    <s v="Производство отливок из титановых сплавов"/>
    <s v="Консультация"/>
    <s v="Т11О-101М-23"/>
    <n v="1"/>
    <s v="18008"/>
    <m/>
    <s v="82018"/>
    <x v="6"/>
    <m/>
    <s v="Нет"/>
    <m/>
    <m/>
    <n v="233"/>
    <n v="200"/>
    <n v="433"/>
    <n v="0.5216867469879518"/>
    <n v="86.60000000000001"/>
    <n v="0.4173493975903615"/>
    <n v="0.5"/>
  </r>
  <r>
    <s v="весна"/>
    <s v="Производство отливок из титановых сплавов"/>
    <s v="Консультация"/>
    <s v="Т11О-101М-23"/>
    <n v="1"/>
    <s v="1800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Современные технологии сварки плавлением"/>
    <s v="ЛК"/>
    <s v="Т11О-101М-23"/>
    <n v="24"/>
    <s v="18008"/>
    <n v="24"/>
    <s v="89090"/>
    <x v="3"/>
    <m/>
    <s v="Нет"/>
    <m/>
    <m/>
    <n v="169"/>
    <n v="340"/>
    <n v="509"/>
    <n v="0.6132530120481928"/>
    <n v="101.80000000000001"/>
    <n v="0.4906024096385543"/>
    <n v="0.4"/>
  </r>
  <r>
    <s v="весна"/>
    <s v="Современные технологии сварки плавлением"/>
    <s v="КР"/>
    <s v="Т11О-101М-23"/>
    <n v="26"/>
    <s v="18008"/>
    <m/>
    <s v="89090"/>
    <x v="3"/>
    <m/>
    <s v="Нет"/>
    <m/>
    <m/>
    <n v="169"/>
    <n v="340"/>
    <n v="509"/>
    <n v="0.6132530120481928"/>
    <n v="101.80000000000001"/>
    <n v="0.4906024096385543"/>
    <n v="0.4"/>
  </r>
  <r>
    <s v="весна"/>
    <s v="Современные технологии сварки плавлением"/>
    <s v="Зачет с оценкой"/>
    <s v="Т11О-101М-23"/>
    <n v="3"/>
    <s v="18008"/>
    <m/>
    <s v="89090"/>
    <x v="3"/>
    <m/>
    <s v="Нет"/>
    <m/>
    <m/>
    <n v="169"/>
    <n v="340"/>
    <n v="509"/>
    <n v="0.6132530120481928"/>
    <n v="101.80000000000001"/>
    <n v="0.4906024096385543"/>
    <n v="0.4"/>
  </r>
  <r>
    <s v="весна"/>
    <s v="Современные технологии сварки плавлением"/>
    <s v="Зачет с оценкой"/>
    <s v="Т11О-101М-23"/>
    <n v="1"/>
    <s v="18008"/>
    <m/>
    <s v="89090"/>
    <x v="3"/>
    <m/>
    <s v="Нет"/>
    <m/>
    <m/>
    <n v="169"/>
    <n v="340"/>
    <n v="509"/>
    <n v="0.6132530120481928"/>
    <n v="101.80000000000001"/>
    <n v="0.4906024096385543"/>
    <n v="0.4"/>
  </r>
  <r>
    <s v="весна"/>
    <s v="Современные технологии сварки плавлением"/>
    <s v="ПЗ"/>
    <s v="Т11О-101М-23"/>
    <n v="40"/>
    <s v="18008"/>
    <n v="40"/>
    <s v="89090"/>
    <x v="3"/>
    <m/>
    <s v="Нет"/>
    <m/>
    <m/>
    <n v="169"/>
    <n v="340"/>
    <n v="509"/>
    <n v="0.6132530120481928"/>
    <n v="101.80000000000001"/>
    <n v="0.4906024096385543"/>
    <n v="0.4"/>
  </r>
  <r>
    <s v="весна"/>
    <s v="Современные технологии сварки плавлением"/>
    <s v="Консультация"/>
    <s v="Т11О-101М-23"/>
    <n v="1"/>
    <s v="18008"/>
    <m/>
    <s v="89090"/>
    <x v="3"/>
    <m/>
    <s v="Нет"/>
    <m/>
    <m/>
    <n v="169"/>
    <n v="340"/>
    <n v="509"/>
    <n v="0.6132530120481928"/>
    <n v="101.80000000000001"/>
    <n v="0.4906024096385543"/>
    <n v="0.4"/>
  </r>
  <r>
    <s v="весна"/>
    <s v="Системы компьютерного моделирования литейных процессов"/>
    <s v="ЛК"/>
    <s v="Т11О-402Б-20"/>
    <n v="16"/>
    <s v="11923"/>
    <n v="16"/>
    <s v="82018"/>
    <x v="6"/>
    <m/>
    <s v="Нет"/>
    <m/>
    <m/>
    <n v="233"/>
    <n v="200"/>
    <n v="433"/>
    <n v="0.5216867469879518"/>
    <n v="86.60000000000001"/>
    <n v="0.4173493975903615"/>
    <n v="0.5"/>
  </r>
  <r>
    <s v="весна"/>
    <s v="Системы компьютерного моделирования литейных процессов"/>
    <s v="Зачет с оценкой"/>
    <s v="Т11О-402Б-20"/>
    <n v="2"/>
    <s v="11923"/>
    <m/>
    <s v="82018"/>
    <x v="6"/>
    <m/>
    <s v="Нет"/>
    <m/>
    <m/>
    <n v="233"/>
    <n v="200"/>
    <n v="433"/>
    <n v="0.5216867469879518"/>
    <n v="86.60000000000001"/>
    <n v="0.4173493975903615"/>
    <n v="0.5"/>
  </r>
  <r>
    <s v="весна"/>
    <s v="Системы компьютерного моделирования литейных процессов"/>
    <s v="Зачет с оценкой"/>
    <s v="Т11О-402Б-20"/>
    <n v="1"/>
    <s v="11923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Системы компьютерного моделирования литейных процессов"/>
    <s v="ПЗ"/>
    <s v="Т11О-402Б-20"/>
    <n v="40"/>
    <s v="11923"/>
    <n v="40"/>
    <s v="82018"/>
    <x v="6"/>
    <m/>
    <s v="Нет"/>
    <m/>
    <m/>
    <n v="233"/>
    <n v="200"/>
    <n v="433"/>
    <n v="0.5216867469879518"/>
    <n v="86.60000000000001"/>
    <n v="0.4173493975903615"/>
    <n v="0.5"/>
  </r>
  <r>
    <s v="весна"/>
    <s v="Системы компьютерного моделирования литейных процессов"/>
    <s v="Консультация"/>
    <s v="Т11О-402Б-20"/>
    <n v="1"/>
    <s v="11923"/>
    <m/>
    <s v="82018"/>
    <x v="6"/>
    <m/>
    <s v="Нет"/>
    <m/>
    <m/>
    <n v="233"/>
    <n v="200"/>
    <n v="433"/>
    <n v="0.5216867469879518"/>
    <n v="86.60000000000001"/>
    <n v="0.4173493975903615"/>
    <n v="0.5"/>
  </r>
  <r>
    <s v="весна"/>
    <s v="Основы технологической подготовки производства сварных и паяных конструкций"/>
    <s v="ЛК"/>
    <s v="Т11О-401Б-20"/>
    <n v="24"/>
    <s v="11924"/>
    <n v="24"/>
    <s v="89090"/>
    <x v="3"/>
    <m/>
    <s v="Нет"/>
    <m/>
    <m/>
    <n v="169"/>
    <n v="340"/>
    <n v="509"/>
    <n v="0.6132530120481928"/>
    <n v="101.80000000000001"/>
    <n v="0.4906024096385543"/>
    <n v="0.4"/>
  </r>
  <r>
    <s v="весна"/>
    <s v="Основы технологической подготовки производства сварных и паяных конструкций"/>
    <s v="КР"/>
    <s v="Т11О-401Б-20"/>
    <n v="24"/>
    <s v="11924"/>
    <m/>
    <s v="89090"/>
    <x v="4"/>
    <m/>
    <s v="Нет"/>
    <m/>
    <m/>
    <n v="188"/>
    <n v="294"/>
    <n v="482"/>
    <n v="0.5807228915662651"/>
    <n v="96.4"/>
    <n v="0.46457831325301213"/>
    <n v="0.5"/>
  </r>
  <r>
    <s v="весна"/>
    <s v="Основы технологической подготовки производства сварных и паяных конструкций"/>
    <s v="Зачет с оценкой"/>
    <s v="Т11О-401Б-20"/>
    <n v="3"/>
    <s v="11924"/>
    <m/>
    <s v="89090"/>
    <x v="3"/>
    <m/>
    <s v="Нет"/>
    <m/>
    <m/>
    <n v="169"/>
    <n v="340"/>
    <n v="509"/>
    <n v="0.6132530120481928"/>
    <n v="101.80000000000001"/>
    <n v="0.4906024096385543"/>
    <n v="0.4"/>
  </r>
  <r>
    <s v="весна"/>
    <s v="Основы технологической подготовки производства сварных и паяных конструкций"/>
    <s v="Зачет с оценкой"/>
    <s v="Т11О-401Б-20"/>
    <n v="1"/>
    <s v="11924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Основы технологической подготовки производства сварных и паяных конструкций"/>
    <s v="ПЗ"/>
    <s v="Т11О-401Б-20"/>
    <n v="40"/>
    <s v="11924"/>
    <n v="40"/>
    <s v="89090"/>
    <x v="3"/>
    <m/>
    <s v="Нет"/>
    <m/>
    <m/>
    <n v="169"/>
    <n v="340"/>
    <n v="509"/>
    <n v="0.6132530120481928"/>
    <n v="101.80000000000001"/>
    <n v="0.4906024096385543"/>
    <n v="0.4"/>
  </r>
  <r>
    <s v="весна"/>
    <s v="Основы технологической подготовки производства сварных и паяных конструкций"/>
    <s v="Консультация"/>
    <s v="Т11О-401Б-20"/>
    <n v="1"/>
    <s v="11924"/>
    <m/>
    <s v="89090"/>
    <x v="3"/>
    <m/>
    <s v="Нет"/>
    <m/>
    <m/>
    <n v="169"/>
    <n v="340"/>
    <n v="509"/>
    <n v="0.6132530120481928"/>
    <n v="101.80000000000001"/>
    <n v="0.4906024096385543"/>
    <n v="0.4"/>
  </r>
  <r>
    <s v="весна"/>
    <s v="Материаловедение и технологии композиционных материалов"/>
    <s v="ЛК"/>
    <s v="Т11О-402Б-20"/>
    <n v="34"/>
    <s v="11923"/>
    <n v="34"/>
    <s v="90549"/>
    <x v="22"/>
    <m/>
    <s v="Нет"/>
    <m/>
    <m/>
    <n v="84"/>
    <n v="62"/>
    <n v="146"/>
    <n v="0.17590361445783131"/>
    <n v="29.200000000000003"/>
    <n v="0.14072289156626505"/>
    <n v="0.15"/>
  </r>
  <r>
    <s v="весна"/>
    <s v="Материаловедение и технологии композиционных материалов"/>
    <s v="ПЗ"/>
    <s v="Т11О-402Б-20"/>
    <n v="22"/>
    <s v="11923"/>
    <n v="22"/>
    <s v="90549"/>
    <x v="22"/>
    <m/>
    <s v="Нет"/>
    <m/>
    <m/>
    <n v="84"/>
    <n v="62"/>
    <n v="146"/>
    <n v="0.17590361445783131"/>
    <n v="29.200000000000003"/>
    <n v="0.14072289156626505"/>
    <n v="0.15"/>
  </r>
  <r>
    <s v="весна"/>
    <s v="Материаловедение и технологии композиционных материалов"/>
    <s v="Экзамен"/>
    <s v="Т11О-402Б-20"/>
    <n v="4"/>
    <s v="11923"/>
    <m/>
    <s v="90549"/>
    <x v="22"/>
    <m/>
    <s v="Нет"/>
    <m/>
    <m/>
    <n v="84"/>
    <n v="62"/>
    <n v="146"/>
    <n v="0.17590361445783131"/>
    <n v="29.200000000000003"/>
    <n v="0.14072289156626505"/>
    <n v="0.15"/>
  </r>
  <r>
    <s v="весна"/>
    <s v="Материаловедение и технологии композиционных материалов"/>
    <s v="Экзамен"/>
    <s v="Т11О-402Б-20"/>
    <n v="1"/>
    <s v="11923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Материаловедение и технологии композиционных материалов"/>
    <s v="Консультация"/>
    <s v="Т11О-402Б-20"/>
    <n v="2"/>
    <s v="11923"/>
    <m/>
    <s v="90549"/>
    <x v="22"/>
    <m/>
    <s v="Нет"/>
    <m/>
    <m/>
    <n v="84"/>
    <n v="62"/>
    <n v="146"/>
    <n v="0.17590361445783131"/>
    <n v="29.200000000000003"/>
    <n v="0.14072289156626505"/>
    <n v="0.15"/>
  </r>
  <r>
    <s v="весна"/>
    <s v="Материаловедение и технологии композиционных материалов"/>
    <s v="Консультация"/>
    <s v="Т11О-402Б-20"/>
    <n v="1"/>
    <s v="11923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Имитационное моделирование технологических процессов"/>
    <s v="ЛК"/>
    <s v="Т11О-101М-23"/>
    <n v="12"/>
    <s v="18008"/>
    <n v="12"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Имитационное моделирование технологических процессов"/>
    <s v="Зачет с оценкой"/>
    <s v="Т11О-101М-23"/>
    <n v="3"/>
    <s v="18008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Имитационное моделирование технологических процессов"/>
    <s v="Зачет с оценкой"/>
    <s v="Т11О-101М-23"/>
    <n v="1"/>
    <s v="1800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Имитационное моделирование технологических процессов"/>
    <s v="ПЗ"/>
    <s v="Т11О-101М-23"/>
    <n v="40"/>
    <s v="18008"/>
    <n v="40"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Имитационное моделирование технологических процессов"/>
    <s v="Консультация"/>
    <s v="Т11О-101М-23"/>
    <n v="1"/>
    <s v="18008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Основы математического и имитационного моделирования"/>
    <s v="ЛК"/>
    <s v="Т11О-302Б-21"/>
    <n v="18"/>
    <s v="14861"/>
    <n v="18"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Основы математического и имитационного моделирования"/>
    <s v="КР"/>
    <s v="Т11О-302Б-21"/>
    <n v="36"/>
    <s v="14861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Основы математического и имитационного моделирования"/>
    <s v="Зачет с оценкой"/>
    <s v="Т11О-302Б-21"/>
    <n v="4"/>
    <s v="14861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Основы математического и имитационного моделирования"/>
    <s v="Зачет с оценкой"/>
    <s v="Т11О-302Б-21"/>
    <n v="1"/>
    <s v="14861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Основы математического и имитационного моделирования"/>
    <s v="ПЗ"/>
    <s v="Т11О-302Б-21"/>
    <n v="24"/>
    <s v="14861"/>
    <n v="24"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Основы математического и имитационного моделирования"/>
    <s v="Консультация"/>
    <s v="Т11О-302Б-21"/>
    <n v="1"/>
    <s v="14861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Организация и планирование автоматизированных производств"/>
    <s v="ЛК"/>
    <s v="Т11О-403Б-20"/>
    <n v="16"/>
    <s v="13288"/>
    <n v="16"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Организация и планирование автоматизированных производств"/>
    <s v="ПЗ"/>
    <s v="Т11О-403Б-20"/>
    <n v="8"/>
    <s v="13288"/>
    <n v="8"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Организация и планирование автоматизированных производств"/>
    <s v="Зачет"/>
    <s v="Т11О-403Б-20"/>
    <n v="2"/>
    <s v="13288"/>
    <m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Организация и планирование автоматизированных производств"/>
    <s v="Консультация"/>
    <s v="Т11О-403Б-20"/>
    <n v="1"/>
    <s v="13288"/>
    <m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CALS-технологии в производстве продукции"/>
    <s v="ЛК"/>
    <s v="Т11О-403Б-20"/>
    <n v="24"/>
    <s v="13288"/>
    <n v="24"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CALS-технологии в производстве продукции"/>
    <s v="ПЗ"/>
    <s v="Т11О-403Б-20"/>
    <n v="32"/>
    <s v="13288"/>
    <n v="32"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CALS-технологии в производстве продукции"/>
    <s v="Экзамен"/>
    <s v="Т11О-403Б-20"/>
    <n v="4"/>
    <s v="13288"/>
    <m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CALS-технологии в производстве продукции"/>
    <s v="Экзамен"/>
    <s v="Т11О-403Б-20"/>
    <n v="2"/>
    <s v="1328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CALS-технологии в производстве продукции"/>
    <s v="Консультация"/>
    <s v="Т11О-403Б-20"/>
    <n v="2"/>
    <s v="13288"/>
    <m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CALS-технологии в производстве продукции"/>
    <s v="Консультация"/>
    <s v="Т11О-403Б-20"/>
    <n v="1"/>
    <s v="1328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ESS-технологии в управлении жизненным циклом продукции"/>
    <s v="ЛК"/>
    <s v="Т11О-403Б-20"/>
    <n v="16"/>
    <s v="13288"/>
    <n v="16"/>
    <s v="81722"/>
    <x v="11"/>
    <m/>
    <s v="Нет"/>
    <m/>
    <m/>
    <n v="298"/>
    <n v="310"/>
    <n v="608"/>
    <n v="0.7325301204819277"/>
    <n v="121.60000000000001"/>
    <n v="0.5860240963855422"/>
    <n v="0.7"/>
  </r>
  <r>
    <s v="весна"/>
    <s v="ESS-технологии в управлении жизненным циклом продукции"/>
    <s v="ПЗ"/>
    <s v="Т11О-403Б-20"/>
    <n v="24"/>
    <s v="13288"/>
    <n v="24"/>
    <s v="81722"/>
    <x v="11"/>
    <m/>
    <s v="Нет"/>
    <m/>
    <m/>
    <n v="298"/>
    <n v="310"/>
    <n v="608"/>
    <n v="0.7325301204819277"/>
    <n v="121.60000000000001"/>
    <n v="0.5860240963855422"/>
    <n v="0.7"/>
  </r>
  <r>
    <s v="весна"/>
    <s v="ESS-технологии в управлении жизненным циклом продукции"/>
    <s v="Зачет"/>
    <s v="Т11О-403Б-20"/>
    <n v="1"/>
    <s v="13288"/>
    <m/>
    <s v="81722"/>
    <x v="11"/>
    <m/>
    <s v="Нет"/>
    <m/>
    <m/>
    <n v="298"/>
    <n v="310"/>
    <n v="608"/>
    <n v="0.7325301204819277"/>
    <n v="121.60000000000001"/>
    <n v="0.5860240963855422"/>
    <n v="0.7"/>
  </r>
  <r>
    <s v="весна"/>
    <s v="ESS-технологии в управлении жизненным циклом продукции"/>
    <s v="Зачет"/>
    <s v="Т11О-403Б-20"/>
    <n v="1"/>
    <s v="1328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ESS-технологии в управлении жизненным циклом продукции"/>
    <s v="Консультация"/>
    <s v="Т11О-403Б-20"/>
    <n v="1"/>
    <s v="13288"/>
    <m/>
    <s v="81722"/>
    <x v="11"/>
    <m/>
    <s v="Нет"/>
    <m/>
    <m/>
    <n v="298"/>
    <n v="310"/>
    <n v="608"/>
    <n v="0.7325301204819277"/>
    <n v="121.60000000000001"/>
    <n v="0.5860240963855422"/>
    <n v="0.7"/>
  </r>
  <r>
    <s v="весна"/>
    <s v="Системный подход в управлении жизненным циклом продукции"/>
    <s v="ЛК"/>
    <s v="Т11О-206Б-22"/>
    <n v="24"/>
    <s v="16776"/>
    <n v="24"/>
    <s v="81722"/>
    <x v="11"/>
    <m/>
    <s v="Нет"/>
    <m/>
    <m/>
    <n v="298"/>
    <n v="310"/>
    <n v="608"/>
    <n v="0.7325301204819277"/>
    <n v="121.60000000000001"/>
    <n v="0.5860240963855422"/>
    <n v="0.7"/>
  </r>
  <r>
    <s v="весна"/>
    <s v="Системный подход в управлении жизненным циклом продукции"/>
    <s v="Зачет с оценкой"/>
    <s v="Т11О-206Б-22"/>
    <n v="4"/>
    <s v="16776"/>
    <m/>
    <s v="81722"/>
    <x v="11"/>
    <m/>
    <s v="Нет"/>
    <m/>
    <m/>
    <n v="298"/>
    <n v="310"/>
    <n v="608"/>
    <n v="0.7325301204819277"/>
    <n v="121.60000000000001"/>
    <n v="0.5860240963855422"/>
    <n v="0.7"/>
  </r>
  <r>
    <s v="весна"/>
    <s v="Системный подход в управлении жизненным циклом продукции"/>
    <s v="Зачет с оценкой"/>
    <s v="Т11О-206Б-22"/>
    <n v="1"/>
    <s v="16776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Системный подход в управлении жизненным циклом продукции"/>
    <s v="ПЗ"/>
    <s v="Т11О-206Б-22"/>
    <n v="34"/>
    <s v="16776"/>
    <n v="34"/>
    <s v="81722"/>
    <x v="11"/>
    <m/>
    <s v="Нет"/>
    <m/>
    <m/>
    <n v="298"/>
    <n v="310"/>
    <n v="608"/>
    <n v="0.7325301204819277"/>
    <n v="121.60000000000001"/>
    <n v="0.5860240963855422"/>
    <n v="0.7"/>
  </r>
  <r>
    <s v="весна"/>
    <s v="Системный подход в управлении жизненным циклом продукции"/>
    <s v="ЛР"/>
    <s v="Т11О-206Б-22"/>
    <n v="64"/>
    <s v="16776"/>
    <n v="32"/>
    <s v="81722"/>
    <x v="11"/>
    <m/>
    <s v="Нет"/>
    <m/>
    <m/>
    <n v="298"/>
    <n v="310"/>
    <n v="608"/>
    <n v="0.7325301204819277"/>
    <n v="121.60000000000001"/>
    <n v="0.5860240963855422"/>
    <n v="0.7"/>
  </r>
  <r>
    <s v="весна"/>
    <s v="Системный подход в управлении жизненным циклом продукции"/>
    <s v="Консультация"/>
    <s v="Т11О-206Б-22"/>
    <n v="1"/>
    <s v="16776"/>
    <m/>
    <s v="81722"/>
    <x v="11"/>
    <m/>
    <s v="Нет"/>
    <m/>
    <m/>
    <n v="298"/>
    <n v="310"/>
    <n v="608"/>
    <n v="0.7325301204819277"/>
    <n v="121.60000000000001"/>
    <n v="0.5860240963855422"/>
    <n v="0.7"/>
  </r>
  <r>
    <s v="весна"/>
    <s v="Теория обработки металлов давлением"/>
    <s v="ЛК"/>
    <s v="Т11О-301Б-21"/>
    <n v="32"/>
    <s v="14668"/>
    <n v="32"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Теория обработки металлов давлением"/>
    <s v="ПЗ"/>
    <s v="Т11О-301Б-21"/>
    <n v="20"/>
    <s v="14668"/>
    <n v="20"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Теория обработки металлов давлением"/>
    <s v="ЛР"/>
    <s v="Т11О-301Б-21"/>
    <n v="16"/>
    <s v="14668"/>
    <n v="16"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Теория обработки металлов давлением"/>
    <s v="Экзамен"/>
    <s v="Т11О-301Б-21"/>
    <n v="4"/>
    <s v="14668"/>
    <m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Теория обработки металлов давлением"/>
    <s v="Экзамен"/>
    <s v="Т11О-301Б-21"/>
    <n v="1"/>
    <s v="1466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ория обработки металлов давлением"/>
    <s v="Консультация"/>
    <s v="Т11О-301Б-21"/>
    <n v="2"/>
    <s v="14668"/>
    <m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Теория обработки металлов давлением"/>
    <s v="Консультация"/>
    <s v="Т11О-301Б-21"/>
    <n v="1"/>
    <s v="1466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хнология кузнечно-штамповочного производства"/>
    <s v="КП"/>
    <s v="Т11О-401Б-20"/>
    <n v="36"/>
    <s v="11924"/>
    <m/>
    <s v="81729"/>
    <x v="15"/>
    <m/>
    <s v="Нет"/>
    <m/>
    <m/>
    <n v="276"/>
    <n v="323"/>
    <n v="599"/>
    <n v="0.7216867469879518"/>
    <n v="119.80000000000001"/>
    <n v="0.5773493975903614"/>
    <n v="0.55"/>
  </r>
  <r>
    <s v="весна"/>
    <s v="Технология кузнечно-штамповочного производства"/>
    <s v="ЛК"/>
    <s v="Т11О-401Б-20"/>
    <n v="20"/>
    <s v="11924"/>
    <n v="20"/>
    <s v="81729"/>
    <x v="15"/>
    <m/>
    <s v="Нет"/>
    <m/>
    <m/>
    <n v="276"/>
    <n v="323"/>
    <n v="599"/>
    <n v="0.7216867469879518"/>
    <n v="119.80000000000001"/>
    <n v="0.5773493975903614"/>
    <n v="0.55"/>
  </r>
  <r>
    <s v="весна"/>
    <s v="Технология кузнечно-штамповочного производства"/>
    <s v="ПЗ"/>
    <s v="Т11О-401Б-20"/>
    <n v="32"/>
    <s v="11924"/>
    <n v="32"/>
    <s v="81729"/>
    <x v="15"/>
    <m/>
    <s v="Нет"/>
    <m/>
    <m/>
    <n v="276"/>
    <n v="323"/>
    <n v="599"/>
    <n v="0.7216867469879518"/>
    <n v="119.80000000000001"/>
    <n v="0.5773493975903614"/>
    <n v="0.55"/>
  </r>
  <r>
    <s v="весна"/>
    <s v="Технология кузнечно-штамповочного производства"/>
    <s v="Экзамен"/>
    <s v="Т11О-401Б-20"/>
    <n v="4"/>
    <s v="11924"/>
    <m/>
    <s v="81729"/>
    <x v="15"/>
    <m/>
    <s v="Нет"/>
    <m/>
    <m/>
    <n v="276"/>
    <n v="323"/>
    <n v="599"/>
    <n v="0.7216867469879518"/>
    <n v="119.80000000000001"/>
    <n v="0.5773493975903614"/>
    <n v="0.55"/>
  </r>
  <r>
    <s v="весна"/>
    <s v="Технология кузнечно-штамповочного производства"/>
    <s v="Экзамен"/>
    <s v="Т11О-401Б-20"/>
    <n v="2"/>
    <s v="11924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хнология кузнечно-штамповочного производства"/>
    <s v="Консультация"/>
    <s v="Т11О-401Б-20"/>
    <n v="2"/>
    <s v="11924"/>
    <m/>
    <s v="81729"/>
    <x v="15"/>
    <m/>
    <s v="Нет"/>
    <m/>
    <m/>
    <n v="276"/>
    <n v="323"/>
    <n v="599"/>
    <n v="0.7216867469879518"/>
    <n v="119.80000000000001"/>
    <n v="0.5773493975903614"/>
    <n v="0.55"/>
  </r>
  <r>
    <s v="весна"/>
    <s v="Технология кузнечно-штамповочного производства"/>
    <s v="Консультация"/>
    <s v="Т11О-401Б-20"/>
    <n v="1"/>
    <s v="11924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хнологические процессы производства наноматериалов"/>
    <s v="ЛК"/>
    <s v="Т11О-402Б-20"/>
    <n v="34"/>
    <s v="11923"/>
    <n v="34"/>
    <s v="82060"/>
    <x v="23"/>
    <m/>
    <s v="Нет"/>
    <m/>
    <m/>
    <n v="239"/>
    <n v="313"/>
    <n v="552"/>
    <n v="0.6650602409638554"/>
    <n v="110.4"/>
    <n v="0.5320481927710844"/>
    <n v="0.55"/>
  </r>
  <r>
    <s v="весна"/>
    <s v="Технологические процессы производства наноматериалов"/>
    <s v="КР"/>
    <s v="Т11О-402Б-20"/>
    <n v="18"/>
    <s v="11923"/>
    <m/>
    <s v="82060"/>
    <x v="23"/>
    <m/>
    <s v="Нет"/>
    <m/>
    <m/>
    <n v="239"/>
    <n v="313"/>
    <n v="552"/>
    <n v="0.6650602409638554"/>
    <n v="110.4"/>
    <n v="0.5320481927710844"/>
    <n v="0.55"/>
  </r>
  <r>
    <s v="весна"/>
    <s v="Технологические процессы производства наноматериалов"/>
    <s v="Зачет с оценкой"/>
    <s v="Т11О-402Б-20"/>
    <n v="2"/>
    <s v="11923"/>
    <m/>
    <s v="82060"/>
    <x v="23"/>
    <m/>
    <s v="Нет"/>
    <m/>
    <m/>
    <n v="239"/>
    <n v="313"/>
    <n v="552"/>
    <n v="0.6650602409638554"/>
    <n v="110.4"/>
    <n v="0.5320481927710844"/>
    <n v="0.55"/>
  </r>
  <r>
    <s v="весна"/>
    <s v="Технологические процессы производства наноматериалов"/>
    <s v="Зачет с оценкой"/>
    <s v="Т11О-402Б-20"/>
    <n v="1"/>
    <s v="11923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хнологические процессы производства наноматериалов"/>
    <s v="ПЗ"/>
    <s v="Т11О-402Б-20"/>
    <n v="14"/>
    <s v="11923"/>
    <n v="14"/>
    <s v="82060"/>
    <x v="23"/>
    <m/>
    <s v="Нет"/>
    <m/>
    <m/>
    <n v="239"/>
    <n v="313"/>
    <n v="552"/>
    <n v="0.6650602409638554"/>
    <n v="110.4"/>
    <n v="0.5320481927710844"/>
    <n v="0.55"/>
  </r>
  <r>
    <s v="весна"/>
    <s v="Технологические процессы производства наноматериалов"/>
    <s v="ЛР"/>
    <s v="Т11О-402Б-20"/>
    <n v="8"/>
    <s v="11923"/>
    <n v="8"/>
    <s v="82060"/>
    <x v="23"/>
    <m/>
    <s v="Нет"/>
    <m/>
    <m/>
    <n v="239"/>
    <n v="313"/>
    <n v="552"/>
    <n v="0.6650602409638554"/>
    <n v="110.4"/>
    <n v="0.5320481927710844"/>
    <n v="0.55"/>
  </r>
  <r>
    <s v="весна"/>
    <s v="Технологические процессы производства наноматериалов"/>
    <s v="Консультация"/>
    <s v="Т11О-402Б-20"/>
    <n v="1"/>
    <s v="11923"/>
    <m/>
    <s v="82060"/>
    <x v="23"/>
    <m/>
    <s v="Нет"/>
    <m/>
    <m/>
    <n v="239"/>
    <n v="313"/>
    <n v="552"/>
    <n v="0.6650602409638554"/>
    <n v="110.4"/>
    <n v="0.5320481927710844"/>
    <n v="0.55"/>
  </r>
  <r>
    <s v="весна"/>
    <s v="Технологические процессы производства наноматериалов"/>
    <s v="Консультация"/>
    <s v="Т11О-402Б-20"/>
    <n v="1"/>
    <s v="11923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Плавка и литье цветных металлов и сплавов"/>
    <s v="ЛК"/>
    <s v="Т11О-402Б-20"/>
    <n v="24"/>
    <s v="11923"/>
    <n v="24"/>
    <s v="81891"/>
    <x v="7"/>
    <m/>
    <s v="Нет"/>
    <m/>
    <m/>
    <n v="381"/>
    <n v="162"/>
    <n v="543"/>
    <n v="0.6542168674698795"/>
    <n v="108.60000000000001"/>
    <n v="0.5233734939759036"/>
    <n v="0.5"/>
  </r>
  <r>
    <s v="весна"/>
    <s v="Плавка и литье цветных металлов и сплавов"/>
    <s v="КР"/>
    <s v="Т11О-402Б-20"/>
    <n v="18"/>
    <s v="11923"/>
    <m/>
    <s v="81891"/>
    <x v="7"/>
    <m/>
    <s v="Нет"/>
    <m/>
    <m/>
    <n v="381"/>
    <n v="162"/>
    <n v="543"/>
    <n v="0.6542168674698795"/>
    <n v="108.60000000000001"/>
    <n v="0.5233734939759036"/>
    <n v="0.5"/>
  </r>
  <r>
    <s v="весна"/>
    <s v="Плавка и литье цветных металлов и сплавов"/>
    <s v="Зачет с оценкой"/>
    <s v="Т11О-402Б-20"/>
    <n v="3"/>
    <s v="11923"/>
    <m/>
    <s v="81891"/>
    <x v="7"/>
    <m/>
    <s v="Нет"/>
    <m/>
    <m/>
    <n v="381"/>
    <n v="162"/>
    <n v="543"/>
    <n v="0.6542168674698795"/>
    <n v="108.60000000000001"/>
    <n v="0.5233734939759036"/>
    <n v="0.5"/>
  </r>
  <r>
    <s v="весна"/>
    <s v="Плавка и литье цветных металлов и сплавов"/>
    <s v="ЛР"/>
    <s v="Т11О-402Б-20"/>
    <n v="16"/>
    <s v="11923"/>
    <n v="32"/>
    <s v="89068"/>
    <x v="8"/>
    <m/>
    <s v="Нет"/>
    <m/>
    <m/>
    <n v="78"/>
    <n v="240.5"/>
    <n v="318.5"/>
    <n v="0.38373493975903616"/>
    <n v="63.7"/>
    <n v="0.30698795180722893"/>
    <n v="0.35"/>
  </r>
  <r>
    <s v="весна"/>
    <s v="Плавка и литье цветных металлов и сплавов"/>
    <s v="ЛР"/>
    <s v="Т11О-402Б-20"/>
    <n v="16"/>
    <s v="11923"/>
    <n v="32"/>
    <s v="94221"/>
    <x v="2"/>
    <m/>
    <s v="Нет"/>
    <m/>
    <m/>
    <n v="111"/>
    <n v="265"/>
    <n v="376"/>
    <n v="0.4530120481927711"/>
    <n v="75.2"/>
    <n v="0.3624096385542169"/>
    <n v="0.45"/>
  </r>
  <r>
    <s v="весна"/>
    <s v="Плавка и литье цветных металлов и сплавов"/>
    <s v="Консультация"/>
    <s v="Т11О-402Б-20"/>
    <n v="1"/>
    <s v="11923"/>
    <m/>
    <s v="81891"/>
    <x v="7"/>
    <m/>
    <s v="Нет"/>
    <m/>
    <m/>
    <n v="381"/>
    <n v="162"/>
    <n v="543"/>
    <n v="0.6542168674698795"/>
    <n v="108.60000000000001"/>
    <n v="0.5233734939759036"/>
    <n v="0.5"/>
  </r>
  <r>
    <s v="весна"/>
    <s v="Плавка и литье чугунов, стали и сплавов со специальными свойствами"/>
    <s v="ЛК"/>
    <s v="Т11О-402Б-20"/>
    <n v="32"/>
    <s v="11923"/>
    <n v="32"/>
    <s v="89068"/>
    <x v="8"/>
    <m/>
    <s v="Нет"/>
    <m/>
    <m/>
    <n v="78"/>
    <n v="240.5"/>
    <n v="318.5"/>
    <n v="0.38373493975903616"/>
    <n v="63.7"/>
    <n v="0.30698795180722893"/>
    <n v="0.35"/>
  </r>
  <r>
    <s v="весна"/>
    <s v="Плавка и литье чугунов, стали и сплавов со специальными свойствами"/>
    <s v="ЛР"/>
    <s v="Т11О-402Б-20"/>
    <n v="24"/>
    <s v="11923"/>
    <n v="24"/>
    <s v="89068"/>
    <x v="8"/>
    <m/>
    <s v="Нет"/>
    <m/>
    <m/>
    <n v="78"/>
    <n v="240.5"/>
    <n v="318.5"/>
    <n v="0.38373493975903616"/>
    <n v="63.7"/>
    <n v="0.30698795180722893"/>
    <n v="0.35"/>
  </r>
  <r>
    <s v="весна"/>
    <s v="Плавка и литье чугунов, стали и сплавов со специальными свойствами"/>
    <s v="Экзамен"/>
    <s v="Т11О-402Б-20"/>
    <n v="4"/>
    <s v="11923"/>
    <m/>
    <s v="89068"/>
    <x v="8"/>
    <m/>
    <s v="Нет"/>
    <m/>
    <m/>
    <n v="78"/>
    <n v="240.5"/>
    <n v="318.5"/>
    <n v="0.38373493975903616"/>
    <n v="63.7"/>
    <n v="0.30698795180722893"/>
    <n v="0.35"/>
  </r>
  <r>
    <s v="весна"/>
    <s v="Плавка и литье чугунов, стали и сплавов со специальными свойствами"/>
    <s v="Экзамен"/>
    <s v="Т11О-402Б-20"/>
    <n v="1"/>
    <s v="11923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Плавка и литье чугунов, стали и сплавов со специальными свойствами"/>
    <s v="Консультация"/>
    <s v="Т11О-402Б-20"/>
    <n v="2"/>
    <s v="11923"/>
    <m/>
    <s v="89068"/>
    <x v="8"/>
    <m/>
    <s v="Нет"/>
    <m/>
    <m/>
    <n v="78"/>
    <n v="240.5"/>
    <n v="318.5"/>
    <n v="0.38373493975903616"/>
    <n v="63.7"/>
    <n v="0.30698795180722893"/>
    <n v="0.35"/>
  </r>
  <r>
    <s v="весна"/>
    <s v="Плавка и литье чугунов, стали и сплавов со специальными свойствами"/>
    <s v="Консультация"/>
    <s v="Т11О-402Б-20"/>
    <n v="1"/>
    <s v="11923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Основы сварки и пайки"/>
    <s v="ЛК"/>
    <s v="Т11О-301Б-21"/>
    <n v="32"/>
    <s v="14668"/>
    <n v="32"/>
    <s v="82056"/>
    <x v="4"/>
    <m/>
    <s v="Нет"/>
    <m/>
    <m/>
    <n v="188"/>
    <n v="294"/>
    <n v="482"/>
    <n v="0.5807228915662651"/>
    <n v="96.4"/>
    <n v="0.46457831325301213"/>
    <n v="0.5"/>
  </r>
  <r>
    <s v="весна"/>
    <s v="Основы сварки и пайки"/>
    <s v="ПЗ"/>
    <s v="Т11О-301Б-21"/>
    <n v="20"/>
    <s v="14668"/>
    <n v="20"/>
    <s v="82056"/>
    <x v="4"/>
    <m/>
    <s v="Нет"/>
    <m/>
    <m/>
    <n v="188"/>
    <n v="294"/>
    <n v="482"/>
    <n v="0.5807228915662651"/>
    <n v="96.4"/>
    <n v="0.46457831325301213"/>
    <n v="0.5"/>
  </r>
  <r>
    <s v="весна"/>
    <s v="Основы сварки и пайки"/>
    <s v="ЛР"/>
    <s v="Т11О-301Б-21"/>
    <n v="16"/>
    <s v="14668"/>
    <n v="16"/>
    <s v="82056"/>
    <x v="4"/>
    <m/>
    <s v="Нет"/>
    <m/>
    <m/>
    <n v="188"/>
    <n v="294"/>
    <n v="482"/>
    <n v="0.5807228915662651"/>
    <n v="96.4"/>
    <n v="0.46457831325301213"/>
    <n v="0.5"/>
  </r>
  <r>
    <s v="весна"/>
    <s v="Основы сварки и пайки"/>
    <s v="Экзамен"/>
    <s v="Т11О-301Б-21"/>
    <n v="4"/>
    <s v="14668"/>
    <m/>
    <s v="82056"/>
    <x v="4"/>
    <m/>
    <s v="Нет"/>
    <m/>
    <m/>
    <n v="188"/>
    <n v="294"/>
    <n v="482"/>
    <n v="0.5807228915662651"/>
    <n v="96.4"/>
    <n v="0.46457831325301213"/>
    <n v="0.5"/>
  </r>
  <r>
    <s v="весна"/>
    <s v="Основы сварки и пайки"/>
    <s v="Экзамен"/>
    <s v="Т11О-301Б-21"/>
    <n v="1"/>
    <s v="1466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Основы сварки и пайки"/>
    <s v="Консультация"/>
    <s v="Т11О-301Б-21"/>
    <n v="2"/>
    <s v="14668"/>
    <m/>
    <s v="82056"/>
    <x v="4"/>
    <m/>
    <s v="Нет"/>
    <m/>
    <m/>
    <n v="188"/>
    <n v="294"/>
    <n v="482"/>
    <n v="0.5807228915662651"/>
    <n v="96.4"/>
    <n v="0.46457831325301213"/>
    <n v="0.5"/>
  </r>
  <r>
    <s v="весна"/>
    <s v="Основы сварки и пайки"/>
    <s v="Консультация"/>
    <s v="Т11О-301Б-21"/>
    <n v="1"/>
    <s v="1466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хнология нанесения газотермических покрытий"/>
    <s v="ЛК"/>
    <s v="Т11О-402Б-20"/>
    <n v="34"/>
    <s v="11923"/>
    <n v="34"/>
    <s v="93689"/>
    <x v="23"/>
    <m/>
    <s v="Нет"/>
    <m/>
    <m/>
    <n v="239"/>
    <n v="313"/>
    <n v="552"/>
    <n v="0.6650602409638554"/>
    <n v="110.4"/>
    <n v="0.5320481927710844"/>
    <n v="0.55"/>
  </r>
  <r>
    <s v="весна"/>
    <s v="Технология нанесения газотермических покрытий"/>
    <s v="Зачет с оценкой"/>
    <s v="Т11О-402Б-20"/>
    <n v="2"/>
    <s v="11923"/>
    <m/>
    <s v="93689"/>
    <x v="23"/>
    <m/>
    <s v="Нет"/>
    <m/>
    <m/>
    <n v="239"/>
    <n v="313"/>
    <n v="552"/>
    <n v="0.6650602409638554"/>
    <n v="110.4"/>
    <n v="0.5320481927710844"/>
    <n v="0.55"/>
  </r>
  <r>
    <s v="весна"/>
    <s v="Технология нанесения газотермических покрытий"/>
    <s v="Зачет с оценкой"/>
    <s v="Т11О-402Б-20"/>
    <n v="1"/>
    <s v="11923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хнология нанесения газотермических покрытий"/>
    <s v="ПЗ"/>
    <s v="Т11О-402Б-20"/>
    <n v="22"/>
    <s v="11923"/>
    <n v="22"/>
    <s v="93689"/>
    <x v="23"/>
    <m/>
    <s v="Нет"/>
    <m/>
    <m/>
    <n v="239"/>
    <n v="313"/>
    <n v="552"/>
    <n v="0.6650602409638554"/>
    <n v="110.4"/>
    <n v="0.5320481927710844"/>
    <n v="0.55"/>
  </r>
  <r>
    <s v="весна"/>
    <s v="Технология нанесения газотермических покрытий"/>
    <s v="Консультация"/>
    <s v="Т11О-402Б-20"/>
    <n v="1"/>
    <s v="11923"/>
    <m/>
    <s v="93689"/>
    <x v="28"/>
    <m/>
    <s v="Нет"/>
    <m/>
    <m/>
    <n v="0"/>
    <n v="1"/>
    <n v="1"/>
    <n v="0.0012048192771084338"/>
    <n v="0.2"/>
    <n v="0.0009638554216867472"/>
    <n v="0"/>
  </r>
  <r>
    <s v="весна"/>
    <s v="Технология нанесения газотермических покрытий"/>
    <s v="Консультация"/>
    <s v="Т11О-402Б-20"/>
    <n v="1"/>
    <s v="11923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Современные методы изготовления технологической оснастки в металлургии"/>
    <s v="ЛК"/>
    <s v="Т11О-201М-22, Т11О-202М-22"/>
    <n v="20"/>
    <s v="16104"/>
    <n v="20"/>
    <s v="82020"/>
    <x v="1"/>
    <m/>
    <s v="Нет"/>
    <m/>
    <m/>
    <n v="442"/>
    <n v="269"/>
    <n v="711"/>
    <n v="0.8566265060240964"/>
    <n v="142.20000000000002"/>
    <n v="0.6853012048192771"/>
    <n v="0.7"/>
  </r>
  <r>
    <s v="весна"/>
    <s v="Современные методы изготовления технологической оснастки в металлургии"/>
    <s v="КР"/>
    <s v="Т11О-201М-22"/>
    <n v="24"/>
    <s v="16104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весна"/>
    <s v="Современные методы изготовления технологической оснастки в металлургии"/>
    <s v="КР"/>
    <s v="Т11О-202М-22"/>
    <n v="14"/>
    <s v="16104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весна"/>
    <s v="Современные методы изготовления технологической оснастки в металлургии"/>
    <s v="Зачет с оценкой"/>
    <s v="Т11О-201М-22"/>
    <n v="3"/>
    <s v="16104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весна"/>
    <s v="Современные методы изготовления технологической оснастки в металлургии"/>
    <s v="Зачет с оценкой"/>
    <s v="Т11О-201М-22"/>
    <n v="1"/>
    <s v="16104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Современные методы изготовления технологической оснастки в металлургии"/>
    <s v="Зачет с оценкой"/>
    <s v="Т11О-202М-22"/>
    <n v="2"/>
    <s v="16104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весна"/>
    <s v="Современные методы изготовления технологической оснастки в металлургии"/>
    <s v="ПЗ"/>
    <s v="Т11О-201М-22"/>
    <n v="44"/>
    <s v="16104"/>
    <n v="44"/>
    <s v="82020"/>
    <x v="1"/>
    <m/>
    <s v="Нет"/>
    <m/>
    <m/>
    <n v="442"/>
    <n v="269"/>
    <n v="711"/>
    <n v="0.8566265060240964"/>
    <n v="142.20000000000002"/>
    <n v="0.6853012048192771"/>
    <n v="0.7"/>
  </r>
  <r>
    <s v="весна"/>
    <s v="Современные методы изготовления технологической оснастки в металлургии"/>
    <s v="ПЗ"/>
    <s v="Т11О-202М-22"/>
    <n v="44"/>
    <s v="16104"/>
    <n v="44"/>
    <s v="82020"/>
    <x v="1"/>
    <m/>
    <s v="Нет"/>
    <m/>
    <m/>
    <n v="442"/>
    <n v="269"/>
    <n v="711"/>
    <n v="0.8566265060240964"/>
    <n v="142.20000000000002"/>
    <n v="0.6853012048192771"/>
    <n v="0.7"/>
  </r>
  <r>
    <s v="весна"/>
    <s v="Современные методы изготовления технологической оснастки в металлургии"/>
    <s v="ЛР"/>
    <s v="Т11О-201М-22"/>
    <n v="8"/>
    <s v="16104"/>
    <n v="8"/>
    <s v="82020"/>
    <x v="1"/>
    <m/>
    <s v="Нет"/>
    <m/>
    <m/>
    <n v="442"/>
    <n v="269"/>
    <n v="711"/>
    <n v="0.8566265060240964"/>
    <n v="142.20000000000002"/>
    <n v="0.6853012048192771"/>
    <n v="0.7"/>
  </r>
  <r>
    <s v="весна"/>
    <s v="Современные методы изготовления технологической оснастки в металлургии"/>
    <s v="ЛР"/>
    <s v="Т11О-202М-22"/>
    <n v="8"/>
    <s v="16104"/>
    <n v="8"/>
    <s v="82020"/>
    <x v="1"/>
    <m/>
    <s v="Нет"/>
    <m/>
    <m/>
    <n v="442"/>
    <n v="269"/>
    <n v="711"/>
    <n v="0.8566265060240964"/>
    <n v="142.20000000000002"/>
    <n v="0.6853012048192771"/>
    <n v="0.7"/>
  </r>
  <r>
    <s v="весна"/>
    <s v="Современные методы изготовления технологической оснастки в металлургии"/>
    <s v="Консультация"/>
    <s v="Т11О-201М-22"/>
    <n v="1"/>
    <s v="16104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весна"/>
    <s v="Современные методы изготовления технологической оснастки в металлургии"/>
    <s v="Консультация"/>
    <s v="Т11О-202М-22"/>
    <n v="1"/>
    <s v="16104"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весна"/>
    <s v="Основы статистического управления технологическими процессами"/>
    <s v="ЛК"/>
    <s v="Т11О-201М-22, Т11О-202М-22"/>
    <n v="22"/>
    <s v="16104"/>
    <n v="22"/>
    <s v="82090"/>
    <x v="10"/>
    <m/>
    <s v="Нет"/>
    <m/>
    <m/>
    <n v="161"/>
    <n v="92"/>
    <n v="253"/>
    <n v="0.30481927710843376"/>
    <n v="50.6"/>
    <n v="0.243855421686747"/>
    <n v="0.25"/>
  </r>
  <r>
    <s v="весна"/>
    <s v="Основы статистического управления технологическими процессами"/>
    <s v="Зачет с оценкой"/>
    <s v="Т11О-201М-22"/>
    <n v="3"/>
    <s v="16104"/>
    <m/>
    <s v="82090"/>
    <x v="10"/>
    <m/>
    <s v="Нет"/>
    <m/>
    <m/>
    <n v="161"/>
    <n v="92"/>
    <n v="253"/>
    <n v="0.30481927710843376"/>
    <n v="50.6"/>
    <n v="0.243855421686747"/>
    <n v="0.25"/>
  </r>
  <r>
    <s v="весна"/>
    <s v="Основы статистического управления технологическими процессами"/>
    <s v="Зачет с оценкой"/>
    <s v="Т11О-201М-22"/>
    <n v="1"/>
    <s v="16104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Основы статистического управления технологическими процессами"/>
    <s v="Зачет с оценкой"/>
    <s v="Т11О-202М-22"/>
    <n v="1"/>
    <s v="16104"/>
    <m/>
    <s v="82090"/>
    <x v="10"/>
    <m/>
    <s v="Нет"/>
    <m/>
    <m/>
    <n v="161"/>
    <n v="92"/>
    <n v="253"/>
    <n v="0.30481927710843376"/>
    <n v="50.6"/>
    <n v="0.243855421686747"/>
    <n v="0.25"/>
  </r>
  <r>
    <s v="весна"/>
    <s v="Основы статистического управления технологическими процессами"/>
    <s v="Зачет с оценкой"/>
    <s v="Т11О-202М-22"/>
    <n v="1"/>
    <s v="16104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Основы статистического управления технологическими процессами"/>
    <s v="ПЗ"/>
    <s v="Т11О-201М-22"/>
    <n v="32"/>
    <s v="16104"/>
    <n v="32"/>
    <s v="82090"/>
    <x v="10"/>
    <m/>
    <s v="Нет"/>
    <m/>
    <m/>
    <n v="161"/>
    <n v="92"/>
    <n v="253"/>
    <n v="0.30481927710843376"/>
    <n v="50.6"/>
    <n v="0.243855421686747"/>
    <n v="0.25"/>
  </r>
  <r>
    <s v="весна"/>
    <s v="Основы статистического управления технологическими процессами"/>
    <s v="ПЗ"/>
    <s v="Т11О-202М-22"/>
    <n v="32"/>
    <s v="16104"/>
    <n v="32"/>
    <s v="82090"/>
    <x v="10"/>
    <m/>
    <s v="Нет"/>
    <m/>
    <m/>
    <n v="161"/>
    <n v="92"/>
    <n v="253"/>
    <n v="0.30481927710843376"/>
    <n v="50.6"/>
    <n v="0.243855421686747"/>
    <n v="0.25"/>
  </r>
  <r>
    <s v="весна"/>
    <s v="Основы статистического управления технологическими процессами"/>
    <s v="Консультация"/>
    <s v="Т11О-201М-22"/>
    <n v="1"/>
    <s v="16104"/>
    <m/>
    <s v="82090"/>
    <x v="10"/>
    <m/>
    <s v="Нет"/>
    <m/>
    <m/>
    <n v="161"/>
    <n v="92"/>
    <n v="253"/>
    <n v="0.30481927710843376"/>
    <n v="50.6"/>
    <n v="0.243855421686747"/>
    <n v="0.25"/>
  </r>
  <r>
    <s v="весна"/>
    <s v="Основы статистического управления технологическими процессами"/>
    <s v="Консультация"/>
    <s v="Т11О-202М-22"/>
    <n v="1"/>
    <s v="16104"/>
    <m/>
    <s v="82090"/>
    <x v="10"/>
    <m/>
    <s v="Нет"/>
    <m/>
    <m/>
    <n v="161"/>
    <n v="92"/>
    <n v="253"/>
    <n v="0.30481927710843376"/>
    <n v="50.6"/>
    <n v="0.243855421686747"/>
    <n v="0.25"/>
  </r>
  <r>
    <s v="весна"/>
    <s v="Теплотехника и основы теплопередачи"/>
    <s v="ЛК"/>
    <s v="Т11О-201Б-22, Т11О-202Б-22"/>
    <n v="24"/>
    <s v="16442"/>
    <n v="24"/>
    <s v="82086"/>
    <x v="24"/>
    <m/>
    <s v="Нет"/>
    <m/>
    <m/>
    <n v="364"/>
    <n v="147"/>
    <n v="511"/>
    <n v="0.6156626506024097"/>
    <n v="102.2"/>
    <n v="0.49253012048192774"/>
    <n v="0.5"/>
  </r>
  <r>
    <s v="весна"/>
    <s v="Теплотехника и основы теплопередачи"/>
    <s v="ПЗ"/>
    <s v="Т11О-201Б-22"/>
    <n v="16"/>
    <s v="16442"/>
    <n v="16"/>
    <s v="82086"/>
    <x v="24"/>
    <m/>
    <s v="Нет"/>
    <m/>
    <m/>
    <n v="364"/>
    <n v="147"/>
    <n v="511"/>
    <n v="0.6156626506024097"/>
    <n v="102.2"/>
    <n v="0.49253012048192774"/>
    <n v="0.5"/>
  </r>
  <r>
    <s v="весна"/>
    <s v="Теплотехника и основы теплопередачи"/>
    <s v="ПЗ"/>
    <s v="Т11О-202Б-22"/>
    <n v="16"/>
    <s v="16442"/>
    <n v="16"/>
    <s v="82086"/>
    <x v="24"/>
    <m/>
    <s v="Нет"/>
    <m/>
    <m/>
    <n v="364"/>
    <n v="147"/>
    <n v="511"/>
    <n v="0.6156626506024097"/>
    <n v="102.2"/>
    <n v="0.49253012048192774"/>
    <n v="0.5"/>
  </r>
  <r>
    <s v="весна"/>
    <s v="Теплотехника и основы теплопередачи"/>
    <s v="ЛР"/>
    <s v="Т11О-201Б-22"/>
    <n v="24"/>
    <s v="16442"/>
    <n v="24"/>
    <s v="82086"/>
    <x v="8"/>
    <m/>
    <s v="Нет"/>
    <m/>
    <m/>
    <n v="78"/>
    <n v="240.5"/>
    <n v="318.5"/>
    <n v="0.38373493975903616"/>
    <n v="63.7"/>
    <n v="0.30698795180722893"/>
    <n v="0.35"/>
  </r>
  <r>
    <s v="весна"/>
    <s v="Теплотехника и основы теплопередачи"/>
    <s v="ЛР"/>
    <s v="Т11О-201Б-22"/>
    <n v="24"/>
    <s v="16442"/>
    <n v="24"/>
    <s v="82086"/>
    <x v="24"/>
    <m/>
    <s v="Нет"/>
    <m/>
    <m/>
    <n v="364"/>
    <n v="147"/>
    <n v="511"/>
    <n v="0.6156626506024097"/>
    <n v="102.2"/>
    <n v="0.49253012048192774"/>
    <n v="0.5"/>
  </r>
  <r>
    <s v="весна"/>
    <s v="Теплотехника и основы теплопередачи"/>
    <s v="ЛР"/>
    <s v="Т11О-202Б-22"/>
    <n v="24"/>
    <s v="16442"/>
    <n v="24"/>
    <s v="82086"/>
    <x v="8"/>
    <m/>
    <s v="Нет"/>
    <m/>
    <m/>
    <n v="78"/>
    <n v="240.5"/>
    <n v="318.5"/>
    <n v="0.38373493975903616"/>
    <n v="63.7"/>
    <n v="0.30698795180722893"/>
    <n v="0.35"/>
  </r>
  <r>
    <s v="весна"/>
    <s v="Теплотехника и основы теплопередачи"/>
    <s v="ЛР"/>
    <s v="Т11О-202Б-22"/>
    <n v="24"/>
    <s v="16442"/>
    <n v="24"/>
    <s v="82086"/>
    <x v="24"/>
    <m/>
    <s v="Нет"/>
    <m/>
    <m/>
    <n v="364"/>
    <n v="147"/>
    <n v="511"/>
    <n v="0.6156626506024097"/>
    <n v="102.2"/>
    <n v="0.49253012048192774"/>
    <n v="0.5"/>
  </r>
  <r>
    <s v="весна"/>
    <s v="Теплотехника и основы теплопередачи"/>
    <s v="Экзамен"/>
    <s v="Т11О-201Б-22"/>
    <n v="6"/>
    <s v="16442"/>
    <m/>
    <s v="82086"/>
    <x v="24"/>
    <m/>
    <s v="Нет"/>
    <m/>
    <m/>
    <n v="364"/>
    <n v="147"/>
    <n v="511"/>
    <n v="0.6156626506024097"/>
    <n v="102.2"/>
    <n v="0.49253012048192774"/>
    <n v="0.5"/>
  </r>
  <r>
    <s v="весна"/>
    <s v="Теплотехника и основы теплопередачи"/>
    <s v="Экзамен"/>
    <s v="Т11О-201Б-22"/>
    <n v="3"/>
    <s v="16442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плотехника и основы теплопередачи"/>
    <s v="Экзамен"/>
    <s v="Т11О-202Б-22"/>
    <n v="7"/>
    <s v="16442"/>
    <m/>
    <s v="82086"/>
    <x v="24"/>
    <m/>
    <s v="Нет"/>
    <m/>
    <m/>
    <n v="364"/>
    <n v="147"/>
    <n v="511"/>
    <n v="0.6156626506024097"/>
    <n v="102.2"/>
    <n v="0.49253012048192774"/>
    <n v="0.5"/>
  </r>
  <r>
    <s v="весна"/>
    <s v="Теплотехника и основы теплопередачи"/>
    <s v="Экзамен"/>
    <s v="Т11О-202Б-22"/>
    <n v="3"/>
    <s v="16442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плотехника и основы теплопередачи"/>
    <s v="Консультация"/>
    <s v="Т11О-201Б-22"/>
    <n v="2"/>
    <s v="16442"/>
    <m/>
    <s v="82086"/>
    <x v="24"/>
    <m/>
    <s v="Нет"/>
    <m/>
    <m/>
    <n v="364"/>
    <n v="147"/>
    <n v="511"/>
    <n v="0.6156626506024097"/>
    <n v="102.2"/>
    <n v="0.49253012048192774"/>
    <n v="0.5"/>
  </r>
  <r>
    <s v="весна"/>
    <s v="Теплотехника и основы теплопередачи"/>
    <s v="Консультация"/>
    <s v="Т11О-201Б-22"/>
    <n v="1"/>
    <s v="16442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плотехника и основы теплопередачи"/>
    <s v="Консультация"/>
    <s v="Т11О-202Б-22"/>
    <n v="2"/>
    <s v="16442"/>
    <m/>
    <s v="82086"/>
    <x v="24"/>
    <m/>
    <s v="Нет"/>
    <m/>
    <m/>
    <n v="364"/>
    <n v="147"/>
    <n v="511"/>
    <n v="0.6156626506024097"/>
    <n v="102.2"/>
    <n v="0.49253012048192774"/>
    <n v="0.5"/>
  </r>
  <r>
    <s v="весна"/>
    <s v="Теплотехника и основы теплопередачи"/>
    <s v="Консультация"/>
    <s v="Т11О-202Б-22"/>
    <n v="1"/>
    <s v="16442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Основы технологии и автоматизации производства продукции методами ОМД"/>
    <s v="ЛК"/>
    <s v="Т11О-302Б-21"/>
    <n v="26"/>
    <s v="14861"/>
    <n v="26"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Основы технологии и автоматизации производства продукции методами ОМД"/>
    <s v="КР"/>
    <s v="Т11О-302Б-21"/>
    <n v="36"/>
    <s v="14861"/>
    <m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Основы технологии и автоматизации производства продукции методами ОМД"/>
    <s v="Зачет с оценкой"/>
    <s v="Т11О-302Б-21"/>
    <n v="4"/>
    <s v="14861"/>
    <m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Основы технологии и автоматизации производства продукции методами ОМД"/>
    <s v="Зачет с оценкой"/>
    <s v="Т11О-302Б-21"/>
    <n v="1"/>
    <s v="14861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Основы технологии и автоматизации производства продукции методами ОМД"/>
    <s v="ПЗ"/>
    <s v="Т11О-302Б-21"/>
    <n v="32"/>
    <s v="14861"/>
    <n v="32"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Основы технологии и автоматизации производства продукции методами ОМД"/>
    <s v="ЛР"/>
    <s v="Т11О-302Б-21"/>
    <n v="16"/>
    <s v="14861"/>
    <n v="8"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Основы технологии и автоматизации производства продукции методами ОМД"/>
    <s v="Консультация"/>
    <s v="Т11О-302Б-21"/>
    <n v="1"/>
    <s v="14861"/>
    <m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Основы технологии и автоматизации производства продукции методами ТСП"/>
    <s v="ЛК"/>
    <s v="Т11О-302Б-21"/>
    <n v="36"/>
    <s v="14861"/>
    <n v="36"/>
    <s v="89090"/>
    <x v="3"/>
    <m/>
    <s v="Нет"/>
    <m/>
    <m/>
    <n v="169"/>
    <n v="340"/>
    <n v="509"/>
    <n v="0.6132530120481928"/>
    <n v="101.80000000000001"/>
    <n v="0.4906024096385543"/>
    <n v="0.4"/>
  </r>
  <r>
    <s v="весна"/>
    <s v="Основы технологии и автоматизации производства продукции методами ТСП"/>
    <s v="ПЗ"/>
    <s v="Т11О-302Б-21"/>
    <n v="24"/>
    <s v="14861"/>
    <n v="24"/>
    <s v="89090"/>
    <x v="3"/>
    <m/>
    <s v="Нет"/>
    <m/>
    <m/>
    <n v="169"/>
    <n v="340"/>
    <n v="509"/>
    <n v="0.6132530120481928"/>
    <n v="101.80000000000001"/>
    <n v="0.4906024096385543"/>
    <n v="0.4"/>
  </r>
  <r>
    <s v="весна"/>
    <s v="Основы технологии и автоматизации производства продукции методами ТСП"/>
    <s v="Экзамен"/>
    <s v="Т11О-302Б-21"/>
    <n v="6"/>
    <s v="14861"/>
    <m/>
    <s v="89090"/>
    <x v="3"/>
    <m/>
    <s v="Нет"/>
    <m/>
    <m/>
    <n v="169"/>
    <n v="340"/>
    <n v="509"/>
    <n v="0.6132530120481928"/>
    <n v="101.80000000000001"/>
    <n v="0.4906024096385543"/>
    <n v="0.4"/>
  </r>
  <r>
    <s v="весна"/>
    <s v="Основы технологии и автоматизации производства продукции методами ТСП"/>
    <s v="Экзамен"/>
    <s v="Т11О-302Б-21"/>
    <n v="3"/>
    <s v="14861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Основы технологии и автоматизации производства продукции методами ТСП"/>
    <s v="Консультация"/>
    <s v="Т11О-302Б-21"/>
    <n v="2"/>
    <s v="14861"/>
    <m/>
    <s v="89090"/>
    <x v="3"/>
    <m/>
    <s v="Нет"/>
    <m/>
    <m/>
    <n v="169"/>
    <n v="340"/>
    <n v="509"/>
    <n v="0.6132530120481928"/>
    <n v="101.80000000000001"/>
    <n v="0.4906024096385543"/>
    <n v="0.4"/>
  </r>
  <r>
    <s v="весна"/>
    <s v="Основы технологии и автоматизации производства продукции методами ТСП"/>
    <s v="Консультация"/>
    <s v="Т11О-302Б-21"/>
    <n v="1"/>
    <s v="14861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Искусственный интеллект в технологиях материалов"/>
    <s v="ЛК"/>
    <s v="Т11О-101М-23"/>
    <n v="30"/>
    <s v="18008"/>
    <n v="30"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Искусственный интеллект в технологиях материалов"/>
    <s v="Зачет с оценкой"/>
    <s v="Т11О-101М-23"/>
    <n v="3"/>
    <s v="18008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Искусственный интеллект в технологиях материалов"/>
    <s v="Зачет с оценкой"/>
    <s v="Т11О-101М-23"/>
    <n v="1"/>
    <s v="1800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Искусственный интеллект в технологиях материалов"/>
    <s v="Зачет с оценкой"/>
    <s v="Т11О-102М-23"/>
    <n v="3"/>
    <s v="18009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Искусственный интеллект в технологиях материалов"/>
    <s v="Зачет с оценкой"/>
    <s v="Т11О-102М-23"/>
    <n v="1"/>
    <s v="18009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Искусственный интеллект в технологиях материалов"/>
    <s v="Зачет с оценкой"/>
    <s v="Т11О-104М-23"/>
    <n v="2"/>
    <s v="18009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Искусственный интеллект в технологиях материалов"/>
    <s v="Зачет с оценкой"/>
    <s v="Т11О-104М-23"/>
    <n v="1"/>
    <s v="18009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Искусственный интеллект в технологиях материалов"/>
    <s v="Зачет с оценкой"/>
    <s v="Т11О-105М-23"/>
    <n v="2"/>
    <s v="18009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Искусственный интеллект в технологиях материалов"/>
    <s v="Зачет с оценкой"/>
    <s v="Т11О-105М-23"/>
    <n v="1"/>
    <s v="18009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Искусственный интеллект в технологиях материалов"/>
    <s v="ПЗ"/>
    <s v="Т11О-101М-23"/>
    <n v="2"/>
    <s v="18008"/>
    <n v="8"/>
    <s v="82086"/>
    <x v="8"/>
    <m/>
    <s v="Нет"/>
    <m/>
    <m/>
    <n v="78"/>
    <n v="240.5"/>
    <n v="318.5"/>
    <n v="0.38373493975903616"/>
    <n v="63.7"/>
    <n v="0.30698795180722893"/>
    <n v="0.35"/>
  </r>
  <r>
    <s v="весна"/>
    <s v="Искусственный интеллект в технологиях материалов"/>
    <s v="ПЗ"/>
    <s v="Т11О-101М-23"/>
    <n v="2"/>
    <s v="18008"/>
    <n v="8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Искусственный интеллект в технологиях материалов"/>
    <s v="ПЗ"/>
    <s v="Т11О-101М-23"/>
    <n v="2"/>
    <s v="18008"/>
    <n v="8"/>
    <s v="81721"/>
    <x v="18"/>
    <m/>
    <s v="Нет"/>
    <m/>
    <m/>
    <n v="175"/>
    <n v="120"/>
    <n v="295"/>
    <n v="0.35542168674698793"/>
    <n v="59"/>
    <n v="0.28433734939759037"/>
    <n v="0.25"/>
  </r>
  <r>
    <s v="весна"/>
    <s v="Искусственный интеллект в технологиях материалов"/>
    <s v="ПЗ"/>
    <s v="Т11О-101М-23"/>
    <n v="2"/>
    <s v="18008"/>
    <n v="8"/>
    <s v="92509"/>
    <x v="20"/>
    <m/>
    <s v="Нет"/>
    <m/>
    <m/>
    <n v="410"/>
    <n v="260"/>
    <n v="670"/>
    <n v="0.8072289156626506"/>
    <n v="134"/>
    <n v="0.6457831325301205"/>
    <n v="0.55"/>
  </r>
  <r>
    <s v="весна"/>
    <s v="Искусственный интеллект в технологиях материалов"/>
    <s v="ПЗ"/>
    <s v="Т11О-102М-23"/>
    <n v="2"/>
    <s v="18009"/>
    <n v="8"/>
    <s v="92509"/>
    <x v="20"/>
    <m/>
    <s v="Нет"/>
    <m/>
    <m/>
    <n v="410"/>
    <n v="260"/>
    <n v="670"/>
    <n v="0.8072289156626506"/>
    <n v="134"/>
    <n v="0.6457831325301205"/>
    <n v="0.55"/>
  </r>
  <r>
    <s v="весна"/>
    <s v="Искусственный интеллект в технологиях материалов"/>
    <s v="ПЗ"/>
    <s v="Т11О-102М-23"/>
    <n v="2"/>
    <s v="18009"/>
    <n v="8"/>
    <s v="81721"/>
    <x v="18"/>
    <m/>
    <s v="Нет"/>
    <m/>
    <m/>
    <n v="175"/>
    <n v="120"/>
    <n v="295"/>
    <n v="0.35542168674698793"/>
    <n v="59"/>
    <n v="0.28433734939759037"/>
    <n v="0.25"/>
  </r>
  <r>
    <s v="весна"/>
    <s v="Искусственный интеллект в технологиях материалов"/>
    <s v="ПЗ"/>
    <s v="Т11О-102М-23"/>
    <n v="2"/>
    <s v="18009"/>
    <n v="8"/>
    <s v="82086"/>
    <x v="8"/>
    <m/>
    <s v="Нет"/>
    <m/>
    <m/>
    <n v="78"/>
    <n v="240.5"/>
    <n v="318.5"/>
    <n v="0.38373493975903616"/>
    <n v="63.7"/>
    <n v="0.30698795180722893"/>
    <n v="0.35"/>
  </r>
  <r>
    <s v="весна"/>
    <s v="Искусственный интеллект в технологиях материалов"/>
    <s v="ПЗ"/>
    <s v="Т11О-102М-23"/>
    <n v="2"/>
    <s v="18009"/>
    <n v="8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Искусственный интеллект в технологиях материалов"/>
    <s v="ПЗ"/>
    <s v="Т11О-104М-23"/>
    <n v="2"/>
    <s v="18009"/>
    <n v="8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Искусственный интеллект в технологиях материалов"/>
    <s v="ПЗ"/>
    <s v="Т11О-104М-23"/>
    <n v="2"/>
    <s v="18009"/>
    <n v="8"/>
    <s v="82086"/>
    <x v="8"/>
    <m/>
    <s v="Нет"/>
    <m/>
    <m/>
    <n v="78"/>
    <n v="240.5"/>
    <n v="318.5"/>
    <n v="0.38373493975903616"/>
    <n v="63.7"/>
    <n v="0.30698795180722893"/>
    <n v="0.35"/>
  </r>
  <r>
    <s v="весна"/>
    <s v="Искусственный интеллект в технологиях материалов"/>
    <s v="ПЗ"/>
    <s v="Т11О-104М-23"/>
    <n v="2"/>
    <s v="18009"/>
    <n v="8"/>
    <s v="81721"/>
    <x v="18"/>
    <m/>
    <s v="Нет"/>
    <m/>
    <m/>
    <n v="175"/>
    <n v="120"/>
    <n v="295"/>
    <n v="0.35542168674698793"/>
    <n v="59"/>
    <n v="0.28433734939759037"/>
    <n v="0.25"/>
  </r>
  <r>
    <s v="весна"/>
    <s v="Искусственный интеллект в технологиях материалов"/>
    <s v="ПЗ"/>
    <s v="Т11О-104М-23"/>
    <n v="2"/>
    <s v="18009"/>
    <n v="8"/>
    <s v="92509"/>
    <x v="20"/>
    <m/>
    <s v="Нет"/>
    <m/>
    <m/>
    <n v="410"/>
    <n v="260"/>
    <n v="670"/>
    <n v="0.8072289156626506"/>
    <n v="134"/>
    <n v="0.6457831325301205"/>
    <n v="0.55"/>
  </r>
  <r>
    <s v="весна"/>
    <s v="Искусственный интеллект в технологиях материалов"/>
    <s v="ПЗ"/>
    <s v="Т11О-105М-23"/>
    <n v="2"/>
    <s v="18009"/>
    <n v="8"/>
    <s v="92509"/>
    <x v="20"/>
    <m/>
    <s v="Нет"/>
    <m/>
    <m/>
    <n v="410"/>
    <n v="260"/>
    <n v="670"/>
    <n v="0.8072289156626506"/>
    <n v="134"/>
    <n v="0.6457831325301205"/>
    <n v="0.55"/>
  </r>
  <r>
    <s v="весна"/>
    <s v="Искусственный интеллект в технологиях материалов"/>
    <s v="ПЗ"/>
    <s v="Т11О-105М-23"/>
    <n v="2"/>
    <s v="18009"/>
    <n v="8"/>
    <s v="81721"/>
    <x v="18"/>
    <m/>
    <s v="Нет"/>
    <m/>
    <m/>
    <n v="175"/>
    <n v="120"/>
    <n v="295"/>
    <n v="0.35542168674698793"/>
    <n v="59"/>
    <n v="0.28433734939759037"/>
    <n v="0.25"/>
  </r>
  <r>
    <s v="весна"/>
    <s v="Искусственный интеллект в технологиях материалов"/>
    <s v="ПЗ"/>
    <s v="Т11О-105М-23"/>
    <n v="2"/>
    <s v="18009"/>
    <n v="8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Искусственный интеллект в технологиях материалов"/>
    <s v="ПЗ"/>
    <s v="Т11О-105М-23"/>
    <n v="2"/>
    <s v="18009"/>
    <n v="8"/>
    <s v="82086"/>
    <x v="8"/>
    <m/>
    <s v="Нет"/>
    <m/>
    <m/>
    <n v="78"/>
    <n v="240.5"/>
    <n v="318.5"/>
    <n v="0.38373493975903616"/>
    <n v="63.7"/>
    <n v="0.30698795180722893"/>
    <n v="0.35"/>
  </r>
  <r>
    <s v="весна"/>
    <s v="Искусственный интеллект в технологиях материалов"/>
    <s v="ЛР"/>
    <s v="Т11О-101М-23"/>
    <n v="4"/>
    <s v="18008"/>
    <n v="12"/>
    <s v="82086"/>
    <x v="8"/>
    <m/>
    <s v="Нет"/>
    <m/>
    <m/>
    <n v="78"/>
    <n v="240.5"/>
    <n v="318.5"/>
    <n v="0.38373493975903616"/>
    <n v="63.7"/>
    <n v="0.30698795180722893"/>
    <n v="0.35"/>
  </r>
  <r>
    <s v="весна"/>
    <s v="Искусственный интеллект в технологиях материалов"/>
    <s v="ЛР"/>
    <s v="Т11О-101М-23"/>
    <n v="4"/>
    <s v="18008"/>
    <n v="12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Искусственный интеллект в технологиях материалов"/>
    <s v="ЛР"/>
    <s v="Т11О-101М-23"/>
    <n v="4"/>
    <s v="18008"/>
    <n v="12"/>
    <s v="81721"/>
    <x v="18"/>
    <m/>
    <s v="Нет"/>
    <m/>
    <m/>
    <n v="175"/>
    <n v="120"/>
    <n v="295"/>
    <n v="0.35542168674698793"/>
    <n v="59"/>
    <n v="0.28433734939759037"/>
    <n v="0.25"/>
  </r>
  <r>
    <s v="весна"/>
    <s v="Искусственный интеллект в технологиях материалов"/>
    <s v="ЛР"/>
    <s v="Т11О-102М-23"/>
    <n v="4"/>
    <s v="18009"/>
    <n v="12"/>
    <s v="81721"/>
    <x v="18"/>
    <m/>
    <s v="Нет"/>
    <m/>
    <m/>
    <n v="175"/>
    <n v="120"/>
    <n v="295"/>
    <n v="0.35542168674698793"/>
    <n v="59"/>
    <n v="0.28433734939759037"/>
    <n v="0.25"/>
  </r>
  <r>
    <s v="весна"/>
    <s v="Искусственный интеллект в технологиях материалов"/>
    <s v="ЛР"/>
    <s v="Т11О-102М-23"/>
    <n v="4"/>
    <s v="18009"/>
    <n v="12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Искусственный интеллект в технологиях материалов"/>
    <s v="ЛР"/>
    <s v="Т11О-102М-23"/>
    <n v="4"/>
    <s v="18009"/>
    <n v="12"/>
    <s v="82086"/>
    <x v="8"/>
    <m/>
    <s v="Нет"/>
    <m/>
    <m/>
    <n v="78"/>
    <n v="240.5"/>
    <n v="318.5"/>
    <n v="0.38373493975903616"/>
    <n v="63.7"/>
    <n v="0.30698795180722893"/>
    <n v="0.35"/>
  </r>
  <r>
    <s v="весна"/>
    <s v="Искусственный интеллект в технологиях материалов"/>
    <s v="ЛР"/>
    <s v="Т11О-104М-23"/>
    <n v="4"/>
    <s v="18009"/>
    <n v="12"/>
    <s v="82086"/>
    <x v="8"/>
    <m/>
    <s v="Нет"/>
    <m/>
    <m/>
    <n v="78"/>
    <n v="240.5"/>
    <n v="318.5"/>
    <n v="0.38373493975903616"/>
    <n v="63.7"/>
    <n v="0.30698795180722893"/>
    <n v="0.35"/>
  </r>
  <r>
    <s v="весна"/>
    <s v="Искусственный интеллект в технологиях материалов"/>
    <s v="ЛР"/>
    <s v="Т11О-104М-23"/>
    <n v="4"/>
    <s v="18009"/>
    <n v="12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Искусственный интеллект в технологиях материалов"/>
    <s v="ЛР"/>
    <s v="Т11О-104М-23"/>
    <n v="4"/>
    <s v="18009"/>
    <n v="12"/>
    <s v="81721"/>
    <x v="18"/>
    <m/>
    <s v="Нет"/>
    <m/>
    <m/>
    <n v="175"/>
    <n v="120"/>
    <n v="295"/>
    <n v="0.35542168674698793"/>
    <n v="59"/>
    <n v="0.28433734939759037"/>
    <n v="0.25"/>
  </r>
  <r>
    <s v="весна"/>
    <s v="Искусственный интеллект в технологиях материалов"/>
    <s v="ЛР"/>
    <s v="Т11О-105М-23"/>
    <n v="4"/>
    <s v="18009"/>
    <n v="12"/>
    <s v="81721"/>
    <x v="18"/>
    <m/>
    <s v="Нет"/>
    <m/>
    <m/>
    <n v="175"/>
    <n v="120"/>
    <n v="295"/>
    <n v="0.35542168674698793"/>
    <n v="59"/>
    <n v="0.28433734939759037"/>
    <n v="0.25"/>
  </r>
  <r>
    <s v="весна"/>
    <s v="Искусственный интеллект в технологиях материалов"/>
    <s v="ЛР"/>
    <s v="Т11О-105М-23"/>
    <n v="4"/>
    <s v="18009"/>
    <n v="12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Искусственный интеллект в технологиях материалов"/>
    <s v="ЛР"/>
    <s v="Т11О-105М-23"/>
    <n v="4"/>
    <s v="18009"/>
    <n v="12"/>
    <s v="82086"/>
    <x v="8"/>
    <m/>
    <s v="Нет"/>
    <m/>
    <m/>
    <n v="78"/>
    <n v="240.5"/>
    <n v="318.5"/>
    <n v="0.38373493975903616"/>
    <n v="63.7"/>
    <n v="0.30698795180722893"/>
    <n v="0.35"/>
  </r>
  <r>
    <s v="весна"/>
    <s v="Искусственный интеллект в технологиях материалов"/>
    <s v="Консультация"/>
    <s v="Т11О-101М-23"/>
    <n v="1"/>
    <s v="18008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Искусственный интеллект в технологиях материалов"/>
    <s v="Консультация"/>
    <s v="Т11О-101М-23"/>
    <n v="1"/>
    <s v="1800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Искусственный интеллект в технологиях материалов"/>
    <s v="Консультация"/>
    <s v="Т11О-102М-23"/>
    <n v="1"/>
    <s v="18009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Искусственный интеллект в технологиях материалов"/>
    <s v="Консультация"/>
    <s v="Т11О-102М-23"/>
    <n v="1"/>
    <s v="18009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Искусственный интеллект в технологиях материалов"/>
    <s v="Консультация"/>
    <s v="Т11О-104М-23"/>
    <n v="1"/>
    <s v="18009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Искусственный интеллект в технологиях материалов"/>
    <s v="Консультация"/>
    <s v="Т11О-104М-23"/>
    <n v="1"/>
    <s v="18009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Искусственный интеллект в технологиях материалов"/>
    <s v="Консультация"/>
    <s v="Т11О-105М-23"/>
    <n v="1"/>
    <s v="18009"/>
    <m/>
    <s v="81728"/>
    <x v="16"/>
    <m/>
    <s v="Нет"/>
    <m/>
    <m/>
    <n v="438"/>
    <n v="361"/>
    <n v="799"/>
    <n v="0.9626506024096385"/>
    <n v="159.8"/>
    <n v="0.7701204819277109"/>
    <n v="0.75"/>
  </r>
  <r>
    <s v="весна"/>
    <s v="Искусственный интеллект в технологиях материалов"/>
    <s v="Консультация"/>
    <s v="Т11О-105М-23"/>
    <n v="1"/>
    <s v="18009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Численные методы"/>
    <s v="ЛК"/>
    <s v="Т11О-206Б-22"/>
    <n v="28"/>
    <s v="16776"/>
    <n v="28"/>
    <s v="82026"/>
    <x v="9"/>
    <m/>
    <s v="Нет"/>
    <m/>
    <m/>
    <n v="337"/>
    <n v="205"/>
    <n v="542"/>
    <n v="0.653012048192771"/>
    <n v="108.4"/>
    <n v="0.5224096385542168"/>
    <n v="0.65"/>
  </r>
  <r>
    <s v="весна"/>
    <s v="Численные методы"/>
    <s v="Зачет с оценкой"/>
    <s v="Т11О-206Б-22"/>
    <n v="5"/>
    <s v="16776"/>
    <m/>
    <s v="82026"/>
    <x v="9"/>
    <m/>
    <s v="Нет"/>
    <m/>
    <m/>
    <n v="337"/>
    <n v="205"/>
    <n v="542"/>
    <n v="0.653012048192771"/>
    <n v="108.4"/>
    <n v="0.5224096385542168"/>
    <n v="0.65"/>
  </r>
  <r>
    <s v="весна"/>
    <s v="Численные методы"/>
    <s v="ПЗ"/>
    <s v="Т11О-206Б-22"/>
    <n v="26"/>
    <s v="16776"/>
    <n v="26"/>
    <s v="82026"/>
    <x v="9"/>
    <m/>
    <s v="Нет"/>
    <m/>
    <m/>
    <n v="337"/>
    <n v="205"/>
    <n v="542"/>
    <n v="0.653012048192771"/>
    <n v="108.4"/>
    <n v="0.5224096385542168"/>
    <n v="0.65"/>
  </r>
  <r>
    <s v="весна"/>
    <s v="Численные методы"/>
    <s v="Консультация"/>
    <s v="Т11О-206Б-22"/>
    <n v="1"/>
    <s v="16776"/>
    <m/>
    <s v="82026"/>
    <x v="9"/>
    <m/>
    <s v="Нет"/>
    <m/>
    <m/>
    <n v="337"/>
    <n v="205"/>
    <n v="542"/>
    <n v="0.653012048192771"/>
    <n v="108.4"/>
    <n v="0.5224096385542168"/>
    <n v="0.65"/>
  </r>
  <r>
    <s v="весна"/>
    <s v="Введение в специальность"/>
    <s v="ЛК"/>
    <s v="Т11О-101Б-23"/>
    <n v="18"/>
    <s v="14668"/>
    <n v="18"/>
    <s v="81729"/>
    <x v="15"/>
    <m/>
    <s v="Нет"/>
    <m/>
    <m/>
    <n v="276"/>
    <n v="323"/>
    <n v="599"/>
    <n v="0.7216867469879518"/>
    <n v="119.80000000000001"/>
    <n v="0.5773493975903614"/>
    <n v="0.55"/>
  </r>
  <r>
    <s v="весна"/>
    <s v="Введение в специальность"/>
    <s v="ЛР"/>
    <s v="Т11О-101Б-23"/>
    <n v="32"/>
    <s v="14668"/>
    <n v="16"/>
    <s v="81729"/>
    <x v="15"/>
    <m/>
    <s v="Нет"/>
    <m/>
    <m/>
    <n v="276"/>
    <n v="323"/>
    <n v="599"/>
    <n v="0.7216867469879518"/>
    <n v="119.80000000000001"/>
    <n v="0.5773493975903614"/>
    <n v="0.55"/>
  </r>
  <r>
    <s v="весна"/>
    <s v="Введение в специальность"/>
    <s v="Зачет"/>
    <s v="Т11О-101Б-23"/>
    <n v="3"/>
    <s v="14668"/>
    <m/>
    <s v="81729"/>
    <x v="15"/>
    <m/>
    <s v="Нет"/>
    <m/>
    <m/>
    <n v="276"/>
    <n v="323"/>
    <n v="599"/>
    <n v="0.7216867469879518"/>
    <n v="119.80000000000001"/>
    <n v="0.5773493975903614"/>
    <n v="0.55"/>
  </r>
  <r>
    <s v="весна"/>
    <s v="Введение в специальность"/>
    <s v="Зачет"/>
    <s v="Т11О-101Б-23"/>
    <n v="1"/>
    <s v="1466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Введение в специальность"/>
    <s v="Консультация"/>
    <s v="Т11О-101Б-23"/>
    <n v="1"/>
    <s v="14668"/>
    <m/>
    <s v="81729"/>
    <x v="15"/>
    <m/>
    <s v="Нет"/>
    <m/>
    <m/>
    <n v="276"/>
    <n v="323"/>
    <n v="599"/>
    <n v="0.7216867469879518"/>
    <n v="119.80000000000001"/>
    <n v="0.5773493975903614"/>
    <n v="0.55"/>
  </r>
  <r>
    <s v="весна"/>
    <s v="Микрокристаллические и аморфные материалы"/>
    <s v="ЛК"/>
    <s v="Т11О-101М-23"/>
    <n v="24"/>
    <s v="18008"/>
    <n v="24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Микрокристаллические и аморфные материалы"/>
    <s v="Зачет с оценкой"/>
    <s v="Т11О-101М-23"/>
    <n v="3"/>
    <s v="18008"/>
    <m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Микрокристаллические и аморфные материалы"/>
    <s v="Зачет с оценкой"/>
    <s v="Т11О-101М-23"/>
    <n v="1"/>
    <s v="1800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Микрокристаллические и аморфные материалы"/>
    <s v="ПЗ"/>
    <s v="Т11О-101М-23"/>
    <n v="44"/>
    <s v="18008"/>
    <n v="44"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Микрокристаллические и аморфные материалы"/>
    <s v="Консультация"/>
    <s v="Т11О-101М-23"/>
    <n v="1"/>
    <s v="18008"/>
    <m/>
    <s v="82066"/>
    <x v="21"/>
    <m/>
    <s v="Нет"/>
    <m/>
    <m/>
    <n v="297"/>
    <n v="310"/>
    <n v="607"/>
    <n v="0.7313253012048193"/>
    <n v="121.4"/>
    <n v="0.5850602409638554"/>
    <n v="0.6"/>
  </r>
  <r>
    <s v="весна"/>
    <s v="Технология прессования легких сплавов"/>
    <s v="ЛК"/>
    <s v="Т11О-101М-23"/>
    <n v="24"/>
    <s v="18008"/>
    <n v="24"/>
    <s v="81731"/>
    <x v="26"/>
    <m/>
    <s v="Нет"/>
    <m/>
    <m/>
    <n v="15"/>
    <n v="146"/>
    <n v="161"/>
    <n v="0.19397590361445782"/>
    <n v="32.2"/>
    <n v="0.15518072289156626"/>
    <n v="0.15"/>
  </r>
  <r>
    <s v="весна"/>
    <s v="Технология прессования легких сплавов"/>
    <s v="КР"/>
    <s v="Т11О-101М-23"/>
    <n v="26"/>
    <s v="18008"/>
    <m/>
    <s v="81731"/>
    <x v="26"/>
    <m/>
    <s v="Нет"/>
    <m/>
    <m/>
    <n v="15"/>
    <n v="146"/>
    <n v="161"/>
    <n v="0.19397590361445782"/>
    <n v="32.2"/>
    <n v="0.15518072289156626"/>
    <n v="0.15"/>
  </r>
  <r>
    <s v="весна"/>
    <s v="Технология прессования легких сплавов"/>
    <s v="ПЗ"/>
    <s v="Т11О-101М-23"/>
    <n v="42"/>
    <s v="18008"/>
    <n v="42"/>
    <s v="81731"/>
    <x v="26"/>
    <m/>
    <s v="Нет"/>
    <m/>
    <m/>
    <n v="15"/>
    <n v="146"/>
    <n v="161"/>
    <n v="0.19397590361445782"/>
    <n v="32.2"/>
    <n v="0.15518072289156626"/>
    <n v="0.15"/>
  </r>
  <r>
    <s v="весна"/>
    <s v="Технология прессования легких сплавов"/>
    <s v="Экзамен"/>
    <s v="Т11О-101М-23"/>
    <n v="5"/>
    <s v="18008"/>
    <m/>
    <s v="81731"/>
    <x v="26"/>
    <m/>
    <s v="Нет"/>
    <m/>
    <m/>
    <n v="15"/>
    <n v="146"/>
    <n v="161"/>
    <n v="0.19397590361445782"/>
    <n v="32.2"/>
    <n v="0.15518072289156626"/>
    <n v="0.15"/>
  </r>
  <r>
    <s v="весна"/>
    <s v="Технология прессования легких сплавов"/>
    <s v="Экзамен"/>
    <s v="Т11О-101М-23"/>
    <n v="2"/>
    <s v="1800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хнология прессования легких сплавов"/>
    <s v="Консультация"/>
    <s v="Т11О-101М-23"/>
    <n v="2"/>
    <s v="18008"/>
    <m/>
    <s v="81731"/>
    <x v="26"/>
    <m/>
    <s v="Нет"/>
    <m/>
    <m/>
    <n v="15"/>
    <n v="146"/>
    <n v="161"/>
    <n v="0.19397590361445782"/>
    <n v="32.2"/>
    <n v="0.15518072289156626"/>
    <n v="0.15"/>
  </r>
  <r>
    <s v="весна"/>
    <s v="Технология прессования легких сплавов"/>
    <s v="Консультация"/>
    <s v="Т11О-101М-23"/>
    <n v="1"/>
    <s v="1800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Теория автоматического управления"/>
    <s v="ЛК"/>
    <s v="Т11О-302Б-21"/>
    <n v="20"/>
    <s v="14861"/>
    <n v="20"/>
    <s v="81721"/>
    <x v="18"/>
    <m/>
    <s v="Нет"/>
    <m/>
    <m/>
    <n v="175"/>
    <n v="120"/>
    <n v="295"/>
    <n v="0.35542168674698793"/>
    <n v="59"/>
    <n v="0.28433734939759037"/>
    <n v="0.25"/>
  </r>
  <r>
    <s v="весна"/>
    <s v="Теория автоматического управления"/>
    <s v="ПЗ"/>
    <s v="Т11О-302Б-21"/>
    <n v="48"/>
    <s v="14861"/>
    <n v="48"/>
    <s v="81721"/>
    <x v="18"/>
    <m/>
    <s v="Нет"/>
    <m/>
    <m/>
    <n v="175"/>
    <n v="120"/>
    <n v="295"/>
    <n v="0.35542168674698793"/>
    <n v="59"/>
    <n v="0.28433734939759037"/>
    <n v="0.25"/>
  </r>
  <r>
    <s v="весна"/>
    <s v="Теория автоматического управления"/>
    <s v="Экзамен"/>
    <s v="Т11О-302Б-21"/>
    <n v="6"/>
    <s v="14861"/>
    <m/>
    <s v="81721"/>
    <x v="18"/>
    <m/>
    <s v="Нет"/>
    <m/>
    <m/>
    <n v="175"/>
    <n v="120"/>
    <n v="295"/>
    <n v="0.35542168674698793"/>
    <n v="59"/>
    <n v="0.28433734939759037"/>
    <n v="0.25"/>
  </r>
  <r>
    <s v="весна"/>
    <s v="Теория автоматического управления"/>
    <s v="Экзамен"/>
    <s v="Т11О-302Б-21"/>
    <n v="3"/>
    <s v="14861"/>
    <m/>
    <m/>
    <x v="9"/>
    <m/>
    <s v="Нет"/>
    <m/>
    <m/>
    <n v="337"/>
    <n v="205"/>
    <n v="542"/>
    <n v="0.653012048192771"/>
    <n v="108.4"/>
    <n v="0.5224096385542168"/>
    <n v="0.65"/>
  </r>
  <r>
    <s v="весна"/>
    <s v="Теория автоматического управления"/>
    <s v="Консультация"/>
    <s v="Т11О-302Б-21"/>
    <n v="2"/>
    <s v="14861"/>
    <m/>
    <s v="81721"/>
    <x v="18"/>
    <m/>
    <s v="Нет"/>
    <m/>
    <m/>
    <n v="175"/>
    <n v="120"/>
    <n v="295"/>
    <n v="0.35542168674698793"/>
    <n v="59"/>
    <n v="0.28433734939759037"/>
    <n v="0.25"/>
  </r>
  <r>
    <s v="весна"/>
    <s v="Теория автоматического управления"/>
    <s v="Консультация"/>
    <s v="Т11О-302Б-21"/>
    <n v="1"/>
    <s v="14861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Информационные системы и технологии"/>
    <s v="ЛК"/>
    <s v="Т11О-104Б-23"/>
    <n v="24"/>
    <s v="18010"/>
    <n v="24"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Информационные системы и технологии"/>
    <s v="Зачет с оценкой"/>
    <s v="Т11О-104Б-23"/>
    <n v="4"/>
    <s v="18010"/>
    <m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Информационные системы и технологии"/>
    <s v="Зачет с оценкой"/>
    <s v="Т11О-104Б-23"/>
    <n v="2"/>
    <s v="18010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Информационные системы и технологии"/>
    <s v="ПЗ"/>
    <s v="Т11О-104Б-23"/>
    <n v="40"/>
    <s v="18010"/>
    <n v="40"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Информационные системы и технологии"/>
    <s v="Консультация"/>
    <s v="Т11О-104Б-23"/>
    <n v="1"/>
    <s v="18010"/>
    <m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Методология научных исследований"/>
    <s v="ЛК"/>
    <s v="Т11О-101М-23"/>
    <n v="12"/>
    <s v="18008"/>
    <n v="12"/>
    <s v="81958"/>
    <x v="25"/>
    <m/>
    <s v="Нет"/>
    <m/>
    <m/>
    <n v="180"/>
    <n v="129"/>
    <n v="309"/>
    <n v="0.372289156626506"/>
    <n v="61.800000000000004"/>
    <n v="0.2978313253012048"/>
    <n v="0.3"/>
  </r>
  <r>
    <s v="весна"/>
    <s v="Методология научных исследований"/>
    <s v="ПЗ"/>
    <s v="Т11О-101М-23"/>
    <n v="24"/>
    <s v="18008"/>
    <n v="24"/>
    <s v="81958"/>
    <x v="25"/>
    <m/>
    <s v="Нет"/>
    <m/>
    <m/>
    <n v="180"/>
    <n v="129"/>
    <n v="309"/>
    <n v="0.372289156626506"/>
    <n v="61.800000000000004"/>
    <n v="0.2978313253012048"/>
    <n v="0.3"/>
  </r>
  <r>
    <s v="весна"/>
    <s v="Методология научных исследований"/>
    <s v="Зачет"/>
    <s v="Т11О-101М-23"/>
    <n v="2"/>
    <s v="18008"/>
    <m/>
    <s v="81958"/>
    <x v="25"/>
    <m/>
    <s v="Нет"/>
    <m/>
    <m/>
    <n v="180"/>
    <n v="129"/>
    <n v="309"/>
    <n v="0.372289156626506"/>
    <n v="61.800000000000004"/>
    <n v="0.2978313253012048"/>
    <n v="0.3"/>
  </r>
  <r>
    <s v="весна"/>
    <s v="Методология научных исследований"/>
    <s v="Зачет"/>
    <s v="Т11О-101М-23"/>
    <n v="1"/>
    <s v="18008"/>
    <m/>
    <m/>
    <x v="5"/>
    <m/>
    <s v="Нет"/>
    <m/>
    <m/>
    <n v="14.5"/>
    <n v="78"/>
    <n v="92.5"/>
    <n v="0.11144578313253012"/>
    <n v="18.5"/>
    <n v="0.0891566265060241"/>
    <n v="0"/>
  </r>
  <r>
    <s v="весна"/>
    <s v="Методология научных исследований"/>
    <s v="Консультация"/>
    <s v="Т11О-101М-23"/>
    <n v="1"/>
    <s v="18008"/>
    <m/>
    <s v="81958"/>
    <x v="25"/>
    <m/>
    <s v="Нет"/>
    <m/>
    <m/>
    <n v="180"/>
    <n v="129"/>
    <n v="309"/>
    <n v="0.372289156626506"/>
    <n v="61.800000000000004"/>
    <n v="0.2978313253012048"/>
    <n v="0.3"/>
  </r>
  <r>
    <s v="весна"/>
    <s v="Итоговая гос. аттестация"/>
    <s v="ИГА"/>
    <s v="Т11О-401Б-20"/>
    <n v="18"/>
    <m/>
    <m/>
    <m/>
    <x v="9"/>
    <m/>
    <s v="Нет"/>
    <m/>
    <m/>
    <n v="337"/>
    <n v="205"/>
    <n v="542"/>
    <n v="0.653012048192771"/>
    <n v="108.4"/>
    <n v="0.5224096385542168"/>
    <n v="0.65"/>
  </r>
  <r>
    <s v="весна"/>
    <s v="Итоговая гос. аттестация"/>
    <s v="ИГА"/>
    <s v="Т11О-402Б-20"/>
    <n v="14"/>
    <m/>
    <m/>
    <m/>
    <x v="9"/>
    <m/>
    <s v="Нет"/>
    <m/>
    <m/>
    <n v="337"/>
    <n v="205"/>
    <n v="542"/>
    <n v="0.653012048192771"/>
    <n v="108.4"/>
    <n v="0.5224096385542168"/>
    <n v="0.65"/>
  </r>
  <r>
    <s v="весна"/>
    <s v="Итоговая гос. аттестация"/>
    <s v="ИГА"/>
    <s v="Т11О-403Б-20"/>
    <n v="18"/>
    <m/>
    <m/>
    <m/>
    <x v="9"/>
    <m/>
    <s v="Нет"/>
    <m/>
    <m/>
    <n v="337"/>
    <n v="205"/>
    <n v="542"/>
    <n v="0.653012048192771"/>
    <n v="108.4"/>
    <n v="0.5224096385542168"/>
    <n v="0.65"/>
  </r>
  <r>
    <s v="весна"/>
    <s v="Практика аспиранта"/>
    <s v="Практика"/>
    <s v="Т11О-203А-22"/>
    <n v="10"/>
    <m/>
    <m/>
    <s v="92509"/>
    <x v="20"/>
    <m/>
    <s v="Нет"/>
    <m/>
    <s v="Гаджиев Магомед Ражабович"/>
    <n v="410"/>
    <n v="260"/>
    <n v="670"/>
    <n v="0.8072289156626506"/>
    <n v="134"/>
    <n v="0.6457831325301205"/>
    <n v="0.55"/>
  </r>
  <r>
    <s v="весна"/>
    <s v="Практика аспиранта"/>
    <s v="Практика"/>
    <s v="Т11О-203А-22"/>
    <n v="10"/>
    <m/>
    <m/>
    <s v="81958"/>
    <x v="25"/>
    <m/>
    <s v="Нет"/>
    <m/>
    <s v="Максименко Екатерина Игоревна"/>
    <n v="180"/>
    <n v="129"/>
    <n v="309"/>
    <n v="0.372289156626506"/>
    <n v="61.800000000000004"/>
    <n v="0.2978313253012048"/>
    <n v="0.3"/>
  </r>
  <r>
    <s v="весна"/>
    <s v="Практика аспиранта"/>
    <s v="Практика"/>
    <s v="Т11О-205А-22"/>
    <n v="20"/>
    <m/>
    <m/>
    <s v="81891"/>
    <x v="7"/>
    <m/>
    <s v="Нет"/>
    <m/>
    <s v="Федорцов Руслан Сергеевич"/>
    <n v="381"/>
    <n v="162"/>
    <n v="543"/>
    <n v="0.6542168674698795"/>
    <n v="108.60000000000001"/>
    <n v="0.5233734939759036"/>
    <n v="0.5"/>
  </r>
  <r>
    <s v="весна"/>
    <s v="Практика аспиранта"/>
    <s v="Практика"/>
    <s v="Т11О-206А-22"/>
    <n v="20"/>
    <m/>
    <m/>
    <s v="81728"/>
    <x v="16"/>
    <m/>
    <s v="Нет"/>
    <m/>
    <s v="Батталов Тагир Хакимьянович"/>
    <n v="438"/>
    <n v="361"/>
    <n v="799"/>
    <n v="0.9626506024096385"/>
    <n v="159.8"/>
    <n v="0.7701204819277109"/>
    <n v="0.75"/>
  </r>
  <r>
    <s v="весна"/>
    <s v="Практика аспиранта"/>
    <s v="Практика"/>
    <s v="Т11О-207А-22"/>
    <n v="20"/>
    <m/>
    <m/>
    <s v="82060"/>
    <x v="23"/>
    <m/>
    <s v="Нет"/>
    <m/>
    <s v="Рыбаков Егор Михайлович"/>
    <n v="239"/>
    <n v="313"/>
    <n v="552"/>
    <n v="0.6650602409638554"/>
    <n v="110.4"/>
    <n v="0.5320481927710844"/>
    <n v="0.55"/>
  </r>
  <r>
    <s v="весна"/>
    <s v="Производственная практика"/>
    <s v="Практика"/>
    <s v="Т11О-301Б-21"/>
    <n v="30"/>
    <m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весна"/>
    <s v="Производственная практика"/>
    <s v="Практика"/>
    <s v="Т11О-302Б-21"/>
    <n v="30"/>
    <m/>
    <m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Ознакомительная практика"/>
    <s v="Практика"/>
    <s v="Т11О-104Б-23"/>
    <n v="60"/>
    <m/>
    <m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Научно-исследовательская работа"/>
    <s v="Практика"/>
    <s v="Т11О-302Б-21"/>
    <n v="30"/>
    <m/>
    <m/>
    <s v="81724"/>
    <x v="17"/>
    <m/>
    <s v="Нет"/>
    <m/>
    <m/>
    <n v="456"/>
    <n v="384"/>
    <n v="840"/>
    <n v="1.0120481927710843"/>
    <n v="168"/>
    <n v="0.8096385542168675"/>
    <n v="0.8"/>
  </r>
  <r>
    <s v="весна"/>
    <s v="Научно-исследовательская работа"/>
    <s v="Практика"/>
    <s v="Т11О-206Б-22"/>
    <n v="60"/>
    <m/>
    <m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Учебная практика"/>
    <s v="Практика"/>
    <s v="Т11О-201Б-22"/>
    <n v="60"/>
    <m/>
    <m/>
    <s v="94221"/>
    <x v="2"/>
    <m/>
    <s v="Нет"/>
    <m/>
    <m/>
    <n v="111"/>
    <n v="265"/>
    <n v="376"/>
    <n v="0.4530120481927711"/>
    <n v="75.2"/>
    <n v="0.3624096385542169"/>
    <n v="0.45"/>
  </r>
  <r>
    <s v="весна"/>
    <s v="Педагогическая практика"/>
    <s v="Практика"/>
    <s v="Т11О-302А-21"/>
    <n v="30"/>
    <m/>
    <m/>
    <s v="92509"/>
    <x v="20"/>
    <m/>
    <s v="Нет"/>
    <m/>
    <s v="Жуков Евгений Юрьевич"/>
    <n v="410"/>
    <n v="260"/>
    <n v="670"/>
    <n v="0.8072289156626506"/>
    <n v="134"/>
    <n v="0.6457831325301205"/>
    <n v="0.55"/>
  </r>
  <r>
    <s v="весна"/>
    <s v="Педагогическая практика"/>
    <s v="Практика"/>
    <s v="Т11О-306А-21"/>
    <n v="30"/>
    <m/>
    <m/>
    <s v="82056"/>
    <x v="9"/>
    <m/>
    <s v="Нет"/>
    <m/>
    <s v="Федотов Александр Юрьевич а/о"/>
    <n v="337"/>
    <n v="205"/>
    <n v="542"/>
    <n v="0.653012048192771"/>
    <n v="108.4"/>
    <n v="0.5224096385542168"/>
    <n v="0.65"/>
  </r>
  <r>
    <s v="весна"/>
    <s v="Педагогическая практика"/>
    <s v="Преддипломная практика"/>
    <s v="Т11О-407А-20"/>
    <n v="1"/>
    <m/>
    <m/>
    <s v="81958"/>
    <x v="25"/>
    <m/>
    <s v="Нет"/>
    <m/>
    <s v="Прокопенко Денис Алексеевич"/>
    <n v="180"/>
    <n v="129"/>
    <n v="309"/>
    <n v="0.372289156626506"/>
    <n v="61.800000000000004"/>
    <n v="0.2978313253012048"/>
    <n v="0.3"/>
  </r>
  <r>
    <s v="весна"/>
    <s v="Педагогическая практика"/>
    <s v="Преддипломная практика"/>
    <s v="Т11О-407А-20"/>
    <n v="1"/>
    <m/>
    <m/>
    <s v="82060"/>
    <x v="23"/>
    <m/>
    <s v="Нет"/>
    <m/>
    <s v="Митрофанов Андрей Леонидович"/>
    <n v="239"/>
    <n v="313"/>
    <n v="552"/>
    <n v="0.6650602409638554"/>
    <n v="110.4"/>
    <n v="0.5320481927710844"/>
    <n v="0.55"/>
  </r>
  <r>
    <s v="весна"/>
    <s v="Учебно-ознакомительная практика"/>
    <s v="Практика"/>
    <s v="Т11О-101Б-23"/>
    <n v="60"/>
    <m/>
    <m/>
    <s v="94221"/>
    <x v="2"/>
    <m/>
    <s v="Нет"/>
    <m/>
    <m/>
    <n v="111"/>
    <n v="265"/>
    <n v="376"/>
    <n v="0.4530120481927711"/>
    <n v="75.2"/>
    <n v="0.3624096385542169"/>
    <n v="0.45"/>
  </r>
  <r>
    <s v="весна"/>
    <s v="Государственный экзамен"/>
    <s v="Преддипломная практика"/>
    <s v="Т11О-407А-20"/>
    <n v="1"/>
    <m/>
    <m/>
    <s v="81958"/>
    <x v="25"/>
    <m/>
    <s v="Нет"/>
    <m/>
    <s v="Прокопенко Денис Алексеевич"/>
    <n v="180"/>
    <n v="129"/>
    <n v="309"/>
    <n v="0.372289156626506"/>
    <n v="61.800000000000004"/>
    <n v="0.2978313253012048"/>
    <n v="0.3"/>
  </r>
  <r>
    <s v="весна"/>
    <s v="Государственный экзамен"/>
    <s v="Преддипломная практика"/>
    <s v="Т11О-407А-20"/>
    <n v="1"/>
    <m/>
    <m/>
    <s v="82060"/>
    <x v="23"/>
    <m/>
    <s v="Нет"/>
    <m/>
    <s v="Митрофанов Андрей Леонидович"/>
    <n v="239"/>
    <n v="313"/>
    <n v="552"/>
    <n v="0.6650602409638554"/>
    <n v="110.4"/>
    <n v="0.5320481927710844"/>
    <n v="0.55"/>
  </r>
  <r>
    <s v="весна"/>
    <s v="Представление научного доклада об основных результатах подготовленной научно-квалификационной работы (диссертации)"/>
    <s v="Преддипломная практика"/>
    <s v="Т11О-407А-20"/>
    <n v="2"/>
    <m/>
    <m/>
    <s v="82060"/>
    <x v="23"/>
    <m/>
    <s v="Нет"/>
    <m/>
    <s v="Митрофанов Андрей Леонидович"/>
    <n v="239"/>
    <n v="313"/>
    <n v="552"/>
    <n v="0.6650602409638554"/>
    <n v="110.4"/>
    <n v="0.5320481927710844"/>
    <n v="0.55"/>
  </r>
  <r>
    <s v="весна"/>
    <s v="Представление научного доклада об основных результатах подготовленной научно-квалификационной работы (диссертации)"/>
    <s v="Преддипломная практика"/>
    <s v="Т11О-407А-20"/>
    <n v="2"/>
    <m/>
    <m/>
    <s v="81958"/>
    <x v="25"/>
    <m/>
    <s v="Нет"/>
    <m/>
    <s v="Прокопенко Денис Алексеевич"/>
    <n v="180"/>
    <n v="129"/>
    <n v="309"/>
    <n v="0.372289156626506"/>
    <n v="61.800000000000004"/>
    <n v="0.2978313253012048"/>
    <n v="0.3"/>
  </r>
  <r>
    <s v="весна"/>
    <s v="Преддипломная практика"/>
    <s v="Преддипломная практика"/>
    <s v="Т11О-201М-22"/>
    <n v="2"/>
    <m/>
    <m/>
    <s v="81728"/>
    <x v="16"/>
    <m/>
    <s v="Нет"/>
    <m/>
    <s v="1чел, Александров Антон Васильевич"/>
    <n v="438"/>
    <n v="361"/>
    <n v="799"/>
    <n v="0.9626506024096385"/>
    <n v="159.8"/>
    <n v="0.7701204819277109"/>
    <n v="0.75"/>
  </r>
  <r>
    <s v="весна"/>
    <s v="Преддипломная практика"/>
    <s v="Преддипломная практика"/>
    <s v="Т11О-201М-22"/>
    <n v="3"/>
    <m/>
    <m/>
    <s v="81732"/>
    <x v="12"/>
    <m/>
    <s v="Нет"/>
    <m/>
    <s v="    2 чел Барбанакова Чалый"/>
    <n v="171"/>
    <n v="88"/>
    <n v="259"/>
    <n v="0.31204819277108437"/>
    <n v="51.800000000000004"/>
    <n v="0.2496385542168675"/>
    <n v="0.25"/>
  </r>
  <r>
    <s v="весна"/>
    <s v="Преддипломная практика"/>
    <s v="Преддипломная практика"/>
    <s v="Т11О-201М-22"/>
    <n v="2"/>
    <m/>
    <m/>
    <s v="81720"/>
    <x v="14"/>
    <m/>
    <s v="Нет"/>
    <m/>
    <s v="1 чел Булатов Асадбек Улугбек угли"/>
    <n v="279"/>
    <n v="431"/>
    <n v="710"/>
    <n v="0.8554216867469879"/>
    <n v="142"/>
    <n v="0.6843373493975904"/>
    <n v="0.65"/>
  </r>
  <r>
    <s v="весна"/>
    <s v="Преддипломная практика"/>
    <s v="Преддипломная практика"/>
    <s v="Т11О-201М-22"/>
    <n v="2"/>
    <m/>
    <m/>
    <s v="81731"/>
    <x v="26"/>
    <m/>
    <s v="Нет"/>
    <m/>
    <s v="1 чел Голубев Константин Михайлович"/>
    <n v="15"/>
    <n v="146"/>
    <n v="161"/>
    <n v="0.19397590361445782"/>
    <n v="32.2"/>
    <n v="0.15518072289156626"/>
    <n v="0.15"/>
  </r>
  <r>
    <s v="весна"/>
    <s v="Преддипломная практика"/>
    <s v="Преддипломная практика"/>
    <s v="Т11О-201М-22"/>
    <n v="2"/>
    <m/>
    <m/>
    <s v="82056"/>
    <x v="4"/>
    <m/>
    <s v="Нет"/>
    <m/>
    <s v="1 чел Диесперов Сергей Николаевич"/>
    <n v="188"/>
    <n v="294"/>
    <n v="482"/>
    <n v="0.5807228915662651"/>
    <n v="96.4"/>
    <n v="0.46457831325301213"/>
    <n v="0.5"/>
  </r>
  <r>
    <s v="весна"/>
    <s v="Преддипломная практика"/>
    <s v="Преддипломная практика"/>
    <s v="Т11О-201М-22"/>
    <n v="2"/>
    <m/>
    <m/>
    <s v="92509"/>
    <x v="20"/>
    <m/>
    <s v="Нет"/>
    <m/>
    <s v="1 чел Редьков Евгений Алексеевич"/>
    <n v="410"/>
    <n v="260"/>
    <n v="670"/>
    <n v="0.8072289156626506"/>
    <n v="134"/>
    <n v="0.6457831325301205"/>
    <n v="0.55"/>
  </r>
  <r>
    <s v="весна"/>
    <s v="Преддипломная практика"/>
    <s v="Преддипломная практика"/>
    <s v="Т11О-201М-22"/>
    <n v="2"/>
    <m/>
    <m/>
    <s v="81730"/>
    <x v="13"/>
    <m/>
    <s v="Нет"/>
    <m/>
    <s v="1чел Хайрутдинова Раиса Рустамовна"/>
    <n v="186"/>
    <n v="42"/>
    <n v="228"/>
    <n v="0.2746987951807229"/>
    <n v="45.6"/>
    <n v="0.2197590361445783"/>
    <n v="0.2"/>
  </r>
  <r>
    <s v="весна"/>
    <s v="Преддипломная практика"/>
    <s v="Преддипломная практика"/>
    <s v="Т11О-201М-22"/>
    <n v="2"/>
    <m/>
    <m/>
    <s v="89090"/>
    <x v="3"/>
    <m/>
    <s v="Нет"/>
    <m/>
    <s v="1 чел Чугункин Никита Игоревич"/>
    <n v="169"/>
    <n v="340"/>
    <n v="509"/>
    <n v="0.6132530120481928"/>
    <n v="101.80000000000001"/>
    <n v="0.4906024096385543"/>
    <n v="0.4"/>
  </r>
  <r>
    <s v="весна"/>
    <s v="Преддипломная практика"/>
    <s v="Преддипломная практика"/>
    <s v="Т11О-201М-22"/>
    <n v="4"/>
    <m/>
    <m/>
    <s v="0000065837"/>
    <x v="27"/>
    <m/>
    <s v="Нет"/>
    <m/>
    <s v="3 чел  Лепешкин Мардеев Прунский"/>
    <n v="30"/>
    <n v="79"/>
    <n v="109"/>
    <n v="0.13132530120481928"/>
    <n v="21.8"/>
    <n v="0.10506024096385543"/>
    <n v="0"/>
  </r>
  <r>
    <s v="весна"/>
    <s v="Преддипломная практика"/>
    <s v="Преддипломная практика"/>
    <s v="Т11О-202М-22"/>
    <n v="1"/>
    <m/>
    <m/>
    <s v="81891"/>
    <x v="7"/>
    <m/>
    <s v="Нет"/>
    <m/>
    <s v="1 чел Акулов Михаил Андреевич"/>
    <n v="381"/>
    <n v="162"/>
    <n v="543"/>
    <n v="0.6542168674698795"/>
    <n v="108.60000000000001"/>
    <n v="0.5233734939759036"/>
    <n v="0.5"/>
  </r>
  <r>
    <s v="весна"/>
    <s v="Преддипломная практика"/>
    <s v="Преддипломная практика"/>
    <s v="Т11О-202М-22"/>
    <n v="1"/>
    <m/>
    <m/>
    <s v="82086"/>
    <x v="24"/>
    <m/>
    <s v="Нет"/>
    <m/>
    <s v="1 чел Вилонов Андрей Сергеевич"/>
    <n v="364"/>
    <n v="147"/>
    <n v="511"/>
    <n v="0.6156626506024097"/>
    <n v="102.2"/>
    <n v="0.49253012048192774"/>
    <n v="0.5"/>
  </r>
  <r>
    <s v="весна"/>
    <s v="Преддипломная практика"/>
    <s v="Преддипломная практика"/>
    <s v="Т11О-202М-22"/>
    <n v="3"/>
    <m/>
    <m/>
    <s v="89068"/>
    <x v="8"/>
    <m/>
    <s v="Нет"/>
    <m/>
    <s v="1 чел Майоров Дмитрий Игоревич"/>
    <n v="78"/>
    <n v="240.5"/>
    <n v="318.5"/>
    <n v="0.38373493975903616"/>
    <n v="63.7"/>
    <n v="0.30698795180722893"/>
    <n v="0.35"/>
  </r>
  <r>
    <s v="весна"/>
    <s v="Преддипломная практика"/>
    <s v="Преддипломная практика"/>
    <s v="Т11О-202М-22"/>
    <n v="1"/>
    <m/>
    <m/>
    <s v="82018"/>
    <x v="6"/>
    <m/>
    <s v="Нет"/>
    <m/>
    <s v="1 чел Мамаева Дарья Геннадьевна"/>
    <n v="233"/>
    <n v="200"/>
    <n v="433"/>
    <n v="0.5216867469879518"/>
    <n v="86.60000000000001"/>
    <n v="0.4173493975903615"/>
    <n v="0.5"/>
  </r>
  <r>
    <s v="весна"/>
    <s v="Преддипломная практика"/>
    <s v="Преддипломная практика"/>
    <s v="Т11О-202М-22"/>
    <n v="1"/>
    <m/>
    <m/>
    <s v="82020"/>
    <x v="1"/>
    <m/>
    <s v="Нет"/>
    <m/>
    <s v="1 чел Овчинников Алексей Денисович"/>
    <n v="442"/>
    <n v="269"/>
    <n v="711"/>
    <n v="0.8566265060240964"/>
    <n v="142.20000000000002"/>
    <n v="0.6853012048192771"/>
    <n v="0.7"/>
  </r>
  <r>
    <s v="весна"/>
    <s v="Преддипломная практика"/>
    <s v="Преддипломная практика"/>
    <s v="Т11О-202М-22"/>
    <n v="1"/>
    <m/>
    <m/>
    <s v="82066"/>
    <x v="21"/>
    <m/>
    <s v="Нет"/>
    <m/>
    <s v="1 чел Скрыпченко Егор Николаевич"/>
    <n v="297"/>
    <n v="310"/>
    <n v="607"/>
    <n v="0.7313253012048193"/>
    <n v="121.4"/>
    <n v="0.5850602409638554"/>
    <n v="0.6"/>
  </r>
  <r>
    <s v="весна"/>
    <s v="Преддипломная практика"/>
    <s v="Преддипломная практика"/>
    <s v="Т11О-202М-22"/>
    <n v="4"/>
    <m/>
    <m/>
    <s v="94221"/>
    <x v="2"/>
    <m/>
    <s v="Нет"/>
    <m/>
    <s v="1 чел Солдатов Павел Александрович"/>
    <n v="111"/>
    <n v="265"/>
    <n v="376"/>
    <n v="0.4530120481927711"/>
    <n v="75.2"/>
    <n v="0.3624096385542169"/>
    <n v="0.45"/>
  </r>
  <r>
    <s v="весна"/>
    <s v="Преддипломная практика"/>
    <s v="Преддипломная практика"/>
    <s v="Т11О-401Б-20"/>
    <n v="12"/>
    <m/>
    <m/>
    <s v="81729"/>
    <x v="15"/>
    <m/>
    <s v="Нет"/>
    <m/>
    <m/>
    <n v="276"/>
    <n v="323"/>
    <n v="599"/>
    <n v="0.7216867469879518"/>
    <n v="119.80000000000001"/>
    <n v="0.5773493975903614"/>
    <n v="0.55"/>
  </r>
  <r>
    <s v="весна"/>
    <s v="Преддипломная практика"/>
    <s v="Преддипломная практика"/>
    <s v="Т11О-402Б-20"/>
    <n v="9"/>
    <m/>
    <m/>
    <s v="82020"/>
    <x v="1"/>
    <m/>
    <s v="Нет"/>
    <m/>
    <m/>
    <n v="442"/>
    <n v="269"/>
    <n v="711"/>
    <n v="0.8566265060240964"/>
    <n v="142.20000000000002"/>
    <n v="0.6853012048192771"/>
    <n v="0.7"/>
  </r>
  <r>
    <s v="весна"/>
    <s v="Преддипломная практика"/>
    <s v="Преддипломная практика"/>
    <s v="Т11О-403Б-20"/>
    <n v="12"/>
    <m/>
    <m/>
    <s v="81720"/>
    <x v="14"/>
    <m/>
    <s v="Нет"/>
    <m/>
    <m/>
    <n v="279"/>
    <n v="431"/>
    <n v="710"/>
    <n v="0.8554216867469879"/>
    <n v="142"/>
    <n v="0.6843373493975904"/>
    <n v="0.65"/>
  </r>
  <r>
    <s v="весна"/>
    <s v="Научно-исследовательская практика"/>
    <s v="Преддипломная практика"/>
    <s v="Т11О-407А-20"/>
    <n v="1"/>
    <m/>
    <m/>
    <s v="81958"/>
    <x v="25"/>
    <m/>
    <s v="Нет"/>
    <m/>
    <s v="Прокопенко Денис Алексеевич"/>
    <n v="180"/>
    <n v="129"/>
    <n v="309"/>
    <n v="0.372289156626506"/>
    <n v="61.800000000000004"/>
    <n v="0.2978313253012048"/>
    <n v="0.3"/>
  </r>
  <r>
    <s v="весна"/>
    <s v="Научно-исследовательская практика"/>
    <s v="Преддипломная практика"/>
    <s v="Т11О-407А-20"/>
    <n v="1"/>
    <m/>
    <m/>
    <s v="82060"/>
    <x v="23"/>
    <m/>
    <s v="Нет"/>
    <m/>
    <s v="Митрофанов Андрей Леонидович"/>
    <n v="239"/>
    <n v="313"/>
    <n v="552"/>
    <n v="0.6650602409638554"/>
    <n v="110.4"/>
    <n v="0.5320481927710844"/>
    <n v="0.55"/>
  </r>
  <r>
    <s v="весна"/>
    <s v="Руководство магистрами"/>
    <s v="Руководство магистрами"/>
    <s v="Т11О-101М-23"/>
    <n v="15"/>
    <m/>
    <m/>
    <m/>
    <x v="0"/>
    <m/>
    <m/>
    <m/>
    <m/>
    <n v="105"/>
    <n v="102"/>
    <n v="207"/>
    <n v="0.2493975903614458"/>
    <n v="41.400000000000006"/>
    <n v="0.19951807228915663"/>
    <n v="0.2"/>
  </r>
  <r>
    <s v="весна"/>
    <s v="Руководство магистрами"/>
    <s v="Руководство магистрами"/>
    <s v="Т11О-101М-23"/>
    <n v="15"/>
    <m/>
    <m/>
    <m/>
    <x v="23"/>
    <m/>
    <m/>
    <m/>
    <m/>
    <n v="239"/>
    <n v="313"/>
    <n v="552"/>
    <n v="0.6650602409638554"/>
    <n v="110.4"/>
    <n v="0.5320481927710844"/>
    <n v="0.55"/>
  </r>
  <r>
    <s v="весна"/>
    <s v="Руководство магистрами"/>
    <s v="Руководство магистрами"/>
    <s v="Т11О-101М-23"/>
    <n v="15"/>
    <m/>
    <m/>
    <m/>
    <x v="1"/>
    <m/>
    <m/>
    <m/>
    <m/>
    <n v="442"/>
    <n v="269"/>
    <n v="711"/>
    <n v="0.8566265060240964"/>
    <n v="142.20000000000002"/>
    <n v="0.6853012048192771"/>
    <n v="0.7"/>
  </r>
  <r>
    <s v="весна"/>
    <s v="Руководство магистрами"/>
    <s v="Руководство магистрами"/>
    <s v="Т11О-101М-23"/>
    <n v="15"/>
    <m/>
    <m/>
    <m/>
    <x v="6"/>
    <m/>
    <m/>
    <m/>
    <m/>
    <n v="233"/>
    <n v="200"/>
    <n v="433"/>
    <n v="0.5216867469879518"/>
    <n v="86.60000000000001"/>
    <n v="0.4173493975903615"/>
    <n v="0.5"/>
  </r>
  <r>
    <s v="весна"/>
    <s v="Руководство магистрами"/>
    <s v="Руководство магистрами"/>
    <s v="Т11О-101М-23"/>
    <n v="15"/>
    <m/>
    <m/>
    <m/>
    <x v="21"/>
    <m/>
    <m/>
    <m/>
    <m/>
    <n v="297"/>
    <n v="310"/>
    <n v="607"/>
    <n v="0.7313253012048193"/>
    <n v="121.4"/>
    <n v="0.5850602409638554"/>
    <n v="0.6"/>
  </r>
  <r>
    <s v="весна"/>
    <s v="Руководство магистрами"/>
    <s v="Руководство магистрами"/>
    <s v="Т11О-101М-23"/>
    <n v="15"/>
    <m/>
    <m/>
    <m/>
    <x v="4"/>
    <m/>
    <m/>
    <m/>
    <m/>
    <n v="188"/>
    <n v="294"/>
    <n v="482"/>
    <n v="0.5807228915662651"/>
    <n v="96.4"/>
    <n v="0.46457831325301213"/>
    <n v="0.5"/>
  </r>
  <r>
    <s v="весна"/>
    <s v="Руководство магистрами"/>
    <s v="Руководство магистрами"/>
    <s v="Т11О-101М-23"/>
    <n v="15"/>
    <m/>
    <m/>
    <m/>
    <x v="12"/>
    <m/>
    <m/>
    <m/>
    <m/>
    <n v="171"/>
    <n v="88"/>
    <n v="259"/>
    <n v="0.31204819277108437"/>
    <n v="51.800000000000004"/>
    <n v="0.2496385542168675"/>
    <n v="0.25"/>
  </r>
  <r>
    <s v="весна"/>
    <s v="Руководство магистрами"/>
    <s v="Руководство магистрами"/>
    <s v="Т11О-101М-23"/>
    <n v="15"/>
    <m/>
    <m/>
    <m/>
    <x v="13"/>
    <m/>
    <m/>
    <m/>
    <m/>
    <n v="186"/>
    <n v="42"/>
    <n v="228"/>
    <n v="0.2746987951807229"/>
    <n v="45.6"/>
    <n v="0.2197590361445783"/>
    <n v="0.2"/>
  </r>
  <r>
    <s v="весна"/>
    <s v="Руководство магистрами"/>
    <s v="Руководство магистрами"/>
    <s v="Т11О-101М-23"/>
    <n v="15"/>
    <m/>
    <m/>
    <m/>
    <x v="8"/>
    <m/>
    <m/>
    <m/>
    <m/>
    <n v="78"/>
    <n v="240.5"/>
    <n v="318.5"/>
    <n v="0.38373493975903616"/>
    <n v="63.7"/>
    <n v="0.30698795180722893"/>
    <n v="0.35"/>
  </r>
  <r>
    <s v="весна"/>
    <s v="Руководство магистрами"/>
    <s v="Руководство магистрами"/>
    <s v="Т11О-101М-23"/>
    <n v="15"/>
    <m/>
    <m/>
    <m/>
    <x v="15"/>
    <m/>
    <m/>
    <m/>
    <m/>
    <n v="276"/>
    <n v="323"/>
    <n v="599"/>
    <n v="0.7216867469879518"/>
    <n v="119.80000000000001"/>
    <n v="0.5773493975903614"/>
    <n v="0.55"/>
  </r>
  <r>
    <s v="весна"/>
    <s v="Руководство магистрами"/>
    <s v="Руководство магистрами"/>
    <s v="Т11О-101М-23"/>
    <n v="15"/>
    <m/>
    <m/>
    <m/>
    <x v="16"/>
    <m/>
    <m/>
    <m/>
    <m/>
    <n v="438"/>
    <n v="361"/>
    <n v="799"/>
    <n v="0.9626506024096385"/>
    <n v="159.8"/>
    <n v="0.7701204819277109"/>
    <n v="0.75"/>
  </r>
  <r>
    <s v="весна"/>
    <s v="Руководство магистрами"/>
    <s v="Руководство магистрами"/>
    <s v="Т11О-101М-23"/>
    <n v="15"/>
    <m/>
    <m/>
    <m/>
    <x v="23"/>
    <m/>
    <m/>
    <m/>
    <m/>
    <n v="239"/>
    <n v="313"/>
    <n v="552"/>
    <n v="0.6650602409638554"/>
    <n v="110.4"/>
    <n v="0.5320481927710844"/>
    <n v="0.55"/>
  </r>
  <r>
    <s v="весна"/>
    <s v="Руководство магистрами"/>
    <s v="Руководство магистрами"/>
    <s v="Т11О-101М-23"/>
    <n v="15"/>
    <m/>
    <m/>
    <m/>
    <x v="11"/>
    <m/>
    <s v="Нет"/>
    <m/>
    <m/>
    <n v="298"/>
    <n v="310"/>
    <n v="608"/>
    <n v="0.7325301204819277"/>
    <n v="121.60000000000001"/>
    <n v="0.5860240963855422"/>
    <n v="0.7"/>
  </r>
  <r>
    <s v="весна"/>
    <s v="Руководство аспирантами"/>
    <s v="Руководство аспирантами"/>
    <s v="Т11О-302А-21"/>
    <n v="25"/>
    <m/>
    <m/>
    <s v="92509"/>
    <x v="20"/>
    <m/>
    <s v="Нет"/>
    <m/>
    <s v="Жуков Евгений Юрьевич"/>
    <n v="410"/>
    <n v="260"/>
    <n v="670"/>
    <n v="0.8072289156626506"/>
    <n v="134"/>
    <n v="0.6457831325301205"/>
    <n v="0.55"/>
  </r>
  <r>
    <s v="весна"/>
    <s v="Руководство аспирантами"/>
    <s v="Руководство аспирантами"/>
    <s v="Т11О-306А-21"/>
    <n v="25"/>
    <m/>
    <m/>
    <s v="82056"/>
    <x v="9"/>
    <m/>
    <s v="Нет"/>
    <m/>
    <s v="Федотов Александр Юрьевич а/о"/>
    <n v="337"/>
    <n v="205"/>
    <n v="542"/>
    <n v="0.653012048192771"/>
    <n v="108.4"/>
    <n v="0.5224096385542168"/>
    <n v="0.65"/>
  </r>
  <r>
    <s v="весна"/>
    <s v="Руководство аспирантами"/>
    <s v="Руководство аспирантами"/>
    <s v="Т11О-203А-22"/>
    <n v="50"/>
    <m/>
    <m/>
    <s v="92509"/>
    <x v="20"/>
    <m/>
    <s v="Нет"/>
    <m/>
    <s v="Гаджиев Магомед Ражабович"/>
    <n v="410"/>
    <n v="260"/>
    <n v="670"/>
    <n v="0.8072289156626506"/>
    <n v="134"/>
    <n v="0.6457831325301205"/>
    <n v="0.55"/>
  </r>
  <r>
    <s v="весна"/>
    <s v="Руководство аспирантами"/>
    <s v="Руководство аспирантами"/>
    <s v="Т11О-203А-22"/>
    <n v="50"/>
    <m/>
    <m/>
    <s v="81958"/>
    <x v="25"/>
    <m/>
    <s v="Нет"/>
    <m/>
    <s v="Максименко Екатерина Игоревна"/>
    <n v="180"/>
    <n v="129"/>
    <n v="309"/>
    <n v="0.372289156626506"/>
    <n v="61.800000000000004"/>
    <n v="0.2978313253012048"/>
    <n v="0.3"/>
  </r>
  <r>
    <s v="весна"/>
    <s v="Руководство аспирантами"/>
    <s v="Руководство аспирантами"/>
    <s v="Т11О-205А-22"/>
    <n v="50"/>
    <m/>
    <m/>
    <s v="81891"/>
    <x v="7"/>
    <m/>
    <s v="Нет"/>
    <m/>
    <s v="Федорцов Руслан Сергеевич"/>
    <n v="381"/>
    <n v="162"/>
    <n v="543"/>
    <n v="0.6542168674698795"/>
    <n v="108.60000000000001"/>
    <n v="0.5233734939759036"/>
    <n v="0.5"/>
  </r>
  <r>
    <s v="весна"/>
    <s v="Руководство аспирантами"/>
    <s v="Руководство аспирантами"/>
    <s v="Т11О-206А-22"/>
    <n v="50"/>
    <m/>
    <m/>
    <s v="81728"/>
    <x v="16"/>
    <m/>
    <s v="Нет"/>
    <m/>
    <s v="Батталов Тагир Хакимовия"/>
    <n v="438"/>
    <n v="361"/>
    <n v="799"/>
    <n v="0.9626506024096385"/>
    <n v="159.8"/>
    <n v="0.7701204819277109"/>
    <n v="0.75"/>
  </r>
  <r>
    <s v="весна"/>
    <s v="Руководство аспирантами"/>
    <s v="Руководство аспирантами"/>
    <s v="Т11О-207А-22"/>
    <n v="50"/>
    <m/>
    <m/>
    <s v="82060"/>
    <x v="23"/>
    <m/>
    <s v="Нет"/>
    <m/>
    <s v="Рыбаков Егор Михайлович"/>
    <n v="239"/>
    <n v="313"/>
    <n v="552"/>
    <n v="0.6650602409638554"/>
    <n v="110.4"/>
    <n v="0.5320481927710844"/>
    <n v="0.55"/>
  </r>
  <r>
    <s v="весна"/>
    <s v="Диплом"/>
    <s v="Диплом"/>
    <s v="Т11О-201М-22"/>
    <n v="25"/>
    <m/>
    <m/>
    <s v="81728"/>
    <x v="16"/>
    <m/>
    <s v="Нет"/>
    <m/>
    <s v="1чел, Александров Антон Васильевич"/>
    <n v="438"/>
    <n v="361"/>
    <n v="799"/>
    <n v="0.9626506024096385"/>
    <n v="159.8"/>
    <n v="0.7701204819277109"/>
    <n v="0.75"/>
  </r>
  <r>
    <s v="весна"/>
    <s v="Диплом"/>
    <s v="Диплом"/>
    <s v="Т11О-201М-22"/>
    <n v="50"/>
    <m/>
    <m/>
    <s v="81732"/>
    <x v="12"/>
    <m/>
    <s v="Нет"/>
    <m/>
    <s v="2 чел Барбанакова Чалый"/>
    <n v="171"/>
    <n v="88"/>
    <n v="259"/>
    <n v="0.31204819277108437"/>
    <n v="51.800000000000004"/>
    <n v="0.2496385542168675"/>
    <n v="0.25"/>
  </r>
  <r>
    <s v="весна"/>
    <s v="Диплом"/>
    <s v="Диплом"/>
    <s v="Т11О-201М-22"/>
    <n v="25"/>
    <m/>
    <m/>
    <s v="81720"/>
    <x v="14"/>
    <m/>
    <s v="Нет"/>
    <m/>
    <s v="1 чел Булатов Асадбек Улугбек угли"/>
    <n v="279"/>
    <n v="431"/>
    <n v="710"/>
    <n v="0.8554216867469879"/>
    <n v="142"/>
    <n v="0.6843373493975904"/>
    <n v="0.65"/>
  </r>
  <r>
    <s v="весна"/>
    <s v="Диплом"/>
    <s v="Диплом"/>
    <s v="Т11О-201М-22"/>
    <n v="25"/>
    <m/>
    <m/>
    <s v="81731"/>
    <x v="26"/>
    <m/>
    <s v="Нет"/>
    <m/>
    <s v="1 чел Голубев Константин Михайлович"/>
    <n v="15"/>
    <n v="146"/>
    <n v="161"/>
    <n v="0.19397590361445782"/>
    <n v="32.2"/>
    <n v="0.15518072289156626"/>
    <n v="0.15"/>
  </r>
  <r>
    <s v="весна"/>
    <s v="Диплом"/>
    <s v="Диплом"/>
    <s v="Т11О-201М-22"/>
    <n v="25"/>
    <m/>
    <m/>
    <s v="82056"/>
    <x v="4"/>
    <m/>
    <s v="Нет"/>
    <m/>
    <s v="1 чел Диесперов Сергей Николаевич"/>
    <n v="188"/>
    <n v="294"/>
    <n v="482"/>
    <n v="0.5807228915662651"/>
    <n v="96.4"/>
    <n v="0.46457831325301213"/>
    <n v="0.5"/>
  </r>
  <r>
    <s v="весна"/>
    <s v="Диплом"/>
    <s v="Диплом"/>
    <s v="Т11О-201М-22"/>
    <n v="25"/>
    <m/>
    <m/>
    <s v="92509"/>
    <x v="20"/>
    <m/>
    <s v="Нет"/>
    <m/>
    <s v="1 чел Редьков Евгений Алексеевич"/>
    <n v="410"/>
    <n v="260"/>
    <n v="670"/>
    <n v="0.8072289156626506"/>
    <n v="134"/>
    <n v="0.6457831325301205"/>
    <n v="0.55"/>
  </r>
  <r>
    <s v="весна"/>
    <s v="Диплом"/>
    <s v="Диплом"/>
    <s v="Т11О-201М-22"/>
    <n v="25"/>
    <m/>
    <m/>
    <s v="81730"/>
    <x v="13"/>
    <m/>
    <s v="Нет"/>
    <m/>
    <s v="1чел Хайрутдинова Раиса Рустамовна"/>
    <n v="186"/>
    <n v="42"/>
    <n v="228"/>
    <n v="0.2746987951807229"/>
    <n v="45.6"/>
    <n v="0.2197590361445783"/>
    <n v="0.2"/>
  </r>
  <r>
    <s v="весна"/>
    <s v="Диплом"/>
    <s v="Диплом"/>
    <s v="Т11О-201М-22"/>
    <n v="25"/>
    <m/>
    <m/>
    <s v="89090"/>
    <x v="3"/>
    <m/>
    <s v="Нет"/>
    <m/>
    <s v="1 чел Чугункин Никита Игоревич"/>
    <n v="169"/>
    <n v="340"/>
    <n v="509"/>
    <n v="0.6132530120481928"/>
    <n v="101.80000000000001"/>
    <n v="0.4906024096385543"/>
    <n v="0.4"/>
  </r>
  <r>
    <s v="весна"/>
    <s v="Диплом"/>
    <s v="Диплом"/>
    <s v="Т11О-201М-22"/>
    <n v="24"/>
    <m/>
    <m/>
    <m/>
    <x v="29"/>
    <m/>
    <s v="Нет"/>
    <m/>
    <s v="комиссия внешняя"/>
    <n v="0"/>
    <n v="104"/>
    <n v="104"/>
    <n v="0.12530120481927712"/>
    <n v="20.8"/>
    <n v="0.1002409638554217"/>
    <n v="0"/>
  </r>
  <r>
    <s v="весна"/>
    <s v="Диплом"/>
    <s v="Диплом"/>
    <s v="Т11О-201М-22"/>
    <n v="18"/>
    <m/>
    <m/>
    <m/>
    <x v="15"/>
    <m/>
    <s v="Нет"/>
    <m/>
    <s v="комиссия нормоконтроль + секретарь"/>
    <n v="276"/>
    <n v="323"/>
    <n v="599"/>
    <n v="0.7216867469879518"/>
    <n v="119.80000000000001"/>
    <n v="0.5773493975903614"/>
    <n v="0.55"/>
  </r>
  <r>
    <s v="весна"/>
    <s v="Диплом"/>
    <s v="Диплом"/>
    <s v="Т11О-201М-22"/>
    <n v="6"/>
    <m/>
    <m/>
    <m/>
    <x v="11"/>
    <m/>
    <s v="Нет"/>
    <m/>
    <s v="комиссия наша"/>
    <n v="298"/>
    <n v="310"/>
    <n v="608"/>
    <n v="0.7325301204819277"/>
    <n v="121.60000000000001"/>
    <n v="0.5860240963855422"/>
    <n v="0.7"/>
  </r>
  <r>
    <s v="весна"/>
    <s v="Диплом"/>
    <s v="Диплом"/>
    <s v="Т11О-201М-22"/>
    <n v="6"/>
    <m/>
    <m/>
    <m/>
    <x v="4"/>
    <m/>
    <s v="Нет"/>
    <m/>
    <s v="комиссия наша"/>
    <n v="188"/>
    <n v="294"/>
    <n v="482"/>
    <n v="0.5807228915662651"/>
    <n v="96.4"/>
    <n v="0.46457831325301213"/>
    <n v="0.5"/>
  </r>
  <r>
    <s v="весна"/>
    <s v="Диплом"/>
    <s v="Диплом"/>
    <s v="Т11О-201М-22"/>
    <n v="6"/>
    <m/>
    <m/>
    <m/>
    <x v="3"/>
    <m/>
    <s v="Нет"/>
    <m/>
    <s v="комиссия наша"/>
    <n v="169"/>
    <n v="340"/>
    <n v="509"/>
    <n v="0.6132530120481928"/>
    <n v="101.80000000000001"/>
    <n v="0.4906024096385543"/>
    <n v="0.4"/>
  </r>
  <r>
    <s v="весна"/>
    <s v="Диплом"/>
    <s v="Диплом"/>
    <s v="Т11О-201М-22"/>
    <n v="75"/>
    <m/>
    <m/>
    <s v="0000065837"/>
    <x v="27"/>
    <m/>
    <s v="Нет"/>
    <m/>
    <s v="3 чел  Лепешкин Мардеев Прунский"/>
    <n v="30"/>
    <n v="79"/>
    <n v="109"/>
    <n v="0.13132530120481928"/>
    <n v="21.8"/>
    <n v="0.10506024096385543"/>
    <n v="0"/>
  </r>
  <r>
    <s v="весна"/>
    <s v="Диплом"/>
    <s v="Диплом"/>
    <s v="Т11О-202М-22"/>
    <n v="25"/>
    <m/>
    <m/>
    <s v="81891"/>
    <x v="7"/>
    <m/>
    <s v="Нет"/>
    <m/>
    <s v="1 чел Акулов Михаил Андреевич"/>
    <n v="381"/>
    <n v="162"/>
    <n v="543"/>
    <n v="0.6542168674698795"/>
    <n v="108.60000000000001"/>
    <n v="0.5233734939759036"/>
    <n v="0.5"/>
  </r>
  <r>
    <s v="весна"/>
    <s v="Диплом"/>
    <s v="Диплом"/>
    <s v="Т11О-202М-22"/>
    <n v="25"/>
    <m/>
    <m/>
    <s v="82086"/>
    <x v="24"/>
    <m/>
    <s v="Нет"/>
    <m/>
    <s v="1 чел Вилонов Андрей Сергеевич"/>
    <n v="364"/>
    <n v="147"/>
    <n v="511"/>
    <n v="0.6156626506024097"/>
    <n v="102.2"/>
    <n v="0.49253012048192774"/>
    <n v="0.5"/>
  </r>
  <r>
    <s v="весна"/>
    <s v="Диплом"/>
    <s v="Диплом"/>
    <s v="Т11О-202М-22"/>
    <n v="25"/>
    <m/>
    <m/>
    <s v="82027"/>
    <x v="8"/>
    <m/>
    <s v="Нет"/>
    <m/>
    <s v="    1 чел Майоров Дмитрий Игоревич"/>
    <n v="78"/>
    <n v="240.5"/>
    <n v="318.5"/>
    <n v="0.38373493975903616"/>
    <n v="63.7"/>
    <n v="0.30698795180722893"/>
    <n v="0.35"/>
  </r>
  <r>
    <s v="весна"/>
    <s v="Диплом"/>
    <s v="Диплом"/>
    <s v="Т11О-202М-22"/>
    <n v="25"/>
    <m/>
    <m/>
    <s v="82018"/>
    <x v="6"/>
    <m/>
    <s v="Нет"/>
    <m/>
    <s v="1 чел Мамаева Дарья Геннадьевна"/>
    <n v="233"/>
    <n v="200"/>
    <n v="433"/>
    <n v="0.5216867469879518"/>
    <n v="86.60000000000001"/>
    <n v="0.4173493975903615"/>
    <n v="0.5"/>
  </r>
  <r>
    <s v="весна"/>
    <s v="Диплом"/>
    <s v="Диплом"/>
    <s v="Т11О-202М-22"/>
    <n v="25"/>
    <m/>
    <m/>
    <s v="82020"/>
    <x v="1"/>
    <m/>
    <s v="Нет"/>
    <m/>
    <s v="1 чел Овчинников Алексей Денисович"/>
    <n v="442"/>
    <n v="269"/>
    <n v="711"/>
    <n v="0.8566265060240964"/>
    <n v="142.20000000000002"/>
    <n v="0.6853012048192771"/>
    <n v="0.7"/>
  </r>
  <r>
    <s v="весна"/>
    <s v="Диплом"/>
    <s v="Диплом"/>
    <s v="Т11О-202М-22"/>
    <n v="25"/>
    <m/>
    <m/>
    <s v="82066"/>
    <x v="21"/>
    <m/>
    <s v="Нет"/>
    <m/>
    <s v="1 чел Скрыпченко Егор Николаевич"/>
    <n v="297"/>
    <n v="310"/>
    <n v="607"/>
    <n v="0.7313253012048193"/>
    <n v="121.4"/>
    <n v="0.5850602409638554"/>
    <n v="0.6"/>
  </r>
  <r>
    <s v="весна"/>
    <s v="Диплом"/>
    <s v="Диплом"/>
    <s v="Т11О-202М-22"/>
    <n v="25"/>
    <m/>
    <m/>
    <s v="94221"/>
    <x v="2"/>
    <m/>
    <s v="Нет"/>
    <m/>
    <s v="1 чел Солдатов Павел Александрович"/>
    <n v="111"/>
    <n v="265"/>
    <n v="376"/>
    <n v="0.4530120481927711"/>
    <n v="75.2"/>
    <n v="0.3624096385542169"/>
    <n v="0.45"/>
  </r>
  <r>
    <s v="весна"/>
    <s v="Диплом"/>
    <s v="Диплом"/>
    <s v="Т11О-202М-22"/>
    <n v="14"/>
    <m/>
    <m/>
    <m/>
    <x v="29"/>
    <m/>
    <s v="Нет"/>
    <m/>
    <s v="комиссия внешн"/>
    <n v="0"/>
    <n v="104"/>
    <n v="104"/>
    <n v="0.12530120481927712"/>
    <n v="20.8"/>
    <n v="0.1002409638554217"/>
    <n v="0"/>
  </r>
  <r>
    <s v="весна"/>
    <s v="Диплом"/>
    <s v="Диплом"/>
    <s v="Т11О-202М-22"/>
    <n v="7"/>
    <m/>
    <m/>
    <m/>
    <x v="2"/>
    <m/>
    <s v="Нет"/>
    <m/>
    <s v="комиссия Нормаконтролер"/>
    <n v="111"/>
    <n v="265"/>
    <n v="376"/>
    <n v="0.4530120481927711"/>
    <n v="75.2"/>
    <n v="0.3624096385542169"/>
    <n v="0.45"/>
  </r>
  <r>
    <s v="весна"/>
    <s v="Диплом"/>
    <s v="Диплом"/>
    <s v="Т11О-202М-22"/>
    <n v="7"/>
    <m/>
    <m/>
    <m/>
    <x v="8"/>
    <m/>
    <s v="Нет"/>
    <m/>
    <s v="комиссия секретарь"/>
    <n v="78"/>
    <n v="240.5"/>
    <n v="318.5"/>
    <n v="0.38373493975903616"/>
    <n v="63.7"/>
    <n v="0.30698795180722893"/>
    <n v="0.35"/>
  </r>
  <r>
    <s v="весна"/>
    <s v="Диплом"/>
    <s v="Диплом"/>
    <s v="Т11О-202М-22"/>
    <n v="3.5"/>
    <m/>
    <m/>
    <m/>
    <x v="6"/>
    <m/>
    <s v="Нет"/>
    <m/>
    <s v="комиссия наша"/>
    <n v="233"/>
    <n v="200"/>
    <n v="433"/>
    <n v="0.5216867469879518"/>
    <n v="86.60000000000001"/>
    <n v="0.4173493975903615"/>
    <n v="0.5"/>
  </r>
  <r>
    <s v="весна"/>
    <s v="Диплом"/>
    <s v="Диплом"/>
    <s v="Т11О-202М-22"/>
    <n v="3.5"/>
    <m/>
    <m/>
    <m/>
    <x v="21"/>
    <m/>
    <s v="Нет"/>
    <m/>
    <s v="комиссия наша"/>
    <n v="297"/>
    <n v="310"/>
    <n v="607"/>
    <n v="0.7313253012048193"/>
    <n v="121.4"/>
    <n v="0.5850602409638554"/>
    <n v="0.6"/>
  </r>
  <r>
    <s v="весна"/>
    <s v="Диплом"/>
    <s v="Диплом"/>
    <s v="Т11О-202М-22"/>
    <n v="3.5"/>
    <m/>
    <m/>
    <m/>
    <x v="23"/>
    <m/>
    <s v="Нет"/>
    <m/>
    <s v="комиссия наша"/>
    <n v="239"/>
    <n v="313"/>
    <n v="552"/>
    <n v="0.6650602409638554"/>
    <n v="110.4"/>
    <n v="0.5320481927710844"/>
    <n v="0.55"/>
  </r>
  <r>
    <s v="весна"/>
    <s v="Диплом"/>
    <s v="Диплом"/>
    <s v="Т11О-401Б-20"/>
    <n v="20"/>
    <m/>
    <m/>
    <s v="81731"/>
    <x v="26"/>
    <m/>
    <s v="Нет"/>
    <m/>
    <s v="Стариннова"/>
    <n v="15"/>
    <n v="146"/>
    <n v="161"/>
    <n v="0.19397590361445782"/>
    <n v="32.2"/>
    <n v="0.15518072289156626"/>
    <n v="0.15"/>
  </r>
  <r>
    <s v="весна"/>
    <s v="Диплом"/>
    <s v="Диплом"/>
    <s v="Т11О-401Б-20"/>
    <n v="20"/>
    <m/>
    <m/>
    <s v="81728"/>
    <x v="16"/>
    <m/>
    <s v="Нет"/>
    <m/>
    <s v="Филинов"/>
    <n v="438"/>
    <n v="361"/>
    <n v="799"/>
    <n v="0.9626506024096385"/>
    <n v="159.8"/>
    <n v="0.7701204819277109"/>
    <n v="0.75"/>
  </r>
  <r>
    <s v="весна"/>
    <s v="Диплом"/>
    <s v="Диплом"/>
    <s v="Т11О-401Б-20"/>
    <n v="40"/>
    <m/>
    <m/>
    <s v="82056"/>
    <x v="4"/>
    <m/>
    <s v="Нет"/>
    <m/>
    <s v="Андреева, Разговоров"/>
    <n v="188"/>
    <n v="294"/>
    <n v="482"/>
    <n v="0.5807228915662651"/>
    <n v="96.4"/>
    <n v="0.46457831325301213"/>
    <n v="0.5"/>
  </r>
  <r>
    <s v="весна"/>
    <s v="Диплом"/>
    <s v="Диплом"/>
    <s v="Т11О-401Б-20"/>
    <n v="60"/>
    <m/>
    <m/>
    <s v="81720"/>
    <x v="14"/>
    <m/>
    <s v="Нет"/>
    <m/>
    <s v="Емельянов, Попова, Ческидов"/>
    <n v="279"/>
    <n v="431"/>
    <n v="710"/>
    <n v="0.8554216867469879"/>
    <n v="142"/>
    <n v="0.6843373493975904"/>
    <n v="0.65"/>
  </r>
  <r>
    <s v="весна"/>
    <s v="Диплом"/>
    <s v="Диплом"/>
    <s v="Т11О-401Б-20"/>
    <n v="20"/>
    <m/>
    <m/>
    <s v="81732"/>
    <x v="12"/>
    <m/>
    <s v="Нет"/>
    <m/>
    <s v="Лукашин"/>
    <n v="171"/>
    <n v="88"/>
    <n v="259"/>
    <n v="0.31204819277108437"/>
    <n v="51.800000000000004"/>
    <n v="0.2496385542168675"/>
    <n v="0.25"/>
  </r>
  <r>
    <s v="весна"/>
    <s v="Диплом"/>
    <s v="Диплом"/>
    <s v="Т11О-401Б-20"/>
    <n v="20"/>
    <m/>
    <m/>
    <s v="81729"/>
    <x v="15"/>
    <m/>
    <s v="Нет"/>
    <m/>
    <s v="Дыбашев"/>
    <n v="276"/>
    <n v="323"/>
    <n v="599"/>
    <n v="0.7216867469879518"/>
    <n v="119.80000000000001"/>
    <n v="0.5773493975903614"/>
    <n v="0.55"/>
  </r>
  <r>
    <s v="весна"/>
    <s v="Диплом"/>
    <s v="Диплом"/>
    <s v="Т11О-401Б-20"/>
    <n v="20"/>
    <m/>
    <m/>
    <s v="89090"/>
    <x v="4"/>
    <m/>
    <s v="Нет"/>
    <m/>
    <s v="Шадрунов"/>
    <n v="188"/>
    <n v="294"/>
    <n v="482"/>
    <n v="0.5807228915662651"/>
    <n v="96.4"/>
    <n v="0.46457831325301213"/>
    <n v="0.5"/>
  </r>
  <r>
    <s v="весна"/>
    <s v="Диплом"/>
    <s v="Диплом"/>
    <s v="Т11О-401Б-20"/>
    <n v="20"/>
    <m/>
    <m/>
    <s v="81722"/>
    <x v="11"/>
    <m/>
    <s v="Нет"/>
    <m/>
    <s v="Александров"/>
    <n v="298"/>
    <n v="310"/>
    <n v="608"/>
    <n v="0.7325301204819277"/>
    <n v="121.60000000000001"/>
    <n v="0.5860240963855422"/>
    <n v="0.7"/>
  </r>
  <r>
    <s v="весна"/>
    <s v="Диплом"/>
    <s v="Диплом"/>
    <s v="Т11О-401Б-20"/>
    <n v="20"/>
    <m/>
    <m/>
    <s v="92509"/>
    <x v="15"/>
    <m/>
    <s v="Нет"/>
    <m/>
    <s v="Жумабоев"/>
    <n v="276"/>
    <n v="323"/>
    <n v="599"/>
    <n v="0.7216867469879518"/>
    <n v="119.80000000000001"/>
    <n v="0.5773493975903614"/>
    <n v="0.55"/>
  </r>
  <r>
    <s v="весна"/>
    <s v="Диплом"/>
    <s v="Диплом"/>
    <s v="Т11О-401Б-20"/>
    <n v="24"/>
    <m/>
    <m/>
    <m/>
    <x v="29"/>
    <m/>
    <s v="Нет"/>
    <m/>
    <s v="комиссия внешн"/>
    <n v="0"/>
    <n v="104"/>
    <n v="104"/>
    <n v="0.12530120481927712"/>
    <n v="20.8"/>
    <n v="0.1002409638554217"/>
    <n v="0"/>
  </r>
  <r>
    <s v="весна"/>
    <s v="Диплом"/>
    <s v="Диплом"/>
    <s v="Т11О-401Б-20"/>
    <n v="12"/>
    <m/>
    <m/>
    <m/>
    <x v="15"/>
    <m/>
    <s v="Нет"/>
    <m/>
    <s v="комиссия Нормаконтролер"/>
    <n v="276"/>
    <n v="323"/>
    <n v="599"/>
    <n v="0.7216867469879518"/>
    <n v="119.80000000000001"/>
    <n v="0.5773493975903614"/>
    <n v="0.55"/>
  </r>
  <r>
    <s v="весна"/>
    <s v="Диплом"/>
    <s v="Диплом"/>
    <s v="Т11О-401Б-20"/>
    <n v="6"/>
    <m/>
    <m/>
    <m/>
    <x v="15"/>
    <m/>
    <s v="Нет"/>
    <m/>
    <s v="комиссия секр"/>
    <n v="276"/>
    <n v="323"/>
    <n v="599"/>
    <n v="0.7216867469879518"/>
    <n v="119.80000000000001"/>
    <n v="0.5773493975903614"/>
    <n v="0.55"/>
  </r>
  <r>
    <s v="весна"/>
    <s v="Диплом"/>
    <s v="Диплом"/>
    <s v="Т11О-401Б-20"/>
    <n v="6"/>
    <m/>
    <m/>
    <m/>
    <x v="14"/>
    <m/>
    <s v="Нет"/>
    <m/>
    <s v="комиссия наша"/>
    <n v="279"/>
    <n v="431"/>
    <n v="710"/>
    <n v="0.8554216867469879"/>
    <n v="142"/>
    <n v="0.6843373493975904"/>
    <n v="0.65"/>
  </r>
  <r>
    <s v="весна"/>
    <s v="Диплом"/>
    <s v="Диплом"/>
    <s v="Т11О-401Б-20"/>
    <n v="6"/>
    <m/>
    <m/>
    <m/>
    <x v="4"/>
    <m/>
    <s v="Нет"/>
    <m/>
    <s v="комиссия наша"/>
    <n v="188"/>
    <n v="294"/>
    <n v="482"/>
    <n v="0.5807228915662651"/>
    <n v="96.4"/>
    <n v="0.46457831325301213"/>
    <n v="0.5"/>
  </r>
  <r>
    <s v="весна"/>
    <s v="Диплом"/>
    <s v="Диплом"/>
    <s v="Т11О-401Б-20"/>
    <n v="6"/>
    <m/>
    <m/>
    <m/>
    <x v="3"/>
    <m/>
    <s v="Нет"/>
    <m/>
    <s v="комиссия наша"/>
    <n v="169"/>
    <n v="340"/>
    <n v="509"/>
    <n v="0.6132530120481928"/>
    <n v="101.80000000000001"/>
    <n v="0.4906024096385543"/>
    <n v="0.4"/>
  </r>
  <r>
    <s v="весна"/>
    <s v="Диплом"/>
    <s v="Диплом"/>
    <s v="Т11О-402Б-20"/>
    <n v="20"/>
    <m/>
    <m/>
    <s v="82020"/>
    <x v="1"/>
    <m/>
    <s v="Нет"/>
    <m/>
    <s v="Алексеев"/>
    <n v="442"/>
    <n v="269"/>
    <n v="711"/>
    <n v="0.8566265060240964"/>
    <n v="142.20000000000002"/>
    <n v="0.6853012048192771"/>
    <n v="0.7"/>
  </r>
  <r>
    <s v="весна"/>
    <s v="Диплом"/>
    <s v="Диплом"/>
    <s v="Т11О-402Б-20"/>
    <n v="20"/>
    <m/>
    <m/>
    <s v="82066"/>
    <x v="21"/>
    <m/>
    <s v="Нет"/>
    <m/>
    <s v="Серов"/>
    <n v="297"/>
    <n v="310"/>
    <n v="607"/>
    <n v="0.7313253012048193"/>
    <n v="121.4"/>
    <n v="0.5850602409638554"/>
    <n v="0.6"/>
  </r>
  <r>
    <s v="весна"/>
    <s v="Диплом"/>
    <s v="Диплом"/>
    <s v="Т11О-402Б-20"/>
    <n v="40"/>
    <m/>
    <m/>
    <s v="92509"/>
    <x v="20"/>
    <m/>
    <s v="Нет"/>
    <m/>
    <s v="Наурзалинов, Закареева"/>
    <n v="410"/>
    <n v="260"/>
    <n v="670"/>
    <n v="0.8072289156626506"/>
    <n v="134"/>
    <n v="0.6457831325301205"/>
    <n v="0.55"/>
  </r>
  <r>
    <s v="весна"/>
    <s v="Диплом"/>
    <s v="Диплом"/>
    <s v="Т11О-402Б-20"/>
    <n v="20"/>
    <m/>
    <m/>
    <s v="82061"/>
    <x v="7"/>
    <m/>
    <s v="Нет"/>
    <m/>
    <s v="Лобачев"/>
    <n v="381"/>
    <n v="162"/>
    <n v="543"/>
    <n v="0.6542168674698795"/>
    <n v="108.60000000000001"/>
    <n v="0.5233734939759036"/>
    <n v="0.5"/>
  </r>
  <r>
    <s v="весна"/>
    <s v="Диплом"/>
    <s v="Диплом"/>
    <s v="Т11О-402Б-20"/>
    <n v="20"/>
    <m/>
    <m/>
    <s v="82060"/>
    <x v="23"/>
    <m/>
    <s v="Нет"/>
    <m/>
    <s v="Насонов"/>
    <n v="239"/>
    <n v="313"/>
    <n v="552"/>
    <n v="0.6650602409638554"/>
    <n v="110.4"/>
    <n v="0.5320481927710844"/>
    <n v="0.55"/>
  </r>
  <r>
    <s v="весна"/>
    <s v="Диплом"/>
    <s v="Диплом"/>
    <s v="Т11О-402Б-20"/>
    <n v="20"/>
    <m/>
    <m/>
    <s v="82090"/>
    <x v="23"/>
    <m/>
    <s v="Нет"/>
    <m/>
    <s v="Печников"/>
    <n v="239"/>
    <n v="313"/>
    <n v="552"/>
    <n v="0.6650602409638554"/>
    <n v="110.4"/>
    <n v="0.5320481927710844"/>
    <n v="0.55"/>
  </r>
  <r>
    <s v="весна"/>
    <s v="Диплом"/>
    <s v="Диплом"/>
    <s v="Т11О-402Б-20"/>
    <n v="20"/>
    <m/>
    <m/>
    <s v="82086"/>
    <x v="8"/>
    <m/>
    <s v="Нет"/>
    <m/>
    <s v="Сметанин"/>
    <n v="78"/>
    <n v="240.5"/>
    <n v="318.5"/>
    <n v="0.38373493975903616"/>
    <n v="63.7"/>
    <n v="0.30698795180722893"/>
    <n v="0.35"/>
  </r>
  <r>
    <s v="весна"/>
    <s v="Диплом"/>
    <s v="Диплом"/>
    <s v="Т11О-402Б-20"/>
    <n v="20"/>
    <m/>
    <m/>
    <s v="82018"/>
    <x v="6"/>
    <m/>
    <s v="Нет"/>
    <m/>
    <s v="Федорова"/>
    <n v="233"/>
    <n v="200"/>
    <n v="433"/>
    <n v="0.5216867469879518"/>
    <n v="86.60000000000001"/>
    <n v="0.4173493975903615"/>
    <n v="0.5"/>
  </r>
  <r>
    <s v="весна"/>
    <s v="Диплом"/>
    <s v="Диплом"/>
    <s v="Т11О-402Б-20"/>
    <n v="18"/>
    <m/>
    <m/>
    <m/>
    <x v="29"/>
    <m/>
    <s v="Нет"/>
    <m/>
    <s v="комиссия внеш"/>
    <n v="0"/>
    <n v="104"/>
    <n v="104"/>
    <n v="0.12530120481927712"/>
    <n v="20.8"/>
    <n v="0.1002409638554217"/>
    <n v="0"/>
  </r>
  <r>
    <s v="весна"/>
    <s v="Диплом"/>
    <s v="Диплом"/>
    <s v="Т11О-402Б-20"/>
    <n v="9"/>
    <m/>
    <m/>
    <m/>
    <x v="2"/>
    <m/>
    <s v="Нет"/>
    <m/>
    <s v="комиссия Нормо"/>
    <n v="111"/>
    <n v="265"/>
    <n v="376"/>
    <n v="0.4530120481927711"/>
    <n v="75.2"/>
    <n v="0.3624096385542169"/>
    <n v="0.45"/>
  </r>
  <r>
    <s v="весна"/>
    <s v="Диплом"/>
    <s v="Диплом"/>
    <s v="Т11О-402Б-20"/>
    <n v="4.5"/>
    <m/>
    <m/>
    <m/>
    <x v="8"/>
    <m/>
    <s v="Нет"/>
    <m/>
    <s v="комиссия вся"/>
    <n v="78"/>
    <n v="240.5"/>
    <n v="318.5"/>
    <n v="0.38373493975903616"/>
    <n v="63.7"/>
    <n v="0.30698795180722893"/>
    <n v="0.35"/>
  </r>
  <r>
    <s v="весна"/>
    <s v="Диплом"/>
    <s v="Диплом"/>
    <s v="Т11О-402Б-20"/>
    <n v="4.5"/>
    <m/>
    <m/>
    <m/>
    <x v="6"/>
    <m/>
    <s v="Нет"/>
    <m/>
    <s v="комиссия вся"/>
    <n v="233"/>
    <n v="200"/>
    <n v="433"/>
    <n v="0.5216867469879518"/>
    <n v="86.60000000000001"/>
    <n v="0.4173493975903615"/>
    <n v="0.5"/>
  </r>
  <r>
    <s v="весна"/>
    <s v="Диплом"/>
    <s v="Диплом"/>
    <s v="Т11О-402Б-20"/>
    <n v="4.5"/>
    <m/>
    <m/>
    <m/>
    <x v="21"/>
    <m/>
    <s v="Нет"/>
    <m/>
    <s v="комиссия вся"/>
    <n v="297"/>
    <n v="310"/>
    <n v="607"/>
    <n v="0.7313253012048193"/>
    <n v="121.4"/>
    <n v="0.5850602409638554"/>
    <n v="0.6"/>
  </r>
  <r>
    <s v="весна"/>
    <s v="Диплом"/>
    <s v="Диплом"/>
    <s v="Т11О-402Б-20"/>
    <n v="4.5"/>
    <m/>
    <m/>
    <m/>
    <x v="23"/>
    <m/>
    <s v="Нет"/>
    <m/>
    <s v="комиссия вся"/>
    <n v="239"/>
    <n v="313"/>
    <n v="552"/>
    <n v="0.6650602409638554"/>
    <n v="110.4"/>
    <n v="0.5320481927710844"/>
    <n v="0.55"/>
  </r>
  <r>
    <s v="весна"/>
    <s v="Диплом"/>
    <s v="Диплом"/>
    <s v="Т11О-403Б-20"/>
    <n v="40"/>
    <m/>
    <m/>
    <s v="81728"/>
    <x v="16"/>
    <m/>
    <s v="Нет"/>
    <m/>
    <s v="Слезнев, Юхнин"/>
    <n v="438"/>
    <n v="361"/>
    <n v="799"/>
    <n v="0.9626506024096385"/>
    <n v="159.8"/>
    <n v="0.7701204819277109"/>
    <n v="0.75"/>
  </r>
  <r>
    <s v="весна"/>
    <s v="Диплом"/>
    <s v="Диплом"/>
    <s v="Т11О-403Б-20"/>
    <n v="40"/>
    <m/>
    <m/>
    <s v="81724"/>
    <x v="17"/>
    <m/>
    <s v="Нет"/>
    <m/>
    <s v="Вологдин, Епанишников"/>
    <n v="456"/>
    <n v="384"/>
    <n v="840"/>
    <n v="1.0120481927710843"/>
    <n v="168"/>
    <n v="0.8096385542168675"/>
    <n v="0.8"/>
  </r>
  <r>
    <s v="весна"/>
    <s v="Диплом"/>
    <s v="Диплом"/>
    <s v="Т11О-403Б-20"/>
    <n v="20"/>
    <m/>
    <m/>
    <s v="81720"/>
    <x v="14"/>
    <m/>
    <s v="Нет"/>
    <m/>
    <s v="Козырин"/>
    <n v="279"/>
    <n v="431"/>
    <n v="710"/>
    <n v="0.8554216867469879"/>
    <n v="142"/>
    <n v="0.6843373493975904"/>
    <n v="0.65"/>
  </r>
  <r>
    <s v="весна"/>
    <s v="Диплом"/>
    <s v="Диплом"/>
    <s v="Т11О-403Б-20"/>
    <n v="20"/>
    <m/>
    <m/>
    <s v="81721"/>
    <x v="18"/>
    <m/>
    <s v="Нет"/>
    <m/>
    <s v="Ушакова"/>
    <n v="175"/>
    <n v="120"/>
    <n v="295"/>
    <n v="0.35542168674698793"/>
    <n v="59"/>
    <n v="0.28433734939759037"/>
    <n v="0.25"/>
  </r>
  <r>
    <s v="весна"/>
    <s v="Диплом"/>
    <s v="Диплом"/>
    <s v="Т11О-403Б-20"/>
    <n v="20"/>
    <m/>
    <m/>
    <s v="81721"/>
    <x v="11"/>
    <m/>
    <s v="Нет"/>
    <m/>
    <s v="Ермоленко"/>
    <n v="298"/>
    <n v="310"/>
    <n v="608"/>
    <n v="0.7325301204819277"/>
    <n v="121.60000000000001"/>
    <n v="0.5860240963855422"/>
    <n v="0.7"/>
  </r>
  <r>
    <s v="весна"/>
    <s v="Диплом"/>
    <s v="Диплом"/>
    <s v="Т11О-403Б-20"/>
    <n v="60"/>
    <m/>
    <m/>
    <s v="81729"/>
    <x v="15"/>
    <m/>
    <s v="Нет"/>
    <m/>
    <s v="Варфоломеев, Воронина, Шаповал"/>
    <n v="276"/>
    <n v="323"/>
    <n v="599"/>
    <n v="0.7216867469879518"/>
    <n v="119.80000000000001"/>
    <n v="0.5773493975903614"/>
    <n v="0.55"/>
  </r>
  <r>
    <s v="весна"/>
    <s v="Диплом"/>
    <s v="Диплом"/>
    <s v="Т11О-403Б-20"/>
    <n v="40"/>
    <m/>
    <m/>
    <s v="81722"/>
    <x v="11"/>
    <m/>
    <s v="Нет"/>
    <m/>
    <s v="Альсаад, Цвиклич"/>
    <n v="298"/>
    <n v="310"/>
    <n v="608"/>
    <n v="0.7325301204819277"/>
    <n v="121.60000000000001"/>
    <n v="0.5860240963855422"/>
    <n v="0.7"/>
  </r>
  <r>
    <s v="весна"/>
    <s v="Диплом"/>
    <s v="Диплом"/>
    <s v="Т11О-403Б-20"/>
    <n v="24"/>
    <m/>
    <m/>
    <m/>
    <x v="29"/>
    <m/>
    <s v="Нет"/>
    <m/>
    <s v="комиссия внеш"/>
    <n v="0"/>
    <n v="104"/>
    <n v="104"/>
    <n v="0.12530120481927712"/>
    <n v="20.8"/>
    <n v="0.1002409638554217"/>
    <n v="0"/>
  </r>
  <r>
    <s v="весна"/>
    <s v="Диплом"/>
    <s v="Диплом"/>
    <s v="Т11О-403Б-20"/>
    <n v="6"/>
    <m/>
    <m/>
    <m/>
    <x v="14"/>
    <m/>
    <s v="Нет"/>
    <m/>
    <s v="секр"/>
    <n v="279"/>
    <n v="431"/>
    <n v="710"/>
    <n v="0.8554216867469879"/>
    <n v="142"/>
    <n v="0.6843373493975904"/>
    <n v="0.65"/>
  </r>
  <r>
    <s v="весна"/>
    <s v="Диплом"/>
    <s v="Диплом"/>
    <s v="Т11О-403Б-20"/>
    <n v="12"/>
    <m/>
    <m/>
    <m/>
    <x v="15"/>
    <m/>
    <s v="Нет"/>
    <m/>
    <s v="норма"/>
    <n v="276"/>
    <n v="323"/>
    <n v="599"/>
    <n v="0.7216867469879518"/>
    <n v="119.80000000000001"/>
    <n v="0.5773493975903614"/>
    <n v="0.55"/>
  </r>
  <r>
    <s v="весна"/>
    <s v="Диплом"/>
    <s v="Диплом"/>
    <s v="Т11О-403Б-20"/>
    <n v="6"/>
    <m/>
    <m/>
    <m/>
    <x v="17"/>
    <m/>
    <s v="Нет"/>
    <m/>
    <s v="комиссия вся"/>
    <n v="456"/>
    <n v="384"/>
    <n v="840"/>
    <n v="1.0120481927710843"/>
    <n v="168"/>
    <n v="0.8096385542168675"/>
    <n v="0.8"/>
  </r>
  <r>
    <s v="весна"/>
    <s v="Диплом"/>
    <s v="Диплом"/>
    <s v="Т11О-403Б-20"/>
    <n v="6"/>
    <m/>
    <m/>
    <m/>
    <x v="11"/>
    <m/>
    <s v="Нет"/>
    <m/>
    <s v="комиссия вся"/>
    <n v="298"/>
    <n v="310"/>
    <n v="608"/>
    <n v="0.7325301204819277"/>
    <n v="121.60000000000001"/>
    <n v="0.5860240963855422"/>
    <n v="0.7"/>
  </r>
  <r>
    <s v="весна"/>
    <s v="Диплом"/>
    <s v="Диплом"/>
    <s v="Т11О-403Б-20"/>
    <n v="6"/>
    <m/>
    <m/>
    <m/>
    <x v="16"/>
    <m/>
    <s v="Нет"/>
    <m/>
    <s v="комиссия вся"/>
    <n v="438"/>
    <n v="361"/>
    <n v="799"/>
    <n v="0.9626506024096385"/>
    <n v="159.8"/>
    <n v="0.7701204819277109"/>
    <n v="0.75"/>
  </r>
  <r>
    <s v="весна"/>
    <s v="Диплом"/>
    <s v="Диплом"/>
    <s v="Т11О-407А-20"/>
    <n v="25"/>
    <m/>
    <m/>
    <s v="82060"/>
    <x v="23"/>
    <m/>
    <s v="Нет"/>
    <m/>
    <s v="Митрофанов Андрей Леонидович"/>
    <n v="239"/>
    <n v="313"/>
    <n v="552"/>
    <n v="0.6650602409638554"/>
    <n v="110.4"/>
    <n v="0.5320481927710844"/>
    <n v="0.55"/>
  </r>
  <r>
    <s v="весна"/>
    <s v="Диплом"/>
    <s v="Диплом"/>
    <s v="Т11О-407А-20"/>
    <n v="25"/>
    <m/>
    <m/>
    <s v="81958"/>
    <x v="25"/>
    <m/>
    <s v="Нет"/>
    <m/>
    <s v="Прокопенко Денис Алексеевич"/>
    <n v="180"/>
    <n v="129"/>
    <n v="309"/>
    <n v="0.372289156626506"/>
    <n v="61.800000000000004"/>
    <n v="0.2978313253012048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0000000}" name="Сводная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4" indent="0" outline="1" outlineData="1" multipleFieldFilters="0">
  <location ref="A3:E24" firstHeaderRow="0" firstDataRow="1" firstDataCol="1"/>
  <pivotFields count="17">
    <pivotField showAll="0"/>
    <pivotField showAll="0"/>
    <pivotField showAll="0"/>
    <pivotField showAll="0"/>
    <pivotField numFmtId="2" showAll="0"/>
    <pivotField showAll="0"/>
    <pivotField showAll="0"/>
    <pivotField showAll="0"/>
    <pivotField axis="axisRow" showAll="0">
      <items count="30">
        <item x="4"/>
        <item m="1" x="22"/>
        <item m="1" x="26"/>
        <item m="1" x="20"/>
        <item m="1" x="24"/>
        <item m="1" x="25"/>
        <item x="1"/>
        <item x="2"/>
        <item x="6"/>
        <item x="7"/>
        <item x="8"/>
        <item m="1" x="27"/>
        <item x="10"/>
        <item x="11"/>
        <item m="1" x="28"/>
        <item x="3"/>
        <item x="13"/>
        <item m="1" x="23"/>
        <item x="15"/>
        <item x="16"/>
        <item m="1" x="21"/>
        <item x="18"/>
        <item x="19"/>
        <item x="0"/>
        <item x="5"/>
        <item x="9"/>
        <item x="12"/>
        <item x="14"/>
        <item x="17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numFmtId="2" showAll="0"/>
  </pivotFields>
  <rowFields count="1">
    <field x="8"/>
  </rowFields>
  <rowItems count="21">
    <i>
      <x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>
      <x v="16"/>
    </i>
    <i>
      <x v="18"/>
    </i>
    <i>
      <x v="19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Среднее по полю осень" fld="13" subtotal="average" baseField="8" baseItem="0"/>
    <dataField name="Среднее по полю весна" fld="14" subtotal="average" baseField="8" baseItem="0"/>
    <dataField name="Среднее по полю всего" fld="15" subtotal="average" baseField="8" baseItem="0"/>
    <dataField name="Среднее по полю 830" fld="16" subtotal="average" baseField="8" baseItem="0" numFmtId="2"/>
  </dataFields>
  <formats count="1">
    <format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1000000}" name="СводнаяТаблица3" cacheId="0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4" indent="0" outline="1" outlineData="1" multipleFieldFilters="0">
  <location ref="A3:E23" firstHeaderRow="0" firstDataRow="1" firstDataCol="1"/>
  <pivotFields count="17">
    <pivotField showAll="0"/>
    <pivotField showAll="0"/>
    <pivotField showAll="0"/>
    <pivotField showAll="0"/>
    <pivotField numFmtId="2" showAll="0"/>
    <pivotField showAll="0"/>
    <pivotField showAll="0"/>
    <pivotField showAll="0"/>
    <pivotField axis="axisRow" showAll="0">
      <items count="30">
        <item m="1" x="24"/>
        <item x="4"/>
        <item x="13"/>
        <item x="11"/>
        <item m="1" x="22"/>
        <item m="1" x="25"/>
        <item x="0"/>
        <item x="2"/>
        <item m="1" x="26"/>
        <item x="5"/>
        <item x="16"/>
        <item x="8"/>
        <item x="7"/>
        <item x="3"/>
        <item m="1" x="21"/>
        <item x="17"/>
        <item x="10"/>
        <item x="1"/>
        <item m="1" x="27"/>
        <item x="9"/>
        <item m="1" x="28"/>
        <item x="12"/>
        <item x="19"/>
        <item x="6"/>
        <item x="15"/>
        <item m="1" x="23"/>
        <item x="14"/>
        <item x="18"/>
        <item m="1" x="20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numFmtId="2" showAll="0"/>
  </pivotFields>
  <rowFields count="1">
    <field x="8"/>
  </rowFields>
  <rowItems count="20">
    <i>
      <x v="1"/>
    </i>
    <i>
      <x v="2"/>
    </i>
    <i>
      <x v="3"/>
    </i>
    <i>
      <x v="6"/>
    </i>
    <i>
      <x v="7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>
      <x v="19"/>
    </i>
    <i>
      <x v="21"/>
    </i>
    <i>
      <x v="22"/>
    </i>
    <i>
      <x v="23"/>
    </i>
    <i>
      <x v="24"/>
    </i>
    <i>
      <x v="26"/>
    </i>
    <i>
      <x v="27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ч.Осень" fld="13" subtotal="average" baseField="8" baseItem="1"/>
    <dataField name="ч.Весна" fld="14" subtotal="average" baseField="8" baseItem="1"/>
    <dataField name="ч.Итого" fld="15" subtotal="average" baseField="8" baseItem="1"/>
    <dataField name="Ставка расчет" fld="16" subtotal="average" baseField="8" baseItem="1" numFmtId="165"/>
  </dataFields>
  <formats count="2">
    <format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2000000}" name="Сводная таблица1" cacheId="1" applyNumberFormats="0" applyBorderFormats="0" applyFontFormats="0" applyPatternFormats="0" applyAlignmentFormats="0" applyWidthHeightFormats="1" dataCaption="Значения" missingCaption="0" updatedVersion="8" minRefreshableVersion="3" useAutoFormatting="1" itemPrintTitles="1" createdVersion="6" indent="0" outline="1" outlineData="1" multipleFieldFilters="0">
  <location ref="A3:F34" firstHeaderRow="0" firstDataRow="1" firstDataCol="1"/>
  <pivotFields count="20">
    <pivotField showAll="0"/>
    <pivotField showAll="0"/>
    <pivotField showAll="0"/>
    <pivotField showAll="0"/>
    <pivotField numFmtId="2" showAll="0"/>
    <pivotField showAll="0"/>
    <pivotField showAll="0"/>
    <pivotField showAll="0"/>
    <pivotField axis="axisRow" showAll="0" sortType="ascending">
      <items count="31">
        <item x="9"/>
        <item x="10"/>
        <item x="6"/>
        <item x="26"/>
        <item x="25"/>
        <item x="1"/>
        <item x="16"/>
        <item x="17"/>
        <item x="19"/>
        <item x="22"/>
        <item x="28"/>
        <item x="23"/>
        <item x="0"/>
        <item x="4"/>
        <item x="14"/>
        <item x="20"/>
        <item x="12"/>
        <item x="8"/>
        <item x="18"/>
        <item x="27"/>
        <item x="7"/>
        <item x="21"/>
        <item x="24"/>
        <item x="15"/>
        <item x="3"/>
        <item x="13"/>
        <item x="11"/>
        <item x="2"/>
        <item x="29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numFmtId="2" showAll="0"/>
    <pivotField dataField="1" showAll="0" defaultSubtotal="0"/>
    <pivotField dataField="1" showAll="0" defaultSubtotal="0"/>
    <pivotField dataField="1" numFmtId="2" showAll="0"/>
  </pivotFields>
  <rowFields count="1">
    <field x="8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Час Итого" fld="15" subtotal="average" baseField="8" baseItem="0"/>
    <dataField name="Ставка итого" fld="16" subtotal="average" baseField="8" baseItem="0"/>
    <dataField name="ПЧ20" fld="17" subtotal="average" baseField="8" baseItem="0"/>
    <dataField name="Ставка-ПЧ20" fld="18" subtotal="average" baseField="8" baseItem="0"/>
    <dataField name="вПриказ" fld="19" subtotal="average" baseField="8" baseItem="0"/>
  </dataFields>
  <formats count="21">
    <format>
      <pivotArea collapsedLevelsAreSubtotals="1" fieldPosition="0">
        <references count="2">
          <reference field="4294967294" count="1" selected="0">
            <x v="1"/>
          </reference>
          <reference field="8" count="0"/>
        </references>
      </pivotArea>
    </format>
    <format>
      <pivotArea collapsedLevelsAreSubtotals="1" fieldPosition="0">
        <references count="2">
          <reference field="4294967294" count="1" selected="0">
            <x v="1"/>
          </reference>
          <reference field="8" count="0"/>
        </references>
      </pivotArea>
    </format>
    <format>
      <pivotArea collapsedLevelsAreSubtotals="1" fieldPosition="0">
        <references count="2">
          <reference field="4294967294" count="1" selected="0">
            <x v="1"/>
          </reference>
          <reference field="8" count="0"/>
        </references>
      </pivotArea>
    </format>
    <format>
      <pivotArea collapsedLevelsAreSubtotals="1" fieldPosition="0">
        <references count="2">
          <reference field="4294967294" count="1" selected="0">
            <x v="1"/>
          </reference>
          <reference field="8" count="0"/>
        </references>
      </pivotArea>
    </format>
    <format>
      <pivotArea collapsedLevelsAreSubtotals="1" fieldPosition="0">
        <references count="2">
          <reference field="4294967294" count="1" selected="0">
            <x v="1"/>
          </reference>
          <reference field="8" count="0"/>
        </references>
      </pivotArea>
    </format>
    <format>
      <pivotArea collapsedLevelsAreSubtotals="1" fieldPosition="0">
        <references count="2">
          <reference field="4294967294" count="1" selected="0">
            <x v="1"/>
          </reference>
          <reference field="8" count="0"/>
        </references>
      </pivotArea>
    </format>
    <format>
      <pivotArea collapsedLevelsAreSubtotals="1" fieldPosition="0">
        <references count="2">
          <reference field="4294967294" count="1" selected="0">
            <x v="1"/>
          </reference>
          <reference field="8" count="0"/>
        </references>
      </pivotArea>
    </format>
    <format>
      <pivotArea collapsedLevelsAreSubtotals="1" fieldPosition="0">
        <references count="2">
          <reference field="4294967294" count="1" selected="0">
            <x v="1"/>
          </reference>
          <reference field="8" count="0"/>
        </references>
      </pivotArea>
    </format>
    <format>
      <pivotArea collapsedLevelsAreSubtotals="1" fieldPosition="0">
        <references count="2">
          <reference field="4294967294" count="1" selected="0">
            <x v="1"/>
          </reference>
          <reference field="8" count="0"/>
        </references>
      </pivotArea>
    </format>
    <format>
      <pivotArea outline="0" collapsedLevelsAreSubtotals="1" fieldPosition="0"/>
    </format>
    <format>
      <pivotArea outline="0" collapsedLevelsAreSubtotals="1" fieldPosition="0"/>
    </format>
    <format>
      <pivotArea outline="0" collapsedLevelsAreSubtotals="1" fieldPosition="0"/>
    </format>
    <format>
      <pivotArea outline="0" collapsedLevelsAreSubtotals="1" fieldPosition="0"/>
    </format>
    <format>
      <pivotArea outline="0" collapsedLevelsAreSubtotals="1" fieldPosition="0"/>
    </format>
    <format>
      <pivotArea outline="0" collapsedLevelsAreSubtotals="1" fieldPosition="0"/>
    </format>
    <format>
      <pivotArea dataOnly="0" fieldPosition="0">
        <references count="1">
          <reference field="8" count="0"/>
        </references>
      </pivotArea>
    </format>
    <format>
      <pivotArea collapsedLevelsAreSubtotals="1" fieldPosition="0">
        <references count="1">
          <reference field="8" count="0"/>
        </references>
      </pivotArea>
    </format>
    <format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>
      <pivotArea grandRow="1" outline="0" collapsedLevelsAreSubtotals="1" fieldPosition="0"/>
    </format>
    <format>
      <pivotArea collapsedLevelsAreSubtotals="1" fieldPosition="0">
        <references count="1">
          <reference field="8" count="0"/>
        </references>
      </pivotArea>
    </format>
    <format>
      <pivotArea dataOnly="0" labelOnly="1" fieldPosition="0">
        <references count="1">
          <reference field="8" count="0"/>
        </references>
      </pivotArea>
    </format>
  </formats>
  <pivotTableStyleInfo name="PivotStyleDark13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/>
  </sheetViews>
  <sheetFormatPr defaultColWidth="14.44140625" defaultRowHeight="15" customHeight="1" x14ac:dyDescent="0.3"/>
  <cols>
    <col min="1" max="1" width="21.88671875" customWidth="1"/>
    <col min="2" max="2" width="8" customWidth="1"/>
    <col min="3" max="3" width="11.5546875" customWidth="1"/>
    <col min="4" max="26" width="8" customWidth="1"/>
  </cols>
  <sheetData>
    <row r="1" spans="1:3" ht="14.4" x14ac:dyDescent="0.3">
      <c r="A1" s="1" t="s">
        <v>0</v>
      </c>
      <c r="B1" s="1" t="s">
        <v>1</v>
      </c>
      <c r="C1" s="1" t="s">
        <v>2</v>
      </c>
    </row>
    <row r="2" spans="1:3" ht="14.4" x14ac:dyDescent="0.3">
      <c r="A2" s="2" t="s">
        <v>3</v>
      </c>
      <c r="B2" s="2">
        <v>0.8</v>
      </c>
      <c r="C2" s="2" t="s">
        <v>4</v>
      </c>
    </row>
    <row r="3" spans="1:3" ht="14.4" x14ac:dyDescent="0.3">
      <c r="A3" s="2" t="s">
        <v>5</v>
      </c>
      <c r="B3" s="2">
        <v>0.25</v>
      </c>
      <c r="C3" s="2" t="s">
        <v>6</v>
      </c>
    </row>
    <row r="4" spans="1:3" ht="14.4" x14ac:dyDescent="0.3">
      <c r="A4" s="2" t="s">
        <v>5</v>
      </c>
      <c r="B4" s="2">
        <v>0.55000000000000004</v>
      </c>
      <c r="C4" s="2" t="s">
        <v>6</v>
      </c>
    </row>
    <row r="5" spans="1:3" ht="14.4" x14ac:dyDescent="0.3">
      <c r="A5" s="2" t="s">
        <v>7</v>
      </c>
      <c r="B5" s="2">
        <v>0.5</v>
      </c>
      <c r="C5" s="2" t="s">
        <v>8</v>
      </c>
    </row>
    <row r="6" spans="1:3" ht="14.4" x14ac:dyDescent="0.3">
      <c r="A6" s="2" t="s">
        <v>9</v>
      </c>
      <c r="B6" s="2">
        <v>0.5</v>
      </c>
      <c r="C6" s="2" t="s">
        <v>8</v>
      </c>
    </row>
    <row r="7" spans="1:3" ht="14.4" x14ac:dyDescent="0.3">
      <c r="A7" s="2" t="s">
        <v>10</v>
      </c>
      <c r="B7" s="2">
        <v>0.95</v>
      </c>
      <c r="C7" s="2" t="s">
        <v>4</v>
      </c>
    </row>
    <row r="8" spans="1:3" ht="14.4" x14ac:dyDescent="0.3">
      <c r="A8" s="2" t="s">
        <v>11</v>
      </c>
      <c r="B8" s="2">
        <v>0.3</v>
      </c>
      <c r="C8" s="2" t="s">
        <v>4</v>
      </c>
    </row>
    <row r="9" spans="1:3" ht="14.4" x14ac:dyDescent="0.3">
      <c r="A9" s="2" t="s">
        <v>12</v>
      </c>
      <c r="B9" s="2">
        <v>0.5</v>
      </c>
      <c r="C9" s="2" t="s">
        <v>4</v>
      </c>
    </row>
    <row r="10" spans="1:3" ht="14.4" x14ac:dyDescent="0.3">
      <c r="A10" s="2" t="s">
        <v>13</v>
      </c>
      <c r="B10" s="2">
        <v>1</v>
      </c>
      <c r="C10" s="2" t="s">
        <v>4</v>
      </c>
    </row>
    <row r="11" spans="1:3" ht="14.4" x14ac:dyDescent="0.3">
      <c r="A11" s="2" t="s">
        <v>14</v>
      </c>
      <c r="B11" s="2">
        <v>0.5</v>
      </c>
      <c r="C11" s="2" t="s">
        <v>6</v>
      </c>
    </row>
    <row r="12" spans="1:3" ht="14.4" x14ac:dyDescent="0.3">
      <c r="A12" s="2" t="s">
        <v>15</v>
      </c>
      <c r="B12" s="2">
        <v>1</v>
      </c>
      <c r="C12" s="2" t="s">
        <v>8</v>
      </c>
    </row>
    <row r="13" spans="1:3" ht="14.4" x14ac:dyDescent="0.3">
      <c r="A13" s="2" t="s">
        <v>16</v>
      </c>
      <c r="B13" s="2">
        <v>1</v>
      </c>
      <c r="C13" s="2" t="s">
        <v>4</v>
      </c>
    </row>
    <row r="14" spans="1:3" ht="14.4" x14ac:dyDescent="0.3">
      <c r="A14" s="2" t="s">
        <v>17</v>
      </c>
      <c r="B14" s="2">
        <v>0.1</v>
      </c>
      <c r="C14" s="2" t="s">
        <v>4</v>
      </c>
    </row>
    <row r="15" spans="1:3" ht="14.4" x14ac:dyDescent="0.3">
      <c r="A15" s="2" t="s">
        <v>18</v>
      </c>
      <c r="B15" s="2">
        <v>0.15</v>
      </c>
      <c r="C15" s="2" t="s">
        <v>4</v>
      </c>
    </row>
    <row r="16" spans="1:3" ht="14.4" x14ac:dyDescent="0.3">
      <c r="A16" s="2" t="s">
        <v>19</v>
      </c>
      <c r="B16" s="2">
        <v>1</v>
      </c>
      <c r="C16" s="2" t="s">
        <v>4</v>
      </c>
    </row>
    <row r="17" spans="1:3" ht="14.4" x14ac:dyDescent="0.3">
      <c r="A17" s="2" t="s">
        <v>20</v>
      </c>
      <c r="B17" s="2">
        <v>0.25</v>
      </c>
      <c r="C17" s="2" t="s">
        <v>21</v>
      </c>
    </row>
    <row r="18" spans="1:3" ht="14.4" x14ac:dyDescent="0.3">
      <c r="A18" s="2" t="s">
        <v>22</v>
      </c>
      <c r="B18" s="2">
        <v>0.7</v>
      </c>
      <c r="C18" s="2" t="s">
        <v>8</v>
      </c>
    </row>
    <row r="19" spans="1:3" ht="14.4" x14ac:dyDescent="0.3">
      <c r="A19" s="2" t="s">
        <v>23</v>
      </c>
      <c r="B19" s="2">
        <v>0.45</v>
      </c>
      <c r="C19" s="2" t="s">
        <v>21</v>
      </c>
    </row>
    <row r="20" spans="1:3" ht="14.4" x14ac:dyDescent="0.3">
      <c r="A20" s="2" t="s">
        <v>24</v>
      </c>
      <c r="B20" s="2">
        <v>0.1</v>
      </c>
      <c r="C20" s="2" t="s">
        <v>21</v>
      </c>
    </row>
    <row r="21" spans="1:3" ht="15.75" customHeight="1" x14ac:dyDescent="0.3">
      <c r="A21" s="2" t="s">
        <v>25</v>
      </c>
      <c r="B21" s="2">
        <v>1</v>
      </c>
      <c r="C21" s="2" t="s">
        <v>8</v>
      </c>
    </row>
    <row r="22" spans="1:3" ht="15.75" customHeight="1" x14ac:dyDescent="0.3">
      <c r="A22" s="2" t="s">
        <v>26</v>
      </c>
      <c r="B22" s="2">
        <v>1</v>
      </c>
      <c r="C22" s="2" t="s">
        <v>8</v>
      </c>
    </row>
    <row r="23" spans="1:3" ht="15.75" customHeight="1" x14ac:dyDescent="0.3">
      <c r="A23" s="2" t="s">
        <v>27</v>
      </c>
      <c r="B23" s="2">
        <v>0.1</v>
      </c>
      <c r="C23" s="2" t="s">
        <v>6</v>
      </c>
    </row>
    <row r="24" spans="1:3" ht="15.75" customHeight="1" x14ac:dyDescent="0.3">
      <c r="A24" s="2" t="s">
        <v>28</v>
      </c>
      <c r="B24" s="2">
        <v>0.9</v>
      </c>
      <c r="C24" s="2" t="s">
        <v>8</v>
      </c>
    </row>
    <row r="25" spans="1:3" ht="15.75" customHeight="1" x14ac:dyDescent="0.3">
      <c r="A25" s="2" t="s">
        <v>29</v>
      </c>
      <c r="B25" s="2">
        <v>1</v>
      </c>
      <c r="C25" s="2" t="s">
        <v>4</v>
      </c>
    </row>
    <row r="26" spans="1:3" ht="15.75" customHeight="1" x14ac:dyDescent="0.3">
      <c r="A26" s="2" t="s">
        <v>30</v>
      </c>
      <c r="B26" s="2">
        <v>0.65</v>
      </c>
      <c r="C26" s="2" t="s">
        <v>8</v>
      </c>
    </row>
    <row r="27" spans="1:3" ht="15.75" customHeight="1" x14ac:dyDescent="0.3">
      <c r="A27" s="2" t="s">
        <v>31</v>
      </c>
      <c r="B27" s="2">
        <v>0.9</v>
      </c>
      <c r="C27" s="2" t="s">
        <v>8</v>
      </c>
    </row>
    <row r="28" spans="1:3" ht="15.75" customHeight="1" x14ac:dyDescent="0.3">
      <c r="A28" s="2" t="s">
        <v>32</v>
      </c>
      <c r="B28" s="2">
        <v>0.45</v>
      </c>
      <c r="C28" s="2" t="s">
        <v>4</v>
      </c>
    </row>
    <row r="29" spans="1:3" ht="15.75" customHeight="1" x14ac:dyDescent="0.3">
      <c r="A29" s="2" t="s">
        <v>33</v>
      </c>
      <c r="B29" s="2">
        <v>0.75</v>
      </c>
      <c r="C29" s="2" t="s">
        <v>4</v>
      </c>
    </row>
    <row r="30" spans="1:3" ht="15.75" customHeight="1" x14ac:dyDescent="0.3">
      <c r="A30" s="2" t="s">
        <v>34</v>
      </c>
      <c r="B30" s="2">
        <v>0.45</v>
      </c>
      <c r="C30" s="2" t="s">
        <v>4</v>
      </c>
    </row>
    <row r="31" spans="1:3" ht="15.75" customHeight="1" x14ac:dyDescent="0.3">
      <c r="A31" s="2" t="s">
        <v>35</v>
      </c>
      <c r="B31" s="2">
        <v>1</v>
      </c>
      <c r="C31" s="2" t="s">
        <v>8</v>
      </c>
    </row>
    <row r="32" spans="1:3" ht="15.75" customHeight="1" x14ac:dyDescent="0.3">
      <c r="A32" s="2" t="s">
        <v>36</v>
      </c>
      <c r="B32" s="2">
        <v>0.2</v>
      </c>
      <c r="C32" s="2" t="s">
        <v>8</v>
      </c>
    </row>
    <row r="33" spans="1:3" ht="15.75" customHeight="1" x14ac:dyDescent="0.3">
      <c r="A33" s="2" t="s">
        <v>37</v>
      </c>
      <c r="B33" s="2">
        <v>1</v>
      </c>
      <c r="C33" s="2" t="s">
        <v>8</v>
      </c>
    </row>
    <row r="34" spans="1:3" ht="15.75" customHeight="1" x14ac:dyDescent="0.3">
      <c r="A34" s="2" t="s">
        <v>38</v>
      </c>
      <c r="B34" s="2">
        <v>1</v>
      </c>
      <c r="C34" s="2" t="s">
        <v>4</v>
      </c>
    </row>
    <row r="35" spans="1:3" ht="15.75" customHeight="1" x14ac:dyDescent="0.3">
      <c r="A35" s="2" t="s">
        <v>39</v>
      </c>
      <c r="B35" s="2">
        <v>0.45</v>
      </c>
      <c r="C35" s="2" t="s">
        <v>4</v>
      </c>
    </row>
    <row r="36" spans="1:3" ht="15.75" customHeight="1" x14ac:dyDescent="0.3">
      <c r="A36" s="2" t="s">
        <v>40</v>
      </c>
      <c r="B36" s="2">
        <v>0.25</v>
      </c>
      <c r="C36" s="2" t="s">
        <v>4</v>
      </c>
    </row>
    <row r="37" spans="1:3" ht="15.75" customHeight="1" x14ac:dyDescent="0.3">
      <c r="A37" s="2" t="s">
        <v>41</v>
      </c>
      <c r="B37" s="2">
        <v>0.25</v>
      </c>
      <c r="C37" s="2" t="s">
        <v>8</v>
      </c>
    </row>
    <row r="38" spans="1:3" ht="15.75" customHeight="1" x14ac:dyDescent="0.3">
      <c r="A38" s="2" t="s">
        <v>42</v>
      </c>
      <c r="B38" s="2">
        <v>0.65</v>
      </c>
      <c r="C38" s="2" t="s">
        <v>4</v>
      </c>
    </row>
    <row r="39" spans="1:3" ht="15.75" customHeight="1" x14ac:dyDescent="0.3">
      <c r="A39" s="2" t="s">
        <v>43</v>
      </c>
      <c r="B39" s="2">
        <v>0.1</v>
      </c>
      <c r="C39" s="2" t="s">
        <v>8</v>
      </c>
    </row>
    <row r="40" spans="1:3" ht="15.75" customHeight="1" x14ac:dyDescent="0.3">
      <c r="A40" s="2" t="s">
        <v>44</v>
      </c>
      <c r="B40" s="2">
        <v>0.75</v>
      </c>
      <c r="C40" s="2" t="s">
        <v>4</v>
      </c>
    </row>
    <row r="41" spans="1:3" ht="15.75" customHeight="1" x14ac:dyDescent="0.3">
      <c r="A41" s="2" t="s">
        <v>45</v>
      </c>
      <c r="B41" s="2">
        <v>0.35</v>
      </c>
      <c r="C41" s="2" t="s">
        <v>21</v>
      </c>
    </row>
    <row r="42" spans="1:3" ht="15.75" customHeight="1" x14ac:dyDescent="0.3">
      <c r="B42" s="2">
        <f>SUM(B2:B41)</f>
        <v>23.799999999999997</v>
      </c>
    </row>
    <row r="43" spans="1:3" ht="15.75" customHeight="1" x14ac:dyDescent="0.3"/>
    <row r="44" spans="1:3" ht="15.75" customHeight="1" x14ac:dyDescent="0.3"/>
    <row r="45" spans="1:3" ht="15.75" customHeight="1" x14ac:dyDescent="0.3"/>
    <row r="46" spans="1:3" ht="15.75" customHeight="1" x14ac:dyDescent="0.3"/>
    <row r="47" spans="1:3" ht="15.75" customHeight="1" x14ac:dyDescent="0.3"/>
    <row r="48" spans="1:3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J1174"/>
  <sheetViews>
    <sheetView workbookViewId="0"/>
  </sheetViews>
  <sheetFormatPr defaultColWidth="14.44140625" defaultRowHeight="15" customHeight="1" x14ac:dyDescent="0.3"/>
  <cols>
    <col min="1" max="1" width="7.6640625" customWidth="1"/>
    <col min="2" max="2" width="34.5546875" customWidth="1"/>
    <col min="3" max="3" width="11.6640625" customWidth="1"/>
    <col min="4" max="4" width="28.33203125" customWidth="1"/>
    <col min="5" max="5" width="12.44140625" customWidth="1"/>
    <col min="6" max="6" width="10.88671875" customWidth="1"/>
    <col min="7" max="7" width="10" customWidth="1"/>
    <col min="8" max="8" width="9.44140625" customWidth="1"/>
    <col min="9" max="9" width="36" customWidth="1"/>
    <col min="10" max="10" width="13.33203125" customWidth="1"/>
    <col min="11" max="11" width="16.44140625" customWidth="1"/>
    <col min="12" max="12" width="23.5546875" customWidth="1"/>
    <col min="13" max="13" width="6.33203125" customWidth="1"/>
    <col min="14" max="14" width="7.44140625" customWidth="1"/>
    <col min="15" max="15" width="6.109375" customWidth="1"/>
    <col min="16" max="16" width="6.6640625" customWidth="1"/>
    <col min="17" max="17" width="11.44140625" customWidth="1"/>
    <col min="18" max="36" width="9.109375" customWidth="1"/>
  </cols>
  <sheetData>
    <row r="1" spans="1:17" ht="14.4" x14ac:dyDescent="0.3">
      <c r="A1" s="3" t="s">
        <v>46</v>
      </c>
      <c r="B1" s="4" t="s">
        <v>47</v>
      </c>
      <c r="C1" s="4" t="s">
        <v>48</v>
      </c>
      <c r="D1" s="4" t="s">
        <v>49</v>
      </c>
      <c r="E1" s="5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6" t="s">
        <v>55</v>
      </c>
      <c r="K1" s="4" t="s">
        <v>56</v>
      </c>
      <c r="L1" s="4" t="s">
        <v>57</v>
      </c>
      <c r="M1" s="7" t="s">
        <v>58</v>
      </c>
      <c r="N1" s="7" t="s">
        <v>59</v>
      </c>
      <c r="O1" s="7" t="s">
        <v>60</v>
      </c>
      <c r="P1" s="7">
        <v>830</v>
      </c>
      <c r="Q1" s="7" t="s">
        <v>61</v>
      </c>
    </row>
    <row r="2" spans="1:17" ht="14.4" hidden="1" x14ac:dyDescent="0.3">
      <c r="A2" s="8" t="s">
        <v>58</v>
      </c>
      <c r="B2" s="9" t="s">
        <v>62</v>
      </c>
      <c r="C2" s="9" t="s">
        <v>62</v>
      </c>
      <c r="D2" s="9"/>
      <c r="E2" s="10">
        <v>75</v>
      </c>
      <c r="F2" s="9"/>
      <c r="G2" s="11">
        <v>0</v>
      </c>
      <c r="H2" s="9" t="s">
        <v>63</v>
      </c>
      <c r="I2" s="9" t="s">
        <v>64</v>
      </c>
      <c r="J2" s="9" t="s">
        <v>4</v>
      </c>
      <c r="K2" s="9"/>
      <c r="L2" s="9"/>
      <c r="M2" s="12">
        <f t="shared" ref="M2:M29" si="0">SUMIFS($E$2:$E$1130,$A$2:$A$1130,"осень",$I$2:$I$1130,I2)</f>
        <v>284</v>
      </c>
      <c r="N2" s="13">
        <f t="shared" ref="N2:N29" si="1">SUMIFS($E$2:$E$1130,$A$2:$A$1130,"весна",$I$2:$I$1130,I2)</f>
        <v>140</v>
      </c>
      <c r="O2" s="14">
        <f t="shared" ref="O2:O29" si="2">M2+N2</f>
        <v>424</v>
      </c>
      <c r="P2" s="15">
        <f t="shared" ref="P2:P29" si="3">O2/$P$1</f>
        <v>0.51084337349397591</v>
      </c>
    </row>
    <row r="3" spans="1:17" ht="14.4" hidden="1" x14ac:dyDescent="0.3">
      <c r="A3" s="8" t="s">
        <v>58</v>
      </c>
      <c r="B3" s="9" t="s">
        <v>62</v>
      </c>
      <c r="C3" s="9" t="s">
        <v>62</v>
      </c>
      <c r="D3" s="9"/>
      <c r="E3" s="10">
        <v>50</v>
      </c>
      <c r="F3" s="9"/>
      <c r="G3" s="11">
        <v>0</v>
      </c>
      <c r="H3" s="9" t="s">
        <v>65</v>
      </c>
      <c r="I3" s="9" t="s">
        <v>66</v>
      </c>
      <c r="J3" s="9" t="s">
        <v>4</v>
      </c>
      <c r="K3" s="9"/>
      <c r="L3" s="9"/>
      <c r="M3" s="12">
        <f t="shared" si="0"/>
        <v>291</v>
      </c>
      <c r="N3" s="13">
        <f t="shared" si="1"/>
        <v>650.5</v>
      </c>
      <c r="O3" s="14">
        <f t="shared" si="2"/>
        <v>941.5</v>
      </c>
      <c r="P3" s="15">
        <f t="shared" si="3"/>
        <v>1.1343373493975903</v>
      </c>
    </row>
    <row r="4" spans="1:17" ht="14.4" hidden="1" x14ac:dyDescent="0.3">
      <c r="A4" s="8" t="s">
        <v>58</v>
      </c>
      <c r="B4" s="9" t="s">
        <v>62</v>
      </c>
      <c r="C4" s="9" t="s">
        <v>62</v>
      </c>
      <c r="D4" s="9"/>
      <c r="E4" s="10">
        <v>25</v>
      </c>
      <c r="F4" s="9"/>
      <c r="G4" s="11">
        <v>0</v>
      </c>
      <c r="H4" s="9" t="s">
        <v>67</v>
      </c>
      <c r="I4" s="9" t="s">
        <v>68</v>
      </c>
      <c r="J4" s="9" t="s">
        <v>4</v>
      </c>
      <c r="K4" s="9"/>
      <c r="L4" s="9"/>
      <c r="M4" s="12">
        <f t="shared" si="0"/>
        <v>366</v>
      </c>
      <c r="N4" s="13">
        <f t="shared" si="1"/>
        <v>175</v>
      </c>
      <c r="O4" s="14">
        <f t="shared" si="2"/>
        <v>541</v>
      </c>
      <c r="P4" s="15">
        <f t="shared" si="3"/>
        <v>0.65180722891566267</v>
      </c>
    </row>
    <row r="5" spans="1:17" ht="14.4" hidden="1" x14ac:dyDescent="0.3">
      <c r="A5" s="8" t="s">
        <v>58</v>
      </c>
      <c r="B5" s="9" t="s">
        <v>69</v>
      </c>
      <c r="C5" s="9" t="s">
        <v>69</v>
      </c>
      <c r="D5" s="9"/>
      <c r="E5" s="10">
        <v>30</v>
      </c>
      <c r="F5" s="9"/>
      <c r="G5" s="11">
        <v>0</v>
      </c>
      <c r="H5" s="9" t="s">
        <v>70</v>
      </c>
      <c r="I5" s="9" t="s">
        <v>71</v>
      </c>
      <c r="J5" s="9"/>
      <c r="K5" s="9"/>
      <c r="L5" s="9"/>
      <c r="M5" s="12">
        <f t="shared" si="0"/>
        <v>391</v>
      </c>
      <c r="N5" s="13">
        <f t="shared" si="1"/>
        <v>436.5</v>
      </c>
      <c r="O5" s="14">
        <f t="shared" si="2"/>
        <v>827.5</v>
      </c>
      <c r="P5" s="15">
        <f t="shared" si="3"/>
        <v>0.99698795180722888</v>
      </c>
    </row>
    <row r="6" spans="1:17" ht="14.4" hidden="1" x14ac:dyDescent="0.3">
      <c r="A6" s="8" t="s">
        <v>58</v>
      </c>
      <c r="B6" s="9" t="s">
        <v>72</v>
      </c>
      <c r="C6" s="9" t="s">
        <v>73</v>
      </c>
      <c r="D6" s="9" t="s">
        <v>74</v>
      </c>
      <c r="E6" s="10">
        <v>24</v>
      </c>
      <c r="F6" s="9" t="s">
        <v>75</v>
      </c>
      <c r="G6" s="10">
        <v>24</v>
      </c>
      <c r="H6" s="9" t="s">
        <v>76</v>
      </c>
      <c r="I6" s="9" t="s">
        <v>77</v>
      </c>
      <c r="J6" s="9"/>
      <c r="K6" s="9"/>
      <c r="L6" s="9" t="s">
        <v>78</v>
      </c>
      <c r="M6" s="12">
        <f t="shared" si="0"/>
        <v>249</v>
      </c>
      <c r="N6" s="13">
        <f t="shared" si="1"/>
        <v>294</v>
      </c>
      <c r="O6" s="14">
        <f t="shared" si="2"/>
        <v>543</v>
      </c>
      <c r="P6" s="15">
        <f t="shared" si="3"/>
        <v>0.6542168674698795</v>
      </c>
    </row>
    <row r="7" spans="1:17" ht="14.4" hidden="1" x14ac:dyDescent="0.3">
      <c r="A7" s="8" t="s">
        <v>58</v>
      </c>
      <c r="B7" s="9" t="s">
        <v>72</v>
      </c>
      <c r="C7" s="9" t="s">
        <v>79</v>
      </c>
      <c r="D7" s="9" t="s">
        <v>74</v>
      </c>
      <c r="E7" s="10">
        <v>8</v>
      </c>
      <c r="F7" s="9" t="s">
        <v>75</v>
      </c>
      <c r="G7" s="10">
        <v>8</v>
      </c>
      <c r="H7" s="9" t="s">
        <v>76</v>
      </c>
      <c r="I7" s="9" t="s">
        <v>77</v>
      </c>
      <c r="J7" s="9"/>
      <c r="K7" s="9"/>
      <c r="L7" s="9" t="s">
        <v>78</v>
      </c>
      <c r="M7" s="12">
        <f t="shared" si="0"/>
        <v>249</v>
      </c>
      <c r="N7" s="13">
        <f t="shared" si="1"/>
        <v>294</v>
      </c>
      <c r="O7" s="14">
        <f t="shared" si="2"/>
        <v>543</v>
      </c>
      <c r="P7" s="15">
        <f t="shared" si="3"/>
        <v>0.6542168674698795</v>
      </c>
    </row>
    <row r="8" spans="1:17" ht="14.4" hidden="1" x14ac:dyDescent="0.3">
      <c r="A8" s="8" t="s">
        <v>58</v>
      </c>
      <c r="B8" s="9" t="s">
        <v>72</v>
      </c>
      <c r="C8" s="9" t="s">
        <v>80</v>
      </c>
      <c r="D8" s="9" t="s">
        <v>74</v>
      </c>
      <c r="E8" s="10">
        <v>1</v>
      </c>
      <c r="F8" s="9" t="s">
        <v>75</v>
      </c>
      <c r="G8" s="11">
        <v>0</v>
      </c>
      <c r="H8" s="9" t="s">
        <v>76</v>
      </c>
      <c r="I8" s="9" t="s">
        <v>77</v>
      </c>
      <c r="J8" s="9"/>
      <c r="K8" s="9"/>
      <c r="L8" s="9" t="s">
        <v>78</v>
      </c>
      <c r="M8" s="12">
        <f t="shared" si="0"/>
        <v>249</v>
      </c>
      <c r="N8" s="13">
        <f t="shared" si="1"/>
        <v>294</v>
      </c>
      <c r="O8" s="14">
        <f t="shared" si="2"/>
        <v>543</v>
      </c>
      <c r="P8" s="15">
        <f t="shared" si="3"/>
        <v>0.6542168674698795</v>
      </c>
    </row>
    <row r="9" spans="1:17" ht="14.4" hidden="1" x14ac:dyDescent="0.3">
      <c r="A9" s="8" t="s">
        <v>58</v>
      </c>
      <c r="B9" s="9" t="s">
        <v>81</v>
      </c>
      <c r="C9" s="9" t="s">
        <v>73</v>
      </c>
      <c r="D9" s="9" t="s">
        <v>82</v>
      </c>
      <c r="E9" s="10">
        <v>44</v>
      </c>
      <c r="F9" s="9" t="s">
        <v>83</v>
      </c>
      <c r="G9" s="10">
        <v>44</v>
      </c>
      <c r="H9" s="9" t="s">
        <v>84</v>
      </c>
      <c r="I9" s="9" t="s">
        <v>85</v>
      </c>
      <c r="J9" s="9"/>
      <c r="K9" s="9"/>
      <c r="L9" s="9" t="s">
        <v>86</v>
      </c>
      <c r="M9" s="12">
        <f t="shared" si="0"/>
        <v>256</v>
      </c>
      <c r="N9" s="13">
        <f t="shared" si="1"/>
        <v>691.5</v>
      </c>
      <c r="O9" s="14">
        <f t="shared" si="2"/>
        <v>947.5</v>
      </c>
      <c r="P9" s="15">
        <f t="shared" si="3"/>
        <v>1.1415662650602409</v>
      </c>
    </row>
    <row r="10" spans="1:17" ht="14.4" hidden="1" x14ac:dyDescent="0.3">
      <c r="A10" s="8" t="s">
        <v>58</v>
      </c>
      <c r="B10" s="9" t="s">
        <v>81</v>
      </c>
      <c r="C10" s="9" t="s">
        <v>87</v>
      </c>
      <c r="D10" s="9" t="s">
        <v>88</v>
      </c>
      <c r="E10" s="10">
        <v>7</v>
      </c>
      <c r="F10" s="9" t="s">
        <v>83</v>
      </c>
      <c r="G10" s="11">
        <v>0</v>
      </c>
      <c r="H10" s="9" t="s">
        <v>84</v>
      </c>
      <c r="I10" s="9" t="s">
        <v>85</v>
      </c>
      <c r="J10" s="9"/>
      <c r="K10" s="9"/>
      <c r="L10" s="9" t="s">
        <v>89</v>
      </c>
      <c r="M10" s="12">
        <f t="shared" si="0"/>
        <v>256</v>
      </c>
      <c r="N10" s="13">
        <f t="shared" si="1"/>
        <v>691.5</v>
      </c>
      <c r="O10" s="14">
        <f t="shared" si="2"/>
        <v>947.5</v>
      </c>
      <c r="P10" s="15">
        <f t="shared" si="3"/>
        <v>1.1415662650602409</v>
      </c>
    </row>
    <row r="11" spans="1:17" ht="14.4" hidden="1" x14ac:dyDescent="0.3">
      <c r="A11" s="8" t="s">
        <v>58</v>
      </c>
      <c r="B11" s="9" t="s">
        <v>81</v>
      </c>
      <c r="C11" s="9" t="s">
        <v>87</v>
      </c>
      <c r="D11" s="9" t="s">
        <v>90</v>
      </c>
      <c r="E11" s="10">
        <v>7</v>
      </c>
      <c r="F11" s="9" t="s">
        <v>83</v>
      </c>
      <c r="G11" s="11">
        <v>0</v>
      </c>
      <c r="H11" s="9" t="s">
        <v>84</v>
      </c>
      <c r="I11" s="9" t="s">
        <v>85</v>
      </c>
      <c r="J11" s="9"/>
      <c r="K11" s="9"/>
      <c r="L11" s="9" t="s">
        <v>89</v>
      </c>
      <c r="M11" s="12">
        <f t="shared" si="0"/>
        <v>256</v>
      </c>
      <c r="N11" s="13">
        <f t="shared" si="1"/>
        <v>691.5</v>
      </c>
      <c r="O11" s="14">
        <f t="shared" si="2"/>
        <v>947.5</v>
      </c>
      <c r="P11" s="15">
        <f t="shared" si="3"/>
        <v>1.1415662650602409</v>
      </c>
    </row>
    <row r="12" spans="1:17" ht="14.4" hidden="1" x14ac:dyDescent="0.3">
      <c r="A12" s="8" t="s">
        <v>58</v>
      </c>
      <c r="B12" s="9" t="s">
        <v>81</v>
      </c>
      <c r="C12" s="9" t="s">
        <v>79</v>
      </c>
      <c r="D12" s="9" t="s">
        <v>88</v>
      </c>
      <c r="E12" s="10">
        <v>8</v>
      </c>
      <c r="F12" s="9" t="s">
        <v>83</v>
      </c>
      <c r="G12" s="10">
        <v>32</v>
      </c>
      <c r="H12" s="9" t="s">
        <v>91</v>
      </c>
      <c r="I12" s="9" t="s">
        <v>92</v>
      </c>
      <c r="J12" s="9" t="s">
        <v>4</v>
      </c>
      <c r="K12" s="9"/>
      <c r="L12" s="9" t="s">
        <v>93</v>
      </c>
      <c r="M12" s="12">
        <f t="shared" si="0"/>
        <v>405</v>
      </c>
      <c r="N12" s="13">
        <f t="shared" si="1"/>
        <v>532</v>
      </c>
      <c r="O12" s="14">
        <f t="shared" si="2"/>
        <v>937</v>
      </c>
      <c r="P12" s="15">
        <f t="shared" si="3"/>
        <v>1.1289156626506025</v>
      </c>
    </row>
    <row r="13" spans="1:17" ht="14.4" hidden="1" x14ac:dyDescent="0.3">
      <c r="A13" s="8" t="s">
        <v>58</v>
      </c>
      <c r="B13" s="9" t="s">
        <v>81</v>
      </c>
      <c r="C13" s="9" t="s">
        <v>79</v>
      </c>
      <c r="D13" s="9" t="s">
        <v>88</v>
      </c>
      <c r="E13" s="10">
        <v>8</v>
      </c>
      <c r="F13" s="9" t="s">
        <v>83</v>
      </c>
      <c r="G13" s="10">
        <v>32</v>
      </c>
      <c r="H13" s="9" t="s">
        <v>94</v>
      </c>
      <c r="I13" s="9" t="s">
        <v>95</v>
      </c>
      <c r="J13" s="9"/>
      <c r="K13" s="9"/>
      <c r="L13" s="9"/>
      <c r="M13" s="12">
        <f t="shared" si="0"/>
        <v>295.8</v>
      </c>
      <c r="N13" s="13">
        <f t="shared" si="1"/>
        <v>488</v>
      </c>
      <c r="O13" s="14">
        <f t="shared" si="2"/>
        <v>783.8</v>
      </c>
      <c r="P13" s="15">
        <f t="shared" si="3"/>
        <v>0.94433734939759029</v>
      </c>
    </row>
    <row r="14" spans="1:17" ht="14.4" hidden="1" x14ac:dyDescent="0.3">
      <c r="A14" s="8" t="s">
        <v>58</v>
      </c>
      <c r="B14" s="9" t="s">
        <v>81</v>
      </c>
      <c r="C14" s="9" t="s">
        <v>79</v>
      </c>
      <c r="D14" s="9" t="s">
        <v>88</v>
      </c>
      <c r="E14" s="10">
        <v>8</v>
      </c>
      <c r="F14" s="9" t="s">
        <v>83</v>
      </c>
      <c r="G14" s="10">
        <v>32</v>
      </c>
      <c r="H14" s="9" t="s">
        <v>96</v>
      </c>
      <c r="I14" s="9" t="s">
        <v>97</v>
      </c>
      <c r="J14" s="9" t="s">
        <v>8</v>
      </c>
      <c r="K14" s="9"/>
      <c r="L14" s="9"/>
      <c r="M14" s="12">
        <f t="shared" si="0"/>
        <v>501</v>
      </c>
      <c r="N14" s="13">
        <f t="shared" si="1"/>
        <v>486.5</v>
      </c>
      <c r="O14" s="14">
        <f t="shared" si="2"/>
        <v>987.5</v>
      </c>
      <c r="P14" s="15">
        <f t="shared" si="3"/>
        <v>1.1897590361445782</v>
      </c>
    </row>
    <row r="15" spans="1:17" ht="14.4" hidden="1" x14ac:dyDescent="0.3">
      <c r="A15" s="8" t="s">
        <v>58</v>
      </c>
      <c r="B15" s="9" t="s">
        <v>81</v>
      </c>
      <c r="C15" s="9" t="s">
        <v>79</v>
      </c>
      <c r="D15" s="9" t="s">
        <v>88</v>
      </c>
      <c r="E15" s="10">
        <v>8</v>
      </c>
      <c r="F15" s="9" t="s">
        <v>83</v>
      </c>
      <c r="G15" s="10">
        <v>32</v>
      </c>
      <c r="H15" s="9" t="s">
        <v>98</v>
      </c>
      <c r="I15" s="9" t="s">
        <v>99</v>
      </c>
      <c r="J15" s="9" t="s">
        <v>4</v>
      </c>
      <c r="K15" s="9"/>
      <c r="L15" s="9"/>
      <c r="M15" s="12">
        <f t="shared" si="0"/>
        <v>239</v>
      </c>
      <c r="N15" s="13">
        <f t="shared" si="1"/>
        <v>196.5</v>
      </c>
      <c r="O15" s="14">
        <f t="shared" si="2"/>
        <v>435.5</v>
      </c>
      <c r="P15" s="15">
        <f t="shared" si="3"/>
        <v>0.52469879518072293</v>
      </c>
    </row>
    <row r="16" spans="1:17" ht="14.4" hidden="1" x14ac:dyDescent="0.3">
      <c r="A16" s="8" t="s">
        <v>58</v>
      </c>
      <c r="B16" s="9" t="s">
        <v>81</v>
      </c>
      <c r="C16" s="9" t="s">
        <v>79</v>
      </c>
      <c r="D16" s="9" t="s">
        <v>90</v>
      </c>
      <c r="E16" s="10">
        <v>8</v>
      </c>
      <c r="F16" s="9" t="s">
        <v>83</v>
      </c>
      <c r="G16" s="10">
        <v>32</v>
      </c>
      <c r="H16" s="9" t="s">
        <v>94</v>
      </c>
      <c r="I16" s="9" t="s">
        <v>95</v>
      </c>
      <c r="J16" s="9"/>
      <c r="K16" s="9"/>
      <c r="L16" s="9"/>
      <c r="M16" s="12">
        <f t="shared" si="0"/>
        <v>295.8</v>
      </c>
      <c r="N16" s="13">
        <f t="shared" si="1"/>
        <v>488</v>
      </c>
      <c r="O16" s="14">
        <f t="shared" si="2"/>
        <v>783.8</v>
      </c>
      <c r="P16" s="15">
        <f t="shared" si="3"/>
        <v>0.94433734939759029</v>
      </c>
    </row>
    <row r="17" spans="1:36" ht="14.4" hidden="1" x14ac:dyDescent="0.3">
      <c r="A17" s="8" t="s">
        <v>58</v>
      </c>
      <c r="B17" s="9" t="s">
        <v>81</v>
      </c>
      <c r="C17" s="9" t="s">
        <v>79</v>
      </c>
      <c r="D17" s="9" t="s">
        <v>90</v>
      </c>
      <c r="E17" s="10">
        <v>8</v>
      </c>
      <c r="F17" s="9" t="s">
        <v>83</v>
      </c>
      <c r="G17" s="10">
        <v>32</v>
      </c>
      <c r="H17" s="9" t="s">
        <v>91</v>
      </c>
      <c r="I17" s="9" t="s">
        <v>92</v>
      </c>
      <c r="J17" s="9" t="s">
        <v>4</v>
      </c>
      <c r="K17" s="9"/>
      <c r="L17" s="9" t="s">
        <v>93</v>
      </c>
      <c r="M17" s="12">
        <f t="shared" si="0"/>
        <v>405</v>
      </c>
      <c r="N17" s="13">
        <f t="shared" si="1"/>
        <v>532</v>
      </c>
      <c r="O17" s="14">
        <f t="shared" si="2"/>
        <v>937</v>
      </c>
      <c r="P17" s="15">
        <f t="shared" si="3"/>
        <v>1.1289156626506025</v>
      </c>
    </row>
    <row r="18" spans="1:36" ht="14.4" hidden="1" x14ac:dyDescent="0.3">
      <c r="A18" s="8" t="s">
        <v>58</v>
      </c>
      <c r="B18" s="9" t="s">
        <v>81</v>
      </c>
      <c r="C18" s="9" t="s">
        <v>79</v>
      </c>
      <c r="D18" s="9" t="s">
        <v>90</v>
      </c>
      <c r="E18" s="10">
        <v>8</v>
      </c>
      <c r="F18" s="9" t="s">
        <v>83</v>
      </c>
      <c r="G18" s="10">
        <v>32</v>
      </c>
      <c r="H18" s="9" t="s">
        <v>98</v>
      </c>
      <c r="I18" s="9" t="s">
        <v>99</v>
      </c>
      <c r="J18" s="9" t="s">
        <v>4</v>
      </c>
      <c r="K18" s="9"/>
      <c r="L18" s="9"/>
      <c r="M18" s="12">
        <f t="shared" si="0"/>
        <v>239</v>
      </c>
      <c r="N18" s="13">
        <f t="shared" si="1"/>
        <v>196.5</v>
      </c>
      <c r="O18" s="14">
        <f t="shared" si="2"/>
        <v>435.5</v>
      </c>
      <c r="P18" s="15">
        <f t="shared" si="3"/>
        <v>0.52469879518072293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</row>
    <row r="19" spans="1:36" ht="14.4" hidden="1" x14ac:dyDescent="0.3">
      <c r="A19" s="8" t="s">
        <v>58</v>
      </c>
      <c r="B19" s="9" t="s">
        <v>81</v>
      </c>
      <c r="C19" s="9" t="s">
        <v>79</v>
      </c>
      <c r="D19" s="9" t="s">
        <v>90</v>
      </c>
      <c r="E19" s="10">
        <v>8</v>
      </c>
      <c r="F19" s="9" t="s">
        <v>83</v>
      </c>
      <c r="G19" s="10">
        <v>32</v>
      </c>
      <c r="H19" s="9" t="s">
        <v>96</v>
      </c>
      <c r="I19" s="9" t="s">
        <v>97</v>
      </c>
      <c r="J19" s="9" t="s">
        <v>8</v>
      </c>
      <c r="K19" s="9"/>
      <c r="L19" s="9"/>
      <c r="M19" s="12">
        <f t="shared" si="0"/>
        <v>501</v>
      </c>
      <c r="N19" s="13">
        <f t="shared" si="1"/>
        <v>486.5</v>
      </c>
      <c r="O19" s="14">
        <f t="shared" si="2"/>
        <v>987.5</v>
      </c>
      <c r="P19" s="15">
        <f t="shared" si="3"/>
        <v>1.1897590361445782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</row>
    <row r="20" spans="1:36" ht="14.4" hidden="1" x14ac:dyDescent="0.3">
      <c r="A20" s="8" t="s">
        <v>58</v>
      </c>
      <c r="B20" s="9" t="s">
        <v>81</v>
      </c>
      <c r="C20" s="9" t="s">
        <v>100</v>
      </c>
      <c r="D20" s="9" t="s">
        <v>88</v>
      </c>
      <c r="E20" s="10">
        <v>8</v>
      </c>
      <c r="F20" s="9" t="s">
        <v>83</v>
      </c>
      <c r="G20" s="10">
        <v>16</v>
      </c>
      <c r="H20" s="9" t="s">
        <v>91</v>
      </c>
      <c r="I20" s="9" t="s">
        <v>92</v>
      </c>
      <c r="J20" s="9" t="s">
        <v>4</v>
      </c>
      <c r="K20" s="9"/>
      <c r="L20" s="9" t="s">
        <v>93</v>
      </c>
      <c r="M20" s="12">
        <f t="shared" si="0"/>
        <v>405</v>
      </c>
      <c r="N20" s="13">
        <f t="shared" si="1"/>
        <v>532</v>
      </c>
      <c r="O20" s="14">
        <f t="shared" si="2"/>
        <v>937</v>
      </c>
      <c r="P20" s="15">
        <f t="shared" si="3"/>
        <v>1.1289156626506025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</row>
    <row r="21" spans="1:36" ht="15.75" hidden="1" customHeight="1" x14ac:dyDescent="0.3">
      <c r="A21" s="8" t="s">
        <v>58</v>
      </c>
      <c r="B21" s="9" t="s">
        <v>81</v>
      </c>
      <c r="C21" s="9" t="s">
        <v>100</v>
      </c>
      <c r="D21" s="9" t="s">
        <v>88</v>
      </c>
      <c r="E21" s="10">
        <v>8</v>
      </c>
      <c r="F21" s="9" t="s">
        <v>83</v>
      </c>
      <c r="G21" s="10">
        <v>16</v>
      </c>
      <c r="H21" s="9" t="s">
        <v>94</v>
      </c>
      <c r="I21" s="9" t="s">
        <v>95</v>
      </c>
      <c r="J21" s="9"/>
      <c r="K21" s="9"/>
      <c r="L21" s="9"/>
      <c r="M21" s="12">
        <f t="shared" si="0"/>
        <v>295.8</v>
      </c>
      <c r="N21" s="13">
        <f t="shared" si="1"/>
        <v>488</v>
      </c>
      <c r="O21" s="14">
        <f t="shared" si="2"/>
        <v>783.8</v>
      </c>
      <c r="P21" s="15">
        <f t="shared" si="3"/>
        <v>0.94433734939759029</v>
      </c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</row>
    <row r="22" spans="1:36" ht="15.75" hidden="1" customHeight="1" x14ac:dyDescent="0.3">
      <c r="A22" s="8" t="s">
        <v>58</v>
      </c>
      <c r="B22" s="9" t="s">
        <v>81</v>
      </c>
      <c r="C22" s="9" t="s">
        <v>100</v>
      </c>
      <c r="D22" s="9" t="s">
        <v>88</v>
      </c>
      <c r="E22" s="10">
        <v>8</v>
      </c>
      <c r="F22" s="9" t="s">
        <v>83</v>
      </c>
      <c r="G22" s="10">
        <v>16</v>
      </c>
      <c r="H22" s="9" t="s">
        <v>96</v>
      </c>
      <c r="I22" s="9" t="s">
        <v>97</v>
      </c>
      <c r="J22" s="9" t="s">
        <v>8</v>
      </c>
      <c r="K22" s="9"/>
      <c r="L22" s="9"/>
      <c r="M22" s="12">
        <f t="shared" si="0"/>
        <v>501</v>
      </c>
      <c r="N22" s="13">
        <f t="shared" si="1"/>
        <v>486.5</v>
      </c>
      <c r="O22" s="14">
        <f t="shared" si="2"/>
        <v>987.5</v>
      </c>
      <c r="P22" s="15">
        <f t="shared" si="3"/>
        <v>1.1897590361445782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</row>
    <row r="23" spans="1:36" ht="15.75" hidden="1" customHeight="1" x14ac:dyDescent="0.3">
      <c r="A23" s="8" t="s">
        <v>58</v>
      </c>
      <c r="B23" s="9" t="s">
        <v>81</v>
      </c>
      <c r="C23" s="9" t="s">
        <v>100</v>
      </c>
      <c r="D23" s="9" t="s">
        <v>88</v>
      </c>
      <c r="E23" s="10">
        <v>8</v>
      </c>
      <c r="F23" s="9" t="s">
        <v>83</v>
      </c>
      <c r="G23" s="10">
        <v>16</v>
      </c>
      <c r="H23" s="9" t="s">
        <v>98</v>
      </c>
      <c r="I23" s="9" t="s">
        <v>99</v>
      </c>
      <c r="J23" s="9" t="s">
        <v>4</v>
      </c>
      <c r="K23" s="9"/>
      <c r="L23" s="9"/>
      <c r="M23" s="12">
        <f t="shared" si="0"/>
        <v>239</v>
      </c>
      <c r="N23" s="13">
        <f t="shared" si="1"/>
        <v>196.5</v>
      </c>
      <c r="O23" s="14">
        <f t="shared" si="2"/>
        <v>435.5</v>
      </c>
      <c r="P23" s="15">
        <f t="shared" si="3"/>
        <v>0.52469879518072293</v>
      </c>
    </row>
    <row r="24" spans="1:36" ht="15.75" hidden="1" customHeight="1" x14ac:dyDescent="0.3">
      <c r="A24" s="8" t="s">
        <v>58</v>
      </c>
      <c r="B24" s="9" t="s">
        <v>81</v>
      </c>
      <c r="C24" s="9" t="s">
        <v>100</v>
      </c>
      <c r="D24" s="9" t="s">
        <v>90</v>
      </c>
      <c r="E24" s="10">
        <v>8</v>
      </c>
      <c r="F24" s="9" t="s">
        <v>83</v>
      </c>
      <c r="G24" s="10">
        <v>16</v>
      </c>
      <c r="H24" s="9" t="s">
        <v>94</v>
      </c>
      <c r="I24" s="9" t="s">
        <v>95</v>
      </c>
      <c r="J24" s="9"/>
      <c r="K24" s="9"/>
      <c r="L24" s="9"/>
      <c r="M24" s="12">
        <f t="shared" si="0"/>
        <v>295.8</v>
      </c>
      <c r="N24" s="13">
        <f t="shared" si="1"/>
        <v>488</v>
      </c>
      <c r="O24" s="14">
        <f t="shared" si="2"/>
        <v>783.8</v>
      </c>
      <c r="P24" s="15">
        <f t="shared" si="3"/>
        <v>0.94433734939759029</v>
      </c>
    </row>
    <row r="25" spans="1:36" ht="15.75" hidden="1" customHeight="1" x14ac:dyDescent="0.3">
      <c r="A25" s="8" t="s">
        <v>58</v>
      </c>
      <c r="B25" s="9" t="s">
        <v>81</v>
      </c>
      <c r="C25" s="9" t="s">
        <v>100</v>
      </c>
      <c r="D25" s="9" t="s">
        <v>90</v>
      </c>
      <c r="E25" s="10">
        <v>8</v>
      </c>
      <c r="F25" s="9" t="s">
        <v>83</v>
      </c>
      <c r="G25" s="10">
        <v>16</v>
      </c>
      <c r="H25" s="9" t="s">
        <v>96</v>
      </c>
      <c r="I25" s="9" t="s">
        <v>97</v>
      </c>
      <c r="J25" s="9" t="s">
        <v>8</v>
      </c>
      <c r="K25" s="9"/>
      <c r="L25" s="9"/>
      <c r="M25" s="12">
        <f t="shared" si="0"/>
        <v>501</v>
      </c>
      <c r="N25" s="13">
        <f t="shared" si="1"/>
        <v>486.5</v>
      </c>
      <c r="O25" s="14">
        <f t="shared" si="2"/>
        <v>987.5</v>
      </c>
      <c r="P25" s="15">
        <f t="shared" si="3"/>
        <v>1.1897590361445782</v>
      </c>
    </row>
    <row r="26" spans="1:36" ht="15.75" hidden="1" customHeight="1" x14ac:dyDescent="0.3">
      <c r="A26" s="8" t="s">
        <v>58</v>
      </c>
      <c r="B26" s="9" t="s">
        <v>81</v>
      </c>
      <c r="C26" s="9" t="s">
        <v>100</v>
      </c>
      <c r="D26" s="9" t="s">
        <v>90</v>
      </c>
      <c r="E26" s="10">
        <v>8</v>
      </c>
      <c r="F26" s="9" t="s">
        <v>83</v>
      </c>
      <c r="G26" s="10">
        <v>16</v>
      </c>
      <c r="H26" s="9" t="s">
        <v>91</v>
      </c>
      <c r="I26" s="9" t="s">
        <v>92</v>
      </c>
      <c r="J26" s="9" t="s">
        <v>4</v>
      </c>
      <c r="K26" s="9"/>
      <c r="L26" s="9" t="s">
        <v>93</v>
      </c>
      <c r="M26" s="12">
        <f t="shared" si="0"/>
        <v>405</v>
      </c>
      <c r="N26" s="13">
        <f t="shared" si="1"/>
        <v>532</v>
      </c>
      <c r="O26" s="14">
        <f t="shared" si="2"/>
        <v>937</v>
      </c>
      <c r="P26" s="15">
        <f t="shared" si="3"/>
        <v>1.1289156626506025</v>
      </c>
    </row>
    <row r="27" spans="1:36" ht="15.75" hidden="1" customHeight="1" x14ac:dyDescent="0.3">
      <c r="A27" s="8" t="s">
        <v>58</v>
      </c>
      <c r="B27" s="9" t="s">
        <v>81</v>
      </c>
      <c r="C27" s="9" t="s">
        <v>100</v>
      </c>
      <c r="D27" s="9" t="s">
        <v>90</v>
      </c>
      <c r="E27" s="10">
        <v>8</v>
      </c>
      <c r="F27" s="9" t="s">
        <v>83</v>
      </c>
      <c r="G27" s="10">
        <v>16</v>
      </c>
      <c r="H27" s="9" t="s">
        <v>98</v>
      </c>
      <c r="I27" s="9" t="s">
        <v>99</v>
      </c>
      <c r="J27" s="9" t="s">
        <v>4</v>
      </c>
      <c r="K27" s="9"/>
      <c r="L27" s="9"/>
      <c r="M27" s="12">
        <f t="shared" si="0"/>
        <v>239</v>
      </c>
      <c r="N27" s="13">
        <f t="shared" si="1"/>
        <v>196.5</v>
      </c>
      <c r="O27" s="14">
        <f t="shared" si="2"/>
        <v>435.5</v>
      </c>
      <c r="P27" s="15">
        <f t="shared" si="3"/>
        <v>0.52469879518072293</v>
      </c>
    </row>
    <row r="28" spans="1:36" ht="15.75" hidden="1" customHeight="1" x14ac:dyDescent="0.3">
      <c r="A28" s="8" t="s">
        <v>58</v>
      </c>
      <c r="B28" s="9" t="s">
        <v>81</v>
      </c>
      <c r="C28" s="9" t="s">
        <v>80</v>
      </c>
      <c r="D28" s="9" t="s">
        <v>88</v>
      </c>
      <c r="E28" s="10">
        <v>2</v>
      </c>
      <c r="F28" s="9" t="s">
        <v>83</v>
      </c>
      <c r="G28" s="11">
        <v>0</v>
      </c>
      <c r="H28" s="9" t="s">
        <v>84</v>
      </c>
      <c r="I28" s="9" t="s">
        <v>85</v>
      </c>
      <c r="J28" s="9"/>
      <c r="K28" s="9"/>
      <c r="L28" s="9" t="s">
        <v>89</v>
      </c>
      <c r="M28" s="12">
        <f t="shared" si="0"/>
        <v>256</v>
      </c>
      <c r="N28" s="13">
        <f t="shared" si="1"/>
        <v>691.5</v>
      </c>
      <c r="O28" s="14">
        <f t="shared" si="2"/>
        <v>947.5</v>
      </c>
      <c r="P28" s="15">
        <f t="shared" si="3"/>
        <v>1.1415662650602409</v>
      </c>
    </row>
    <row r="29" spans="1:36" ht="15.75" hidden="1" customHeight="1" x14ac:dyDescent="0.3">
      <c r="A29" s="8" t="s">
        <v>58</v>
      </c>
      <c r="B29" s="9" t="s">
        <v>81</v>
      </c>
      <c r="C29" s="9" t="s">
        <v>80</v>
      </c>
      <c r="D29" s="9" t="s">
        <v>90</v>
      </c>
      <c r="E29" s="10">
        <v>2</v>
      </c>
      <c r="F29" s="9" t="s">
        <v>83</v>
      </c>
      <c r="G29" s="11">
        <v>0</v>
      </c>
      <c r="H29" s="9" t="s">
        <v>84</v>
      </c>
      <c r="I29" s="9" t="s">
        <v>85</v>
      </c>
      <c r="J29" s="9"/>
      <c r="K29" s="9"/>
      <c r="L29" s="9" t="s">
        <v>89</v>
      </c>
      <c r="M29" s="12">
        <f t="shared" si="0"/>
        <v>256</v>
      </c>
      <c r="N29" s="13">
        <f t="shared" si="1"/>
        <v>691.5</v>
      </c>
      <c r="O29" s="14">
        <f t="shared" si="2"/>
        <v>947.5</v>
      </c>
      <c r="P29" s="15">
        <f t="shared" si="3"/>
        <v>1.1415662650602409</v>
      </c>
    </row>
    <row r="30" spans="1:36" ht="18.75" hidden="1" customHeight="1" x14ac:dyDescent="0.3">
      <c r="A30" s="8" t="s">
        <v>58</v>
      </c>
      <c r="B30" s="9" t="s">
        <v>101</v>
      </c>
      <c r="C30" s="9" t="s">
        <v>102</v>
      </c>
      <c r="D30" s="9" t="s">
        <v>103</v>
      </c>
      <c r="E30" s="10">
        <v>12.8</v>
      </c>
      <c r="F30" s="9"/>
      <c r="G30" s="11"/>
      <c r="H30" s="9"/>
      <c r="I30" s="9" t="s">
        <v>95</v>
      </c>
      <c r="J30" s="9"/>
      <c r="K30" s="9"/>
      <c r="L30" s="9"/>
      <c r="M30" s="12"/>
      <c r="N30" s="13"/>
      <c r="O30" s="14"/>
      <c r="P30" s="15"/>
    </row>
    <row r="31" spans="1:36" ht="15.75" hidden="1" customHeight="1" x14ac:dyDescent="0.3">
      <c r="A31" s="8" t="s">
        <v>58</v>
      </c>
      <c r="B31" s="9" t="s">
        <v>101</v>
      </c>
      <c r="C31" s="9" t="s">
        <v>102</v>
      </c>
      <c r="D31" s="9" t="s">
        <v>103</v>
      </c>
      <c r="E31" s="10">
        <v>12.8</v>
      </c>
      <c r="F31" s="9"/>
      <c r="G31" s="11"/>
      <c r="H31" s="9"/>
      <c r="I31" s="9" t="s">
        <v>104</v>
      </c>
      <c r="J31" s="9"/>
      <c r="K31" s="9"/>
      <c r="L31" s="9"/>
      <c r="M31" s="12"/>
      <c r="N31" s="13"/>
      <c r="O31" s="14"/>
      <c r="P31" s="15"/>
    </row>
    <row r="32" spans="1:36" ht="15.75" hidden="1" customHeight="1" x14ac:dyDescent="0.3">
      <c r="A32" s="8" t="s">
        <v>58</v>
      </c>
      <c r="B32" s="9" t="s">
        <v>101</v>
      </c>
      <c r="C32" s="9" t="s">
        <v>102</v>
      </c>
      <c r="D32" s="9" t="s">
        <v>103</v>
      </c>
      <c r="E32" s="10">
        <v>12.8</v>
      </c>
      <c r="F32" s="9"/>
      <c r="G32" s="11"/>
      <c r="H32" s="9"/>
      <c r="I32" s="9" t="s">
        <v>105</v>
      </c>
      <c r="J32" s="9"/>
      <c r="K32" s="9"/>
      <c r="L32" s="9"/>
      <c r="M32" s="12"/>
      <c r="N32" s="13"/>
      <c r="O32" s="14"/>
      <c r="P32" s="15"/>
    </row>
    <row r="33" spans="1:16" ht="15.75" hidden="1" customHeight="1" x14ac:dyDescent="0.3">
      <c r="A33" s="8" t="s">
        <v>58</v>
      </c>
      <c r="B33" s="9" t="s">
        <v>101</v>
      </c>
      <c r="C33" s="9" t="s">
        <v>102</v>
      </c>
      <c r="D33" s="9" t="s">
        <v>103</v>
      </c>
      <c r="E33" s="10">
        <v>12.8</v>
      </c>
      <c r="F33" s="9"/>
      <c r="G33" s="11"/>
      <c r="H33" s="9"/>
      <c r="I33" s="9" t="s">
        <v>106</v>
      </c>
      <c r="J33" s="9"/>
      <c r="K33" s="9"/>
      <c r="L33" s="9"/>
      <c r="M33" s="12"/>
      <c r="N33" s="13"/>
      <c r="O33" s="14"/>
      <c r="P33" s="15"/>
    </row>
    <row r="34" spans="1:16" ht="15.75" hidden="1" customHeight="1" x14ac:dyDescent="0.3">
      <c r="A34" s="8" t="s">
        <v>58</v>
      </c>
      <c r="B34" s="9" t="s">
        <v>101</v>
      </c>
      <c r="C34" s="9" t="s">
        <v>102</v>
      </c>
      <c r="D34" s="9" t="s">
        <v>103</v>
      </c>
      <c r="E34" s="10">
        <v>12.8</v>
      </c>
      <c r="F34" s="9" t="s">
        <v>107</v>
      </c>
      <c r="G34" s="11">
        <v>0</v>
      </c>
      <c r="H34" s="9" t="s">
        <v>108</v>
      </c>
      <c r="I34" s="9" t="s">
        <v>109</v>
      </c>
      <c r="J34" s="9"/>
      <c r="K34" s="9"/>
      <c r="L34" s="9" t="s">
        <v>110</v>
      </c>
      <c r="M34" s="12">
        <f t="shared" ref="M34:M97" si="4">SUMIFS($E$2:$E$1130,$A$2:$A$1130,"осень",$I$2:$I$1130,I34)</f>
        <v>232.8</v>
      </c>
      <c r="N34" s="13">
        <f t="shared" ref="N34:N97" si="5">SUMIFS($E$2:$E$1130,$A$2:$A$1130,"весна",$I$2:$I$1130,I34)</f>
        <v>220</v>
      </c>
      <c r="O34" s="14">
        <f t="shared" ref="O34:O97" si="6">M34+N34</f>
        <v>452.8</v>
      </c>
      <c r="P34" s="15">
        <f t="shared" ref="P34:P97" si="7">O34/$P$1</f>
        <v>0.54554216867469885</v>
      </c>
    </row>
    <row r="35" spans="1:16" ht="15.75" hidden="1" customHeight="1" x14ac:dyDescent="0.3">
      <c r="A35" s="8" t="s">
        <v>58</v>
      </c>
      <c r="B35" s="9" t="s">
        <v>101</v>
      </c>
      <c r="C35" s="9" t="s">
        <v>73</v>
      </c>
      <c r="D35" s="9" t="s">
        <v>103</v>
      </c>
      <c r="E35" s="10">
        <v>44</v>
      </c>
      <c r="F35" s="9" t="s">
        <v>107</v>
      </c>
      <c r="G35" s="10">
        <v>44</v>
      </c>
      <c r="H35" s="9" t="s">
        <v>108</v>
      </c>
      <c r="I35" s="9" t="s">
        <v>109</v>
      </c>
      <c r="J35" s="9"/>
      <c r="K35" s="9"/>
      <c r="L35" s="9" t="s">
        <v>110</v>
      </c>
      <c r="M35" s="12">
        <f t="shared" si="4"/>
        <v>232.8</v>
      </c>
      <c r="N35" s="13">
        <f t="shared" si="5"/>
        <v>220</v>
      </c>
      <c r="O35" s="14">
        <f t="shared" si="6"/>
        <v>452.8</v>
      </c>
      <c r="P35" s="15">
        <f t="shared" si="7"/>
        <v>0.54554216867469885</v>
      </c>
    </row>
    <row r="36" spans="1:16" ht="15.75" hidden="1" customHeight="1" x14ac:dyDescent="0.3">
      <c r="A36" s="8" t="s">
        <v>58</v>
      </c>
      <c r="B36" s="9" t="s">
        <v>101</v>
      </c>
      <c r="C36" s="9" t="s">
        <v>79</v>
      </c>
      <c r="D36" s="9" t="s">
        <v>103</v>
      </c>
      <c r="E36" s="10">
        <v>64</v>
      </c>
      <c r="F36" s="9" t="s">
        <v>107</v>
      </c>
      <c r="G36" s="10">
        <v>64</v>
      </c>
      <c r="H36" s="9" t="s">
        <v>108</v>
      </c>
      <c r="I36" s="9" t="s">
        <v>109</v>
      </c>
      <c r="J36" s="9"/>
      <c r="K36" s="9"/>
      <c r="L36" s="9" t="s">
        <v>110</v>
      </c>
      <c r="M36" s="12">
        <f t="shared" si="4"/>
        <v>232.8</v>
      </c>
      <c r="N36" s="13">
        <f t="shared" si="5"/>
        <v>220</v>
      </c>
      <c r="O36" s="14">
        <f t="shared" si="6"/>
        <v>452.8</v>
      </c>
      <c r="P36" s="15">
        <f t="shared" si="7"/>
        <v>0.54554216867469885</v>
      </c>
    </row>
    <row r="37" spans="1:16" ht="15.75" hidden="1" customHeight="1" x14ac:dyDescent="0.3">
      <c r="A37" s="8" t="s">
        <v>58</v>
      </c>
      <c r="B37" s="9" t="s">
        <v>101</v>
      </c>
      <c r="C37" s="9" t="s">
        <v>100</v>
      </c>
      <c r="D37" s="9" t="s">
        <v>103</v>
      </c>
      <c r="E37" s="10">
        <v>72</v>
      </c>
      <c r="F37" s="9" t="s">
        <v>107</v>
      </c>
      <c r="G37" s="10">
        <v>36</v>
      </c>
      <c r="H37" s="9" t="s">
        <v>108</v>
      </c>
      <c r="I37" s="9" t="s">
        <v>109</v>
      </c>
      <c r="J37" s="9"/>
      <c r="K37" s="9"/>
      <c r="L37" s="9" t="s">
        <v>110</v>
      </c>
      <c r="M37" s="12">
        <f t="shared" si="4"/>
        <v>232.8</v>
      </c>
      <c r="N37" s="13">
        <f t="shared" si="5"/>
        <v>220</v>
      </c>
      <c r="O37" s="14">
        <f t="shared" si="6"/>
        <v>452.8</v>
      </c>
      <c r="P37" s="15">
        <f t="shared" si="7"/>
        <v>0.54554216867469885</v>
      </c>
    </row>
    <row r="38" spans="1:16" ht="15.75" hidden="1" customHeight="1" x14ac:dyDescent="0.3">
      <c r="A38" s="8" t="s">
        <v>58</v>
      </c>
      <c r="B38" s="9" t="s">
        <v>101</v>
      </c>
      <c r="C38" s="9" t="s">
        <v>111</v>
      </c>
      <c r="D38" s="9" t="s">
        <v>103</v>
      </c>
      <c r="E38" s="10">
        <v>8</v>
      </c>
      <c r="F38" s="9" t="s">
        <v>107</v>
      </c>
      <c r="G38" s="11">
        <v>0</v>
      </c>
      <c r="H38" s="9" t="s">
        <v>108</v>
      </c>
      <c r="I38" s="9" t="s">
        <v>109</v>
      </c>
      <c r="J38" s="9"/>
      <c r="K38" s="9"/>
      <c r="L38" s="9" t="s">
        <v>110</v>
      </c>
      <c r="M38" s="12">
        <f t="shared" si="4"/>
        <v>232.8</v>
      </c>
      <c r="N38" s="13">
        <f t="shared" si="5"/>
        <v>220</v>
      </c>
      <c r="O38" s="14">
        <f t="shared" si="6"/>
        <v>452.8</v>
      </c>
      <c r="P38" s="15">
        <f t="shared" si="7"/>
        <v>0.54554216867469885</v>
      </c>
    </row>
    <row r="39" spans="1:16" ht="15.75" hidden="1" customHeight="1" x14ac:dyDescent="0.3">
      <c r="A39" s="8" t="s">
        <v>58</v>
      </c>
      <c r="B39" s="9" t="s">
        <v>101</v>
      </c>
      <c r="C39" s="9" t="s">
        <v>80</v>
      </c>
      <c r="D39" s="9" t="s">
        <v>103</v>
      </c>
      <c r="E39" s="10">
        <v>4</v>
      </c>
      <c r="F39" s="9" t="s">
        <v>107</v>
      </c>
      <c r="G39" s="11">
        <v>0</v>
      </c>
      <c r="H39" s="9" t="s">
        <v>108</v>
      </c>
      <c r="I39" s="9" t="s">
        <v>109</v>
      </c>
      <c r="J39" s="9"/>
      <c r="K39" s="9"/>
      <c r="L39" s="9" t="s">
        <v>110</v>
      </c>
      <c r="M39" s="12">
        <f t="shared" si="4"/>
        <v>232.8</v>
      </c>
      <c r="N39" s="13">
        <f t="shared" si="5"/>
        <v>220</v>
      </c>
      <c r="O39" s="14">
        <f t="shared" si="6"/>
        <v>452.8</v>
      </c>
      <c r="P39" s="15">
        <f t="shared" si="7"/>
        <v>0.54554216867469885</v>
      </c>
    </row>
    <row r="40" spans="1:16" ht="15.75" hidden="1" customHeight="1" x14ac:dyDescent="0.3">
      <c r="A40" s="17" t="s">
        <v>58</v>
      </c>
      <c r="B40" s="9" t="s">
        <v>112</v>
      </c>
      <c r="C40" s="9" t="s">
        <v>73</v>
      </c>
      <c r="D40" s="9" t="s">
        <v>113</v>
      </c>
      <c r="E40" s="10">
        <v>24</v>
      </c>
      <c r="F40" s="9" t="s">
        <v>114</v>
      </c>
      <c r="G40" s="10">
        <v>24</v>
      </c>
      <c r="H40" s="9" t="s">
        <v>115</v>
      </c>
      <c r="I40" s="9" t="s">
        <v>116</v>
      </c>
      <c r="J40" s="9" t="s">
        <v>4</v>
      </c>
      <c r="K40" s="9"/>
      <c r="L40" s="9" t="s">
        <v>117</v>
      </c>
      <c r="M40" s="12">
        <f t="shared" si="4"/>
        <v>381</v>
      </c>
      <c r="N40" s="13">
        <f t="shared" si="5"/>
        <v>367</v>
      </c>
      <c r="O40" s="14">
        <f t="shared" si="6"/>
        <v>748</v>
      </c>
      <c r="P40" s="15">
        <f t="shared" si="7"/>
        <v>0.90120481927710838</v>
      </c>
    </row>
    <row r="41" spans="1:16" ht="15.75" hidden="1" customHeight="1" x14ac:dyDescent="0.3">
      <c r="A41" s="17" t="s">
        <v>58</v>
      </c>
      <c r="B41" s="9" t="s">
        <v>112</v>
      </c>
      <c r="C41" s="9" t="s">
        <v>87</v>
      </c>
      <c r="D41" s="9" t="s">
        <v>118</v>
      </c>
      <c r="E41" s="10">
        <v>7</v>
      </c>
      <c r="F41" s="9" t="s">
        <v>114</v>
      </c>
      <c r="G41" s="11">
        <v>0</v>
      </c>
      <c r="H41" s="9" t="s">
        <v>115</v>
      </c>
      <c r="I41" s="9" t="s">
        <v>116</v>
      </c>
      <c r="J41" s="9" t="s">
        <v>4</v>
      </c>
      <c r="K41" s="9"/>
      <c r="L41" s="9" t="s">
        <v>117</v>
      </c>
      <c r="M41" s="12">
        <f t="shared" si="4"/>
        <v>381</v>
      </c>
      <c r="N41" s="13">
        <f t="shared" si="5"/>
        <v>367</v>
      </c>
      <c r="O41" s="14">
        <f t="shared" si="6"/>
        <v>748</v>
      </c>
      <c r="P41" s="15">
        <f t="shared" si="7"/>
        <v>0.90120481927710838</v>
      </c>
    </row>
    <row r="42" spans="1:16" ht="15.75" hidden="1" customHeight="1" x14ac:dyDescent="0.3">
      <c r="A42" s="17" t="s">
        <v>58</v>
      </c>
      <c r="B42" s="9" t="s">
        <v>112</v>
      </c>
      <c r="C42" s="9" t="s">
        <v>87</v>
      </c>
      <c r="D42" s="9" t="s">
        <v>119</v>
      </c>
      <c r="E42" s="10">
        <v>6</v>
      </c>
      <c r="F42" s="9" t="s">
        <v>114</v>
      </c>
      <c r="G42" s="11">
        <v>0</v>
      </c>
      <c r="H42" s="9" t="s">
        <v>115</v>
      </c>
      <c r="I42" s="9" t="s">
        <v>116</v>
      </c>
      <c r="J42" s="9" t="s">
        <v>4</v>
      </c>
      <c r="K42" s="9"/>
      <c r="L42" s="9" t="s">
        <v>117</v>
      </c>
      <c r="M42" s="12">
        <f t="shared" si="4"/>
        <v>381</v>
      </c>
      <c r="N42" s="13">
        <f t="shared" si="5"/>
        <v>367</v>
      </c>
      <c r="O42" s="14">
        <f t="shared" si="6"/>
        <v>748</v>
      </c>
      <c r="P42" s="15">
        <f t="shared" si="7"/>
        <v>0.90120481927710838</v>
      </c>
    </row>
    <row r="43" spans="1:16" ht="15.75" hidden="1" customHeight="1" x14ac:dyDescent="0.3">
      <c r="A43" s="17" t="s">
        <v>58</v>
      </c>
      <c r="B43" s="9" t="s">
        <v>112</v>
      </c>
      <c r="C43" s="9" t="s">
        <v>79</v>
      </c>
      <c r="D43" s="9" t="s">
        <v>118</v>
      </c>
      <c r="E43" s="10">
        <v>32</v>
      </c>
      <c r="F43" s="9" t="s">
        <v>114</v>
      </c>
      <c r="G43" s="10">
        <v>32</v>
      </c>
      <c r="H43" s="9" t="s">
        <v>115</v>
      </c>
      <c r="I43" s="9" t="s">
        <v>116</v>
      </c>
      <c r="J43" s="9" t="s">
        <v>4</v>
      </c>
      <c r="K43" s="9"/>
      <c r="L43" s="9" t="s">
        <v>117</v>
      </c>
      <c r="M43" s="12">
        <f t="shared" si="4"/>
        <v>381</v>
      </c>
      <c r="N43" s="13">
        <f t="shared" si="5"/>
        <v>367</v>
      </c>
      <c r="O43" s="14">
        <f t="shared" si="6"/>
        <v>748</v>
      </c>
      <c r="P43" s="15">
        <f t="shared" si="7"/>
        <v>0.90120481927710838</v>
      </c>
    </row>
    <row r="44" spans="1:16" ht="15.75" hidden="1" customHeight="1" x14ac:dyDescent="0.3">
      <c r="A44" s="17" t="s">
        <v>58</v>
      </c>
      <c r="B44" s="9" t="s">
        <v>112</v>
      </c>
      <c r="C44" s="9" t="s">
        <v>79</v>
      </c>
      <c r="D44" s="9" t="s">
        <v>119</v>
      </c>
      <c r="E44" s="10">
        <v>28</v>
      </c>
      <c r="F44" s="9" t="s">
        <v>114</v>
      </c>
      <c r="G44" s="10">
        <v>28</v>
      </c>
      <c r="H44" s="9" t="s">
        <v>115</v>
      </c>
      <c r="I44" s="9" t="s">
        <v>116</v>
      </c>
      <c r="J44" s="9" t="s">
        <v>4</v>
      </c>
      <c r="K44" s="9"/>
      <c r="L44" s="9" t="s">
        <v>117</v>
      </c>
      <c r="M44" s="12">
        <f t="shared" si="4"/>
        <v>381</v>
      </c>
      <c r="N44" s="13">
        <f t="shared" si="5"/>
        <v>367</v>
      </c>
      <c r="O44" s="14">
        <f t="shared" si="6"/>
        <v>748</v>
      </c>
      <c r="P44" s="15">
        <f t="shared" si="7"/>
        <v>0.90120481927710838</v>
      </c>
    </row>
    <row r="45" spans="1:16" ht="15.75" hidden="1" customHeight="1" x14ac:dyDescent="0.3">
      <c r="A45" s="17" t="s">
        <v>58</v>
      </c>
      <c r="B45" s="9" t="s">
        <v>112</v>
      </c>
      <c r="C45" s="9" t="s">
        <v>100</v>
      </c>
      <c r="D45" s="9" t="s">
        <v>118</v>
      </c>
      <c r="E45" s="10">
        <v>16</v>
      </c>
      <c r="F45" s="9" t="s">
        <v>114</v>
      </c>
      <c r="G45" s="10">
        <v>8</v>
      </c>
      <c r="H45" s="9" t="s">
        <v>115</v>
      </c>
      <c r="I45" s="9" t="s">
        <v>116</v>
      </c>
      <c r="J45" s="9" t="s">
        <v>4</v>
      </c>
      <c r="K45" s="9"/>
      <c r="L45" s="9" t="s">
        <v>117</v>
      </c>
      <c r="M45" s="12">
        <f t="shared" si="4"/>
        <v>381</v>
      </c>
      <c r="N45" s="13">
        <f t="shared" si="5"/>
        <v>367</v>
      </c>
      <c r="O45" s="14">
        <f t="shared" si="6"/>
        <v>748</v>
      </c>
      <c r="P45" s="15">
        <f t="shared" si="7"/>
        <v>0.90120481927710838</v>
      </c>
    </row>
    <row r="46" spans="1:16" ht="15.75" hidden="1" customHeight="1" x14ac:dyDescent="0.3">
      <c r="A46" s="17" t="s">
        <v>58</v>
      </c>
      <c r="B46" s="9" t="s">
        <v>112</v>
      </c>
      <c r="C46" s="9" t="s">
        <v>100</v>
      </c>
      <c r="D46" s="9" t="s">
        <v>119</v>
      </c>
      <c r="E46" s="10">
        <v>16</v>
      </c>
      <c r="F46" s="9" t="s">
        <v>114</v>
      </c>
      <c r="G46" s="10">
        <v>8</v>
      </c>
      <c r="H46" s="9" t="s">
        <v>115</v>
      </c>
      <c r="I46" s="9" t="s">
        <v>116</v>
      </c>
      <c r="J46" s="9" t="s">
        <v>4</v>
      </c>
      <c r="K46" s="9"/>
      <c r="L46" s="9" t="s">
        <v>117</v>
      </c>
      <c r="M46" s="12">
        <f t="shared" si="4"/>
        <v>381</v>
      </c>
      <c r="N46" s="13">
        <f t="shared" si="5"/>
        <v>367</v>
      </c>
      <c r="O46" s="14">
        <f t="shared" si="6"/>
        <v>748</v>
      </c>
      <c r="P46" s="15">
        <f t="shared" si="7"/>
        <v>0.90120481927710838</v>
      </c>
    </row>
    <row r="47" spans="1:16" ht="15.75" hidden="1" customHeight="1" x14ac:dyDescent="0.3">
      <c r="A47" s="17" t="s">
        <v>58</v>
      </c>
      <c r="B47" s="9" t="s">
        <v>112</v>
      </c>
      <c r="C47" s="9" t="s">
        <v>80</v>
      </c>
      <c r="D47" s="9" t="s">
        <v>118</v>
      </c>
      <c r="E47" s="10">
        <v>1</v>
      </c>
      <c r="F47" s="9" t="s">
        <v>114</v>
      </c>
      <c r="G47" s="11">
        <v>0</v>
      </c>
      <c r="H47" s="9" t="s">
        <v>115</v>
      </c>
      <c r="I47" s="9" t="s">
        <v>116</v>
      </c>
      <c r="J47" s="9" t="s">
        <v>4</v>
      </c>
      <c r="K47" s="9"/>
      <c r="L47" s="9" t="s">
        <v>117</v>
      </c>
      <c r="M47" s="12">
        <f t="shared" si="4"/>
        <v>381</v>
      </c>
      <c r="N47" s="13">
        <f t="shared" si="5"/>
        <v>367</v>
      </c>
      <c r="O47" s="14">
        <f t="shared" si="6"/>
        <v>748</v>
      </c>
      <c r="P47" s="15">
        <f t="shared" si="7"/>
        <v>0.90120481927710838</v>
      </c>
    </row>
    <row r="48" spans="1:16" ht="15.75" hidden="1" customHeight="1" x14ac:dyDescent="0.3">
      <c r="A48" s="17" t="s">
        <v>58</v>
      </c>
      <c r="B48" s="9" t="s">
        <v>112</v>
      </c>
      <c r="C48" s="9" t="s">
        <v>80</v>
      </c>
      <c r="D48" s="9" t="s">
        <v>119</v>
      </c>
      <c r="E48" s="10">
        <v>1</v>
      </c>
      <c r="F48" s="9" t="s">
        <v>114</v>
      </c>
      <c r="G48" s="11">
        <v>0</v>
      </c>
      <c r="H48" s="9" t="s">
        <v>115</v>
      </c>
      <c r="I48" s="9" t="s">
        <v>116</v>
      </c>
      <c r="J48" s="9" t="s">
        <v>4</v>
      </c>
      <c r="K48" s="9"/>
      <c r="L48" s="9" t="s">
        <v>117</v>
      </c>
      <c r="M48" s="12">
        <f t="shared" si="4"/>
        <v>381</v>
      </c>
      <c r="N48" s="13">
        <f t="shared" si="5"/>
        <v>367</v>
      </c>
      <c r="O48" s="14">
        <f t="shared" si="6"/>
        <v>748</v>
      </c>
      <c r="P48" s="15">
        <f t="shared" si="7"/>
        <v>0.90120481927710838</v>
      </c>
    </row>
    <row r="49" spans="1:16" ht="15.75" hidden="1" customHeight="1" x14ac:dyDescent="0.3">
      <c r="A49" s="8" t="s">
        <v>58</v>
      </c>
      <c r="B49" s="9" t="s">
        <v>120</v>
      </c>
      <c r="C49" s="9" t="s">
        <v>73</v>
      </c>
      <c r="D49" s="9" t="s">
        <v>119</v>
      </c>
      <c r="E49" s="10">
        <v>44</v>
      </c>
      <c r="F49" s="9" t="s">
        <v>121</v>
      </c>
      <c r="G49" s="10">
        <v>44</v>
      </c>
      <c r="H49" s="9" t="s">
        <v>63</v>
      </c>
      <c r="I49" s="9" t="s">
        <v>64</v>
      </c>
      <c r="J49" s="9" t="s">
        <v>4</v>
      </c>
      <c r="K49" s="9"/>
      <c r="L49" s="9" t="s">
        <v>122</v>
      </c>
      <c r="M49" s="12">
        <f t="shared" si="4"/>
        <v>284</v>
      </c>
      <c r="N49" s="13">
        <f t="shared" si="5"/>
        <v>140</v>
      </c>
      <c r="O49" s="14">
        <f t="shared" si="6"/>
        <v>424</v>
      </c>
      <c r="P49" s="15">
        <f t="shared" si="7"/>
        <v>0.51084337349397591</v>
      </c>
    </row>
    <row r="50" spans="1:16" ht="15.75" hidden="1" customHeight="1" x14ac:dyDescent="0.3">
      <c r="A50" s="8" t="s">
        <v>58</v>
      </c>
      <c r="B50" s="9" t="s">
        <v>120</v>
      </c>
      <c r="C50" s="9" t="s">
        <v>123</v>
      </c>
      <c r="D50" s="9" t="s">
        <v>119</v>
      </c>
      <c r="E50" s="10">
        <v>51</v>
      </c>
      <c r="F50" s="9" t="s">
        <v>121</v>
      </c>
      <c r="G50" s="11">
        <v>0</v>
      </c>
      <c r="H50" s="9" t="s">
        <v>63</v>
      </c>
      <c r="I50" s="9" t="s">
        <v>64</v>
      </c>
      <c r="J50" s="9" t="s">
        <v>4</v>
      </c>
      <c r="K50" s="9"/>
      <c r="L50" s="9" t="s">
        <v>122</v>
      </c>
      <c r="M50" s="12">
        <f t="shared" si="4"/>
        <v>284</v>
      </c>
      <c r="N50" s="13">
        <f t="shared" si="5"/>
        <v>140</v>
      </c>
      <c r="O50" s="14">
        <f t="shared" si="6"/>
        <v>424</v>
      </c>
      <c r="P50" s="15">
        <f t="shared" si="7"/>
        <v>0.51084337349397591</v>
      </c>
    </row>
    <row r="51" spans="1:16" ht="15.75" hidden="1" customHeight="1" x14ac:dyDescent="0.3">
      <c r="A51" s="8" t="s">
        <v>58</v>
      </c>
      <c r="B51" s="9" t="s">
        <v>120</v>
      </c>
      <c r="C51" s="9" t="s">
        <v>79</v>
      </c>
      <c r="D51" s="9" t="s">
        <v>119</v>
      </c>
      <c r="E51" s="10">
        <v>32</v>
      </c>
      <c r="F51" s="9" t="s">
        <v>121</v>
      </c>
      <c r="G51" s="10">
        <v>32</v>
      </c>
      <c r="H51" s="9" t="s">
        <v>63</v>
      </c>
      <c r="I51" s="9" t="s">
        <v>64</v>
      </c>
      <c r="J51" s="9" t="s">
        <v>4</v>
      </c>
      <c r="K51" s="9"/>
      <c r="L51" s="9" t="s">
        <v>122</v>
      </c>
      <c r="M51" s="12">
        <f t="shared" si="4"/>
        <v>284</v>
      </c>
      <c r="N51" s="13">
        <f t="shared" si="5"/>
        <v>140</v>
      </c>
      <c r="O51" s="14">
        <f t="shared" si="6"/>
        <v>424</v>
      </c>
      <c r="P51" s="15">
        <f t="shared" si="7"/>
        <v>0.51084337349397591</v>
      </c>
    </row>
    <row r="52" spans="1:16" ht="15.75" hidden="1" customHeight="1" x14ac:dyDescent="0.3">
      <c r="A52" s="8" t="s">
        <v>58</v>
      </c>
      <c r="B52" s="9" t="s">
        <v>120</v>
      </c>
      <c r="C52" s="9" t="s">
        <v>100</v>
      </c>
      <c r="D52" s="9" t="s">
        <v>119</v>
      </c>
      <c r="E52" s="10">
        <v>32</v>
      </c>
      <c r="F52" s="9" t="s">
        <v>121</v>
      </c>
      <c r="G52" s="10">
        <v>32</v>
      </c>
      <c r="H52" s="9" t="s">
        <v>98</v>
      </c>
      <c r="I52" s="9" t="s">
        <v>99</v>
      </c>
      <c r="J52" s="9" t="s">
        <v>4</v>
      </c>
      <c r="K52" s="9"/>
      <c r="L52" s="9" t="s">
        <v>124</v>
      </c>
      <c r="M52" s="12">
        <f t="shared" si="4"/>
        <v>239</v>
      </c>
      <c r="N52" s="13">
        <f t="shared" si="5"/>
        <v>196.5</v>
      </c>
      <c r="O52" s="14">
        <f t="shared" si="6"/>
        <v>435.5</v>
      </c>
      <c r="P52" s="15">
        <f t="shared" si="7"/>
        <v>0.52469879518072293</v>
      </c>
    </row>
    <row r="53" spans="1:16" ht="15.75" hidden="1" customHeight="1" x14ac:dyDescent="0.3">
      <c r="A53" s="8" t="s">
        <v>58</v>
      </c>
      <c r="B53" s="18" t="s">
        <v>120</v>
      </c>
      <c r="C53" s="18" t="s">
        <v>100</v>
      </c>
      <c r="D53" s="18" t="s">
        <v>119</v>
      </c>
      <c r="E53" s="19">
        <v>32</v>
      </c>
      <c r="F53" s="18" t="s">
        <v>121</v>
      </c>
      <c r="G53" s="19">
        <v>32</v>
      </c>
      <c r="H53" s="18"/>
      <c r="I53" s="20" t="s">
        <v>71</v>
      </c>
      <c r="J53" s="18"/>
      <c r="K53" s="9"/>
      <c r="L53" s="9" t="s">
        <v>124</v>
      </c>
      <c r="M53" s="12">
        <f t="shared" si="4"/>
        <v>391</v>
      </c>
      <c r="N53" s="13">
        <f t="shared" si="5"/>
        <v>436.5</v>
      </c>
      <c r="O53" s="14">
        <f t="shared" si="6"/>
        <v>827.5</v>
      </c>
      <c r="P53" s="15">
        <f t="shared" si="7"/>
        <v>0.99698795180722888</v>
      </c>
    </row>
    <row r="54" spans="1:16" ht="15.75" hidden="1" customHeight="1" x14ac:dyDescent="0.3">
      <c r="A54" s="8" t="s">
        <v>58</v>
      </c>
      <c r="B54" s="9" t="s">
        <v>120</v>
      </c>
      <c r="C54" s="9" t="s">
        <v>111</v>
      </c>
      <c r="D54" s="9" t="s">
        <v>119</v>
      </c>
      <c r="E54" s="10">
        <v>9</v>
      </c>
      <c r="F54" s="9" t="s">
        <v>121</v>
      </c>
      <c r="G54" s="11">
        <v>0</v>
      </c>
      <c r="H54" s="9" t="s">
        <v>63</v>
      </c>
      <c r="I54" s="9" t="s">
        <v>64</v>
      </c>
      <c r="J54" s="9" t="s">
        <v>4</v>
      </c>
      <c r="K54" s="9"/>
      <c r="L54" s="9" t="s">
        <v>122</v>
      </c>
      <c r="M54" s="12">
        <f t="shared" si="4"/>
        <v>284</v>
      </c>
      <c r="N54" s="13">
        <f t="shared" si="5"/>
        <v>140</v>
      </c>
      <c r="O54" s="14">
        <f t="shared" si="6"/>
        <v>424</v>
      </c>
      <c r="P54" s="15">
        <f t="shared" si="7"/>
        <v>0.51084337349397591</v>
      </c>
    </row>
    <row r="55" spans="1:16" ht="15.75" hidden="1" customHeight="1" x14ac:dyDescent="0.3">
      <c r="A55" s="8" t="s">
        <v>58</v>
      </c>
      <c r="B55" s="9" t="s">
        <v>120</v>
      </c>
      <c r="C55" s="9" t="s">
        <v>80</v>
      </c>
      <c r="D55" s="9" t="s">
        <v>119</v>
      </c>
      <c r="E55" s="10">
        <v>4</v>
      </c>
      <c r="F55" s="9" t="s">
        <v>121</v>
      </c>
      <c r="G55" s="11">
        <v>0</v>
      </c>
      <c r="H55" s="9" t="s">
        <v>63</v>
      </c>
      <c r="I55" s="9" t="s">
        <v>64</v>
      </c>
      <c r="J55" s="9" t="s">
        <v>4</v>
      </c>
      <c r="K55" s="9"/>
      <c r="L55" s="9" t="s">
        <v>122</v>
      </c>
      <c r="M55" s="12">
        <f t="shared" si="4"/>
        <v>284</v>
      </c>
      <c r="N55" s="13">
        <f t="shared" si="5"/>
        <v>140</v>
      </c>
      <c r="O55" s="14">
        <f t="shared" si="6"/>
        <v>424</v>
      </c>
      <c r="P55" s="15">
        <f t="shared" si="7"/>
        <v>0.51084337349397591</v>
      </c>
    </row>
    <row r="56" spans="1:16" ht="15.75" hidden="1" customHeight="1" x14ac:dyDescent="0.3">
      <c r="A56" s="8" t="s">
        <v>58</v>
      </c>
      <c r="B56" s="9" t="s">
        <v>125</v>
      </c>
      <c r="C56" s="9" t="s">
        <v>73</v>
      </c>
      <c r="D56" s="9" t="s">
        <v>126</v>
      </c>
      <c r="E56" s="10">
        <v>16</v>
      </c>
      <c r="F56" s="9" t="s">
        <v>127</v>
      </c>
      <c r="G56" s="10">
        <v>16</v>
      </c>
      <c r="H56" s="9" t="s">
        <v>128</v>
      </c>
      <c r="I56" s="9" t="s">
        <v>129</v>
      </c>
      <c r="J56" s="9" t="s">
        <v>8</v>
      </c>
      <c r="K56" s="9"/>
      <c r="L56" s="9" t="s">
        <v>130</v>
      </c>
      <c r="M56" s="12">
        <f t="shared" si="4"/>
        <v>348</v>
      </c>
      <c r="N56" s="13">
        <f t="shared" si="5"/>
        <v>610</v>
      </c>
      <c r="O56" s="14">
        <f t="shared" si="6"/>
        <v>958</v>
      </c>
      <c r="P56" s="15">
        <f t="shared" si="7"/>
        <v>1.1542168674698796</v>
      </c>
    </row>
    <row r="57" spans="1:16" ht="15.75" hidden="1" customHeight="1" x14ac:dyDescent="0.3">
      <c r="A57" s="8" t="s">
        <v>58</v>
      </c>
      <c r="B57" s="9" t="s">
        <v>125</v>
      </c>
      <c r="C57" s="9" t="s">
        <v>87</v>
      </c>
      <c r="D57" s="9" t="s">
        <v>126</v>
      </c>
      <c r="E57" s="10">
        <v>5</v>
      </c>
      <c r="F57" s="9" t="s">
        <v>127</v>
      </c>
      <c r="G57" s="11">
        <v>0</v>
      </c>
      <c r="H57" s="9" t="s">
        <v>128</v>
      </c>
      <c r="I57" s="9" t="s">
        <v>129</v>
      </c>
      <c r="J57" s="9" t="s">
        <v>8</v>
      </c>
      <c r="K57" s="9"/>
      <c r="L57" s="9" t="s">
        <v>130</v>
      </c>
      <c r="M57" s="12">
        <f t="shared" si="4"/>
        <v>348</v>
      </c>
      <c r="N57" s="13">
        <f t="shared" si="5"/>
        <v>610</v>
      </c>
      <c r="O57" s="14">
        <f t="shared" si="6"/>
        <v>958</v>
      </c>
      <c r="P57" s="15">
        <f t="shared" si="7"/>
        <v>1.1542168674698796</v>
      </c>
    </row>
    <row r="58" spans="1:16" ht="15.75" hidden="1" customHeight="1" x14ac:dyDescent="0.3">
      <c r="A58" s="8" t="s">
        <v>58</v>
      </c>
      <c r="B58" s="9" t="s">
        <v>125</v>
      </c>
      <c r="C58" s="9" t="s">
        <v>79</v>
      </c>
      <c r="D58" s="9" t="s">
        <v>126</v>
      </c>
      <c r="E58" s="10">
        <v>8</v>
      </c>
      <c r="F58" s="9" t="s">
        <v>127</v>
      </c>
      <c r="G58" s="10">
        <v>8</v>
      </c>
      <c r="H58" s="9" t="s">
        <v>128</v>
      </c>
      <c r="I58" s="9" t="s">
        <v>129</v>
      </c>
      <c r="J58" s="9" t="s">
        <v>8</v>
      </c>
      <c r="K58" s="9"/>
      <c r="L58" s="9" t="s">
        <v>130</v>
      </c>
      <c r="M58" s="12">
        <f t="shared" si="4"/>
        <v>348</v>
      </c>
      <c r="N58" s="13">
        <f t="shared" si="5"/>
        <v>610</v>
      </c>
      <c r="O58" s="14">
        <f t="shared" si="6"/>
        <v>958</v>
      </c>
      <c r="P58" s="15">
        <f t="shared" si="7"/>
        <v>1.1542168674698796</v>
      </c>
    </row>
    <row r="59" spans="1:16" ht="15.75" hidden="1" customHeight="1" x14ac:dyDescent="0.3">
      <c r="A59" s="8" t="s">
        <v>58</v>
      </c>
      <c r="B59" s="9" t="s">
        <v>125</v>
      </c>
      <c r="C59" s="9" t="s">
        <v>100</v>
      </c>
      <c r="D59" s="9" t="s">
        <v>126</v>
      </c>
      <c r="E59" s="10">
        <v>12</v>
      </c>
      <c r="F59" s="9" t="s">
        <v>127</v>
      </c>
      <c r="G59" s="10">
        <v>12</v>
      </c>
      <c r="H59" s="9" t="s">
        <v>128</v>
      </c>
      <c r="I59" s="9" t="s">
        <v>129</v>
      </c>
      <c r="J59" s="9" t="s">
        <v>8</v>
      </c>
      <c r="K59" s="9"/>
      <c r="L59" s="9" t="s">
        <v>130</v>
      </c>
      <c r="M59" s="12">
        <f t="shared" si="4"/>
        <v>348</v>
      </c>
      <c r="N59" s="13">
        <f t="shared" si="5"/>
        <v>610</v>
      </c>
      <c r="O59" s="14">
        <f t="shared" si="6"/>
        <v>958</v>
      </c>
      <c r="P59" s="15">
        <f t="shared" si="7"/>
        <v>1.1542168674698796</v>
      </c>
    </row>
    <row r="60" spans="1:16" ht="15.75" hidden="1" customHeight="1" x14ac:dyDescent="0.3">
      <c r="A60" s="8" t="s">
        <v>58</v>
      </c>
      <c r="B60" s="9" t="s">
        <v>125</v>
      </c>
      <c r="C60" s="9" t="s">
        <v>80</v>
      </c>
      <c r="D60" s="9" t="s">
        <v>126</v>
      </c>
      <c r="E60" s="10">
        <v>1</v>
      </c>
      <c r="F60" s="9" t="s">
        <v>127</v>
      </c>
      <c r="G60" s="11">
        <v>0</v>
      </c>
      <c r="H60" s="9" t="s">
        <v>128</v>
      </c>
      <c r="I60" s="9" t="s">
        <v>129</v>
      </c>
      <c r="J60" s="9" t="s">
        <v>8</v>
      </c>
      <c r="K60" s="9"/>
      <c r="L60" s="9" t="s">
        <v>130</v>
      </c>
      <c r="M60" s="12">
        <f t="shared" si="4"/>
        <v>348</v>
      </c>
      <c r="N60" s="13">
        <f t="shared" si="5"/>
        <v>610</v>
      </c>
      <c r="O60" s="14">
        <f t="shared" si="6"/>
        <v>958</v>
      </c>
      <c r="P60" s="15">
        <f t="shared" si="7"/>
        <v>1.1542168674698796</v>
      </c>
    </row>
    <row r="61" spans="1:16" ht="15.75" hidden="1" customHeight="1" x14ac:dyDescent="0.3">
      <c r="A61" s="8" t="s">
        <v>58</v>
      </c>
      <c r="B61" s="9" t="s">
        <v>131</v>
      </c>
      <c r="C61" s="9" t="s">
        <v>73</v>
      </c>
      <c r="D61" s="9" t="s">
        <v>132</v>
      </c>
      <c r="E61" s="10">
        <v>18</v>
      </c>
      <c r="F61" s="9" t="s">
        <v>133</v>
      </c>
      <c r="G61" s="10">
        <v>18</v>
      </c>
      <c r="H61" s="9" t="s">
        <v>108</v>
      </c>
      <c r="I61" s="9" t="s">
        <v>109</v>
      </c>
      <c r="J61" s="9"/>
      <c r="K61" s="9"/>
      <c r="L61" s="9"/>
      <c r="M61" s="12">
        <f t="shared" si="4"/>
        <v>232.8</v>
      </c>
      <c r="N61" s="13">
        <f t="shared" si="5"/>
        <v>220</v>
      </c>
      <c r="O61" s="14">
        <f t="shared" si="6"/>
        <v>452.8</v>
      </c>
      <c r="P61" s="15">
        <f t="shared" si="7"/>
        <v>0.54554216867469885</v>
      </c>
    </row>
    <row r="62" spans="1:16" ht="15.75" hidden="1" customHeight="1" x14ac:dyDescent="0.3">
      <c r="A62" s="8" t="s">
        <v>58</v>
      </c>
      <c r="B62" s="9" t="s">
        <v>131</v>
      </c>
      <c r="C62" s="9" t="s">
        <v>79</v>
      </c>
      <c r="D62" s="9" t="s">
        <v>134</v>
      </c>
      <c r="E62" s="10">
        <v>28</v>
      </c>
      <c r="F62" s="9" t="s">
        <v>135</v>
      </c>
      <c r="G62" s="10">
        <v>28</v>
      </c>
      <c r="H62" s="9" t="s">
        <v>136</v>
      </c>
      <c r="I62" s="9" t="s">
        <v>137</v>
      </c>
      <c r="J62" s="9"/>
      <c r="K62" s="9"/>
      <c r="L62" s="9" t="s">
        <v>138</v>
      </c>
      <c r="M62" s="12">
        <f t="shared" si="4"/>
        <v>212</v>
      </c>
      <c r="N62" s="13">
        <f t="shared" si="5"/>
        <v>8</v>
      </c>
      <c r="O62" s="14">
        <f t="shared" si="6"/>
        <v>220</v>
      </c>
      <c r="P62" s="15">
        <f t="shared" si="7"/>
        <v>0.26506024096385544</v>
      </c>
    </row>
    <row r="63" spans="1:16" ht="15.75" hidden="1" customHeight="1" x14ac:dyDescent="0.3">
      <c r="A63" s="8" t="s">
        <v>58</v>
      </c>
      <c r="B63" s="9" t="s">
        <v>131</v>
      </c>
      <c r="C63" s="9" t="s">
        <v>79</v>
      </c>
      <c r="D63" s="9" t="s">
        <v>139</v>
      </c>
      <c r="E63" s="10">
        <v>28</v>
      </c>
      <c r="F63" s="9" t="s">
        <v>135</v>
      </c>
      <c r="G63" s="10">
        <v>28</v>
      </c>
      <c r="H63" s="9" t="s">
        <v>136</v>
      </c>
      <c r="I63" s="9" t="s">
        <v>137</v>
      </c>
      <c r="J63" s="9"/>
      <c r="K63" s="9"/>
      <c r="L63" s="9" t="s">
        <v>138</v>
      </c>
      <c r="M63" s="12">
        <f t="shared" si="4"/>
        <v>212</v>
      </c>
      <c r="N63" s="13">
        <f t="shared" si="5"/>
        <v>8</v>
      </c>
      <c r="O63" s="14">
        <f t="shared" si="6"/>
        <v>220</v>
      </c>
      <c r="P63" s="15">
        <f t="shared" si="7"/>
        <v>0.26506024096385544</v>
      </c>
    </row>
    <row r="64" spans="1:16" ht="15.75" hidden="1" customHeight="1" x14ac:dyDescent="0.3">
      <c r="A64" s="8" t="s">
        <v>58</v>
      </c>
      <c r="B64" s="9" t="s">
        <v>131</v>
      </c>
      <c r="C64" s="9" t="s">
        <v>79</v>
      </c>
      <c r="D64" s="9" t="s">
        <v>140</v>
      </c>
      <c r="E64" s="10">
        <v>28</v>
      </c>
      <c r="F64" s="9" t="s">
        <v>135</v>
      </c>
      <c r="G64" s="10">
        <v>28</v>
      </c>
      <c r="H64" s="9" t="s">
        <v>136</v>
      </c>
      <c r="I64" s="9" t="s">
        <v>137</v>
      </c>
      <c r="J64" s="9"/>
      <c r="K64" s="9"/>
      <c r="L64" s="9" t="s">
        <v>138</v>
      </c>
      <c r="M64" s="12">
        <f t="shared" si="4"/>
        <v>212</v>
      </c>
      <c r="N64" s="13">
        <f t="shared" si="5"/>
        <v>8</v>
      </c>
      <c r="O64" s="14">
        <f t="shared" si="6"/>
        <v>220</v>
      </c>
      <c r="P64" s="15">
        <f t="shared" si="7"/>
        <v>0.26506024096385544</v>
      </c>
    </row>
    <row r="65" spans="1:16" ht="15.75" hidden="1" customHeight="1" x14ac:dyDescent="0.3">
      <c r="A65" s="8" t="s">
        <v>58</v>
      </c>
      <c r="B65" s="9" t="s">
        <v>131</v>
      </c>
      <c r="C65" s="9" t="s">
        <v>79</v>
      </c>
      <c r="D65" s="9" t="s">
        <v>141</v>
      </c>
      <c r="E65" s="10">
        <v>28</v>
      </c>
      <c r="F65" s="9" t="s">
        <v>135</v>
      </c>
      <c r="G65" s="10">
        <v>28</v>
      </c>
      <c r="H65" s="9" t="s">
        <v>136</v>
      </c>
      <c r="I65" s="9" t="s">
        <v>137</v>
      </c>
      <c r="J65" s="9"/>
      <c r="K65" s="9"/>
      <c r="L65" s="9" t="s">
        <v>138</v>
      </c>
      <c r="M65" s="12">
        <f t="shared" si="4"/>
        <v>212</v>
      </c>
      <c r="N65" s="13">
        <f t="shared" si="5"/>
        <v>8</v>
      </c>
      <c r="O65" s="14">
        <f t="shared" si="6"/>
        <v>220</v>
      </c>
      <c r="P65" s="15">
        <f t="shared" si="7"/>
        <v>0.26506024096385544</v>
      </c>
    </row>
    <row r="66" spans="1:16" ht="15.75" hidden="1" customHeight="1" x14ac:dyDescent="0.3">
      <c r="A66" s="8" t="s">
        <v>58</v>
      </c>
      <c r="B66" s="9" t="s">
        <v>131</v>
      </c>
      <c r="C66" s="9" t="s">
        <v>79</v>
      </c>
      <c r="D66" s="9" t="s">
        <v>132</v>
      </c>
      <c r="E66" s="10">
        <v>28</v>
      </c>
      <c r="F66" s="9" t="s">
        <v>133</v>
      </c>
      <c r="G66" s="10">
        <v>28</v>
      </c>
      <c r="H66" s="9" t="s">
        <v>136</v>
      </c>
      <c r="I66" s="9" t="s">
        <v>137</v>
      </c>
      <c r="J66" s="9"/>
      <c r="K66" s="9"/>
      <c r="L66" s="9"/>
      <c r="M66" s="12">
        <f t="shared" si="4"/>
        <v>212</v>
      </c>
      <c r="N66" s="13">
        <f t="shared" si="5"/>
        <v>8</v>
      </c>
      <c r="O66" s="14">
        <f t="shared" si="6"/>
        <v>220</v>
      </c>
      <c r="P66" s="15">
        <f t="shared" si="7"/>
        <v>0.26506024096385544</v>
      </c>
    </row>
    <row r="67" spans="1:16" ht="15.75" hidden="1" customHeight="1" x14ac:dyDescent="0.3">
      <c r="A67" s="8" t="s">
        <v>58</v>
      </c>
      <c r="B67" s="9" t="s">
        <v>131</v>
      </c>
      <c r="C67" s="9" t="s">
        <v>142</v>
      </c>
      <c r="D67" s="9" t="s">
        <v>134</v>
      </c>
      <c r="E67" s="10">
        <v>2</v>
      </c>
      <c r="F67" s="9" t="s">
        <v>135</v>
      </c>
      <c r="G67" s="11">
        <v>0</v>
      </c>
      <c r="H67" s="9" t="s">
        <v>108</v>
      </c>
      <c r="I67" s="9" t="s">
        <v>109</v>
      </c>
      <c r="J67" s="9"/>
      <c r="K67" s="9"/>
      <c r="L67" s="9" t="s">
        <v>110</v>
      </c>
      <c r="M67" s="12">
        <f t="shared" si="4"/>
        <v>232.8</v>
      </c>
      <c r="N67" s="13">
        <f t="shared" si="5"/>
        <v>220</v>
      </c>
      <c r="O67" s="14">
        <f t="shared" si="6"/>
        <v>452.8</v>
      </c>
      <c r="P67" s="15">
        <f t="shared" si="7"/>
        <v>0.54554216867469885</v>
      </c>
    </row>
    <row r="68" spans="1:16" ht="15.75" hidden="1" customHeight="1" x14ac:dyDescent="0.3">
      <c r="A68" s="8" t="s">
        <v>58</v>
      </c>
      <c r="B68" s="9" t="s">
        <v>131</v>
      </c>
      <c r="C68" s="9" t="s">
        <v>142</v>
      </c>
      <c r="D68" s="9" t="s">
        <v>139</v>
      </c>
      <c r="E68" s="10">
        <v>2</v>
      </c>
      <c r="F68" s="9" t="s">
        <v>135</v>
      </c>
      <c r="G68" s="11">
        <v>0</v>
      </c>
      <c r="H68" s="9" t="s">
        <v>108</v>
      </c>
      <c r="I68" s="9" t="s">
        <v>109</v>
      </c>
      <c r="J68" s="9"/>
      <c r="K68" s="9"/>
      <c r="L68" s="9" t="s">
        <v>110</v>
      </c>
      <c r="M68" s="12">
        <f t="shared" si="4"/>
        <v>232.8</v>
      </c>
      <c r="N68" s="13">
        <f t="shared" si="5"/>
        <v>220</v>
      </c>
      <c r="O68" s="14">
        <f t="shared" si="6"/>
        <v>452.8</v>
      </c>
      <c r="P68" s="15">
        <f t="shared" si="7"/>
        <v>0.54554216867469885</v>
      </c>
    </row>
    <row r="69" spans="1:16" ht="15.75" hidden="1" customHeight="1" x14ac:dyDescent="0.3">
      <c r="A69" s="8" t="s">
        <v>58</v>
      </c>
      <c r="B69" s="9" t="s">
        <v>131</v>
      </c>
      <c r="C69" s="9" t="s">
        <v>142</v>
      </c>
      <c r="D69" s="9" t="s">
        <v>140</v>
      </c>
      <c r="E69" s="10">
        <v>2</v>
      </c>
      <c r="F69" s="9" t="s">
        <v>135</v>
      </c>
      <c r="G69" s="11">
        <v>0</v>
      </c>
      <c r="H69" s="9" t="s">
        <v>108</v>
      </c>
      <c r="I69" s="9" t="s">
        <v>109</v>
      </c>
      <c r="J69" s="9"/>
      <c r="K69" s="9"/>
      <c r="L69" s="9" t="s">
        <v>110</v>
      </c>
      <c r="M69" s="12">
        <f t="shared" si="4"/>
        <v>232.8</v>
      </c>
      <c r="N69" s="13">
        <f t="shared" si="5"/>
        <v>220</v>
      </c>
      <c r="O69" s="14">
        <f t="shared" si="6"/>
        <v>452.8</v>
      </c>
      <c r="P69" s="15">
        <f t="shared" si="7"/>
        <v>0.54554216867469885</v>
      </c>
    </row>
    <row r="70" spans="1:16" ht="15.75" hidden="1" customHeight="1" x14ac:dyDescent="0.3">
      <c r="A70" s="8" t="s">
        <v>58</v>
      </c>
      <c r="B70" s="9" t="s">
        <v>131</v>
      </c>
      <c r="C70" s="9" t="s">
        <v>142</v>
      </c>
      <c r="D70" s="9" t="s">
        <v>141</v>
      </c>
      <c r="E70" s="10">
        <v>2</v>
      </c>
      <c r="F70" s="9" t="s">
        <v>135</v>
      </c>
      <c r="G70" s="11">
        <v>0</v>
      </c>
      <c r="H70" s="9" t="s">
        <v>108</v>
      </c>
      <c r="I70" s="9" t="s">
        <v>109</v>
      </c>
      <c r="J70" s="9"/>
      <c r="K70" s="9"/>
      <c r="L70" s="9" t="s">
        <v>110</v>
      </c>
      <c r="M70" s="12">
        <f t="shared" si="4"/>
        <v>232.8</v>
      </c>
      <c r="N70" s="13">
        <f t="shared" si="5"/>
        <v>220</v>
      </c>
      <c r="O70" s="14">
        <f t="shared" si="6"/>
        <v>452.8</v>
      </c>
      <c r="P70" s="15">
        <f t="shared" si="7"/>
        <v>0.54554216867469885</v>
      </c>
    </row>
    <row r="71" spans="1:16" ht="15.75" hidden="1" customHeight="1" x14ac:dyDescent="0.3">
      <c r="A71" s="8" t="s">
        <v>58</v>
      </c>
      <c r="B71" s="9" t="s">
        <v>131</v>
      </c>
      <c r="C71" s="9" t="s">
        <v>142</v>
      </c>
      <c r="D71" s="9" t="s">
        <v>132</v>
      </c>
      <c r="E71" s="10">
        <v>2</v>
      </c>
      <c r="F71" s="9" t="s">
        <v>133</v>
      </c>
      <c r="G71" s="11">
        <v>0</v>
      </c>
      <c r="H71" s="9" t="s">
        <v>108</v>
      </c>
      <c r="I71" s="9" t="s">
        <v>109</v>
      </c>
      <c r="J71" s="9"/>
      <c r="K71" s="9"/>
      <c r="L71" s="9"/>
      <c r="M71" s="12">
        <f t="shared" si="4"/>
        <v>232.8</v>
      </c>
      <c r="N71" s="13">
        <f t="shared" si="5"/>
        <v>220</v>
      </c>
      <c r="O71" s="14">
        <f t="shared" si="6"/>
        <v>452.8</v>
      </c>
      <c r="P71" s="15">
        <f t="shared" si="7"/>
        <v>0.54554216867469885</v>
      </c>
    </row>
    <row r="72" spans="1:16" ht="15.75" hidden="1" customHeight="1" x14ac:dyDescent="0.3">
      <c r="A72" s="8" t="s">
        <v>58</v>
      </c>
      <c r="B72" s="9" t="s">
        <v>131</v>
      </c>
      <c r="C72" s="9" t="s">
        <v>80</v>
      </c>
      <c r="D72" s="9" t="s">
        <v>134</v>
      </c>
      <c r="E72" s="10">
        <v>1</v>
      </c>
      <c r="F72" s="9" t="s">
        <v>135</v>
      </c>
      <c r="G72" s="11">
        <v>0</v>
      </c>
      <c r="H72" s="9" t="s">
        <v>136</v>
      </c>
      <c r="I72" s="9" t="s">
        <v>137</v>
      </c>
      <c r="J72" s="9"/>
      <c r="K72" s="9"/>
      <c r="L72" s="9" t="s">
        <v>138</v>
      </c>
      <c r="M72" s="12">
        <f t="shared" si="4"/>
        <v>212</v>
      </c>
      <c r="N72" s="13">
        <f t="shared" si="5"/>
        <v>8</v>
      </c>
      <c r="O72" s="14">
        <f t="shared" si="6"/>
        <v>220</v>
      </c>
      <c r="P72" s="15">
        <f t="shared" si="7"/>
        <v>0.26506024096385544</v>
      </c>
    </row>
    <row r="73" spans="1:16" ht="15.75" hidden="1" customHeight="1" x14ac:dyDescent="0.3">
      <c r="A73" s="8" t="s">
        <v>58</v>
      </c>
      <c r="B73" s="9" t="s">
        <v>131</v>
      </c>
      <c r="C73" s="9" t="s">
        <v>80</v>
      </c>
      <c r="D73" s="9" t="s">
        <v>139</v>
      </c>
      <c r="E73" s="10">
        <v>1</v>
      </c>
      <c r="F73" s="9" t="s">
        <v>135</v>
      </c>
      <c r="G73" s="11">
        <v>0</v>
      </c>
      <c r="H73" s="9" t="s">
        <v>136</v>
      </c>
      <c r="I73" s="9" t="s">
        <v>137</v>
      </c>
      <c r="J73" s="9"/>
      <c r="K73" s="9"/>
      <c r="L73" s="9" t="s">
        <v>138</v>
      </c>
      <c r="M73" s="12">
        <f t="shared" si="4"/>
        <v>212</v>
      </c>
      <c r="N73" s="13">
        <f t="shared" si="5"/>
        <v>8</v>
      </c>
      <c r="O73" s="14">
        <f t="shared" si="6"/>
        <v>220</v>
      </c>
      <c r="P73" s="15">
        <f t="shared" si="7"/>
        <v>0.26506024096385544</v>
      </c>
    </row>
    <row r="74" spans="1:16" ht="15.75" hidden="1" customHeight="1" x14ac:dyDescent="0.3">
      <c r="A74" s="8" t="s">
        <v>58</v>
      </c>
      <c r="B74" s="9" t="s">
        <v>131</v>
      </c>
      <c r="C74" s="9" t="s">
        <v>80</v>
      </c>
      <c r="D74" s="9" t="s">
        <v>140</v>
      </c>
      <c r="E74" s="10">
        <v>1</v>
      </c>
      <c r="F74" s="9" t="s">
        <v>135</v>
      </c>
      <c r="G74" s="11">
        <v>0</v>
      </c>
      <c r="H74" s="9" t="s">
        <v>136</v>
      </c>
      <c r="I74" s="9" t="s">
        <v>137</v>
      </c>
      <c r="J74" s="9"/>
      <c r="K74" s="9"/>
      <c r="L74" s="9" t="s">
        <v>138</v>
      </c>
      <c r="M74" s="12">
        <f t="shared" si="4"/>
        <v>212</v>
      </c>
      <c r="N74" s="13">
        <f t="shared" si="5"/>
        <v>8</v>
      </c>
      <c r="O74" s="14">
        <f t="shared" si="6"/>
        <v>220</v>
      </c>
      <c r="P74" s="15">
        <f t="shared" si="7"/>
        <v>0.26506024096385544</v>
      </c>
    </row>
    <row r="75" spans="1:16" ht="15.75" hidden="1" customHeight="1" x14ac:dyDescent="0.3">
      <c r="A75" s="8" t="s">
        <v>58</v>
      </c>
      <c r="B75" s="9" t="s">
        <v>131</v>
      </c>
      <c r="C75" s="9" t="s">
        <v>80</v>
      </c>
      <c r="D75" s="9" t="s">
        <v>141</v>
      </c>
      <c r="E75" s="10">
        <v>1</v>
      </c>
      <c r="F75" s="9" t="s">
        <v>135</v>
      </c>
      <c r="G75" s="11">
        <v>0</v>
      </c>
      <c r="H75" s="9" t="s">
        <v>136</v>
      </c>
      <c r="I75" s="9" t="s">
        <v>137</v>
      </c>
      <c r="J75" s="9"/>
      <c r="K75" s="9"/>
      <c r="L75" s="9" t="s">
        <v>138</v>
      </c>
      <c r="M75" s="12">
        <f t="shared" si="4"/>
        <v>212</v>
      </c>
      <c r="N75" s="13">
        <f t="shared" si="5"/>
        <v>8</v>
      </c>
      <c r="O75" s="14">
        <f t="shared" si="6"/>
        <v>220</v>
      </c>
      <c r="P75" s="15">
        <f t="shared" si="7"/>
        <v>0.26506024096385544</v>
      </c>
    </row>
    <row r="76" spans="1:16" ht="15.75" hidden="1" customHeight="1" x14ac:dyDescent="0.3">
      <c r="A76" s="8" t="s">
        <v>58</v>
      </c>
      <c r="B76" s="9" t="s">
        <v>131</v>
      </c>
      <c r="C76" s="9" t="s">
        <v>80</v>
      </c>
      <c r="D76" s="9" t="s">
        <v>132</v>
      </c>
      <c r="E76" s="10">
        <v>1</v>
      </c>
      <c r="F76" s="9" t="s">
        <v>133</v>
      </c>
      <c r="G76" s="11">
        <v>0</v>
      </c>
      <c r="H76" s="9" t="s">
        <v>136</v>
      </c>
      <c r="I76" s="9" t="s">
        <v>137</v>
      </c>
      <c r="J76" s="9"/>
      <c r="K76" s="9"/>
      <c r="L76" s="9"/>
      <c r="M76" s="12">
        <f t="shared" si="4"/>
        <v>212</v>
      </c>
      <c r="N76" s="13">
        <f t="shared" si="5"/>
        <v>8</v>
      </c>
      <c r="O76" s="14">
        <f t="shared" si="6"/>
        <v>220</v>
      </c>
      <c r="P76" s="15">
        <f t="shared" si="7"/>
        <v>0.26506024096385544</v>
      </c>
    </row>
    <row r="77" spans="1:16" ht="15.75" hidden="1" customHeight="1" x14ac:dyDescent="0.3">
      <c r="A77" s="8" t="s">
        <v>58</v>
      </c>
      <c r="B77" s="9" t="s">
        <v>143</v>
      </c>
      <c r="C77" s="9" t="s">
        <v>73</v>
      </c>
      <c r="D77" s="9" t="s">
        <v>144</v>
      </c>
      <c r="E77" s="10">
        <v>8</v>
      </c>
      <c r="F77" s="9" t="s">
        <v>145</v>
      </c>
      <c r="G77" s="10">
        <v>8</v>
      </c>
      <c r="H77" s="9" t="s">
        <v>146</v>
      </c>
      <c r="I77" s="9" t="s">
        <v>147</v>
      </c>
      <c r="J77" s="9"/>
      <c r="K77" s="9"/>
      <c r="L77" s="9" t="s">
        <v>148</v>
      </c>
      <c r="M77" s="12">
        <f t="shared" si="4"/>
        <v>279</v>
      </c>
      <c r="N77" s="13">
        <f t="shared" si="5"/>
        <v>427.5</v>
      </c>
      <c r="O77" s="14">
        <f t="shared" si="6"/>
        <v>706.5</v>
      </c>
      <c r="P77" s="15">
        <f t="shared" si="7"/>
        <v>0.85120481927710845</v>
      </c>
    </row>
    <row r="78" spans="1:16" ht="15.75" hidden="1" customHeight="1" x14ac:dyDescent="0.3">
      <c r="A78" s="8" t="s">
        <v>58</v>
      </c>
      <c r="B78" s="9" t="s">
        <v>143</v>
      </c>
      <c r="C78" s="9" t="s">
        <v>123</v>
      </c>
      <c r="D78" s="9" t="s">
        <v>144</v>
      </c>
      <c r="E78" s="10">
        <v>27</v>
      </c>
      <c r="F78" s="9" t="s">
        <v>145</v>
      </c>
      <c r="G78" s="11">
        <v>0</v>
      </c>
      <c r="H78" s="9" t="s">
        <v>146</v>
      </c>
      <c r="I78" s="9" t="s">
        <v>147</v>
      </c>
      <c r="J78" s="9"/>
      <c r="K78" s="9"/>
      <c r="L78" s="9" t="s">
        <v>148</v>
      </c>
      <c r="M78" s="12">
        <f t="shared" si="4"/>
        <v>279</v>
      </c>
      <c r="N78" s="13">
        <f t="shared" si="5"/>
        <v>427.5</v>
      </c>
      <c r="O78" s="14">
        <f t="shared" si="6"/>
        <v>706.5</v>
      </c>
      <c r="P78" s="15">
        <f t="shared" si="7"/>
        <v>0.85120481927710845</v>
      </c>
    </row>
    <row r="79" spans="1:16" ht="15.75" hidden="1" customHeight="1" x14ac:dyDescent="0.3">
      <c r="A79" s="8" t="s">
        <v>58</v>
      </c>
      <c r="B79" s="9" t="s">
        <v>143</v>
      </c>
      <c r="C79" s="9" t="s">
        <v>79</v>
      </c>
      <c r="D79" s="9" t="s">
        <v>144</v>
      </c>
      <c r="E79" s="10">
        <v>36</v>
      </c>
      <c r="F79" s="9" t="s">
        <v>145</v>
      </c>
      <c r="G79" s="10">
        <v>36</v>
      </c>
      <c r="H79" s="9" t="s">
        <v>146</v>
      </c>
      <c r="I79" s="9" t="s">
        <v>147</v>
      </c>
      <c r="J79" s="9"/>
      <c r="K79" s="9"/>
      <c r="L79" s="9" t="s">
        <v>148</v>
      </c>
      <c r="M79" s="12">
        <f t="shared" si="4"/>
        <v>279</v>
      </c>
      <c r="N79" s="13">
        <f t="shared" si="5"/>
        <v>427.5</v>
      </c>
      <c r="O79" s="14">
        <f t="shared" si="6"/>
        <v>706.5</v>
      </c>
      <c r="P79" s="15">
        <f t="shared" si="7"/>
        <v>0.85120481927710845</v>
      </c>
    </row>
    <row r="80" spans="1:16" ht="15.75" hidden="1" customHeight="1" x14ac:dyDescent="0.3">
      <c r="A80" s="8" t="s">
        <v>58</v>
      </c>
      <c r="B80" s="9" t="s">
        <v>143</v>
      </c>
      <c r="C80" s="9" t="s">
        <v>111</v>
      </c>
      <c r="D80" s="9" t="s">
        <v>144</v>
      </c>
      <c r="E80" s="10">
        <v>5</v>
      </c>
      <c r="F80" s="9" t="s">
        <v>145</v>
      </c>
      <c r="G80" s="11">
        <v>0</v>
      </c>
      <c r="H80" s="9" t="s">
        <v>146</v>
      </c>
      <c r="I80" s="9" t="s">
        <v>147</v>
      </c>
      <c r="J80" s="9"/>
      <c r="K80" s="9"/>
      <c r="L80" s="9" t="s">
        <v>148</v>
      </c>
      <c r="M80" s="12">
        <f t="shared" si="4"/>
        <v>279</v>
      </c>
      <c r="N80" s="13">
        <f t="shared" si="5"/>
        <v>427.5</v>
      </c>
      <c r="O80" s="14">
        <f t="shared" si="6"/>
        <v>706.5</v>
      </c>
      <c r="P80" s="15">
        <f t="shared" si="7"/>
        <v>0.85120481927710845</v>
      </c>
    </row>
    <row r="81" spans="1:16" ht="15.75" hidden="1" customHeight="1" x14ac:dyDescent="0.3">
      <c r="A81" s="8" t="s">
        <v>58</v>
      </c>
      <c r="B81" s="9" t="s">
        <v>143</v>
      </c>
      <c r="C81" s="9" t="s">
        <v>80</v>
      </c>
      <c r="D81" s="9" t="s">
        <v>144</v>
      </c>
      <c r="E81" s="10">
        <v>2</v>
      </c>
      <c r="F81" s="9" t="s">
        <v>145</v>
      </c>
      <c r="G81" s="11">
        <v>0</v>
      </c>
      <c r="H81" s="9" t="s">
        <v>146</v>
      </c>
      <c r="I81" s="9" t="s">
        <v>147</v>
      </c>
      <c r="J81" s="9"/>
      <c r="K81" s="9"/>
      <c r="L81" s="9" t="s">
        <v>148</v>
      </c>
      <c r="M81" s="12">
        <f t="shared" si="4"/>
        <v>279</v>
      </c>
      <c r="N81" s="13">
        <f t="shared" si="5"/>
        <v>427.5</v>
      </c>
      <c r="O81" s="14">
        <f t="shared" si="6"/>
        <v>706.5</v>
      </c>
      <c r="P81" s="15">
        <f t="shared" si="7"/>
        <v>0.85120481927710845</v>
      </c>
    </row>
    <row r="82" spans="1:16" ht="15.75" hidden="1" customHeight="1" x14ac:dyDescent="0.3">
      <c r="A82" s="8" t="s">
        <v>58</v>
      </c>
      <c r="B82" s="9" t="s">
        <v>149</v>
      </c>
      <c r="C82" s="9" t="s">
        <v>73</v>
      </c>
      <c r="D82" s="9" t="s">
        <v>141</v>
      </c>
      <c r="E82" s="10">
        <v>8</v>
      </c>
      <c r="F82" s="9" t="s">
        <v>145</v>
      </c>
      <c r="G82" s="10">
        <v>8</v>
      </c>
      <c r="H82" s="9" t="s">
        <v>94</v>
      </c>
      <c r="I82" s="9" t="s">
        <v>95</v>
      </c>
      <c r="J82" s="9"/>
      <c r="K82" s="9"/>
      <c r="L82" s="9"/>
      <c r="M82" s="12">
        <f t="shared" si="4"/>
        <v>295.8</v>
      </c>
      <c r="N82" s="13">
        <f t="shared" si="5"/>
        <v>488</v>
      </c>
      <c r="O82" s="14">
        <f t="shared" si="6"/>
        <v>783.8</v>
      </c>
      <c r="P82" s="15">
        <f t="shared" si="7"/>
        <v>0.94433734939759029</v>
      </c>
    </row>
    <row r="83" spans="1:16" ht="15.75" hidden="1" customHeight="1" x14ac:dyDescent="0.3">
      <c r="A83" s="8" t="s">
        <v>58</v>
      </c>
      <c r="B83" s="9" t="s">
        <v>149</v>
      </c>
      <c r="C83" s="9" t="s">
        <v>123</v>
      </c>
      <c r="D83" s="9" t="s">
        <v>141</v>
      </c>
      <c r="E83" s="10">
        <v>18</v>
      </c>
      <c r="F83" s="9" t="s">
        <v>145</v>
      </c>
      <c r="G83" s="11">
        <v>0</v>
      </c>
      <c r="H83" s="9" t="s">
        <v>94</v>
      </c>
      <c r="I83" s="9" t="s">
        <v>95</v>
      </c>
      <c r="J83" s="9"/>
      <c r="K83" s="9"/>
      <c r="L83" s="9"/>
      <c r="M83" s="12">
        <f t="shared" si="4"/>
        <v>295.8</v>
      </c>
      <c r="N83" s="13">
        <f t="shared" si="5"/>
        <v>488</v>
      </c>
      <c r="O83" s="14">
        <f t="shared" si="6"/>
        <v>783.8</v>
      </c>
      <c r="P83" s="15">
        <f t="shared" si="7"/>
        <v>0.94433734939759029</v>
      </c>
    </row>
    <row r="84" spans="1:16" ht="15.75" hidden="1" customHeight="1" x14ac:dyDescent="0.3">
      <c r="A84" s="8" t="s">
        <v>58</v>
      </c>
      <c r="B84" s="9" t="s">
        <v>149</v>
      </c>
      <c r="C84" s="9" t="s">
        <v>87</v>
      </c>
      <c r="D84" s="9" t="s">
        <v>141</v>
      </c>
      <c r="E84" s="10">
        <v>2</v>
      </c>
      <c r="F84" s="9" t="s">
        <v>145</v>
      </c>
      <c r="G84" s="11">
        <v>0</v>
      </c>
      <c r="H84" s="9" t="s">
        <v>94</v>
      </c>
      <c r="I84" s="9" t="s">
        <v>95</v>
      </c>
      <c r="J84" s="9"/>
      <c r="K84" s="9"/>
      <c r="L84" s="9"/>
      <c r="M84" s="12">
        <f t="shared" si="4"/>
        <v>295.8</v>
      </c>
      <c r="N84" s="13">
        <f t="shared" si="5"/>
        <v>488</v>
      </c>
      <c r="O84" s="14">
        <f t="shared" si="6"/>
        <v>783.8</v>
      </c>
      <c r="P84" s="15">
        <f t="shared" si="7"/>
        <v>0.94433734939759029</v>
      </c>
    </row>
    <row r="85" spans="1:16" ht="15.75" hidden="1" customHeight="1" x14ac:dyDescent="0.3">
      <c r="A85" s="8" t="s">
        <v>58</v>
      </c>
      <c r="B85" s="9" t="s">
        <v>149</v>
      </c>
      <c r="C85" s="9" t="s">
        <v>79</v>
      </c>
      <c r="D85" s="9" t="s">
        <v>141</v>
      </c>
      <c r="E85" s="10">
        <v>36</v>
      </c>
      <c r="F85" s="9" t="s">
        <v>145</v>
      </c>
      <c r="G85" s="10">
        <v>36</v>
      </c>
      <c r="H85" s="9" t="s">
        <v>94</v>
      </c>
      <c r="I85" s="9" t="s">
        <v>95</v>
      </c>
      <c r="J85" s="9"/>
      <c r="K85" s="9"/>
      <c r="L85" s="9"/>
      <c r="M85" s="12">
        <f t="shared" si="4"/>
        <v>295.8</v>
      </c>
      <c r="N85" s="13">
        <f t="shared" si="5"/>
        <v>488</v>
      </c>
      <c r="O85" s="14">
        <f t="shared" si="6"/>
        <v>783.8</v>
      </c>
      <c r="P85" s="15">
        <f t="shared" si="7"/>
        <v>0.94433734939759029</v>
      </c>
    </row>
    <row r="86" spans="1:16" ht="15.75" hidden="1" customHeight="1" x14ac:dyDescent="0.3">
      <c r="A86" s="8" t="s">
        <v>58</v>
      </c>
      <c r="B86" s="9" t="s">
        <v>150</v>
      </c>
      <c r="C86" s="9" t="s">
        <v>73</v>
      </c>
      <c r="D86" s="9" t="s">
        <v>144</v>
      </c>
      <c r="E86" s="10">
        <v>12</v>
      </c>
      <c r="F86" s="9" t="s">
        <v>145</v>
      </c>
      <c r="G86" s="10">
        <v>12</v>
      </c>
      <c r="H86" s="9" t="s">
        <v>76</v>
      </c>
      <c r="I86" s="9" t="s">
        <v>77</v>
      </c>
      <c r="J86" s="9"/>
      <c r="K86" s="9"/>
      <c r="L86" s="9"/>
      <c r="M86" s="12">
        <f t="shared" si="4"/>
        <v>249</v>
      </c>
      <c r="N86" s="13">
        <f t="shared" si="5"/>
        <v>294</v>
      </c>
      <c r="O86" s="14">
        <f t="shared" si="6"/>
        <v>543</v>
      </c>
      <c r="P86" s="15">
        <f t="shared" si="7"/>
        <v>0.6542168674698795</v>
      </c>
    </row>
    <row r="87" spans="1:16" ht="15.75" hidden="1" customHeight="1" x14ac:dyDescent="0.3">
      <c r="A87" s="8" t="s">
        <v>58</v>
      </c>
      <c r="B87" s="9" t="s">
        <v>150</v>
      </c>
      <c r="C87" s="9" t="s">
        <v>87</v>
      </c>
      <c r="D87" s="9" t="s">
        <v>144</v>
      </c>
      <c r="E87" s="10">
        <v>3</v>
      </c>
      <c r="F87" s="9" t="s">
        <v>145</v>
      </c>
      <c r="G87" s="11">
        <v>0</v>
      </c>
      <c r="H87" s="9" t="s">
        <v>76</v>
      </c>
      <c r="I87" s="9" t="s">
        <v>77</v>
      </c>
      <c r="J87" s="9"/>
      <c r="K87" s="9"/>
      <c r="L87" s="9"/>
      <c r="M87" s="12">
        <f t="shared" si="4"/>
        <v>249</v>
      </c>
      <c r="N87" s="13">
        <f t="shared" si="5"/>
        <v>294</v>
      </c>
      <c r="O87" s="14">
        <f t="shared" si="6"/>
        <v>543</v>
      </c>
      <c r="P87" s="15">
        <f t="shared" si="7"/>
        <v>0.6542168674698795</v>
      </c>
    </row>
    <row r="88" spans="1:16" ht="15.75" hidden="1" customHeight="1" x14ac:dyDescent="0.3">
      <c r="A88" s="8" t="s">
        <v>58</v>
      </c>
      <c r="B88" s="9" t="s">
        <v>150</v>
      </c>
      <c r="C88" s="9" t="s">
        <v>79</v>
      </c>
      <c r="D88" s="9" t="s">
        <v>144</v>
      </c>
      <c r="E88" s="10">
        <v>40</v>
      </c>
      <c r="F88" s="9" t="s">
        <v>145</v>
      </c>
      <c r="G88" s="10">
        <v>40</v>
      </c>
      <c r="H88" s="9" t="s">
        <v>76</v>
      </c>
      <c r="I88" s="9" t="s">
        <v>77</v>
      </c>
      <c r="J88" s="9"/>
      <c r="K88" s="9"/>
      <c r="L88" s="9"/>
      <c r="M88" s="12">
        <f t="shared" si="4"/>
        <v>249</v>
      </c>
      <c r="N88" s="13">
        <f t="shared" si="5"/>
        <v>294</v>
      </c>
      <c r="O88" s="14">
        <f t="shared" si="6"/>
        <v>543</v>
      </c>
      <c r="P88" s="15">
        <f t="shared" si="7"/>
        <v>0.6542168674698795</v>
      </c>
    </row>
    <row r="89" spans="1:16" ht="15.75" hidden="1" customHeight="1" x14ac:dyDescent="0.3">
      <c r="A89" s="8" t="s">
        <v>58</v>
      </c>
      <c r="B89" s="9" t="s">
        <v>150</v>
      </c>
      <c r="C89" s="9" t="s">
        <v>80</v>
      </c>
      <c r="D89" s="9" t="s">
        <v>144</v>
      </c>
      <c r="E89" s="10">
        <v>1</v>
      </c>
      <c r="F89" s="9" t="s">
        <v>145</v>
      </c>
      <c r="G89" s="11">
        <v>0</v>
      </c>
      <c r="H89" s="9" t="s">
        <v>76</v>
      </c>
      <c r="I89" s="9" t="s">
        <v>77</v>
      </c>
      <c r="J89" s="9"/>
      <c r="K89" s="9"/>
      <c r="L89" s="9"/>
      <c r="M89" s="12">
        <f t="shared" si="4"/>
        <v>249</v>
      </c>
      <c r="N89" s="13">
        <f t="shared" si="5"/>
        <v>294</v>
      </c>
      <c r="O89" s="14">
        <f t="shared" si="6"/>
        <v>543</v>
      </c>
      <c r="P89" s="15">
        <f t="shared" si="7"/>
        <v>0.6542168674698795</v>
      </c>
    </row>
    <row r="90" spans="1:16" ht="15.75" hidden="1" customHeight="1" x14ac:dyDescent="0.3">
      <c r="A90" s="8" t="s">
        <v>58</v>
      </c>
      <c r="B90" s="9" t="s">
        <v>151</v>
      </c>
      <c r="C90" s="9" t="s">
        <v>73</v>
      </c>
      <c r="D90" s="9" t="s">
        <v>152</v>
      </c>
      <c r="E90" s="10">
        <v>16</v>
      </c>
      <c r="F90" s="9" t="s">
        <v>153</v>
      </c>
      <c r="G90" s="10">
        <v>16</v>
      </c>
      <c r="H90" s="9" t="s">
        <v>154</v>
      </c>
      <c r="I90" s="9" t="s">
        <v>155</v>
      </c>
      <c r="J90" s="9"/>
      <c r="K90" s="9"/>
      <c r="L90" s="9" t="s">
        <v>156</v>
      </c>
      <c r="M90" s="12">
        <f t="shared" si="4"/>
        <v>302</v>
      </c>
      <c r="N90" s="13">
        <f t="shared" si="5"/>
        <v>124.5</v>
      </c>
      <c r="O90" s="14">
        <f t="shared" si="6"/>
        <v>426.5</v>
      </c>
      <c r="P90" s="15">
        <f t="shared" si="7"/>
        <v>0.51385542168674703</v>
      </c>
    </row>
    <row r="91" spans="1:16" ht="15.75" hidden="1" customHeight="1" x14ac:dyDescent="0.3">
      <c r="A91" s="8" t="s">
        <v>58</v>
      </c>
      <c r="B91" s="9" t="s">
        <v>151</v>
      </c>
      <c r="C91" s="9" t="s">
        <v>79</v>
      </c>
      <c r="D91" s="9" t="s">
        <v>152</v>
      </c>
      <c r="E91" s="10">
        <v>36</v>
      </c>
      <c r="F91" s="9" t="s">
        <v>153</v>
      </c>
      <c r="G91" s="10">
        <v>36</v>
      </c>
      <c r="H91" s="9" t="s">
        <v>154</v>
      </c>
      <c r="I91" s="9" t="s">
        <v>155</v>
      </c>
      <c r="J91" s="9"/>
      <c r="K91" s="9"/>
      <c r="L91" s="9" t="s">
        <v>156</v>
      </c>
      <c r="M91" s="12">
        <f t="shared" si="4"/>
        <v>302</v>
      </c>
      <c r="N91" s="13">
        <f t="shared" si="5"/>
        <v>124.5</v>
      </c>
      <c r="O91" s="14">
        <f t="shared" si="6"/>
        <v>426.5</v>
      </c>
      <c r="P91" s="15">
        <f t="shared" si="7"/>
        <v>0.51385542168674703</v>
      </c>
    </row>
    <row r="92" spans="1:16" ht="15.75" hidden="1" customHeight="1" x14ac:dyDescent="0.3">
      <c r="A92" s="8" t="s">
        <v>58</v>
      </c>
      <c r="B92" s="9" t="s">
        <v>151</v>
      </c>
      <c r="C92" s="9" t="s">
        <v>142</v>
      </c>
      <c r="D92" s="9" t="s">
        <v>152</v>
      </c>
      <c r="E92" s="10">
        <v>2</v>
      </c>
      <c r="F92" s="9" t="s">
        <v>153</v>
      </c>
      <c r="G92" s="11">
        <v>0</v>
      </c>
      <c r="H92" s="9" t="s">
        <v>154</v>
      </c>
      <c r="I92" s="9" t="s">
        <v>155</v>
      </c>
      <c r="J92" s="9"/>
      <c r="K92" s="9"/>
      <c r="L92" s="9" t="s">
        <v>156</v>
      </c>
      <c r="M92" s="12">
        <f t="shared" si="4"/>
        <v>302</v>
      </c>
      <c r="N92" s="13">
        <f t="shared" si="5"/>
        <v>124.5</v>
      </c>
      <c r="O92" s="14">
        <f t="shared" si="6"/>
        <v>426.5</v>
      </c>
      <c r="P92" s="15">
        <f t="shared" si="7"/>
        <v>0.51385542168674703</v>
      </c>
    </row>
    <row r="93" spans="1:16" ht="15.75" hidden="1" customHeight="1" x14ac:dyDescent="0.3">
      <c r="A93" s="8" t="s">
        <v>58</v>
      </c>
      <c r="B93" s="9" t="s">
        <v>151</v>
      </c>
      <c r="C93" s="9" t="s">
        <v>80</v>
      </c>
      <c r="D93" s="9" t="s">
        <v>152</v>
      </c>
      <c r="E93" s="10">
        <v>1</v>
      </c>
      <c r="F93" s="9" t="s">
        <v>153</v>
      </c>
      <c r="G93" s="11">
        <v>0</v>
      </c>
      <c r="H93" s="9" t="s">
        <v>154</v>
      </c>
      <c r="I93" s="9" t="s">
        <v>155</v>
      </c>
      <c r="J93" s="9"/>
      <c r="K93" s="9"/>
      <c r="L93" s="9" t="s">
        <v>156</v>
      </c>
      <c r="M93" s="12">
        <f t="shared" si="4"/>
        <v>302</v>
      </c>
      <c r="N93" s="13">
        <f t="shared" si="5"/>
        <v>124.5</v>
      </c>
      <c r="O93" s="14">
        <f t="shared" si="6"/>
        <v>426.5</v>
      </c>
      <c r="P93" s="15">
        <f t="shared" si="7"/>
        <v>0.51385542168674703</v>
      </c>
    </row>
    <row r="94" spans="1:16" ht="15.75" hidden="1" customHeight="1" x14ac:dyDescent="0.3">
      <c r="A94" s="8" t="s">
        <v>58</v>
      </c>
      <c r="B94" s="9" t="s">
        <v>157</v>
      </c>
      <c r="C94" s="9" t="s">
        <v>73</v>
      </c>
      <c r="D94" s="9" t="s">
        <v>140</v>
      </c>
      <c r="E94" s="10">
        <v>12</v>
      </c>
      <c r="F94" s="9" t="s">
        <v>153</v>
      </c>
      <c r="G94" s="10">
        <v>12</v>
      </c>
      <c r="H94" s="9" t="s">
        <v>154</v>
      </c>
      <c r="I94" s="9" t="s">
        <v>155</v>
      </c>
      <c r="J94" s="9"/>
      <c r="K94" s="9"/>
      <c r="L94" s="9" t="s">
        <v>158</v>
      </c>
      <c r="M94" s="12">
        <f t="shared" si="4"/>
        <v>302</v>
      </c>
      <c r="N94" s="13">
        <f t="shared" si="5"/>
        <v>124.5</v>
      </c>
      <c r="O94" s="14">
        <f t="shared" si="6"/>
        <v>426.5</v>
      </c>
      <c r="P94" s="15">
        <f t="shared" si="7"/>
        <v>0.51385542168674703</v>
      </c>
    </row>
    <row r="95" spans="1:16" ht="15.75" hidden="1" customHeight="1" x14ac:dyDescent="0.3">
      <c r="A95" s="8" t="s">
        <v>58</v>
      </c>
      <c r="B95" s="9" t="s">
        <v>157</v>
      </c>
      <c r="C95" s="9" t="s">
        <v>87</v>
      </c>
      <c r="D95" s="9" t="s">
        <v>140</v>
      </c>
      <c r="E95" s="10">
        <v>2</v>
      </c>
      <c r="F95" s="9" t="s">
        <v>153</v>
      </c>
      <c r="G95" s="11">
        <v>0</v>
      </c>
      <c r="H95" s="9" t="s">
        <v>154</v>
      </c>
      <c r="I95" s="9" t="s">
        <v>155</v>
      </c>
      <c r="J95" s="9"/>
      <c r="K95" s="9"/>
      <c r="L95" s="9" t="s">
        <v>158</v>
      </c>
      <c r="M95" s="12">
        <f t="shared" si="4"/>
        <v>302</v>
      </c>
      <c r="N95" s="13">
        <f t="shared" si="5"/>
        <v>124.5</v>
      </c>
      <c r="O95" s="14">
        <f t="shared" si="6"/>
        <v>426.5</v>
      </c>
      <c r="P95" s="15">
        <f t="shared" si="7"/>
        <v>0.51385542168674703</v>
      </c>
    </row>
    <row r="96" spans="1:16" ht="15.75" hidden="1" customHeight="1" x14ac:dyDescent="0.3">
      <c r="A96" s="8" t="s">
        <v>58</v>
      </c>
      <c r="B96" s="9" t="s">
        <v>157</v>
      </c>
      <c r="C96" s="9" t="s">
        <v>79</v>
      </c>
      <c r="D96" s="9" t="s">
        <v>140</v>
      </c>
      <c r="E96" s="10">
        <v>26</v>
      </c>
      <c r="F96" s="9" t="s">
        <v>153</v>
      </c>
      <c r="G96" s="10">
        <v>26</v>
      </c>
      <c r="H96" s="9" t="s">
        <v>154</v>
      </c>
      <c r="I96" s="9" t="s">
        <v>155</v>
      </c>
      <c r="J96" s="9"/>
      <c r="K96" s="9"/>
      <c r="L96" s="9" t="s">
        <v>158</v>
      </c>
      <c r="M96" s="12">
        <f t="shared" si="4"/>
        <v>302</v>
      </c>
      <c r="N96" s="13">
        <f t="shared" si="5"/>
        <v>124.5</v>
      </c>
      <c r="O96" s="14">
        <f t="shared" si="6"/>
        <v>426.5</v>
      </c>
      <c r="P96" s="15">
        <f t="shared" si="7"/>
        <v>0.51385542168674703</v>
      </c>
    </row>
    <row r="97" spans="1:16" ht="15.75" hidden="1" customHeight="1" x14ac:dyDescent="0.3">
      <c r="A97" s="8" t="s">
        <v>58</v>
      </c>
      <c r="B97" s="9" t="s">
        <v>157</v>
      </c>
      <c r="C97" s="9" t="s">
        <v>80</v>
      </c>
      <c r="D97" s="9" t="s">
        <v>140</v>
      </c>
      <c r="E97" s="10">
        <v>1</v>
      </c>
      <c r="F97" s="9" t="s">
        <v>153</v>
      </c>
      <c r="G97" s="11">
        <v>0</v>
      </c>
      <c r="H97" s="9" t="s">
        <v>154</v>
      </c>
      <c r="I97" s="9" t="s">
        <v>155</v>
      </c>
      <c r="J97" s="9"/>
      <c r="K97" s="9"/>
      <c r="L97" s="9" t="s">
        <v>158</v>
      </c>
      <c r="M97" s="12">
        <f t="shared" si="4"/>
        <v>302</v>
      </c>
      <c r="N97" s="13">
        <f t="shared" si="5"/>
        <v>124.5</v>
      </c>
      <c r="O97" s="14">
        <f t="shared" si="6"/>
        <v>426.5</v>
      </c>
      <c r="P97" s="15">
        <f t="shared" si="7"/>
        <v>0.51385542168674703</v>
      </c>
    </row>
    <row r="98" spans="1:16" ht="15.75" hidden="1" customHeight="1" x14ac:dyDescent="0.3">
      <c r="A98" s="8" t="s">
        <v>58</v>
      </c>
      <c r="B98" s="9" t="s">
        <v>159</v>
      </c>
      <c r="C98" s="9" t="s">
        <v>73</v>
      </c>
      <c r="D98" s="9" t="s">
        <v>160</v>
      </c>
      <c r="E98" s="10">
        <v>18</v>
      </c>
      <c r="F98" s="9" t="s">
        <v>161</v>
      </c>
      <c r="G98" s="10">
        <v>18</v>
      </c>
      <c r="H98" s="9" t="s">
        <v>136</v>
      </c>
      <c r="I98" s="9" t="s">
        <v>137</v>
      </c>
      <c r="J98" s="9"/>
      <c r="K98" s="9"/>
      <c r="L98" s="9" t="s">
        <v>138</v>
      </c>
      <c r="M98" s="12">
        <f t="shared" ref="M98:M161" si="8">SUMIFS($E$2:$E$1130,$A$2:$A$1130,"осень",$I$2:$I$1130,I98)</f>
        <v>212</v>
      </c>
      <c r="N98" s="13">
        <f t="shared" ref="N98:N161" si="9">SUMIFS($E$2:$E$1130,$A$2:$A$1130,"весна",$I$2:$I$1130,I98)</f>
        <v>8</v>
      </c>
      <c r="O98" s="14">
        <f t="shared" ref="O98:O161" si="10">M98+N98</f>
        <v>220</v>
      </c>
      <c r="P98" s="15">
        <f t="shared" ref="P98:P161" si="11">O98/$P$1</f>
        <v>0.26506024096385544</v>
      </c>
    </row>
    <row r="99" spans="1:16" ht="15.75" hidden="1" customHeight="1" x14ac:dyDescent="0.3">
      <c r="A99" s="8" t="s">
        <v>58</v>
      </c>
      <c r="B99" s="9" t="s">
        <v>159</v>
      </c>
      <c r="C99" s="9" t="s">
        <v>79</v>
      </c>
      <c r="D99" s="9" t="s">
        <v>162</v>
      </c>
      <c r="E99" s="10">
        <v>18</v>
      </c>
      <c r="F99" s="9" t="s">
        <v>161</v>
      </c>
      <c r="G99" s="10">
        <v>18</v>
      </c>
      <c r="H99" s="9" t="s">
        <v>136</v>
      </c>
      <c r="I99" s="9" t="s">
        <v>137</v>
      </c>
      <c r="J99" s="9"/>
      <c r="K99" s="9"/>
      <c r="L99" s="9" t="s">
        <v>138</v>
      </c>
      <c r="M99" s="12">
        <f t="shared" si="8"/>
        <v>212</v>
      </c>
      <c r="N99" s="13">
        <f t="shared" si="9"/>
        <v>8</v>
      </c>
      <c r="O99" s="14">
        <f t="shared" si="10"/>
        <v>220</v>
      </c>
      <c r="P99" s="15">
        <f t="shared" si="11"/>
        <v>0.26506024096385544</v>
      </c>
    </row>
    <row r="100" spans="1:16" ht="15.75" hidden="1" customHeight="1" x14ac:dyDescent="0.3">
      <c r="A100" s="8" t="s">
        <v>58</v>
      </c>
      <c r="B100" s="9" t="s">
        <v>159</v>
      </c>
      <c r="C100" s="9" t="s">
        <v>79</v>
      </c>
      <c r="D100" s="9" t="s">
        <v>163</v>
      </c>
      <c r="E100" s="10">
        <v>18</v>
      </c>
      <c r="F100" s="9" t="s">
        <v>161</v>
      </c>
      <c r="G100" s="10">
        <v>18</v>
      </c>
      <c r="H100" s="9" t="s">
        <v>136</v>
      </c>
      <c r="I100" s="9" t="s">
        <v>137</v>
      </c>
      <c r="J100" s="9"/>
      <c r="K100" s="9"/>
      <c r="L100" s="9" t="s">
        <v>138</v>
      </c>
      <c r="M100" s="12">
        <f t="shared" si="8"/>
        <v>212</v>
      </c>
      <c r="N100" s="13">
        <f t="shared" si="9"/>
        <v>8</v>
      </c>
      <c r="O100" s="14">
        <f t="shared" si="10"/>
        <v>220</v>
      </c>
      <c r="P100" s="15">
        <f t="shared" si="11"/>
        <v>0.26506024096385544</v>
      </c>
    </row>
    <row r="101" spans="1:16" ht="15.75" hidden="1" customHeight="1" x14ac:dyDescent="0.3">
      <c r="A101" s="8" t="s">
        <v>58</v>
      </c>
      <c r="B101" s="9" t="s">
        <v>159</v>
      </c>
      <c r="C101" s="9" t="s">
        <v>142</v>
      </c>
      <c r="D101" s="9" t="s">
        <v>162</v>
      </c>
      <c r="E101" s="10">
        <v>6</v>
      </c>
      <c r="F101" s="9" t="s">
        <v>161</v>
      </c>
      <c r="G101" s="11">
        <v>0</v>
      </c>
      <c r="H101" s="9" t="s">
        <v>136</v>
      </c>
      <c r="I101" s="9" t="s">
        <v>137</v>
      </c>
      <c r="J101" s="9"/>
      <c r="K101" s="9"/>
      <c r="L101" s="9" t="s">
        <v>138</v>
      </c>
      <c r="M101" s="12">
        <f t="shared" si="8"/>
        <v>212</v>
      </c>
      <c r="N101" s="13">
        <f t="shared" si="9"/>
        <v>8</v>
      </c>
      <c r="O101" s="14">
        <f t="shared" si="10"/>
        <v>220</v>
      </c>
      <c r="P101" s="15">
        <f t="shared" si="11"/>
        <v>0.26506024096385544</v>
      </c>
    </row>
    <row r="102" spans="1:16" ht="15.75" hidden="1" customHeight="1" x14ac:dyDescent="0.3">
      <c r="A102" s="8" t="s">
        <v>58</v>
      </c>
      <c r="B102" s="9" t="s">
        <v>159</v>
      </c>
      <c r="C102" s="9" t="s">
        <v>142</v>
      </c>
      <c r="D102" s="9" t="s">
        <v>163</v>
      </c>
      <c r="E102" s="10">
        <v>5</v>
      </c>
      <c r="F102" s="9" t="s">
        <v>161</v>
      </c>
      <c r="G102" s="11">
        <v>0</v>
      </c>
      <c r="H102" s="9" t="s">
        <v>136</v>
      </c>
      <c r="I102" s="9" t="s">
        <v>137</v>
      </c>
      <c r="J102" s="9"/>
      <c r="K102" s="9"/>
      <c r="L102" s="9" t="s">
        <v>138</v>
      </c>
      <c r="M102" s="12">
        <f t="shared" si="8"/>
        <v>212</v>
      </c>
      <c r="N102" s="13">
        <f t="shared" si="9"/>
        <v>8</v>
      </c>
      <c r="O102" s="14">
        <f t="shared" si="10"/>
        <v>220</v>
      </c>
      <c r="P102" s="15">
        <f t="shared" si="11"/>
        <v>0.26506024096385544</v>
      </c>
    </row>
    <row r="103" spans="1:16" ht="15.75" hidden="1" customHeight="1" x14ac:dyDescent="0.3">
      <c r="A103" s="8" t="s">
        <v>58</v>
      </c>
      <c r="B103" s="9" t="s">
        <v>159</v>
      </c>
      <c r="C103" s="9" t="s">
        <v>80</v>
      </c>
      <c r="D103" s="9" t="s">
        <v>162</v>
      </c>
      <c r="E103" s="10">
        <v>1</v>
      </c>
      <c r="F103" s="9" t="s">
        <v>161</v>
      </c>
      <c r="G103" s="11">
        <v>0</v>
      </c>
      <c r="H103" s="9" t="s">
        <v>136</v>
      </c>
      <c r="I103" s="9" t="s">
        <v>137</v>
      </c>
      <c r="J103" s="9"/>
      <c r="K103" s="9"/>
      <c r="L103" s="9" t="s">
        <v>138</v>
      </c>
      <c r="M103" s="12">
        <f t="shared" si="8"/>
        <v>212</v>
      </c>
      <c r="N103" s="13">
        <f t="shared" si="9"/>
        <v>8</v>
      </c>
      <c r="O103" s="14">
        <f t="shared" si="10"/>
        <v>220</v>
      </c>
      <c r="P103" s="15">
        <f t="shared" si="11"/>
        <v>0.26506024096385544</v>
      </c>
    </row>
    <row r="104" spans="1:16" ht="15.75" hidden="1" customHeight="1" x14ac:dyDescent="0.3">
      <c r="A104" s="8" t="s">
        <v>58</v>
      </c>
      <c r="B104" s="9" t="s">
        <v>159</v>
      </c>
      <c r="C104" s="9" t="s">
        <v>80</v>
      </c>
      <c r="D104" s="9" t="s">
        <v>163</v>
      </c>
      <c r="E104" s="10">
        <v>1</v>
      </c>
      <c r="F104" s="9" t="s">
        <v>161</v>
      </c>
      <c r="G104" s="11">
        <v>0</v>
      </c>
      <c r="H104" s="9" t="s">
        <v>136</v>
      </c>
      <c r="I104" s="9" t="s">
        <v>137</v>
      </c>
      <c r="J104" s="9"/>
      <c r="K104" s="9"/>
      <c r="L104" s="9" t="s">
        <v>138</v>
      </c>
      <c r="M104" s="12">
        <f t="shared" si="8"/>
        <v>212</v>
      </c>
      <c r="N104" s="13">
        <f t="shared" si="9"/>
        <v>8</v>
      </c>
      <c r="O104" s="14">
        <f t="shared" si="10"/>
        <v>220</v>
      </c>
      <c r="P104" s="15">
        <f t="shared" si="11"/>
        <v>0.26506024096385544</v>
      </c>
    </row>
    <row r="105" spans="1:16" ht="15.75" hidden="1" customHeight="1" x14ac:dyDescent="0.3">
      <c r="A105" s="17" t="s">
        <v>58</v>
      </c>
      <c r="B105" s="9" t="s">
        <v>164</v>
      </c>
      <c r="C105" s="9" t="s">
        <v>73</v>
      </c>
      <c r="D105" s="9" t="s">
        <v>165</v>
      </c>
      <c r="E105" s="10">
        <v>18</v>
      </c>
      <c r="F105" s="9" t="s">
        <v>166</v>
      </c>
      <c r="G105" s="10">
        <v>18</v>
      </c>
      <c r="H105" s="9" t="s">
        <v>167</v>
      </c>
      <c r="I105" s="9" t="s">
        <v>168</v>
      </c>
      <c r="J105" s="9" t="s">
        <v>4</v>
      </c>
      <c r="K105" s="9"/>
      <c r="L105" s="9" t="s">
        <v>169</v>
      </c>
      <c r="M105" s="12">
        <f t="shared" si="8"/>
        <v>456</v>
      </c>
      <c r="N105" s="13">
        <f t="shared" si="9"/>
        <v>362</v>
      </c>
      <c r="O105" s="14">
        <f t="shared" si="10"/>
        <v>818</v>
      </c>
      <c r="P105" s="15">
        <f t="shared" si="11"/>
        <v>0.98554216867469879</v>
      </c>
    </row>
    <row r="106" spans="1:16" ht="15.75" hidden="1" customHeight="1" x14ac:dyDescent="0.3">
      <c r="A106" s="17" t="s">
        <v>58</v>
      </c>
      <c r="B106" s="9" t="s">
        <v>164</v>
      </c>
      <c r="C106" s="9" t="s">
        <v>123</v>
      </c>
      <c r="D106" s="9" t="s">
        <v>165</v>
      </c>
      <c r="E106" s="10">
        <v>21</v>
      </c>
      <c r="F106" s="9" t="s">
        <v>166</v>
      </c>
      <c r="G106" s="11">
        <v>0</v>
      </c>
      <c r="H106" s="9" t="s">
        <v>167</v>
      </c>
      <c r="I106" s="9" t="s">
        <v>168</v>
      </c>
      <c r="J106" s="9" t="s">
        <v>4</v>
      </c>
      <c r="K106" s="9"/>
      <c r="L106" s="9" t="s">
        <v>169</v>
      </c>
      <c r="M106" s="12">
        <f t="shared" si="8"/>
        <v>456</v>
      </c>
      <c r="N106" s="13">
        <f t="shared" si="9"/>
        <v>362</v>
      </c>
      <c r="O106" s="14">
        <f t="shared" si="10"/>
        <v>818</v>
      </c>
      <c r="P106" s="15">
        <f t="shared" si="11"/>
        <v>0.98554216867469879</v>
      </c>
    </row>
    <row r="107" spans="1:16" ht="15.75" hidden="1" customHeight="1" x14ac:dyDescent="0.3">
      <c r="A107" s="17" t="s">
        <v>58</v>
      </c>
      <c r="B107" s="9" t="s">
        <v>164</v>
      </c>
      <c r="C107" s="9" t="s">
        <v>87</v>
      </c>
      <c r="D107" s="9" t="s">
        <v>165</v>
      </c>
      <c r="E107" s="10">
        <v>2</v>
      </c>
      <c r="F107" s="9" t="s">
        <v>166</v>
      </c>
      <c r="G107" s="11">
        <v>0</v>
      </c>
      <c r="H107" s="9" t="s">
        <v>167</v>
      </c>
      <c r="I107" s="9" t="s">
        <v>168</v>
      </c>
      <c r="J107" s="9" t="s">
        <v>4</v>
      </c>
      <c r="K107" s="9"/>
      <c r="L107" s="9" t="s">
        <v>169</v>
      </c>
      <c r="M107" s="12">
        <f t="shared" si="8"/>
        <v>456</v>
      </c>
      <c r="N107" s="13">
        <f t="shared" si="9"/>
        <v>362</v>
      </c>
      <c r="O107" s="14">
        <f t="shared" si="10"/>
        <v>818</v>
      </c>
      <c r="P107" s="15">
        <f t="shared" si="11"/>
        <v>0.98554216867469879</v>
      </c>
    </row>
    <row r="108" spans="1:16" ht="15.75" hidden="1" customHeight="1" x14ac:dyDescent="0.3">
      <c r="A108" s="17" t="s">
        <v>58</v>
      </c>
      <c r="B108" s="9" t="s">
        <v>164</v>
      </c>
      <c r="C108" s="9" t="s">
        <v>79</v>
      </c>
      <c r="D108" s="9" t="s">
        <v>165</v>
      </c>
      <c r="E108" s="10">
        <v>62</v>
      </c>
      <c r="F108" s="9" t="s">
        <v>166</v>
      </c>
      <c r="G108" s="10">
        <v>62</v>
      </c>
      <c r="H108" s="9" t="s">
        <v>167</v>
      </c>
      <c r="I108" s="9" t="s">
        <v>168</v>
      </c>
      <c r="J108" s="9" t="s">
        <v>4</v>
      </c>
      <c r="K108" s="9"/>
      <c r="L108" s="9" t="s">
        <v>169</v>
      </c>
      <c r="M108" s="12">
        <f t="shared" si="8"/>
        <v>456</v>
      </c>
      <c r="N108" s="13">
        <f t="shared" si="9"/>
        <v>362</v>
      </c>
      <c r="O108" s="14">
        <f t="shared" si="10"/>
        <v>818</v>
      </c>
      <c r="P108" s="15">
        <f t="shared" si="11"/>
        <v>0.98554216867469879</v>
      </c>
    </row>
    <row r="109" spans="1:16" ht="15.75" hidden="1" customHeight="1" x14ac:dyDescent="0.3">
      <c r="A109" s="17" t="s">
        <v>58</v>
      </c>
      <c r="B109" s="9" t="s">
        <v>164</v>
      </c>
      <c r="C109" s="9" t="s">
        <v>80</v>
      </c>
      <c r="D109" s="9" t="s">
        <v>165</v>
      </c>
      <c r="E109" s="10">
        <v>1</v>
      </c>
      <c r="F109" s="9" t="s">
        <v>166</v>
      </c>
      <c r="G109" s="11">
        <v>0</v>
      </c>
      <c r="H109" s="9" t="s">
        <v>167</v>
      </c>
      <c r="I109" s="9" t="s">
        <v>168</v>
      </c>
      <c r="J109" s="9" t="s">
        <v>4</v>
      </c>
      <c r="K109" s="9"/>
      <c r="L109" s="9" t="s">
        <v>169</v>
      </c>
      <c r="M109" s="12">
        <f t="shared" si="8"/>
        <v>456</v>
      </c>
      <c r="N109" s="13">
        <f t="shared" si="9"/>
        <v>362</v>
      </c>
      <c r="O109" s="14">
        <f t="shared" si="10"/>
        <v>818</v>
      </c>
      <c r="P109" s="15">
        <f t="shared" si="11"/>
        <v>0.98554216867469879</v>
      </c>
    </row>
    <row r="110" spans="1:16" ht="15.75" hidden="1" customHeight="1" x14ac:dyDescent="0.3">
      <c r="A110" s="17" t="s">
        <v>58</v>
      </c>
      <c r="B110" s="9" t="s">
        <v>170</v>
      </c>
      <c r="C110" s="9" t="s">
        <v>73</v>
      </c>
      <c r="D110" s="9" t="s">
        <v>165</v>
      </c>
      <c r="E110" s="10">
        <v>12</v>
      </c>
      <c r="F110" s="9" t="s">
        <v>166</v>
      </c>
      <c r="G110" s="10">
        <v>12</v>
      </c>
      <c r="H110" s="9" t="s">
        <v>171</v>
      </c>
      <c r="I110" s="9" t="s">
        <v>172</v>
      </c>
      <c r="J110" s="9" t="s">
        <v>8</v>
      </c>
      <c r="K110" s="9"/>
      <c r="L110" s="9" t="s">
        <v>130</v>
      </c>
      <c r="M110" s="12">
        <f t="shared" si="8"/>
        <v>339</v>
      </c>
      <c r="N110" s="13">
        <f t="shared" si="9"/>
        <v>296</v>
      </c>
      <c r="O110" s="14">
        <f t="shared" si="10"/>
        <v>635</v>
      </c>
      <c r="P110" s="15">
        <f t="shared" si="11"/>
        <v>0.76506024096385539</v>
      </c>
    </row>
    <row r="111" spans="1:16" ht="15.75" hidden="1" customHeight="1" x14ac:dyDescent="0.3">
      <c r="A111" s="17" t="s">
        <v>58</v>
      </c>
      <c r="B111" s="9" t="s">
        <v>170</v>
      </c>
      <c r="C111" s="9" t="s">
        <v>79</v>
      </c>
      <c r="D111" s="9" t="s">
        <v>165</v>
      </c>
      <c r="E111" s="10">
        <v>42</v>
      </c>
      <c r="F111" s="9" t="s">
        <v>166</v>
      </c>
      <c r="G111" s="10">
        <v>42</v>
      </c>
      <c r="H111" s="9" t="s">
        <v>171</v>
      </c>
      <c r="I111" s="9" t="s">
        <v>172</v>
      </c>
      <c r="J111" s="9" t="s">
        <v>8</v>
      </c>
      <c r="K111" s="9"/>
      <c r="L111" s="9" t="s">
        <v>130</v>
      </c>
      <c r="M111" s="12">
        <f t="shared" si="8"/>
        <v>339</v>
      </c>
      <c r="N111" s="13">
        <f t="shared" si="9"/>
        <v>296</v>
      </c>
      <c r="O111" s="14">
        <f t="shared" si="10"/>
        <v>635</v>
      </c>
      <c r="P111" s="15">
        <f t="shared" si="11"/>
        <v>0.76506024096385539</v>
      </c>
    </row>
    <row r="112" spans="1:16" ht="15.75" hidden="1" customHeight="1" x14ac:dyDescent="0.3">
      <c r="A112" s="17" t="s">
        <v>58</v>
      </c>
      <c r="B112" s="9" t="s">
        <v>170</v>
      </c>
      <c r="C112" s="9" t="s">
        <v>111</v>
      </c>
      <c r="D112" s="9" t="s">
        <v>165</v>
      </c>
      <c r="E112" s="10">
        <v>4</v>
      </c>
      <c r="F112" s="9" t="s">
        <v>166</v>
      </c>
      <c r="G112" s="11">
        <v>0</v>
      </c>
      <c r="H112" s="9" t="s">
        <v>171</v>
      </c>
      <c r="I112" s="9" t="s">
        <v>172</v>
      </c>
      <c r="J112" s="9" t="s">
        <v>8</v>
      </c>
      <c r="K112" s="9"/>
      <c r="L112" s="9" t="s">
        <v>130</v>
      </c>
      <c r="M112" s="12">
        <f t="shared" si="8"/>
        <v>339</v>
      </c>
      <c r="N112" s="13">
        <f t="shared" si="9"/>
        <v>296</v>
      </c>
      <c r="O112" s="14">
        <f t="shared" si="10"/>
        <v>635</v>
      </c>
      <c r="P112" s="15">
        <f t="shared" si="11"/>
        <v>0.76506024096385539</v>
      </c>
    </row>
    <row r="113" spans="1:16" ht="15.75" hidden="1" customHeight="1" x14ac:dyDescent="0.3">
      <c r="A113" s="17" t="s">
        <v>58</v>
      </c>
      <c r="B113" s="9" t="s">
        <v>170</v>
      </c>
      <c r="C113" s="9" t="s">
        <v>80</v>
      </c>
      <c r="D113" s="9" t="s">
        <v>165</v>
      </c>
      <c r="E113" s="10">
        <v>3</v>
      </c>
      <c r="F113" s="9" t="s">
        <v>166</v>
      </c>
      <c r="G113" s="11">
        <v>0</v>
      </c>
      <c r="H113" s="9" t="s">
        <v>171</v>
      </c>
      <c r="I113" s="9" t="s">
        <v>172</v>
      </c>
      <c r="J113" s="9" t="s">
        <v>8</v>
      </c>
      <c r="K113" s="9"/>
      <c r="L113" s="9" t="s">
        <v>130</v>
      </c>
      <c r="M113" s="12">
        <f t="shared" si="8"/>
        <v>339</v>
      </c>
      <c r="N113" s="13">
        <f t="shared" si="9"/>
        <v>296</v>
      </c>
      <c r="O113" s="14">
        <f t="shared" si="10"/>
        <v>635</v>
      </c>
      <c r="P113" s="15">
        <f t="shared" si="11"/>
        <v>0.76506024096385539</v>
      </c>
    </row>
    <row r="114" spans="1:16" ht="15.75" hidden="1" customHeight="1" x14ac:dyDescent="0.3">
      <c r="A114" s="8" t="s">
        <v>58</v>
      </c>
      <c r="B114" s="9" t="s">
        <v>173</v>
      </c>
      <c r="C114" s="9" t="s">
        <v>73</v>
      </c>
      <c r="D114" s="9" t="s">
        <v>165</v>
      </c>
      <c r="E114" s="10">
        <v>18</v>
      </c>
      <c r="F114" s="9" t="s">
        <v>166</v>
      </c>
      <c r="G114" s="10">
        <v>18</v>
      </c>
      <c r="H114" s="9" t="s">
        <v>174</v>
      </c>
      <c r="I114" s="9" t="s">
        <v>175</v>
      </c>
      <c r="J114" s="9" t="s">
        <v>8</v>
      </c>
      <c r="K114" s="9"/>
      <c r="L114" s="9"/>
      <c r="M114" s="12">
        <f t="shared" si="8"/>
        <v>320</v>
      </c>
      <c r="N114" s="13">
        <f t="shared" si="9"/>
        <v>169</v>
      </c>
      <c r="O114" s="14">
        <f t="shared" si="10"/>
        <v>489</v>
      </c>
      <c r="P114" s="15">
        <f t="shared" si="11"/>
        <v>0.58915662650602407</v>
      </c>
    </row>
    <row r="115" spans="1:16" ht="15.75" hidden="1" customHeight="1" x14ac:dyDescent="0.3">
      <c r="A115" s="8" t="s">
        <v>58</v>
      </c>
      <c r="B115" s="9" t="s">
        <v>173</v>
      </c>
      <c r="C115" s="9" t="s">
        <v>79</v>
      </c>
      <c r="D115" s="9" t="s">
        <v>165</v>
      </c>
      <c r="E115" s="10">
        <v>36</v>
      </c>
      <c r="F115" s="9" t="s">
        <v>166</v>
      </c>
      <c r="G115" s="10">
        <v>36</v>
      </c>
      <c r="H115" s="9" t="s">
        <v>174</v>
      </c>
      <c r="I115" s="9" t="s">
        <v>175</v>
      </c>
      <c r="J115" s="9" t="s">
        <v>8</v>
      </c>
      <c r="K115" s="9"/>
      <c r="L115" s="9"/>
      <c r="M115" s="12">
        <f t="shared" si="8"/>
        <v>320</v>
      </c>
      <c r="N115" s="13">
        <f t="shared" si="9"/>
        <v>169</v>
      </c>
      <c r="O115" s="14">
        <f t="shared" si="10"/>
        <v>489</v>
      </c>
      <c r="P115" s="15">
        <f t="shared" si="11"/>
        <v>0.58915662650602407</v>
      </c>
    </row>
    <row r="116" spans="1:16" ht="15.75" hidden="1" customHeight="1" x14ac:dyDescent="0.3">
      <c r="A116" s="8" t="s">
        <v>58</v>
      </c>
      <c r="B116" s="9" t="s">
        <v>173</v>
      </c>
      <c r="C116" s="9" t="s">
        <v>111</v>
      </c>
      <c r="D116" s="9" t="s">
        <v>165</v>
      </c>
      <c r="E116" s="10">
        <v>4</v>
      </c>
      <c r="F116" s="9" t="s">
        <v>166</v>
      </c>
      <c r="G116" s="11">
        <v>0</v>
      </c>
      <c r="H116" s="9" t="s">
        <v>174</v>
      </c>
      <c r="I116" s="9" t="s">
        <v>175</v>
      </c>
      <c r="J116" s="9" t="s">
        <v>8</v>
      </c>
      <c r="K116" s="9"/>
      <c r="L116" s="9"/>
      <c r="M116" s="12">
        <f t="shared" si="8"/>
        <v>320</v>
      </c>
      <c r="N116" s="13">
        <f t="shared" si="9"/>
        <v>169</v>
      </c>
      <c r="O116" s="14">
        <f t="shared" si="10"/>
        <v>489</v>
      </c>
      <c r="P116" s="15">
        <f t="shared" si="11"/>
        <v>0.58915662650602407</v>
      </c>
    </row>
    <row r="117" spans="1:16" ht="15.75" hidden="1" customHeight="1" x14ac:dyDescent="0.3">
      <c r="A117" s="8" t="s">
        <v>58</v>
      </c>
      <c r="B117" s="9" t="s">
        <v>173</v>
      </c>
      <c r="C117" s="9" t="s">
        <v>80</v>
      </c>
      <c r="D117" s="9" t="s">
        <v>165</v>
      </c>
      <c r="E117" s="10">
        <v>3</v>
      </c>
      <c r="F117" s="9" t="s">
        <v>166</v>
      </c>
      <c r="G117" s="11">
        <v>0</v>
      </c>
      <c r="H117" s="9" t="s">
        <v>174</v>
      </c>
      <c r="I117" s="9" t="s">
        <v>175</v>
      </c>
      <c r="J117" s="9" t="s">
        <v>8</v>
      </c>
      <c r="K117" s="9"/>
      <c r="L117" s="9"/>
      <c r="M117" s="12">
        <f t="shared" si="8"/>
        <v>320</v>
      </c>
      <c r="N117" s="13">
        <f t="shared" si="9"/>
        <v>169</v>
      </c>
      <c r="O117" s="14">
        <f t="shared" si="10"/>
        <v>489</v>
      </c>
      <c r="P117" s="15">
        <f t="shared" si="11"/>
        <v>0.58915662650602407</v>
      </c>
    </row>
    <row r="118" spans="1:16" ht="15.75" hidden="1" customHeight="1" x14ac:dyDescent="0.3">
      <c r="A118" s="8" t="s">
        <v>58</v>
      </c>
      <c r="B118" s="9" t="s">
        <v>176</v>
      </c>
      <c r="C118" s="9" t="s">
        <v>73</v>
      </c>
      <c r="D118" s="9" t="s">
        <v>177</v>
      </c>
      <c r="E118" s="10">
        <v>24</v>
      </c>
      <c r="F118" s="9" t="s">
        <v>178</v>
      </c>
      <c r="G118" s="10">
        <v>24</v>
      </c>
      <c r="H118" s="9" t="s">
        <v>179</v>
      </c>
      <c r="I118" s="9" t="s">
        <v>180</v>
      </c>
      <c r="J118" s="9" t="s">
        <v>4</v>
      </c>
      <c r="K118" s="9"/>
      <c r="L118" s="9" t="s">
        <v>181</v>
      </c>
      <c r="M118" s="12">
        <f t="shared" si="8"/>
        <v>703</v>
      </c>
      <c r="N118" s="13">
        <f t="shared" si="9"/>
        <v>201.5</v>
      </c>
      <c r="O118" s="14">
        <f t="shared" si="10"/>
        <v>904.5</v>
      </c>
      <c r="P118" s="15">
        <f t="shared" si="11"/>
        <v>1.0897590361445784</v>
      </c>
    </row>
    <row r="119" spans="1:16" ht="15.75" hidden="1" customHeight="1" x14ac:dyDescent="0.3">
      <c r="A119" s="8" t="s">
        <v>58</v>
      </c>
      <c r="B119" s="9" t="s">
        <v>176</v>
      </c>
      <c r="C119" s="9" t="s">
        <v>87</v>
      </c>
      <c r="D119" s="9" t="s">
        <v>162</v>
      </c>
      <c r="E119" s="10">
        <v>6</v>
      </c>
      <c r="F119" s="9" t="s">
        <v>178</v>
      </c>
      <c r="G119" s="11">
        <v>0</v>
      </c>
      <c r="H119" s="9" t="s">
        <v>179</v>
      </c>
      <c r="I119" s="9" t="s">
        <v>180</v>
      </c>
      <c r="J119" s="9" t="s">
        <v>4</v>
      </c>
      <c r="K119" s="9"/>
      <c r="L119" s="9" t="s">
        <v>181</v>
      </c>
      <c r="M119" s="12">
        <f t="shared" si="8"/>
        <v>703</v>
      </c>
      <c r="N119" s="13">
        <f t="shared" si="9"/>
        <v>201.5</v>
      </c>
      <c r="O119" s="14">
        <f t="shared" si="10"/>
        <v>904.5</v>
      </c>
      <c r="P119" s="15">
        <f t="shared" si="11"/>
        <v>1.0897590361445784</v>
      </c>
    </row>
    <row r="120" spans="1:16" ht="15.75" hidden="1" customHeight="1" x14ac:dyDescent="0.3">
      <c r="A120" s="8" t="s">
        <v>58</v>
      </c>
      <c r="B120" s="9" t="s">
        <v>176</v>
      </c>
      <c r="C120" s="9" t="s">
        <v>87</v>
      </c>
      <c r="D120" s="9" t="s">
        <v>163</v>
      </c>
      <c r="E120" s="10">
        <v>5</v>
      </c>
      <c r="F120" s="9" t="s">
        <v>178</v>
      </c>
      <c r="G120" s="11">
        <v>0</v>
      </c>
      <c r="H120" s="9" t="s">
        <v>179</v>
      </c>
      <c r="I120" s="9" t="s">
        <v>180</v>
      </c>
      <c r="J120" s="9" t="s">
        <v>4</v>
      </c>
      <c r="K120" s="9"/>
      <c r="L120" s="9" t="s">
        <v>181</v>
      </c>
      <c r="M120" s="12">
        <f t="shared" si="8"/>
        <v>703</v>
      </c>
      <c r="N120" s="13">
        <f t="shared" si="9"/>
        <v>201.5</v>
      </c>
      <c r="O120" s="14">
        <f t="shared" si="10"/>
        <v>904.5</v>
      </c>
      <c r="P120" s="15">
        <f t="shared" si="11"/>
        <v>1.0897590361445784</v>
      </c>
    </row>
    <row r="121" spans="1:16" ht="15.75" hidden="1" customHeight="1" x14ac:dyDescent="0.3">
      <c r="A121" s="8" t="s">
        <v>58</v>
      </c>
      <c r="B121" s="9" t="s">
        <v>176</v>
      </c>
      <c r="C121" s="9" t="s">
        <v>79</v>
      </c>
      <c r="D121" s="9" t="s">
        <v>182</v>
      </c>
      <c r="E121" s="10">
        <v>8</v>
      </c>
      <c r="F121" s="9" t="s">
        <v>178</v>
      </c>
      <c r="G121" s="10">
        <v>8</v>
      </c>
      <c r="H121" s="9" t="s">
        <v>179</v>
      </c>
      <c r="I121" s="9" t="s">
        <v>180</v>
      </c>
      <c r="J121" s="9" t="s">
        <v>4</v>
      </c>
      <c r="K121" s="9"/>
      <c r="L121" s="9" t="s">
        <v>181</v>
      </c>
      <c r="M121" s="12">
        <f t="shared" si="8"/>
        <v>703</v>
      </c>
      <c r="N121" s="13">
        <f t="shared" si="9"/>
        <v>201.5</v>
      </c>
      <c r="O121" s="14">
        <f t="shared" si="10"/>
        <v>904.5</v>
      </c>
      <c r="P121" s="15">
        <f t="shared" si="11"/>
        <v>1.0897590361445784</v>
      </c>
    </row>
    <row r="122" spans="1:16" ht="15.75" hidden="1" customHeight="1" x14ac:dyDescent="0.3">
      <c r="A122" s="8" t="s">
        <v>58</v>
      </c>
      <c r="B122" s="9" t="s">
        <v>176</v>
      </c>
      <c r="C122" s="9" t="s">
        <v>79</v>
      </c>
      <c r="D122" s="9" t="s">
        <v>183</v>
      </c>
      <c r="E122" s="10">
        <v>8</v>
      </c>
      <c r="F122" s="9" t="s">
        <v>178</v>
      </c>
      <c r="G122" s="10">
        <v>8</v>
      </c>
      <c r="H122" s="9" t="s">
        <v>179</v>
      </c>
      <c r="I122" s="9" t="s">
        <v>180</v>
      </c>
      <c r="J122" s="9" t="s">
        <v>4</v>
      </c>
      <c r="K122" s="9"/>
      <c r="L122" s="9" t="s">
        <v>181</v>
      </c>
      <c r="M122" s="12">
        <f t="shared" si="8"/>
        <v>703</v>
      </c>
      <c r="N122" s="13">
        <f t="shared" si="9"/>
        <v>201.5</v>
      </c>
      <c r="O122" s="14">
        <f t="shared" si="10"/>
        <v>904.5</v>
      </c>
      <c r="P122" s="15">
        <f t="shared" si="11"/>
        <v>1.0897590361445784</v>
      </c>
    </row>
    <row r="123" spans="1:16" ht="15.75" hidden="1" customHeight="1" x14ac:dyDescent="0.3">
      <c r="A123" s="8" t="s">
        <v>58</v>
      </c>
      <c r="B123" s="9" t="s">
        <v>176</v>
      </c>
      <c r="C123" s="9" t="s">
        <v>79</v>
      </c>
      <c r="D123" s="9" t="s">
        <v>162</v>
      </c>
      <c r="E123" s="10">
        <v>8</v>
      </c>
      <c r="F123" s="9" t="s">
        <v>178</v>
      </c>
      <c r="G123" s="10">
        <v>8</v>
      </c>
      <c r="H123" s="9" t="s">
        <v>179</v>
      </c>
      <c r="I123" s="9" t="s">
        <v>180</v>
      </c>
      <c r="J123" s="9" t="s">
        <v>4</v>
      </c>
      <c r="K123" s="9"/>
      <c r="L123" s="9" t="s">
        <v>181</v>
      </c>
      <c r="M123" s="12">
        <f t="shared" si="8"/>
        <v>703</v>
      </c>
      <c r="N123" s="13">
        <f t="shared" si="9"/>
        <v>201.5</v>
      </c>
      <c r="O123" s="14">
        <f t="shared" si="10"/>
        <v>904.5</v>
      </c>
      <c r="P123" s="15">
        <f t="shared" si="11"/>
        <v>1.0897590361445784</v>
      </c>
    </row>
    <row r="124" spans="1:16" ht="15.75" hidden="1" customHeight="1" x14ac:dyDescent="0.3">
      <c r="A124" s="8" t="s">
        <v>58</v>
      </c>
      <c r="B124" s="9" t="s">
        <v>176</v>
      </c>
      <c r="C124" s="9" t="s">
        <v>79</v>
      </c>
      <c r="D124" s="9" t="s">
        <v>184</v>
      </c>
      <c r="E124" s="10">
        <v>8</v>
      </c>
      <c r="F124" s="9" t="s">
        <v>178</v>
      </c>
      <c r="G124" s="10">
        <v>8</v>
      </c>
      <c r="H124" s="9" t="s">
        <v>179</v>
      </c>
      <c r="I124" s="9" t="s">
        <v>180</v>
      </c>
      <c r="J124" s="9" t="s">
        <v>4</v>
      </c>
      <c r="K124" s="9"/>
      <c r="L124" s="9" t="s">
        <v>181</v>
      </c>
      <c r="M124" s="12">
        <f t="shared" si="8"/>
        <v>703</v>
      </c>
      <c r="N124" s="13">
        <f t="shared" si="9"/>
        <v>201.5</v>
      </c>
      <c r="O124" s="14">
        <f t="shared" si="10"/>
        <v>904.5</v>
      </c>
      <c r="P124" s="15">
        <f t="shared" si="11"/>
        <v>1.0897590361445784</v>
      </c>
    </row>
    <row r="125" spans="1:16" ht="15.75" hidden="1" customHeight="1" x14ac:dyDescent="0.3">
      <c r="A125" s="8" t="s">
        <v>58</v>
      </c>
      <c r="B125" s="9" t="s">
        <v>176</v>
      </c>
      <c r="C125" s="9" t="s">
        <v>79</v>
      </c>
      <c r="D125" s="9" t="s">
        <v>185</v>
      </c>
      <c r="E125" s="10">
        <v>8</v>
      </c>
      <c r="F125" s="9" t="s">
        <v>178</v>
      </c>
      <c r="G125" s="10">
        <v>8</v>
      </c>
      <c r="H125" s="9" t="s">
        <v>179</v>
      </c>
      <c r="I125" s="9" t="s">
        <v>180</v>
      </c>
      <c r="J125" s="9" t="s">
        <v>4</v>
      </c>
      <c r="K125" s="9"/>
      <c r="L125" s="9" t="s">
        <v>181</v>
      </c>
      <c r="M125" s="12">
        <f t="shared" si="8"/>
        <v>703</v>
      </c>
      <c r="N125" s="13">
        <f t="shared" si="9"/>
        <v>201.5</v>
      </c>
      <c r="O125" s="14">
        <f t="shared" si="10"/>
        <v>904.5</v>
      </c>
      <c r="P125" s="15">
        <f t="shared" si="11"/>
        <v>1.0897590361445784</v>
      </c>
    </row>
    <row r="126" spans="1:16" ht="15.75" hidden="1" customHeight="1" x14ac:dyDescent="0.3">
      <c r="A126" s="8" t="s">
        <v>58</v>
      </c>
      <c r="B126" s="9" t="s">
        <v>176</v>
      </c>
      <c r="C126" s="9" t="s">
        <v>79</v>
      </c>
      <c r="D126" s="9" t="s">
        <v>163</v>
      </c>
      <c r="E126" s="10">
        <v>8</v>
      </c>
      <c r="F126" s="9" t="s">
        <v>178</v>
      </c>
      <c r="G126" s="10">
        <v>8</v>
      </c>
      <c r="H126" s="9" t="s">
        <v>179</v>
      </c>
      <c r="I126" s="9" t="s">
        <v>180</v>
      </c>
      <c r="J126" s="9" t="s">
        <v>4</v>
      </c>
      <c r="K126" s="9"/>
      <c r="L126" s="9" t="s">
        <v>181</v>
      </c>
      <c r="M126" s="12">
        <f t="shared" si="8"/>
        <v>703</v>
      </c>
      <c r="N126" s="13">
        <f t="shared" si="9"/>
        <v>201.5</v>
      </c>
      <c r="O126" s="14">
        <f t="shared" si="10"/>
        <v>904.5</v>
      </c>
      <c r="P126" s="15">
        <f t="shared" si="11"/>
        <v>1.0897590361445784</v>
      </c>
    </row>
    <row r="127" spans="1:16" ht="15.75" hidden="1" customHeight="1" x14ac:dyDescent="0.3">
      <c r="A127" s="8" t="s">
        <v>58</v>
      </c>
      <c r="B127" s="9" t="s">
        <v>176</v>
      </c>
      <c r="C127" s="9" t="s">
        <v>100</v>
      </c>
      <c r="D127" s="9" t="s">
        <v>182</v>
      </c>
      <c r="E127" s="10">
        <v>48</v>
      </c>
      <c r="F127" s="9" t="s">
        <v>178</v>
      </c>
      <c r="G127" s="10">
        <v>24</v>
      </c>
      <c r="H127" s="9" t="s">
        <v>179</v>
      </c>
      <c r="I127" s="9" t="s">
        <v>180</v>
      </c>
      <c r="J127" s="9" t="s">
        <v>4</v>
      </c>
      <c r="K127" s="9"/>
      <c r="L127" s="9" t="s">
        <v>181</v>
      </c>
      <c r="M127" s="12">
        <f t="shared" si="8"/>
        <v>703</v>
      </c>
      <c r="N127" s="13">
        <f t="shared" si="9"/>
        <v>201.5</v>
      </c>
      <c r="O127" s="14">
        <f t="shared" si="10"/>
        <v>904.5</v>
      </c>
      <c r="P127" s="15">
        <f t="shared" si="11"/>
        <v>1.0897590361445784</v>
      </c>
    </row>
    <row r="128" spans="1:16" ht="15.75" hidden="1" customHeight="1" x14ac:dyDescent="0.3">
      <c r="A128" s="8" t="s">
        <v>58</v>
      </c>
      <c r="B128" s="9" t="s">
        <v>176</v>
      </c>
      <c r="C128" s="9" t="s">
        <v>100</v>
      </c>
      <c r="D128" s="9" t="s">
        <v>183</v>
      </c>
      <c r="E128" s="10">
        <v>24</v>
      </c>
      <c r="F128" s="9" t="s">
        <v>178</v>
      </c>
      <c r="G128" s="10">
        <v>24</v>
      </c>
      <c r="H128" s="9" t="s">
        <v>179</v>
      </c>
      <c r="I128" s="9" t="s">
        <v>180</v>
      </c>
      <c r="J128" s="9" t="s">
        <v>4</v>
      </c>
      <c r="K128" s="9"/>
      <c r="L128" s="9" t="s">
        <v>181</v>
      </c>
      <c r="M128" s="12">
        <f t="shared" si="8"/>
        <v>703</v>
      </c>
      <c r="N128" s="13">
        <f t="shared" si="9"/>
        <v>201.5</v>
      </c>
      <c r="O128" s="14">
        <f t="shared" si="10"/>
        <v>904.5</v>
      </c>
      <c r="P128" s="15">
        <f t="shared" si="11"/>
        <v>1.0897590361445784</v>
      </c>
    </row>
    <row r="129" spans="1:16" ht="15.75" hidden="1" customHeight="1" x14ac:dyDescent="0.3">
      <c r="A129" s="8" t="s">
        <v>58</v>
      </c>
      <c r="B129" s="9" t="s">
        <v>176</v>
      </c>
      <c r="C129" s="9" t="s">
        <v>100</v>
      </c>
      <c r="D129" s="9" t="s">
        <v>162</v>
      </c>
      <c r="E129" s="10">
        <v>48</v>
      </c>
      <c r="F129" s="9" t="s">
        <v>178</v>
      </c>
      <c r="G129" s="10">
        <v>24</v>
      </c>
      <c r="H129" s="9" t="s">
        <v>186</v>
      </c>
      <c r="I129" s="9" t="s">
        <v>187</v>
      </c>
      <c r="J129" s="9"/>
      <c r="K129" s="9"/>
      <c r="L129" s="9"/>
      <c r="M129" s="12">
        <f t="shared" si="8"/>
        <v>87</v>
      </c>
      <c r="N129" s="13">
        <f t="shared" si="9"/>
        <v>111.5</v>
      </c>
      <c r="O129" s="14">
        <f t="shared" si="10"/>
        <v>198.5</v>
      </c>
      <c r="P129" s="15">
        <f t="shared" si="11"/>
        <v>0.23915662650602409</v>
      </c>
    </row>
    <row r="130" spans="1:16" ht="15.75" hidden="1" customHeight="1" x14ac:dyDescent="0.3">
      <c r="A130" s="8" t="s">
        <v>58</v>
      </c>
      <c r="B130" s="9" t="s">
        <v>176</v>
      </c>
      <c r="C130" s="9" t="s">
        <v>100</v>
      </c>
      <c r="D130" s="9" t="s">
        <v>184</v>
      </c>
      <c r="E130" s="10">
        <v>48</v>
      </c>
      <c r="F130" s="9" t="s">
        <v>178</v>
      </c>
      <c r="G130" s="10">
        <v>24</v>
      </c>
      <c r="H130" s="9" t="s">
        <v>179</v>
      </c>
      <c r="I130" s="9" t="s">
        <v>180</v>
      </c>
      <c r="J130" s="9" t="s">
        <v>4</v>
      </c>
      <c r="K130" s="9"/>
      <c r="L130" s="9" t="s">
        <v>181</v>
      </c>
      <c r="M130" s="12">
        <f t="shared" si="8"/>
        <v>703</v>
      </c>
      <c r="N130" s="13">
        <f t="shared" si="9"/>
        <v>201.5</v>
      </c>
      <c r="O130" s="14">
        <f t="shared" si="10"/>
        <v>904.5</v>
      </c>
      <c r="P130" s="15">
        <f t="shared" si="11"/>
        <v>1.0897590361445784</v>
      </c>
    </row>
    <row r="131" spans="1:16" ht="15.75" hidden="1" customHeight="1" x14ac:dyDescent="0.3">
      <c r="A131" s="8" t="s">
        <v>58</v>
      </c>
      <c r="B131" s="9" t="s">
        <v>176</v>
      </c>
      <c r="C131" s="9" t="s">
        <v>100</v>
      </c>
      <c r="D131" s="9" t="s">
        <v>185</v>
      </c>
      <c r="E131" s="10">
        <v>48</v>
      </c>
      <c r="F131" s="9" t="s">
        <v>178</v>
      </c>
      <c r="G131" s="10">
        <v>24</v>
      </c>
      <c r="H131" s="9" t="s">
        <v>179</v>
      </c>
      <c r="I131" s="9" t="s">
        <v>180</v>
      </c>
      <c r="J131" s="9" t="s">
        <v>4</v>
      </c>
      <c r="K131" s="9"/>
      <c r="L131" s="9" t="s">
        <v>181</v>
      </c>
      <c r="M131" s="12">
        <f t="shared" si="8"/>
        <v>703</v>
      </c>
      <c r="N131" s="13">
        <f t="shared" si="9"/>
        <v>201.5</v>
      </c>
      <c r="O131" s="14">
        <f t="shared" si="10"/>
        <v>904.5</v>
      </c>
      <c r="P131" s="15">
        <f t="shared" si="11"/>
        <v>1.0897590361445784</v>
      </c>
    </row>
    <row r="132" spans="1:16" ht="15.75" hidden="1" customHeight="1" x14ac:dyDescent="0.3">
      <c r="A132" s="8" t="s">
        <v>58</v>
      </c>
      <c r="B132" s="9" t="s">
        <v>176</v>
      </c>
      <c r="C132" s="9" t="s">
        <v>100</v>
      </c>
      <c r="D132" s="9" t="s">
        <v>163</v>
      </c>
      <c r="E132" s="10">
        <v>24</v>
      </c>
      <c r="F132" s="9" t="s">
        <v>178</v>
      </c>
      <c r="G132" s="10">
        <v>24</v>
      </c>
      <c r="H132" s="9" t="s">
        <v>179</v>
      </c>
      <c r="I132" s="9" t="s">
        <v>180</v>
      </c>
      <c r="J132" s="9" t="s">
        <v>4</v>
      </c>
      <c r="K132" s="9"/>
      <c r="L132" s="9" t="s">
        <v>181</v>
      </c>
      <c r="M132" s="12">
        <f t="shared" si="8"/>
        <v>703</v>
      </c>
      <c r="N132" s="13">
        <f t="shared" si="9"/>
        <v>201.5</v>
      </c>
      <c r="O132" s="14">
        <f t="shared" si="10"/>
        <v>904.5</v>
      </c>
      <c r="P132" s="15">
        <f t="shared" si="11"/>
        <v>1.0897590361445784</v>
      </c>
    </row>
    <row r="133" spans="1:16" ht="15.75" hidden="1" customHeight="1" x14ac:dyDescent="0.3">
      <c r="A133" s="8" t="s">
        <v>58</v>
      </c>
      <c r="B133" s="9" t="s">
        <v>176</v>
      </c>
      <c r="C133" s="9" t="s">
        <v>111</v>
      </c>
      <c r="D133" s="9" t="s">
        <v>182</v>
      </c>
      <c r="E133" s="10">
        <v>10</v>
      </c>
      <c r="F133" s="9" t="s">
        <v>178</v>
      </c>
      <c r="G133" s="11">
        <v>0</v>
      </c>
      <c r="H133" s="9" t="s">
        <v>179</v>
      </c>
      <c r="I133" s="9" t="s">
        <v>180</v>
      </c>
      <c r="J133" s="9" t="s">
        <v>4</v>
      </c>
      <c r="K133" s="9"/>
      <c r="L133" s="9" t="s">
        <v>181</v>
      </c>
      <c r="M133" s="12">
        <f t="shared" si="8"/>
        <v>703</v>
      </c>
      <c r="N133" s="13">
        <f t="shared" si="9"/>
        <v>201.5</v>
      </c>
      <c r="O133" s="14">
        <f t="shared" si="10"/>
        <v>904.5</v>
      </c>
      <c r="P133" s="15">
        <f t="shared" si="11"/>
        <v>1.0897590361445784</v>
      </c>
    </row>
    <row r="134" spans="1:16" ht="15.75" hidden="1" customHeight="1" x14ac:dyDescent="0.3">
      <c r="A134" s="8" t="s">
        <v>58</v>
      </c>
      <c r="B134" s="9" t="s">
        <v>176</v>
      </c>
      <c r="C134" s="9" t="s">
        <v>111</v>
      </c>
      <c r="D134" s="9" t="s">
        <v>183</v>
      </c>
      <c r="E134" s="10">
        <v>8</v>
      </c>
      <c r="F134" s="9" t="s">
        <v>178</v>
      </c>
      <c r="G134" s="11">
        <v>0</v>
      </c>
      <c r="H134" s="9" t="s">
        <v>179</v>
      </c>
      <c r="I134" s="9" t="s">
        <v>180</v>
      </c>
      <c r="J134" s="9" t="s">
        <v>4</v>
      </c>
      <c r="K134" s="9"/>
      <c r="L134" s="9" t="s">
        <v>181</v>
      </c>
      <c r="M134" s="12">
        <f t="shared" si="8"/>
        <v>703</v>
      </c>
      <c r="N134" s="13">
        <f t="shared" si="9"/>
        <v>201.5</v>
      </c>
      <c r="O134" s="14">
        <f t="shared" si="10"/>
        <v>904.5</v>
      </c>
      <c r="P134" s="15">
        <f t="shared" si="11"/>
        <v>1.0897590361445784</v>
      </c>
    </row>
    <row r="135" spans="1:16" ht="15.75" hidden="1" customHeight="1" x14ac:dyDescent="0.3">
      <c r="A135" s="8" t="s">
        <v>58</v>
      </c>
      <c r="B135" s="9" t="s">
        <v>176</v>
      </c>
      <c r="C135" s="9" t="s">
        <v>111</v>
      </c>
      <c r="D135" s="9" t="s">
        <v>184</v>
      </c>
      <c r="E135" s="10">
        <v>9</v>
      </c>
      <c r="F135" s="9" t="s">
        <v>178</v>
      </c>
      <c r="G135" s="11">
        <v>0</v>
      </c>
      <c r="H135" s="9" t="s">
        <v>179</v>
      </c>
      <c r="I135" s="9" t="s">
        <v>180</v>
      </c>
      <c r="J135" s="9" t="s">
        <v>4</v>
      </c>
      <c r="K135" s="9"/>
      <c r="L135" s="9" t="s">
        <v>181</v>
      </c>
      <c r="M135" s="12">
        <f t="shared" si="8"/>
        <v>703</v>
      </c>
      <c r="N135" s="13">
        <f t="shared" si="9"/>
        <v>201.5</v>
      </c>
      <c r="O135" s="14">
        <f t="shared" si="10"/>
        <v>904.5</v>
      </c>
      <c r="P135" s="15">
        <f t="shared" si="11"/>
        <v>1.0897590361445784</v>
      </c>
    </row>
    <row r="136" spans="1:16" ht="15.75" hidden="1" customHeight="1" x14ac:dyDescent="0.3">
      <c r="A136" s="8" t="s">
        <v>58</v>
      </c>
      <c r="B136" s="9" t="s">
        <v>176</v>
      </c>
      <c r="C136" s="9" t="s">
        <v>111</v>
      </c>
      <c r="D136" s="9" t="s">
        <v>185</v>
      </c>
      <c r="E136" s="10">
        <v>12</v>
      </c>
      <c r="F136" s="9" t="s">
        <v>178</v>
      </c>
      <c r="G136" s="11">
        <v>0</v>
      </c>
      <c r="H136" s="9" t="s">
        <v>179</v>
      </c>
      <c r="I136" s="9" t="s">
        <v>180</v>
      </c>
      <c r="J136" s="9" t="s">
        <v>4</v>
      </c>
      <c r="K136" s="9"/>
      <c r="L136" s="9" t="s">
        <v>181</v>
      </c>
      <c r="M136" s="12">
        <f t="shared" si="8"/>
        <v>703</v>
      </c>
      <c r="N136" s="13">
        <f t="shared" si="9"/>
        <v>201.5</v>
      </c>
      <c r="O136" s="14">
        <f t="shared" si="10"/>
        <v>904.5</v>
      </c>
      <c r="P136" s="15">
        <f t="shared" si="11"/>
        <v>1.0897590361445784</v>
      </c>
    </row>
    <row r="137" spans="1:16" ht="15.75" hidden="1" customHeight="1" x14ac:dyDescent="0.3">
      <c r="A137" s="8" t="s">
        <v>58</v>
      </c>
      <c r="B137" s="9" t="s">
        <v>176</v>
      </c>
      <c r="C137" s="9" t="s">
        <v>80</v>
      </c>
      <c r="D137" s="9" t="s">
        <v>182</v>
      </c>
      <c r="E137" s="10">
        <v>3</v>
      </c>
      <c r="F137" s="9" t="s">
        <v>178</v>
      </c>
      <c r="G137" s="11">
        <v>0</v>
      </c>
      <c r="H137" s="9" t="s">
        <v>179</v>
      </c>
      <c r="I137" s="9" t="s">
        <v>180</v>
      </c>
      <c r="J137" s="9" t="s">
        <v>4</v>
      </c>
      <c r="K137" s="9"/>
      <c r="L137" s="9" t="s">
        <v>181</v>
      </c>
      <c r="M137" s="12">
        <f t="shared" si="8"/>
        <v>703</v>
      </c>
      <c r="N137" s="13">
        <f t="shared" si="9"/>
        <v>201.5</v>
      </c>
      <c r="O137" s="14">
        <f t="shared" si="10"/>
        <v>904.5</v>
      </c>
      <c r="P137" s="15">
        <f t="shared" si="11"/>
        <v>1.0897590361445784</v>
      </c>
    </row>
    <row r="138" spans="1:16" ht="15.75" hidden="1" customHeight="1" x14ac:dyDescent="0.3">
      <c r="A138" s="8" t="s">
        <v>58</v>
      </c>
      <c r="B138" s="9" t="s">
        <v>176</v>
      </c>
      <c r="C138" s="9" t="s">
        <v>80</v>
      </c>
      <c r="D138" s="9" t="s">
        <v>183</v>
      </c>
      <c r="E138" s="10">
        <v>3</v>
      </c>
      <c r="F138" s="9" t="s">
        <v>178</v>
      </c>
      <c r="G138" s="11">
        <v>0</v>
      </c>
      <c r="H138" s="9" t="s">
        <v>179</v>
      </c>
      <c r="I138" s="9" t="s">
        <v>180</v>
      </c>
      <c r="J138" s="9" t="s">
        <v>4</v>
      </c>
      <c r="K138" s="9"/>
      <c r="L138" s="9" t="s">
        <v>181</v>
      </c>
      <c r="M138" s="12">
        <f t="shared" si="8"/>
        <v>703</v>
      </c>
      <c r="N138" s="13">
        <f t="shared" si="9"/>
        <v>201.5</v>
      </c>
      <c r="O138" s="14">
        <f t="shared" si="10"/>
        <v>904.5</v>
      </c>
      <c r="P138" s="15">
        <f t="shared" si="11"/>
        <v>1.0897590361445784</v>
      </c>
    </row>
    <row r="139" spans="1:16" ht="15.75" hidden="1" customHeight="1" x14ac:dyDescent="0.3">
      <c r="A139" s="8" t="s">
        <v>58</v>
      </c>
      <c r="B139" s="9" t="s">
        <v>176</v>
      </c>
      <c r="C139" s="9" t="s">
        <v>80</v>
      </c>
      <c r="D139" s="9" t="s">
        <v>162</v>
      </c>
      <c r="E139" s="10">
        <v>1</v>
      </c>
      <c r="F139" s="9" t="s">
        <v>178</v>
      </c>
      <c r="G139" s="11">
        <v>0</v>
      </c>
      <c r="H139" s="9" t="s">
        <v>179</v>
      </c>
      <c r="I139" s="9" t="s">
        <v>180</v>
      </c>
      <c r="J139" s="9" t="s">
        <v>4</v>
      </c>
      <c r="K139" s="9"/>
      <c r="L139" s="9" t="s">
        <v>181</v>
      </c>
      <c r="M139" s="12">
        <f t="shared" si="8"/>
        <v>703</v>
      </c>
      <c r="N139" s="13">
        <f t="shared" si="9"/>
        <v>201.5</v>
      </c>
      <c r="O139" s="14">
        <f t="shared" si="10"/>
        <v>904.5</v>
      </c>
      <c r="P139" s="15">
        <f t="shared" si="11"/>
        <v>1.0897590361445784</v>
      </c>
    </row>
    <row r="140" spans="1:16" ht="15.75" hidden="1" customHeight="1" x14ac:dyDescent="0.3">
      <c r="A140" s="8" t="s">
        <v>58</v>
      </c>
      <c r="B140" s="9" t="s">
        <v>176</v>
      </c>
      <c r="C140" s="9" t="s">
        <v>80</v>
      </c>
      <c r="D140" s="9" t="s">
        <v>184</v>
      </c>
      <c r="E140" s="10">
        <v>3</v>
      </c>
      <c r="F140" s="9" t="s">
        <v>178</v>
      </c>
      <c r="G140" s="11">
        <v>0</v>
      </c>
      <c r="H140" s="9" t="s">
        <v>179</v>
      </c>
      <c r="I140" s="9" t="s">
        <v>180</v>
      </c>
      <c r="J140" s="9" t="s">
        <v>4</v>
      </c>
      <c r="K140" s="9"/>
      <c r="L140" s="9" t="s">
        <v>181</v>
      </c>
      <c r="M140" s="12">
        <f t="shared" si="8"/>
        <v>703</v>
      </c>
      <c r="N140" s="13">
        <f t="shared" si="9"/>
        <v>201.5</v>
      </c>
      <c r="O140" s="14">
        <f t="shared" si="10"/>
        <v>904.5</v>
      </c>
      <c r="P140" s="15">
        <f t="shared" si="11"/>
        <v>1.0897590361445784</v>
      </c>
    </row>
    <row r="141" spans="1:16" ht="15.75" hidden="1" customHeight="1" x14ac:dyDescent="0.3">
      <c r="A141" s="8" t="s">
        <v>58</v>
      </c>
      <c r="B141" s="9" t="s">
        <v>176</v>
      </c>
      <c r="C141" s="9" t="s">
        <v>80</v>
      </c>
      <c r="D141" s="9" t="s">
        <v>185</v>
      </c>
      <c r="E141" s="10">
        <v>3</v>
      </c>
      <c r="F141" s="9" t="s">
        <v>178</v>
      </c>
      <c r="G141" s="11">
        <v>0</v>
      </c>
      <c r="H141" s="9" t="s">
        <v>179</v>
      </c>
      <c r="I141" s="9" t="s">
        <v>180</v>
      </c>
      <c r="J141" s="9" t="s">
        <v>4</v>
      </c>
      <c r="K141" s="9"/>
      <c r="L141" s="9" t="s">
        <v>181</v>
      </c>
      <c r="M141" s="12">
        <f t="shared" si="8"/>
        <v>703</v>
      </c>
      <c r="N141" s="13">
        <f t="shared" si="9"/>
        <v>201.5</v>
      </c>
      <c r="O141" s="14">
        <f t="shared" si="10"/>
        <v>904.5</v>
      </c>
      <c r="P141" s="15">
        <f t="shared" si="11"/>
        <v>1.0897590361445784</v>
      </c>
    </row>
    <row r="142" spans="1:16" ht="15.75" hidden="1" customHeight="1" x14ac:dyDescent="0.3">
      <c r="A142" s="8" t="s">
        <v>58</v>
      </c>
      <c r="B142" s="9" t="s">
        <v>176</v>
      </c>
      <c r="C142" s="9" t="s">
        <v>80</v>
      </c>
      <c r="D142" s="9" t="s">
        <v>163</v>
      </c>
      <c r="E142" s="10">
        <v>1</v>
      </c>
      <c r="F142" s="9" t="s">
        <v>178</v>
      </c>
      <c r="G142" s="11">
        <v>0</v>
      </c>
      <c r="H142" s="9" t="s">
        <v>179</v>
      </c>
      <c r="I142" s="9" t="s">
        <v>180</v>
      </c>
      <c r="J142" s="9" t="s">
        <v>4</v>
      </c>
      <c r="K142" s="9"/>
      <c r="L142" s="9" t="s">
        <v>181</v>
      </c>
      <c r="M142" s="12">
        <f t="shared" si="8"/>
        <v>703</v>
      </c>
      <c r="N142" s="13">
        <f t="shared" si="9"/>
        <v>201.5</v>
      </c>
      <c r="O142" s="14">
        <f t="shared" si="10"/>
        <v>904.5</v>
      </c>
      <c r="P142" s="15">
        <f t="shared" si="11"/>
        <v>1.0897590361445784</v>
      </c>
    </row>
    <row r="143" spans="1:16" ht="15.75" hidden="1" customHeight="1" x14ac:dyDescent="0.3">
      <c r="A143" s="17" t="s">
        <v>58</v>
      </c>
      <c r="B143" s="9" t="s">
        <v>188</v>
      </c>
      <c r="C143" s="9" t="s">
        <v>73</v>
      </c>
      <c r="D143" s="9" t="s">
        <v>189</v>
      </c>
      <c r="E143" s="10">
        <v>32</v>
      </c>
      <c r="F143" s="9" t="s">
        <v>190</v>
      </c>
      <c r="G143" s="10">
        <v>32</v>
      </c>
      <c r="H143" s="9" t="s">
        <v>179</v>
      </c>
      <c r="I143" s="9" t="s">
        <v>180</v>
      </c>
      <c r="J143" s="9" t="s">
        <v>4</v>
      </c>
      <c r="K143" s="9"/>
      <c r="L143" s="9" t="s">
        <v>191</v>
      </c>
      <c r="M143" s="12">
        <f t="shared" si="8"/>
        <v>703</v>
      </c>
      <c r="N143" s="13">
        <f t="shared" si="9"/>
        <v>201.5</v>
      </c>
      <c r="O143" s="14">
        <f t="shared" si="10"/>
        <v>904.5</v>
      </c>
      <c r="P143" s="15">
        <f t="shared" si="11"/>
        <v>1.0897590361445784</v>
      </c>
    </row>
    <row r="144" spans="1:16" ht="15.75" hidden="1" customHeight="1" x14ac:dyDescent="0.3">
      <c r="A144" s="17" t="s">
        <v>58</v>
      </c>
      <c r="B144" s="9" t="s">
        <v>188</v>
      </c>
      <c r="C144" s="9" t="s">
        <v>79</v>
      </c>
      <c r="D144" s="9" t="s">
        <v>189</v>
      </c>
      <c r="E144" s="10">
        <v>24</v>
      </c>
      <c r="F144" s="9" t="s">
        <v>190</v>
      </c>
      <c r="G144" s="10">
        <v>24</v>
      </c>
      <c r="H144" s="9" t="s">
        <v>179</v>
      </c>
      <c r="I144" s="9" t="s">
        <v>180</v>
      </c>
      <c r="J144" s="9" t="s">
        <v>4</v>
      </c>
      <c r="K144" s="9"/>
      <c r="L144" s="9" t="s">
        <v>191</v>
      </c>
      <c r="M144" s="12">
        <f t="shared" si="8"/>
        <v>703</v>
      </c>
      <c r="N144" s="13">
        <f t="shared" si="9"/>
        <v>201.5</v>
      </c>
      <c r="O144" s="14">
        <f t="shared" si="10"/>
        <v>904.5</v>
      </c>
      <c r="P144" s="15">
        <f t="shared" si="11"/>
        <v>1.0897590361445784</v>
      </c>
    </row>
    <row r="145" spans="1:16" ht="15.75" hidden="1" customHeight="1" x14ac:dyDescent="0.3">
      <c r="A145" s="17" t="s">
        <v>58</v>
      </c>
      <c r="B145" s="9" t="s">
        <v>188</v>
      </c>
      <c r="C145" s="9" t="s">
        <v>111</v>
      </c>
      <c r="D145" s="9" t="s">
        <v>189</v>
      </c>
      <c r="E145" s="10">
        <v>3</v>
      </c>
      <c r="F145" s="9" t="s">
        <v>190</v>
      </c>
      <c r="G145" s="11">
        <v>0</v>
      </c>
      <c r="H145" s="9" t="s">
        <v>179</v>
      </c>
      <c r="I145" s="9" t="s">
        <v>180</v>
      </c>
      <c r="J145" s="9" t="s">
        <v>4</v>
      </c>
      <c r="K145" s="9"/>
      <c r="L145" s="9" t="s">
        <v>191</v>
      </c>
      <c r="M145" s="12">
        <f t="shared" si="8"/>
        <v>703</v>
      </c>
      <c r="N145" s="13">
        <f t="shared" si="9"/>
        <v>201.5</v>
      </c>
      <c r="O145" s="14">
        <f t="shared" si="10"/>
        <v>904.5</v>
      </c>
      <c r="P145" s="15">
        <f t="shared" si="11"/>
        <v>1.0897590361445784</v>
      </c>
    </row>
    <row r="146" spans="1:16" ht="15.75" hidden="1" customHeight="1" x14ac:dyDescent="0.3">
      <c r="A146" s="17" t="s">
        <v>58</v>
      </c>
      <c r="B146" s="9" t="s">
        <v>188</v>
      </c>
      <c r="C146" s="9" t="s">
        <v>192</v>
      </c>
      <c r="D146" s="9" t="s">
        <v>189</v>
      </c>
      <c r="E146" s="10">
        <v>24</v>
      </c>
      <c r="F146" s="9" t="s">
        <v>190</v>
      </c>
      <c r="G146" s="10">
        <v>24</v>
      </c>
      <c r="H146" s="9" t="s">
        <v>179</v>
      </c>
      <c r="I146" s="9" t="s">
        <v>180</v>
      </c>
      <c r="J146" s="9" t="s">
        <v>4</v>
      </c>
      <c r="K146" s="9"/>
      <c r="L146" s="9" t="s">
        <v>191</v>
      </c>
      <c r="M146" s="12">
        <f t="shared" si="8"/>
        <v>703</v>
      </c>
      <c r="N146" s="13">
        <f t="shared" si="9"/>
        <v>201.5</v>
      </c>
      <c r="O146" s="14">
        <f t="shared" si="10"/>
        <v>904.5</v>
      </c>
      <c r="P146" s="15">
        <f t="shared" si="11"/>
        <v>1.0897590361445784</v>
      </c>
    </row>
    <row r="147" spans="1:16" ht="15.75" hidden="1" customHeight="1" x14ac:dyDescent="0.3">
      <c r="A147" s="17" t="s">
        <v>58</v>
      </c>
      <c r="B147" s="9" t="s">
        <v>188</v>
      </c>
      <c r="C147" s="9" t="s">
        <v>80</v>
      </c>
      <c r="D147" s="9" t="s">
        <v>189</v>
      </c>
      <c r="E147" s="10">
        <v>5</v>
      </c>
      <c r="F147" s="9" t="s">
        <v>190</v>
      </c>
      <c r="G147" s="11">
        <v>0</v>
      </c>
      <c r="H147" s="9" t="s">
        <v>179</v>
      </c>
      <c r="I147" s="9" t="s">
        <v>180</v>
      </c>
      <c r="J147" s="9" t="s">
        <v>4</v>
      </c>
      <c r="K147" s="9"/>
      <c r="L147" s="9" t="s">
        <v>191</v>
      </c>
      <c r="M147" s="12">
        <f t="shared" si="8"/>
        <v>703</v>
      </c>
      <c r="N147" s="13">
        <f t="shared" si="9"/>
        <v>201.5</v>
      </c>
      <c r="O147" s="14">
        <f t="shared" si="10"/>
        <v>904.5</v>
      </c>
      <c r="P147" s="15">
        <f t="shared" si="11"/>
        <v>1.0897590361445784</v>
      </c>
    </row>
    <row r="148" spans="1:16" ht="15.75" hidden="1" customHeight="1" x14ac:dyDescent="0.3">
      <c r="A148" s="8" t="s">
        <v>58</v>
      </c>
      <c r="B148" s="9" t="s">
        <v>193</v>
      </c>
      <c r="C148" s="9" t="s">
        <v>73</v>
      </c>
      <c r="D148" s="9" t="s">
        <v>194</v>
      </c>
      <c r="E148" s="10">
        <v>16</v>
      </c>
      <c r="F148" s="9" t="s">
        <v>195</v>
      </c>
      <c r="G148" s="10">
        <v>16</v>
      </c>
      <c r="H148" s="9" t="s">
        <v>128</v>
      </c>
      <c r="I148" s="9" t="s">
        <v>129</v>
      </c>
      <c r="J148" s="9" t="s">
        <v>8</v>
      </c>
      <c r="K148" s="9"/>
      <c r="L148" s="9" t="s">
        <v>130</v>
      </c>
      <c r="M148" s="12">
        <f t="shared" si="8"/>
        <v>348</v>
      </c>
      <c r="N148" s="13">
        <f t="shared" si="9"/>
        <v>610</v>
      </c>
      <c r="O148" s="14">
        <f t="shared" si="10"/>
        <v>958</v>
      </c>
      <c r="P148" s="15">
        <f t="shared" si="11"/>
        <v>1.1542168674698796</v>
      </c>
    </row>
    <row r="149" spans="1:16" ht="15.75" hidden="1" customHeight="1" x14ac:dyDescent="0.3">
      <c r="A149" s="8" t="s">
        <v>58</v>
      </c>
      <c r="B149" s="9" t="s">
        <v>193</v>
      </c>
      <c r="C149" s="9" t="s">
        <v>87</v>
      </c>
      <c r="D149" s="9" t="s">
        <v>194</v>
      </c>
      <c r="E149" s="10">
        <v>6</v>
      </c>
      <c r="F149" s="9" t="s">
        <v>195</v>
      </c>
      <c r="G149" s="11">
        <v>0</v>
      </c>
      <c r="H149" s="9" t="s">
        <v>128</v>
      </c>
      <c r="I149" s="9" t="s">
        <v>129</v>
      </c>
      <c r="J149" s="9" t="s">
        <v>8</v>
      </c>
      <c r="K149" s="9"/>
      <c r="L149" s="9" t="s">
        <v>130</v>
      </c>
      <c r="M149" s="12">
        <f t="shared" si="8"/>
        <v>348</v>
      </c>
      <c r="N149" s="13">
        <f t="shared" si="9"/>
        <v>610</v>
      </c>
      <c r="O149" s="14">
        <f t="shared" si="10"/>
        <v>958</v>
      </c>
      <c r="P149" s="15">
        <f t="shared" si="11"/>
        <v>1.1542168674698796</v>
      </c>
    </row>
    <row r="150" spans="1:16" ht="15.75" hidden="1" customHeight="1" x14ac:dyDescent="0.3">
      <c r="A150" s="8" t="s">
        <v>58</v>
      </c>
      <c r="B150" s="9" t="s">
        <v>193</v>
      </c>
      <c r="C150" s="9" t="s">
        <v>79</v>
      </c>
      <c r="D150" s="9" t="s">
        <v>194</v>
      </c>
      <c r="E150" s="10">
        <v>24</v>
      </c>
      <c r="F150" s="9" t="s">
        <v>195</v>
      </c>
      <c r="G150" s="10">
        <v>24</v>
      </c>
      <c r="H150" s="9" t="s">
        <v>128</v>
      </c>
      <c r="I150" s="9" t="s">
        <v>129</v>
      </c>
      <c r="J150" s="9" t="s">
        <v>8</v>
      </c>
      <c r="K150" s="9"/>
      <c r="L150" s="9" t="s">
        <v>130</v>
      </c>
      <c r="M150" s="12">
        <f t="shared" si="8"/>
        <v>348</v>
      </c>
      <c r="N150" s="13">
        <f t="shared" si="9"/>
        <v>610</v>
      </c>
      <c r="O150" s="14">
        <f t="shared" si="10"/>
        <v>958</v>
      </c>
      <c r="P150" s="15">
        <f t="shared" si="11"/>
        <v>1.1542168674698796</v>
      </c>
    </row>
    <row r="151" spans="1:16" ht="15.75" hidden="1" customHeight="1" x14ac:dyDescent="0.3">
      <c r="A151" s="8" t="s">
        <v>58</v>
      </c>
      <c r="B151" s="9" t="s">
        <v>193</v>
      </c>
      <c r="C151" s="9" t="s">
        <v>80</v>
      </c>
      <c r="D151" s="9" t="s">
        <v>194</v>
      </c>
      <c r="E151" s="10">
        <v>1</v>
      </c>
      <c r="F151" s="9" t="s">
        <v>195</v>
      </c>
      <c r="G151" s="11">
        <v>0</v>
      </c>
      <c r="H151" s="9" t="s">
        <v>128</v>
      </c>
      <c r="I151" s="9" t="s">
        <v>129</v>
      </c>
      <c r="J151" s="9" t="s">
        <v>8</v>
      </c>
      <c r="K151" s="9"/>
      <c r="L151" s="9" t="s">
        <v>130</v>
      </c>
      <c r="M151" s="12">
        <f t="shared" si="8"/>
        <v>348</v>
      </c>
      <c r="N151" s="13">
        <f t="shared" si="9"/>
        <v>610</v>
      </c>
      <c r="O151" s="14">
        <f t="shared" si="10"/>
        <v>958</v>
      </c>
      <c r="P151" s="15">
        <f t="shared" si="11"/>
        <v>1.1542168674698796</v>
      </c>
    </row>
    <row r="152" spans="1:16" ht="15.75" hidden="1" customHeight="1" x14ac:dyDescent="0.3">
      <c r="A152" s="8" t="s">
        <v>58</v>
      </c>
      <c r="B152" s="9" t="s">
        <v>196</v>
      </c>
      <c r="C152" s="9" t="s">
        <v>73</v>
      </c>
      <c r="D152" s="9" t="s">
        <v>189</v>
      </c>
      <c r="E152" s="10">
        <v>4</v>
      </c>
      <c r="F152" s="9" t="s">
        <v>190</v>
      </c>
      <c r="G152" s="10">
        <v>4</v>
      </c>
      <c r="H152" s="9" t="s">
        <v>179</v>
      </c>
      <c r="I152" s="9" t="s">
        <v>180</v>
      </c>
      <c r="J152" s="9" t="s">
        <v>4</v>
      </c>
      <c r="K152" s="9"/>
      <c r="L152" s="9" t="s">
        <v>197</v>
      </c>
      <c r="M152" s="12">
        <f t="shared" si="8"/>
        <v>703</v>
      </c>
      <c r="N152" s="13">
        <f t="shared" si="9"/>
        <v>201.5</v>
      </c>
      <c r="O152" s="14">
        <f t="shared" si="10"/>
        <v>904.5</v>
      </c>
      <c r="P152" s="15">
        <f t="shared" si="11"/>
        <v>1.0897590361445784</v>
      </c>
    </row>
    <row r="153" spans="1:16" ht="15.75" hidden="1" customHeight="1" x14ac:dyDescent="0.3">
      <c r="A153" s="8" t="s">
        <v>58</v>
      </c>
      <c r="B153" s="9" t="s">
        <v>196</v>
      </c>
      <c r="C153" s="9" t="s">
        <v>79</v>
      </c>
      <c r="D153" s="9" t="s">
        <v>189</v>
      </c>
      <c r="E153" s="10">
        <v>8</v>
      </c>
      <c r="F153" s="9" t="s">
        <v>190</v>
      </c>
      <c r="G153" s="10">
        <v>8</v>
      </c>
      <c r="H153" s="9" t="s">
        <v>179</v>
      </c>
      <c r="I153" s="9" t="s">
        <v>180</v>
      </c>
      <c r="J153" s="9" t="s">
        <v>4</v>
      </c>
      <c r="K153" s="9"/>
      <c r="L153" s="9" t="s">
        <v>197</v>
      </c>
      <c r="M153" s="12">
        <f t="shared" si="8"/>
        <v>703</v>
      </c>
      <c r="N153" s="13">
        <f t="shared" si="9"/>
        <v>201.5</v>
      </c>
      <c r="O153" s="14">
        <f t="shared" si="10"/>
        <v>904.5</v>
      </c>
      <c r="P153" s="15">
        <f t="shared" si="11"/>
        <v>1.0897590361445784</v>
      </c>
    </row>
    <row r="154" spans="1:16" ht="15.75" hidden="1" customHeight="1" x14ac:dyDescent="0.3">
      <c r="A154" s="8" t="s">
        <v>58</v>
      </c>
      <c r="B154" s="9" t="s">
        <v>196</v>
      </c>
      <c r="C154" s="9" t="s">
        <v>111</v>
      </c>
      <c r="D154" s="9" t="s">
        <v>189</v>
      </c>
      <c r="E154" s="10">
        <v>3</v>
      </c>
      <c r="F154" s="9" t="s">
        <v>190</v>
      </c>
      <c r="G154" s="11">
        <v>0</v>
      </c>
      <c r="H154" s="9" t="s">
        <v>179</v>
      </c>
      <c r="I154" s="9" t="s">
        <v>180</v>
      </c>
      <c r="J154" s="9" t="s">
        <v>4</v>
      </c>
      <c r="K154" s="9"/>
      <c r="L154" s="9" t="s">
        <v>197</v>
      </c>
      <c r="M154" s="12">
        <f t="shared" si="8"/>
        <v>703</v>
      </c>
      <c r="N154" s="13">
        <f t="shared" si="9"/>
        <v>201.5</v>
      </c>
      <c r="O154" s="14">
        <f t="shared" si="10"/>
        <v>904.5</v>
      </c>
      <c r="P154" s="15">
        <f t="shared" si="11"/>
        <v>1.0897590361445784</v>
      </c>
    </row>
    <row r="155" spans="1:16" ht="15.75" hidden="1" customHeight="1" x14ac:dyDescent="0.3">
      <c r="A155" s="8" t="s">
        <v>58</v>
      </c>
      <c r="B155" s="9" t="s">
        <v>196</v>
      </c>
      <c r="C155" s="9" t="s">
        <v>192</v>
      </c>
      <c r="D155" s="9" t="s">
        <v>189</v>
      </c>
      <c r="E155" s="10">
        <v>4</v>
      </c>
      <c r="F155" s="9" t="s">
        <v>190</v>
      </c>
      <c r="G155" s="10">
        <v>4</v>
      </c>
      <c r="H155" s="9" t="s">
        <v>179</v>
      </c>
      <c r="I155" s="9" t="s">
        <v>180</v>
      </c>
      <c r="J155" s="9" t="s">
        <v>4</v>
      </c>
      <c r="K155" s="9"/>
      <c r="L155" s="9" t="s">
        <v>197</v>
      </c>
      <c r="M155" s="12">
        <f t="shared" si="8"/>
        <v>703</v>
      </c>
      <c r="N155" s="13">
        <f t="shared" si="9"/>
        <v>201.5</v>
      </c>
      <c r="O155" s="14">
        <f t="shared" si="10"/>
        <v>904.5</v>
      </c>
      <c r="P155" s="15">
        <f t="shared" si="11"/>
        <v>1.0897590361445784</v>
      </c>
    </row>
    <row r="156" spans="1:16" ht="15.75" hidden="1" customHeight="1" x14ac:dyDescent="0.3">
      <c r="A156" s="8" t="s">
        <v>58</v>
      </c>
      <c r="B156" s="9" t="s">
        <v>196</v>
      </c>
      <c r="C156" s="9" t="s">
        <v>80</v>
      </c>
      <c r="D156" s="9" t="s">
        <v>189</v>
      </c>
      <c r="E156" s="10">
        <v>2</v>
      </c>
      <c r="F156" s="9" t="s">
        <v>190</v>
      </c>
      <c r="G156" s="11">
        <v>0</v>
      </c>
      <c r="H156" s="9" t="s">
        <v>179</v>
      </c>
      <c r="I156" s="9" t="s">
        <v>180</v>
      </c>
      <c r="J156" s="9" t="s">
        <v>4</v>
      </c>
      <c r="K156" s="9"/>
      <c r="L156" s="9" t="s">
        <v>197</v>
      </c>
      <c r="M156" s="12">
        <f t="shared" si="8"/>
        <v>703</v>
      </c>
      <c r="N156" s="13">
        <f t="shared" si="9"/>
        <v>201.5</v>
      </c>
      <c r="O156" s="14">
        <f t="shared" si="10"/>
        <v>904.5</v>
      </c>
      <c r="P156" s="15">
        <f t="shared" si="11"/>
        <v>1.0897590361445784</v>
      </c>
    </row>
    <row r="157" spans="1:16" ht="15.75" hidden="1" customHeight="1" x14ac:dyDescent="0.3">
      <c r="A157" s="8" t="s">
        <v>58</v>
      </c>
      <c r="B157" s="9" t="s">
        <v>198</v>
      </c>
      <c r="C157" s="9" t="s">
        <v>73</v>
      </c>
      <c r="D157" s="9" t="s">
        <v>199</v>
      </c>
      <c r="E157" s="10">
        <v>24</v>
      </c>
      <c r="F157" s="9" t="s">
        <v>195</v>
      </c>
      <c r="G157" s="10">
        <v>24</v>
      </c>
      <c r="H157" s="9" t="s">
        <v>200</v>
      </c>
      <c r="I157" s="9" t="s">
        <v>201</v>
      </c>
      <c r="J157" s="9" t="s">
        <v>4</v>
      </c>
      <c r="K157" s="9"/>
      <c r="L157" s="9" t="s">
        <v>202</v>
      </c>
      <c r="M157" s="12">
        <f t="shared" si="8"/>
        <v>687</v>
      </c>
      <c r="N157" s="13">
        <f t="shared" si="9"/>
        <v>461.5</v>
      </c>
      <c r="O157" s="14">
        <f t="shared" si="10"/>
        <v>1148.5</v>
      </c>
      <c r="P157" s="15">
        <f t="shared" si="11"/>
        <v>1.3837349397590362</v>
      </c>
    </row>
    <row r="158" spans="1:16" ht="15.75" hidden="1" customHeight="1" x14ac:dyDescent="0.3">
      <c r="A158" s="8" t="s">
        <v>58</v>
      </c>
      <c r="B158" s="9" t="s">
        <v>198</v>
      </c>
      <c r="C158" s="9" t="s">
        <v>79</v>
      </c>
      <c r="D158" s="9" t="s">
        <v>199</v>
      </c>
      <c r="E158" s="10">
        <v>40</v>
      </c>
      <c r="F158" s="9" t="s">
        <v>195</v>
      </c>
      <c r="G158" s="10">
        <v>40</v>
      </c>
      <c r="H158" s="9" t="s">
        <v>200</v>
      </c>
      <c r="I158" s="9" t="s">
        <v>201</v>
      </c>
      <c r="J158" s="9" t="s">
        <v>4</v>
      </c>
      <c r="K158" s="9"/>
      <c r="L158" s="9" t="s">
        <v>202</v>
      </c>
      <c r="M158" s="12">
        <f t="shared" si="8"/>
        <v>687</v>
      </c>
      <c r="N158" s="13">
        <f t="shared" si="9"/>
        <v>461.5</v>
      </c>
      <c r="O158" s="14">
        <f t="shared" si="10"/>
        <v>1148.5</v>
      </c>
      <c r="P158" s="15">
        <f t="shared" si="11"/>
        <v>1.3837349397590362</v>
      </c>
    </row>
    <row r="159" spans="1:16" ht="15.75" hidden="1" customHeight="1" x14ac:dyDescent="0.3">
      <c r="A159" s="8" t="s">
        <v>58</v>
      </c>
      <c r="B159" s="9" t="s">
        <v>198</v>
      </c>
      <c r="C159" s="9" t="s">
        <v>111</v>
      </c>
      <c r="D159" s="9" t="s">
        <v>199</v>
      </c>
      <c r="E159" s="10">
        <v>12</v>
      </c>
      <c r="F159" s="9" t="s">
        <v>195</v>
      </c>
      <c r="G159" s="11">
        <v>0</v>
      </c>
      <c r="H159" s="9" t="s">
        <v>200</v>
      </c>
      <c r="I159" s="9" t="s">
        <v>201</v>
      </c>
      <c r="J159" s="9" t="s">
        <v>4</v>
      </c>
      <c r="K159" s="9"/>
      <c r="L159" s="9" t="s">
        <v>202</v>
      </c>
      <c r="M159" s="12">
        <f t="shared" si="8"/>
        <v>687</v>
      </c>
      <c r="N159" s="13">
        <f t="shared" si="9"/>
        <v>461.5</v>
      </c>
      <c r="O159" s="14">
        <f t="shared" si="10"/>
        <v>1148.5</v>
      </c>
      <c r="P159" s="15">
        <f t="shared" si="11"/>
        <v>1.3837349397590362</v>
      </c>
    </row>
    <row r="160" spans="1:16" ht="15.75" hidden="1" customHeight="1" x14ac:dyDescent="0.3">
      <c r="A160" s="8" t="s">
        <v>58</v>
      </c>
      <c r="B160" s="9" t="s">
        <v>198</v>
      </c>
      <c r="C160" s="9" t="s">
        <v>80</v>
      </c>
      <c r="D160" s="9" t="s">
        <v>199</v>
      </c>
      <c r="E160" s="10">
        <v>3</v>
      </c>
      <c r="F160" s="9" t="s">
        <v>195</v>
      </c>
      <c r="G160" s="11">
        <v>0</v>
      </c>
      <c r="H160" s="9" t="s">
        <v>200</v>
      </c>
      <c r="I160" s="9" t="s">
        <v>201</v>
      </c>
      <c r="J160" s="9" t="s">
        <v>4</v>
      </c>
      <c r="K160" s="9"/>
      <c r="L160" s="9" t="s">
        <v>202</v>
      </c>
      <c r="M160" s="12">
        <f t="shared" si="8"/>
        <v>687</v>
      </c>
      <c r="N160" s="13">
        <f t="shared" si="9"/>
        <v>461.5</v>
      </c>
      <c r="O160" s="14">
        <f t="shared" si="10"/>
        <v>1148.5</v>
      </c>
      <c r="P160" s="15">
        <f t="shared" si="11"/>
        <v>1.3837349397590362</v>
      </c>
    </row>
    <row r="161" spans="1:16" ht="15.75" hidden="1" customHeight="1" x14ac:dyDescent="0.3">
      <c r="A161" s="8" t="s">
        <v>58</v>
      </c>
      <c r="B161" s="9" t="s">
        <v>203</v>
      </c>
      <c r="C161" s="9" t="s">
        <v>73</v>
      </c>
      <c r="D161" s="9" t="s">
        <v>134</v>
      </c>
      <c r="E161" s="10">
        <v>10</v>
      </c>
      <c r="F161" s="9" t="s">
        <v>166</v>
      </c>
      <c r="G161" s="10">
        <v>10</v>
      </c>
      <c r="H161" s="9" t="s">
        <v>200</v>
      </c>
      <c r="I161" s="9" t="s">
        <v>201</v>
      </c>
      <c r="J161" s="9" t="s">
        <v>4</v>
      </c>
      <c r="K161" s="9"/>
      <c r="L161" s="9" t="s">
        <v>202</v>
      </c>
      <c r="M161" s="12">
        <f t="shared" si="8"/>
        <v>687</v>
      </c>
      <c r="N161" s="13">
        <f t="shared" si="9"/>
        <v>461.5</v>
      </c>
      <c r="O161" s="14">
        <f t="shared" si="10"/>
        <v>1148.5</v>
      </c>
      <c r="P161" s="15">
        <f t="shared" si="11"/>
        <v>1.3837349397590362</v>
      </c>
    </row>
    <row r="162" spans="1:16" ht="15.75" hidden="1" customHeight="1" x14ac:dyDescent="0.3">
      <c r="A162" s="8" t="s">
        <v>58</v>
      </c>
      <c r="B162" s="9" t="s">
        <v>203</v>
      </c>
      <c r="C162" s="9" t="s">
        <v>79</v>
      </c>
      <c r="D162" s="9" t="s">
        <v>134</v>
      </c>
      <c r="E162" s="10">
        <v>16</v>
      </c>
      <c r="F162" s="9" t="s">
        <v>166</v>
      </c>
      <c r="G162" s="10">
        <v>16</v>
      </c>
      <c r="H162" s="9" t="s">
        <v>200</v>
      </c>
      <c r="I162" s="9" t="s">
        <v>201</v>
      </c>
      <c r="J162" s="9" t="s">
        <v>4</v>
      </c>
      <c r="K162" s="9"/>
      <c r="L162" s="9" t="s">
        <v>202</v>
      </c>
      <c r="M162" s="12">
        <f t="shared" ref="M162:M225" si="12">SUMIFS($E$2:$E$1130,$A$2:$A$1130,"осень",$I$2:$I$1130,I162)</f>
        <v>687</v>
      </c>
      <c r="N162" s="13">
        <f t="shared" ref="N162:N225" si="13">SUMIFS($E$2:$E$1130,$A$2:$A$1130,"весна",$I$2:$I$1130,I162)</f>
        <v>461.5</v>
      </c>
      <c r="O162" s="14">
        <f t="shared" ref="O162:O225" si="14">M162+N162</f>
        <v>1148.5</v>
      </c>
      <c r="P162" s="15">
        <f t="shared" ref="P162:P225" si="15">O162/$P$1</f>
        <v>1.3837349397590362</v>
      </c>
    </row>
    <row r="163" spans="1:16" ht="15.75" hidden="1" customHeight="1" x14ac:dyDescent="0.3">
      <c r="A163" s="8" t="s">
        <v>58</v>
      </c>
      <c r="B163" s="9" t="s">
        <v>203</v>
      </c>
      <c r="C163" s="9" t="s">
        <v>142</v>
      </c>
      <c r="D163" s="9" t="s">
        <v>134</v>
      </c>
      <c r="E163" s="10">
        <v>2</v>
      </c>
      <c r="F163" s="9" t="s">
        <v>166</v>
      </c>
      <c r="G163" s="11">
        <v>0</v>
      </c>
      <c r="H163" s="9" t="s">
        <v>200</v>
      </c>
      <c r="I163" s="9" t="s">
        <v>201</v>
      </c>
      <c r="J163" s="9" t="s">
        <v>4</v>
      </c>
      <c r="K163" s="9"/>
      <c r="L163" s="9" t="s">
        <v>202</v>
      </c>
      <c r="M163" s="12">
        <f t="shared" si="12"/>
        <v>687</v>
      </c>
      <c r="N163" s="13">
        <f t="shared" si="13"/>
        <v>461.5</v>
      </c>
      <c r="O163" s="14">
        <f t="shared" si="14"/>
        <v>1148.5</v>
      </c>
      <c r="P163" s="15">
        <f t="shared" si="15"/>
        <v>1.3837349397590362</v>
      </c>
    </row>
    <row r="164" spans="1:16" ht="15.75" hidden="1" customHeight="1" x14ac:dyDescent="0.3">
      <c r="A164" s="8" t="s">
        <v>58</v>
      </c>
      <c r="B164" s="9" t="s">
        <v>203</v>
      </c>
      <c r="C164" s="9" t="s">
        <v>80</v>
      </c>
      <c r="D164" s="9" t="s">
        <v>134</v>
      </c>
      <c r="E164" s="10">
        <v>1</v>
      </c>
      <c r="F164" s="9" t="s">
        <v>166</v>
      </c>
      <c r="G164" s="11">
        <v>0</v>
      </c>
      <c r="H164" s="9" t="s">
        <v>200</v>
      </c>
      <c r="I164" s="9" t="s">
        <v>201</v>
      </c>
      <c r="J164" s="9" t="s">
        <v>4</v>
      </c>
      <c r="K164" s="9"/>
      <c r="L164" s="9" t="s">
        <v>202</v>
      </c>
      <c r="M164" s="12">
        <f t="shared" si="12"/>
        <v>687</v>
      </c>
      <c r="N164" s="13">
        <f t="shared" si="13"/>
        <v>461.5</v>
      </c>
      <c r="O164" s="14">
        <f t="shared" si="14"/>
        <v>1148.5</v>
      </c>
      <c r="P164" s="15">
        <f t="shared" si="15"/>
        <v>1.3837349397590362</v>
      </c>
    </row>
    <row r="165" spans="1:16" ht="15.75" hidden="1" customHeight="1" x14ac:dyDescent="0.3">
      <c r="A165" s="8" t="s">
        <v>58</v>
      </c>
      <c r="B165" s="9" t="s">
        <v>204</v>
      </c>
      <c r="C165" s="9" t="s">
        <v>102</v>
      </c>
      <c r="D165" s="9" t="s">
        <v>189</v>
      </c>
      <c r="E165" s="10">
        <v>24</v>
      </c>
      <c r="F165" s="9" t="s">
        <v>190</v>
      </c>
      <c r="G165" s="11">
        <v>0</v>
      </c>
      <c r="H165" s="9" t="s">
        <v>167</v>
      </c>
      <c r="I165" s="9" t="s">
        <v>168</v>
      </c>
      <c r="J165" s="9" t="s">
        <v>4</v>
      </c>
      <c r="K165" s="9" t="s">
        <v>205</v>
      </c>
      <c r="L165" s="9" t="s">
        <v>197</v>
      </c>
      <c r="M165" s="12">
        <f t="shared" si="12"/>
        <v>456</v>
      </c>
      <c r="N165" s="13">
        <f t="shared" si="13"/>
        <v>362</v>
      </c>
      <c r="O165" s="14">
        <f t="shared" si="14"/>
        <v>818</v>
      </c>
      <c r="P165" s="15">
        <f t="shared" si="15"/>
        <v>0.98554216867469879</v>
      </c>
    </row>
    <row r="166" spans="1:16" ht="15.75" hidden="1" customHeight="1" x14ac:dyDescent="0.3">
      <c r="A166" s="8" t="s">
        <v>58</v>
      </c>
      <c r="B166" s="9" t="s">
        <v>204</v>
      </c>
      <c r="C166" s="9" t="s">
        <v>73</v>
      </c>
      <c r="D166" s="9" t="s">
        <v>189</v>
      </c>
      <c r="E166" s="10">
        <v>20</v>
      </c>
      <c r="F166" s="9" t="s">
        <v>190</v>
      </c>
      <c r="G166" s="10">
        <v>20</v>
      </c>
      <c r="H166" s="9" t="s">
        <v>167</v>
      </c>
      <c r="I166" s="9" t="s">
        <v>168</v>
      </c>
      <c r="J166" s="9" t="s">
        <v>4</v>
      </c>
      <c r="K166" s="9" t="s">
        <v>205</v>
      </c>
      <c r="L166" s="9" t="s">
        <v>197</v>
      </c>
      <c r="M166" s="12">
        <f t="shared" si="12"/>
        <v>456</v>
      </c>
      <c r="N166" s="13">
        <f t="shared" si="13"/>
        <v>362</v>
      </c>
      <c r="O166" s="14">
        <f t="shared" si="14"/>
        <v>818</v>
      </c>
      <c r="P166" s="15">
        <f t="shared" si="15"/>
        <v>0.98554216867469879</v>
      </c>
    </row>
    <row r="167" spans="1:16" ht="15.75" hidden="1" customHeight="1" x14ac:dyDescent="0.3">
      <c r="A167" s="8" t="s">
        <v>58</v>
      </c>
      <c r="B167" s="9" t="s">
        <v>204</v>
      </c>
      <c r="C167" s="9" t="s">
        <v>73</v>
      </c>
      <c r="D167" s="9" t="s">
        <v>103</v>
      </c>
      <c r="E167" s="10">
        <v>40</v>
      </c>
      <c r="F167" s="9" t="s">
        <v>107</v>
      </c>
      <c r="G167" s="10">
        <v>40</v>
      </c>
      <c r="H167" s="9" t="s">
        <v>167</v>
      </c>
      <c r="I167" s="9" t="s">
        <v>168</v>
      </c>
      <c r="J167" s="9" t="s">
        <v>4</v>
      </c>
      <c r="K167" s="9" t="s">
        <v>205</v>
      </c>
      <c r="L167" s="9" t="s">
        <v>197</v>
      </c>
      <c r="M167" s="12">
        <f t="shared" si="12"/>
        <v>456</v>
      </c>
      <c r="N167" s="13">
        <f t="shared" si="13"/>
        <v>362</v>
      </c>
      <c r="O167" s="14">
        <f t="shared" si="14"/>
        <v>818</v>
      </c>
      <c r="P167" s="15">
        <f t="shared" si="15"/>
        <v>0.98554216867469879</v>
      </c>
    </row>
    <row r="168" spans="1:16" ht="15.75" hidden="1" customHeight="1" x14ac:dyDescent="0.3">
      <c r="A168" s="8" t="s">
        <v>58</v>
      </c>
      <c r="B168" s="9" t="s">
        <v>204</v>
      </c>
      <c r="C168" s="9" t="s">
        <v>79</v>
      </c>
      <c r="D168" s="9" t="s">
        <v>189</v>
      </c>
      <c r="E168" s="10">
        <v>12</v>
      </c>
      <c r="F168" s="9" t="s">
        <v>190</v>
      </c>
      <c r="G168" s="10">
        <v>12</v>
      </c>
      <c r="H168" s="9" t="s">
        <v>167</v>
      </c>
      <c r="I168" s="9" t="s">
        <v>168</v>
      </c>
      <c r="J168" s="9" t="s">
        <v>4</v>
      </c>
      <c r="K168" s="9" t="s">
        <v>206</v>
      </c>
      <c r="L168" s="9" t="s">
        <v>197</v>
      </c>
      <c r="M168" s="12">
        <f t="shared" si="12"/>
        <v>456</v>
      </c>
      <c r="N168" s="13">
        <f t="shared" si="13"/>
        <v>362</v>
      </c>
      <c r="O168" s="14">
        <f t="shared" si="14"/>
        <v>818</v>
      </c>
      <c r="P168" s="15">
        <f t="shared" si="15"/>
        <v>0.98554216867469879</v>
      </c>
    </row>
    <row r="169" spans="1:16" ht="15.75" hidden="1" customHeight="1" x14ac:dyDescent="0.3">
      <c r="A169" s="8" t="s">
        <v>58</v>
      </c>
      <c r="B169" s="9" t="s">
        <v>204</v>
      </c>
      <c r="C169" s="9" t="s">
        <v>79</v>
      </c>
      <c r="D169" s="9" t="s">
        <v>103</v>
      </c>
      <c r="E169" s="10">
        <v>68</v>
      </c>
      <c r="F169" s="9" t="s">
        <v>107</v>
      </c>
      <c r="G169" s="10">
        <v>68</v>
      </c>
      <c r="H169" s="9" t="s">
        <v>167</v>
      </c>
      <c r="I169" s="9" t="s">
        <v>168</v>
      </c>
      <c r="J169" s="9" t="s">
        <v>4</v>
      </c>
      <c r="K169" s="9" t="s">
        <v>207</v>
      </c>
      <c r="L169" s="9" t="s">
        <v>197</v>
      </c>
      <c r="M169" s="12">
        <f t="shared" si="12"/>
        <v>456</v>
      </c>
      <c r="N169" s="13">
        <f t="shared" si="13"/>
        <v>362</v>
      </c>
      <c r="O169" s="14">
        <f t="shared" si="14"/>
        <v>818</v>
      </c>
      <c r="P169" s="15">
        <f t="shared" si="15"/>
        <v>0.98554216867469879</v>
      </c>
    </row>
    <row r="170" spans="1:16" ht="15.75" hidden="1" customHeight="1" x14ac:dyDescent="0.3">
      <c r="A170" s="8" t="s">
        <v>58</v>
      </c>
      <c r="B170" s="9" t="s">
        <v>204</v>
      </c>
      <c r="C170" s="9" t="s">
        <v>100</v>
      </c>
      <c r="D170" s="9" t="s">
        <v>189</v>
      </c>
      <c r="E170" s="10">
        <v>16</v>
      </c>
      <c r="F170" s="9" t="s">
        <v>190</v>
      </c>
      <c r="G170" s="10">
        <v>16</v>
      </c>
      <c r="H170" s="9" t="s">
        <v>167</v>
      </c>
      <c r="I170" s="9" t="s">
        <v>168</v>
      </c>
      <c r="J170" s="9" t="s">
        <v>4</v>
      </c>
      <c r="K170" s="9" t="s">
        <v>207</v>
      </c>
      <c r="L170" s="9" t="s">
        <v>197</v>
      </c>
      <c r="M170" s="12">
        <f t="shared" si="12"/>
        <v>456</v>
      </c>
      <c r="N170" s="13">
        <f t="shared" si="13"/>
        <v>362</v>
      </c>
      <c r="O170" s="14">
        <f t="shared" si="14"/>
        <v>818</v>
      </c>
      <c r="P170" s="15">
        <f t="shared" si="15"/>
        <v>0.98554216867469879</v>
      </c>
    </row>
    <row r="171" spans="1:16" ht="15.75" hidden="1" customHeight="1" x14ac:dyDescent="0.3">
      <c r="A171" s="8" t="s">
        <v>58</v>
      </c>
      <c r="B171" s="9" t="s">
        <v>204</v>
      </c>
      <c r="C171" s="9" t="s">
        <v>111</v>
      </c>
      <c r="D171" s="9" t="s">
        <v>189</v>
      </c>
      <c r="E171" s="10">
        <v>3</v>
      </c>
      <c r="F171" s="9" t="s">
        <v>190</v>
      </c>
      <c r="G171" s="11">
        <v>0</v>
      </c>
      <c r="H171" s="9" t="s">
        <v>167</v>
      </c>
      <c r="I171" s="9" t="s">
        <v>168</v>
      </c>
      <c r="J171" s="9" t="s">
        <v>4</v>
      </c>
      <c r="K171" s="9"/>
      <c r="L171" s="9" t="s">
        <v>197</v>
      </c>
      <c r="M171" s="12">
        <f t="shared" si="12"/>
        <v>456</v>
      </c>
      <c r="N171" s="13">
        <f t="shared" si="13"/>
        <v>362</v>
      </c>
      <c r="O171" s="14">
        <f t="shared" si="14"/>
        <v>818</v>
      </c>
      <c r="P171" s="15">
        <f t="shared" si="15"/>
        <v>0.98554216867469879</v>
      </c>
    </row>
    <row r="172" spans="1:16" ht="15.75" hidden="1" customHeight="1" x14ac:dyDescent="0.3">
      <c r="A172" s="8" t="s">
        <v>58</v>
      </c>
      <c r="B172" s="9" t="s">
        <v>204</v>
      </c>
      <c r="C172" s="9" t="s">
        <v>111</v>
      </c>
      <c r="D172" s="9" t="s">
        <v>103</v>
      </c>
      <c r="E172" s="10">
        <v>8</v>
      </c>
      <c r="F172" s="9" t="s">
        <v>107</v>
      </c>
      <c r="G172" s="11">
        <v>0</v>
      </c>
      <c r="H172" s="9" t="s">
        <v>167</v>
      </c>
      <c r="I172" s="9" t="s">
        <v>168</v>
      </c>
      <c r="J172" s="9" t="s">
        <v>4</v>
      </c>
      <c r="K172" s="9"/>
      <c r="L172" s="9"/>
      <c r="M172" s="12">
        <f t="shared" si="12"/>
        <v>456</v>
      </c>
      <c r="N172" s="13">
        <f t="shared" si="13"/>
        <v>362</v>
      </c>
      <c r="O172" s="14">
        <f t="shared" si="14"/>
        <v>818</v>
      </c>
      <c r="P172" s="15">
        <f t="shared" si="15"/>
        <v>0.98554216867469879</v>
      </c>
    </row>
    <row r="173" spans="1:16" ht="15.75" hidden="1" customHeight="1" x14ac:dyDescent="0.3">
      <c r="A173" s="8" t="s">
        <v>58</v>
      </c>
      <c r="B173" s="9" t="s">
        <v>204</v>
      </c>
      <c r="C173" s="9" t="s">
        <v>192</v>
      </c>
      <c r="D173" s="9" t="s">
        <v>189</v>
      </c>
      <c r="E173" s="10">
        <v>32</v>
      </c>
      <c r="F173" s="9" t="s">
        <v>190</v>
      </c>
      <c r="G173" s="10">
        <v>32</v>
      </c>
      <c r="H173" s="9" t="s">
        <v>167</v>
      </c>
      <c r="I173" s="9" t="s">
        <v>168</v>
      </c>
      <c r="J173" s="9" t="s">
        <v>4</v>
      </c>
      <c r="K173" s="9"/>
      <c r="L173" s="9" t="s">
        <v>197</v>
      </c>
      <c r="M173" s="12">
        <f t="shared" si="12"/>
        <v>456</v>
      </c>
      <c r="N173" s="13">
        <f t="shared" si="13"/>
        <v>362</v>
      </c>
      <c r="O173" s="14">
        <f t="shared" si="14"/>
        <v>818</v>
      </c>
      <c r="P173" s="15">
        <f t="shared" si="15"/>
        <v>0.98554216867469879</v>
      </c>
    </row>
    <row r="174" spans="1:16" ht="15.75" hidden="1" customHeight="1" x14ac:dyDescent="0.3">
      <c r="A174" s="8" t="s">
        <v>58</v>
      </c>
      <c r="B174" s="9" t="s">
        <v>204</v>
      </c>
      <c r="C174" s="9" t="s">
        <v>80</v>
      </c>
      <c r="D174" s="9" t="s">
        <v>189</v>
      </c>
      <c r="E174" s="10">
        <v>4</v>
      </c>
      <c r="F174" s="9" t="s">
        <v>190</v>
      </c>
      <c r="G174" s="11">
        <v>0</v>
      </c>
      <c r="H174" s="9" t="s">
        <v>167</v>
      </c>
      <c r="I174" s="9" t="s">
        <v>168</v>
      </c>
      <c r="J174" s="9" t="s">
        <v>4</v>
      </c>
      <c r="K174" s="9"/>
      <c r="L174" s="9" t="s">
        <v>197</v>
      </c>
      <c r="M174" s="12">
        <f t="shared" si="12"/>
        <v>456</v>
      </c>
      <c r="N174" s="13">
        <f t="shared" si="13"/>
        <v>362</v>
      </c>
      <c r="O174" s="14">
        <f t="shared" si="14"/>
        <v>818</v>
      </c>
      <c r="P174" s="15">
        <f t="shared" si="15"/>
        <v>0.98554216867469879</v>
      </c>
    </row>
    <row r="175" spans="1:16" ht="15.75" hidden="1" customHeight="1" x14ac:dyDescent="0.3">
      <c r="A175" s="8" t="s">
        <v>58</v>
      </c>
      <c r="B175" s="9" t="s">
        <v>204</v>
      </c>
      <c r="C175" s="9" t="s">
        <v>80</v>
      </c>
      <c r="D175" s="9" t="s">
        <v>103</v>
      </c>
      <c r="E175" s="10">
        <v>4</v>
      </c>
      <c r="F175" s="9" t="s">
        <v>107</v>
      </c>
      <c r="G175" s="11">
        <v>0</v>
      </c>
      <c r="H175" s="9" t="s">
        <v>167</v>
      </c>
      <c r="I175" s="9" t="s">
        <v>168</v>
      </c>
      <c r="J175" s="9" t="s">
        <v>4</v>
      </c>
      <c r="K175" s="9"/>
      <c r="L175" s="9" t="s">
        <v>197</v>
      </c>
      <c r="M175" s="12">
        <f t="shared" si="12"/>
        <v>456</v>
      </c>
      <c r="N175" s="13">
        <f t="shared" si="13"/>
        <v>362</v>
      </c>
      <c r="O175" s="14">
        <f t="shared" si="14"/>
        <v>818</v>
      </c>
      <c r="P175" s="15">
        <f t="shared" si="15"/>
        <v>0.98554216867469879</v>
      </c>
    </row>
    <row r="176" spans="1:16" ht="15.75" hidden="1" customHeight="1" x14ac:dyDescent="0.3">
      <c r="A176" s="17" t="s">
        <v>58</v>
      </c>
      <c r="B176" s="9" t="s">
        <v>208</v>
      </c>
      <c r="C176" s="9" t="s">
        <v>73</v>
      </c>
      <c r="D176" s="9" t="s">
        <v>194</v>
      </c>
      <c r="E176" s="10">
        <v>24</v>
      </c>
      <c r="F176" s="9" t="s">
        <v>195</v>
      </c>
      <c r="G176" s="10">
        <v>24</v>
      </c>
      <c r="H176" s="9" t="s">
        <v>200</v>
      </c>
      <c r="I176" s="9" t="s">
        <v>201</v>
      </c>
      <c r="J176" s="9" t="s">
        <v>4</v>
      </c>
      <c r="K176" s="9"/>
      <c r="L176" s="9" t="s">
        <v>191</v>
      </c>
      <c r="M176" s="12">
        <f t="shared" si="12"/>
        <v>687</v>
      </c>
      <c r="N176" s="13">
        <f t="shared" si="13"/>
        <v>461.5</v>
      </c>
      <c r="O176" s="14">
        <f t="shared" si="14"/>
        <v>1148.5</v>
      </c>
      <c r="P176" s="15">
        <f t="shared" si="15"/>
        <v>1.3837349397590362</v>
      </c>
    </row>
    <row r="177" spans="1:16" ht="15.75" hidden="1" customHeight="1" x14ac:dyDescent="0.3">
      <c r="A177" s="17" t="s">
        <v>58</v>
      </c>
      <c r="B177" s="9" t="s">
        <v>208</v>
      </c>
      <c r="C177" s="9" t="s">
        <v>79</v>
      </c>
      <c r="D177" s="9" t="s">
        <v>194</v>
      </c>
      <c r="E177" s="10">
        <v>40</v>
      </c>
      <c r="F177" s="9" t="s">
        <v>195</v>
      </c>
      <c r="G177" s="10">
        <v>40</v>
      </c>
      <c r="H177" s="9" t="s">
        <v>200</v>
      </c>
      <c r="I177" s="9" t="s">
        <v>201</v>
      </c>
      <c r="J177" s="9" t="s">
        <v>4</v>
      </c>
      <c r="K177" s="9"/>
      <c r="L177" s="9" t="s">
        <v>191</v>
      </c>
      <c r="M177" s="12">
        <f t="shared" si="12"/>
        <v>687</v>
      </c>
      <c r="N177" s="13">
        <f t="shared" si="13"/>
        <v>461.5</v>
      </c>
      <c r="O177" s="14">
        <f t="shared" si="14"/>
        <v>1148.5</v>
      </c>
      <c r="P177" s="15">
        <f t="shared" si="15"/>
        <v>1.3837349397590362</v>
      </c>
    </row>
    <row r="178" spans="1:16" ht="15.75" hidden="1" customHeight="1" x14ac:dyDescent="0.3">
      <c r="A178" s="17" t="s">
        <v>58</v>
      </c>
      <c r="B178" s="9" t="s">
        <v>208</v>
      </c>
      <c r="C178" s="9" t="s">
        <v>111</v>
      </c>
      <c r="D178" s="9" t="s">
        <v>194</v>
      </c>
      <c r="E178" s="10">
        <v>9</v>
      </c>
      <c r="F178" s="9" t="s">
        <v>195</v>
      </c>
      <c r="G178" s="11">
        <v>0</v>
      </c>
      <c r="H178" s="9" t="s">
        <v>200</v>
      </c>
      <c r="I178" s="9" t="s">
        <v>201</v>
      </c>
      <c r="J178" s="9" t="s">
        <v>4</v>
      </c>
      <c r="K178" s="9"/>
      <c r="L178" s="9" t="s">
        <v>191</v>
      </c>
      <c r="M178" s="12">
        <f t="shared" si="12"/>
        <v>687</v>
      </c>
      <c r="N178" s="13">
        <f t="shared" si="13"/>
        <v>461.5</v>
      </c>
      <c r="O178" s="14">
        <f t="shared" si="14"/>
        <v>1148.5</v>
      </c>
      <c r="P178" s="15">
        <f t="shared" si="15"/>
        <v>1.3837349397590362</v>
      </c>
    </row>
    <row r="179" spans="1:16" ht="15.75" hidden="1" customHeight="1" x14ac:dyDescent="0.3">
      <c r="A179" s="17" t="s">
        <v>58</v>
      </c>
      <c r="B179" s="9" t="s">
        <v>208</v>
      </c>
      <c r="C179" s="9" t="s">
        <v>80</v>
      </c>
      <c r="D179" s="9" t="s">
        <v>194</v>
      </c>
      <c r="E179" s="10">
        <v>3</v>
      </c>
      <c r="F179" s="9" t="s">
        <v>195</v>
      </c>
      <c r="G179" s="11">
        <v>0</v>
      </c>
      <c r="H179" s="9" t="s">
        <v>200</v>
      </c>
      <c r="I179" s="9" t="s">
        <v>201</v>
      </c>
      <c r="J179" s="9" t="s">
        <v>4</v>
      </c>
      <c r="K179" s="9"/>
      <c r="L179" s="9" t="s">
        <v>191</v>
      </c>
      <c r="M179" s="12">
        <f t="shared" si="12"/>
        <v>687</v>
      </c>
      <c r="N179" s="13">
        <f t="shared" si="13"/>
        <v>461.5</v>
      </c>
      <c r="O179" s="14">
        <f t="shared" si="14"/>
        <v>1148.5</v>
      </c>
      <c r="P179" s="15">
        <f t="shared" si="15"/>
        <v>1.3837349397590362</v>
      </c>
    </row>
    <row r="180" spans="1:16" ht="15.75" hidden="1" customHeight="1" x14ac:dyDescent="0.3">
      <c r="A180" s="8" t="s">
        <v>58</v>
      </c>
      <c r="B180" s="9" t="s">
        <v>209</v>
      </c>
      <c r="C180" s="9" t="s">
        <v>73</v>
      </c>
      <c r="D180" s="9" t="s">
        <v>199</v>
      </c>
      <c r="E180" s="10">
        <v>16</v>
      </c>
      <c r="F180" s="9" t="s">
        <v>195</v>
      </c>
      <c r="G180" s="10">
        <v>16</v>
      </c>
      <c r="H180" s="9" t="s">
        <v>210</v>
      </c>
      <c r="I180" s="9" t="s">
        <v>211</v>
      </c>
      <c r="J180" s="9" t="s">
        <v>4</v>
      </c>
      <c r="K180" s="9"/>
      <c r="L180" s="9" t="s">
        <v>169</v>
      </c>
      <c r="M180" s="12">
        <f t="shared" si="12"/>
        <v>213</v>
      </c>
      <c r="N180" s="13">
        <f t="shared" si="13"/>
        <v>399</v>
      </c>
      <c r="O180" s="14">
        <f t="shared" si="14"/>
        <v>612</v>
      </c>
      <c r="P180" s="15">
        <f t="shared" si="15"/>
        <v>0.73734939759036144</v>
      </c>
    </row>
    <row r="181" spans="1:16" ht="15.75" hidden="1" customHeight="1" x14ac:dyDescent="0.3">
      <c r="A181" s="8" t="s">
        <v>58</v>
      </c>
      <c r="B181" s="9" t="s">
        <v>209</v>
      </c>
      <c r="C181" s="9" t="s">
        <v>79</v>
      </c>
      <c r="D181" s="9" t="s">
        <v>199</v>
      </c>
      <c r="E181" s="10">
        <v>16</v>
      </c>
      <c r="F181" s="9" t="s">
        <v>195</v>
      </c>
      <c r="G181" s="10">
        <v>16</v>
      </c>
      <c r="H181" s="9" t="s">
        <v>210</v>
      </c>
      <c r="I181" s="9" t="s">
        <v>211</v>
      </c>
      <c r="J181" s="9" t="s">
        <v>4</v>
      </c>
      <c r="K181" s="9"/>
      <c r="L181" s="9" t="s">
        <v>169</v>
      </c>
      <c r="M181" s="12">
        <f t="shared" si="12"/>
        <v>213</v>
      </c>
      <c r="N181" s="13">
        <f t="shared" si="13"/>
        <v>399</v>
      </c>
      <c r="O181" s="14">
        <f t="shared" si="14"/>
        <v>612</v>
      </c>
      <c r="P181" s="15">
        <f t="shared" si="15"/>
        <v>0.73734939759036144</v>
      </c>
    </row>
    <row r="182" spans="1:16" ht="15.75" hidden="1" customHeight="1" x14ac:dyDescent="0.3">
      <c r="A182" s="8" t="s">
        <v>58</v>
      </c>
      <c r="B182" s="9" t="s">
        <v>209</v>
      </c>
      <c r="C182" s="9" t="s">
        <v>100</v>
      </c>
      <c r="D182" s="9" t="s">
        <v>199</v>
      </c>
      <c r="E182" s="10">
        <v>16</v>
      </c>
      <c r="F182" s="9" t="s">
        <v>195</v>
      </c>
      <c r="G182" s="10">
        <v>8</v>
      </c>
      <c r="H182" s="9" t="s">
        <v>210</v>
      </c>
      <c r="I182" s="9" t="s">
        <v>211</v>
      </c>
      <c r="J182" s="9" t="s">
        <v>4</v>
      </c>
      <c r="K182" s="9"/>
      <c r="L182" s="9" t="s">
        <v>169</v>
      </c>
      <c r="M182" s="12">
        <f t="shared" si="12"/>
        <v>213</v>
      </c>
      <c r="N182" s="13">
        <f t="shared" si="13"/>
        <v>399</v>
      </c>
      <c r="O182" s="14">
        <f t="shared" si="14"/>
        <v>612</v>
      </c>
      <c r="P182" s="15">
        <f t="shared" si="15"/>
        <v>0.73734939759036144</v>
      </c>
    </row>
    <row r="183" spans="1:16" ht="15.75" hidden="1" customHeight="1" x14ac:dyDescent="0.3">
      <c r="A183" s="8" t="s">
        <v>58</v>
      </c>
      <c r="B183" s="9" t="s">
        <v>209</v>
      </c>
      <c r="C183" s="9" t="s">
        <v>142</v>
      </c>
      <c r="D183" s="9" t="s">
        <v>199</v>
      </c>
      <c r="E183" s="10">
        <v>8</v>
      </c>
      <c r="F183" s="9" t="s">
        <v>195</v>
      </c>
      <c r="G183" s="11">
        <v>0</v>
      </c>
      <c r="H183" s="9" t="s">
        <v>210</v>
      </c>
      <c r="I183" s="9" t="s">
        <v>211</v>
      </c>
      <c r="J183" s="9" t="s">
        <v>4</v>
      </c>
      <c r="K183" s="9"/>
      <c r="L183" s="9" t="s">
        <v>169</v>
      </c>
      <c r="M183" s="12">
        <f t="shared" si="12"/>
        <v>213</v>
      </c>
      <c r="N183" s="13">
        <f t="shared" si="13"/>
        <v>399</v>
      </c>
      <c r="O183" s="14">
        <f t="shared" si="14"/>
        <v>612</v>
      </c>
      <c r="P183" s="15">
        <f t="shared" si="15"/>
        <v>0.73734939759036144</v>
      </c>
    </row>
    <row r="184" spans="1:16" ht="15.75" hidden="1" customHeight="1" x14ac:dyDescent="0.3">
      <c r="A184" s="8" t="s">
        <v>58</v>
      </c>
      <c r="B184" s="9" t="s">
        <v>209</v>
      </c>
      <c r="C184" s="9" t="s">
        <v>80</v>
      </c>
      <c r="D184" s="9" t="s">
        <v>199</v>
      </c>
      <c r="E184" s="10">
        <v>1</v>
      </c>
      <c r="F184" s="9" t="s">
        <v>195</v>
      </c>
      <c r="G184" s="11">
        <v>0</v>
      </c>
      <c r="H184" s="9" t="s">
        <v>210</v>
      </c>
      <c r="I184" s="9" t="s">
        <v>211</v>
      </c>
      <c r="J184" s="9" t="s">
        <v>4</v>
      </c>
      <c r="K184" s="9"/>
      <c r="L184" s="9" t="s">
        <v>169</v>
      </c>
      <c r="M184" s="12">
        <f t="shared" si="12"/>
        <v>213</v>
      </c>
      <c r="N184" s="13">
        <f t="shared" si="13"/>
        <v>399</v>
      </c>
      <c r="O184" s="14">
        <f t="shared" si="14"/>
        <v>612</v>
      </c>
      <c r="P184" s="15">
        <f t="shared" si="15"/>
        <v>0.73734939759036144</v>
      </c>
    </row>
    <row r="185" spans="1:16" ht="15.75" hidden="1" customHeight="1" x14ac:dyDescent="0.3">
      <c r="A185" s="17" t="s">
        <v>58</v>
      </c>
      <c r="B185" s="9" t="s">
        <v>212</v>
      </c>
      <c r="C185" s="9" t="s">
        <v>73</v>
      </c>
      <c r="D185" s="9" t="s">
        <v>199</v>
      </c>
      <c r="E185" s="10">
        <v>16</v>
      </c>
      <c r="F185" s="9" t="s">
        <v>195</v>
      </c>
      <c r="G185" s="10">
        <v>16</v>
      </c>
      <c r="H185" s="9" t="s">
        <v>210</v>
      </c>
      <c r="I185" s="9" t="s">
        <v>211</v>
      </c>
      <c r="J185" s="9" t="s">
        <v>4</v>
      </c>
      <c r="K185" s="9"/>
      <c r="L185" s="9" t="s">
        <v>191</v>
      </c>
      <c r="M185" s="12">
        <f t="shared" si="12"/>
        <v>213</v>
      </c>
      <c r="N185" s="13">
        <f t="shared" si="13"/>
        <v>399</v>
      </c>
      <c r="O185" s="14">
        <f t="shared" si="14"/>
        <v>612</v>
      </c>
      <c r="P185" s="15">
        <f t="shared" si="15"/>
        <v>0.73734939759036144</v>
      </c>
    </row>
    <row r="186" spans="1:16" ht="15.75" hidden="1" customHeight="1" x14ac:dyDescent="0.3">
      <c r="A186" s="17" t="s">
        <v>58</v>
      </c>
      <c r="B186" s="9" t="s">
        <v>212</v>
      </c>
      <c r="C186" s="9" t="s">
        <v>87</v>
      </c>
      <c r="D186" s="9" t="s">
        <v>199</v>
      </c>
      <c r="E186" s="10">
        <v>8</v>
      </c>
      <c r="F186" s="9" t="s">
        <v>195</v>
      </c>
      <c r="G186" s="11">
        <v>0</v>
      </c>
      <c r="H186" s="9" t="s">
        <v>210</v>
      </c>
      <c r="I186" s="9" t="s">
        <v>211</v>
      </c>
      <c r="J186" s="9" t="s">
        <v>4</v>
      </c>
      <c r="K186" s="9"/>
      <c r="L186" s="9" t="s">
        <v>191</v>
      </c>
      <c r="M186" s="12">
        <f t="shared" si="12"/>
        <v>213</v>
      </c>
      <c r="N186" s="13">
        <f t="shared" si="13"/>
        <v>399</v>
      </c>
      <c r="O186" s="14">
        <f t="shared" si="14"/>
        <v>612</v>
      </c>
      <c r="P186" s="15">
        <f t="shared" si="15"/>
        <v>0.73734939759036144</v>
      </c>
    </row>
    <row r="187" spans="1:16" ht="15.75" hidden="1" customHeight="1" x14ac:dyDescent="0.3">
      <c r="A187" s="17" t="s">
        <v>58</v>
      </c>
      <c r="B187" s="9" t="s">
        <v>212</v>
      </c>
      <c r="C187" s="9" t="s">
        <v>79</v>
      </c>
      <c r="D187" s="9" t="s">
        <v>199</v>
      </c>
      <c r="E187" s="10">
        <v>32</v>
      </c>
      <c r="F187" s="9" t="s">
        <v>195</v>
      </c>
      <c r="G187" s="10">
        <v>32</v>
      </c>
      <c r="H187" s="9" t="s">
        <v>210</v>
      </c>
      <c r="I187" s="9" t="s">
        <v>211</v>
      </c>
      <c r="J187" s="9" t="s">
        <v>4</v>
      </c>
      <c r="K187" s="9"/>
      <c r="L187" s="9" t="s">
        <v>191</v>
      </c>
      <c r="M187" s="12">
        <f t="shared" si="12"/>
        <v>213</v>
      </c>
      <c r="N187" s="13">
        <f t="shared" si="13"/>
        <v>399</v>
      </c>
      <c r="O187" s="14">
        <f t="shared" si="14"/>
        <v>612</v>
      </c>
      <c r="P187" s="15">
        <f t="shared" si="15"/>
        <v>0.73734939759036144</v>
      </c>
    </row>
    <row r="188" spans="1:16" ht="15.75" hidden="1" customHeight="1" x14ac:dyDescent="0.3">
      <c r="A188" s="17" t="s">
        <v>58</v>
      </c>
      <c r="B188" s="9" t="s">
        <v>212</v>
      </c>
      <c r="C188" s="9" t="s">
        <v>100</v>
      </c>
      <c r="D188" s="9" t="s">
        <v>199</v>
      </c>
      <c r="E188" s="10">
        <v>16</v>
      </c>
      <c r="F188" s="9" t="s">
        <v>195</v>
      </c>
      <c r="G188" s="10">
        <v>8</v>
      </c>
      <c r="H188" s="9" t="s">
        <v>210</v>
      </c>
      <c r="I188" s="9" t="s">
        <v>211</v>
      </c>
      <c r="J188" s="9" t="s">
        <v>4</v>
      </c>
      <c r="K188" s="9"/>
      <c r="L188" s="9" t="s">
        <v>191</v>
      </c>
      <c r="M188" s="12">
        <f t="shared" si="12"/>
        <v>213</v>
      </c>
      <c r="N188" s="13">
        <f t="shared" si="13"/>
        <v>399</v>
      </c>
      <c r="O188" s="14">
        <f t="shared" si="14"/>
        <v>612</v>
      </c>
      <c r="P188" s="15">
        <f t="shared" si="15"/>
        <v>0.73734939759036144</v>
      </c>
    </row>
    <row r="189" spans="1:16" ht="15.75" hidden="1" customHeight="1" x14ac:dyDescent="0.3">
      <c r="A189" s="17" t="s">
        <v>58</v>
      </c>
      <c r="B189" s="9" t="s">
        <v>212</v>
      </c>
      <c r="C189" s="9" t="s">
        <v>80</v>
      </c>
      <c r="D189" s="9" t="s">
        <v>199</v>
      </c>
      <c r="E189" s="10">
        <v>1</v>
      </c>
      <c r="F189" s="9" t="s">
        <v>195</v>
      </c>
      <c r="G189" s="11">
        <v>0</v>
      </c>
      <c r="H189" s="9" t="s">
        <v>210</v>
      </c>
      <c r="I189" s="9" t="s">
        <v>211</v>
      </c>
      <c r="J189" s="9" t="s">
        <v>4</v>
      </c>
      <c r="K189" s="9"/>
      <c r="L189" s="9" t="s">
        <v>191</v>
      </c>
      <c r="M189" s="12">
        <f t="shared" si="12"/>
        <v>213</v>
      </c>
      <c r="N189" s="13">
        <f t="shared" si="13"/>
        <v>399</v>
      </c>
      <c r="O189" s="14">
        <f t="shared" si="14"/>
        <v>612</v>
      </c>
      <c r="P189" s="15">
        <f t="shared" si="15"/>
        <v>0.73734939759036144</v>
      </c>
    </row>
    <row r="190" spans="1:16" ht="15.75" hidden="1" customHeight="1" x14ac:dyDescent="0.3">
      <c r="A190" s="8" t="s">
        <v>58</v>
      </c>
      <c r="B190" s="9" t="s">
        <v>213</v>
      </c>
      <c r="C190" s="9" t="s">
        <v>73</v>
      </c>
      <c r="D190" s="9" t="s">
        <v>199</v>
      </c>
      <c r="E190" s="10">
        <v>24</v>
      </c>
      <c r="F190" s="9" t="s">
        <v>195</v>
      </c>
      <c r="G190" s="10">
        <v>24</v>
      </c>
      <c r="H190" s="9" t="s">
        <v>91</v>
      </c>
      <c r="I190" s="9" t="s">
        <v>92</v>
      </c>
      <c r="J190" s="9" t="s">
        <v>4</v>
      </c>
      <c r="K190" s="9"/>
      <c r="L190" s="9" t="s">
        <v>93</v>
      </c>
      <c r="M190" s="12">
        <f t="shared" si="12"/>
        <v>405</v>
      </c>
      <c r="N190" s="13">
        <f t="shared" si="13"/>
        <v>532</v>
      </c>
      <c r="O190" s="14">
        <f t="shared" si="14"/>
        <v>937</v>
      </c>
      <c r="P190" s="15">
        <f t="shared" si="15"/>
        <v>1.1289156626506025</v>
      </c>
    </row>
    <row r="191" spans="1:16" ht="15.75" hidden="1" customHeight="1" x14ac:dyDescent="0.3">
      <c r="A191" s="8" t="s">
        <v>58</v>
      </c>
      <c r="B191" s="9" t="s">
        <v>213</v>
      </c>
      <c r="C191" s="9" t="s">
        <v>87</v>
      </c>
      <c r="D191" s="9" t="s">
        <v>199</v>
      </c>
      <c r="E191" s="10">
        <v>8</v>
      </c>
      <c r="F191" s="9" t="s">
        <v>195</v>
      </c>
      <c r="G191" s="11">
        <v>0</v>
      </c>
      <c r="H191" s="9" t="s">
        <v>91</v>
      </c>
      <c r="I191" s="9" t="s">
        <v>92</v>
      </c>
      <c r="J191" s="9" t="s">
        <v>4</v>
      </c>
      <c r="K191" s="9"/>
      <c r="L191" s="9" t="s">
        <v>197</v>
      </c>
      <c r="M191" s="12">
        <f t="shared" si="12"/>
        <v>405</v>
      </c>
      <c r="N191" s="13">
        <f t="shared" si="13"/>
        <v>532</v>
      </c>
      <c r="O191" s="14">
        <f t="shared" si="14"/>
        <v>937</v>
      </c>
      <c r="P191" s="15">
        <f t="shared" si="15"/>
        <v>1.1289156626506025</v>
      </c>
    </row>
    <row r="192" spans="1:16" ht="15.75" hidden="1" customHeight="1" x14ac:dyDescent="0.3">
      <c r="A192" s="8" t="s">
        <v>58</v>
      </c>
      <c r="B192" s="9" t="s">
        <v>213</v>
      </c>
      <c r="C192" s="9" t="s">
        <v>79</v>
      </c>
      <c r="D192" s="9" t="s">
        <v>199</v>
      </c>
      <c r="E192" s="10">
        <v>40</v>
      </c>
      <c r="F192" s="9" t="s">
        <v>195</v>
      </c>
      <c r="G192" s="10">
        <v>40</v>
      </c>
      <c r="H192" s="9" t="s">
        <v>91</v>
      </c>
      <c r="I192" s="9" t="s">
        <v>92</v>
      </c>
      <c r="J192" s="9" t="s">
        <v>4</v>
      </c>
      <c r="K192" s="9"/>
      <c r="L192" s="9" t="s">
        <v>214</v>
      </c>
      <c r="M192" s="12">
        <f t="shared" si="12"/>
        <v>405</v>
      </c>
      <c r="N192" s="13">
        <f t="shared" si="13"/>
        <v>532</v>
      </c>
      <c r="O192" s="14">
        <f t="shared" si="14"/>
        <v>937</v>
      </c>
      <c r="P192" s="15">
        <f t="shared" si="15"/>
        <v>1.1289156626506025</v>
      </c>
    </row>
    <row r="193" spans="1:16" ht="15.75" hidden="1" customHeight="1" x14ac:dyDescent="0.3">
      <c r="A193" s="8" t="s">
        <v>58</v>
      </c>
      <c r="B193" s="9" t="s">
        <v>213</v>
      </c>
      <c r="C193" s="9" t="s">
        <v>80</v>
      </c>
      <c r="D193" s="9" t="s">
        <v>199</v>
      </c>
      <c r="E193" s="10">
        <v>1</v>
      </c>
      <c r="F193" s="9" t="s">
        <v>195</v>
      </c>
      <c r="G193" s="11">
        <v>0</v>
      </c>
      <c r="H193" s="9" t="s">
        <v>91</v>
      </c>
      <c r="I193" s="9" t="s">
        <v>92</v>
      </c>
      <c r="J193" s="9" t="s">
        <v>4</v>
      </c>
      <c r="K193" s="9"/>
      <c r="L193" s="9" t="s">
        <v>197</v>
      </c>
      <c r="M193" s="12">
        <f t="shared" si="12"/>
        <v>405</v>
      </c>
      <c r="N193" s="13">
        <f t="shared" si="13"/>
        <v>532</v>
      </c>
      <c r="O193" s="14">
        <f t="shared" si="14"/>
        <v>937</v>
      </c>
      <c r="P193" s="15">
        <f t="shared" si="15"/>
        <v>1.1289156626506025</v>
      </c>
    </row>
    <row r="194" spans="1:16" ht="15.75" hidden="1" customHeight="1" x14ac:dyDescent="0.3">
      <c r="A194" s="17" t="s">
        <v>58</v>
      </c>
      <c r="B194" s="9" t="s">
        <v>215</v>
      </c>
      <c r="C194" s="9" t="s">
        <v>73</v>
      </c>
      <c r="D194" s="9" t="s">
        <v>194</v>
      </c>
      <c r="E194" s="10">
        <v>40</v>
      </c>
      <c r="F194" s="9" t="s">
        <v>195</v>
      </c>
      <c r="G194" s="10">
        <v>40</v>
      </c>
      <c r="H194" s="9" t="s">
        <v>128</v>
      </c>
      <c r="I194" s="9" t="s">
        <v>129</v>
      </c>
      <c r="J194" s="9" t="s">
        <v>8</v>
      </c>
      <c r="K194" s="9"/>
      <c r="L194" s="9" t="s">
        <v>191</v>
      </c>
      <c r="M194" s="12">
        <f t="shared" si="12"/>
        <v>348</v>
      </c>
      <c r="N194" s="13">
        <f t="shared" si="13"/>
        <v>610</v>
      </c>
      <c r="O194" s="14">
        <f t="shared" si="14"/>
        <v>958</v>
      </c>
      <c r="P194" s="15">
        <f t="shared" si="15"/>
        <v>1.1542168674698796</v>
      </c>
    </row>
    <row r="195" spans="1:16" ht="15.75" hidden="1" customHeight="1" x14ac:dyDescent="0.3">
      <c r="A195" s="17" t="s">
        <v>58</v>
      </c>
      <c r="B195" s="9" t="s">
        <v>215</v>
      </c>
      <c r="C195" s="9" t="s">
        <v>87</v>
      </c>
      <c r="D195" s="9" t="s">
        <v>194</v>
      </c>
      <c r="E195" s="10">
        <v>6</v>
      </c>
      <c r="F195" s="9" t="s">
        <v>195</v>
      </c>
      <c r="G195" s="11">
        <v>0</v>
      </c>
      <c r="H195" s="9" t="s">
        <v>128</v>
      </c>
      <c r="I195" s="9" t="s">
        <v>129</v>
      </c>
      <c r="J195" s="9" t="s">
        <v>8</v>
      </c>
      <c r="K195" s="9"/>
      <c r="L195" s="9" t="s">
        <v>191</v>
      </c>
      <c r="M195" s="12">
        <f t="shared" si="12"/>
        <v>348</v>
      </c>
      <c r="N195" s="13">
        <f t="shared" si="13"/>
        <v>610</v>
      </c>
      <c r="O195" s="14">
        <f t="shared" si="14"/>
        <v>958</v>
      </c>
      <c r="P195" s="15">
        <f t="shared" si="15"/>
        <v>1.1542168674698796</v>
      </c>
    </row>
    <row r="196" spans="1:16" ht="15.75" hidden="1" customHeight="1" x14ac:dyDescent="0.3">
      <c r="A196" s="17" t="s">
        <v>58</v>
      </c>
      <c r="B196" s="9" t="s">
        <v>215</v>
      </c>
      <c r="C196" s="9" t="s">
        <v>79</v>
      </c>
      <c r="D196" s="9" t="s">
        <v>194</v>
      </c>
      <c r="E196" s="10">
        <v>32</v>
      </c>
      <c r="F196" s="9" t="s">
        <v>195</v>
      </c>
      <c r="G196" s="10">
        <v>32</v>
      </c>
      <c r="H196" s="9" t="s">
        <v>128</v>
      </c>
      <c r="I196" s="9" t="s">
        <v>129</v>
      </c>
      <c r="J196" s="9" t="s">
        <v>8</v>
      </c>
      <c r="K196" s="9"/>
      <c r="L196" s="9" t="s">
        <v>191</v>
      </c>
      <c r="M196" s="12">
        <f t="shared" si="12"/>
        <v>348</v>
      </c>
      <c r="N196" s="13">
        <f t="shared" si="13"/>
        <v>610</v>
      </c>
      <c r="O196" s="14">
        <f t="shared" si="14"/>
        <v>958</v>
      </c>
      <c r="P196" s="15">
        <f t="shared" si="15"/>
        <v>1.1542168674698796</v>
      </c>
    </row>
    <row r="197" spans="1:16" ht="15.75" hidden="1" customHeight="1" x14ac:dyDescent="0.3">
      <c r="A197" s="17" t="s">
        <v>58</v>
      </c>
      <c r="B197" s="9" t="s">
        <v>215</v>
      </c>
      <c r="C197" s="9" t="s">
        <v>80</v>
      </c>
      <c r="D197" s="9" t="s">
        <v>194</v>
      </c>
      <c r="E197" s="10">
        <v>2</v>
      </c>
      <c r="F197" s="9" t="s">
        <v>195</v>
      </c>
      <c r="G197" s="11">
        <v>0</v>
      </c>
      <c r="H197" s="9" t="s">
        <v>128</v>
      </c>
      <c r="I197" s="9" t="s">
        <v>129</v>
      </c>
      <c r="J197" s="9" t="s">
        <v>8</v>
      </c>
      <c r="K197" s="9"/>
      <c r="L197" s="9" t="s">
        <v>191</v>
      </c>
      <c r="M197" s="12">
        <f t="shared" si="12"/>
        <v>348</v>
      </c>
      <c r="N197" s="13">
        <f t="shared" si="13"/>
        <v>610</v>
      </c>
      <c r="O197" s="14">
        <f t="shared" si="14"/>
        <v>958</v>
      </c>
      <c r="P197" s="15">
        <f t="shared" si="15"/>
        <v>1.1542168674698796</v>
      </c>
    </row>
    <row r="198" spans="1:16" ht="15.75" hidden="1" customHeight="1" x14ac:dyDescent="0.3">
      <c r="A198" s="8" t="s">
        <v>58</v>
      </c>
      <c r="B198" s="9" t="s">
        <v>216</v>
      </c>
      <c r="C198" s="9" t="s">
        <v>73</v>
      </c>
      <c r="D198" s="9" t="s">
        <v>199</v>
      </c>
      <c r="E198" s="10">
        <v>32</v>
      </c>
      <c r="F198" s="9" t="s">
        <v>195</v>
      </c>
      <c r="G198" s="10">
        <v>32</v>
      </c>
      <c r="H198" s="9" t="s">
        <v>179</v>
      </c>
      <c r="I198" s="9" t="s">
        <v>180</v>
      </c>
      <c r="J198" s="9" t="s">
        <v>4</v>
      </c>
      <c r="K198" s="9"/>
      <c r="L198" s="9" t="s">
        <v>181</v>
      </c>
      <c r="M198" s="12">
        <f t="shared" si="12"/>
        <v>703</v>
      </c>
      <c r="N198" s="13">
        <f t="shared" si="13"/>
        <v>201.5</v>
      </c>
      <c r="O198" s="14">
        <f t="shared" si="14"/>
        <v>904.5</v>
      </c>
      <c r="P198" s="15">
        <f t="shared" si="15"/>
        <v>1.0897590361445784</v>
      </c>
    </row>
    <row r="199" spans="1:16" ht="15.75" hidden="1" customHeight="1" x14ac:dyDescent="0.3">
      <c r="A199" s="8" t="s">
        <v>58</v>
      </c>
      <c r="B199" s="9" t="s">
        <v>216</v>
      </c>
      <c r="C199" s="9" t="s">
        <v>79</v>
      </c>
      <c r="D199" s="9" t="s">
        <v>199</v>
      </c>
      <c r="E199" s="10">
        <v>32</v>
      </c>
      <c r="F199" s="9" t="s">
        <v>195</v>
      </c>
      <c r="G199" s="10">
        <v>32</v>
      </c>
      <c r="H199" s="9" t="s">
        <v>179</v>
      </c>
      <c r="I199" s="9" t="s">
        <v>180</v>
      </c>
      <c r="J199" s="9" t="s">
        <v>4</v>
      </c>
      <c r="K199" s="9"/>
      <c r="L199" s="9" t="s">
        <v>181</v>
      </c>
      <c r="M199" s="12">
        <f t="shared" si="12"/>
        <v>703</v>
      </c>
      <c r="N199" s="13">
        <f t="shared" si="13"/>
        <v>201.5</v>
      </c>
      <c r="O199" s="14">
        <f t="shared" si="14"/>
        <v>904.5</v>
      </c>
      <c r="P199" s="15">
        <f t="shared" si="15"/>
        <v>1.0897590361445784</v>
      </c>
    </row>
    <row r="200" spans="1:16" ht="15.75" hidden="1" customHeight="1" x14ac:dyDescent="0.3">
      <c r="A200" s="8" t="s">
        <v>58</v>
      </c>
      <c r="B200" s="9" t="s">
        <v>216</v>
      </c>
      <c r="C200" s="9" t="s">
        <v>111</v>
      </c>
      <c r="D200" s="9" t="s">
        <v>199</v>
      </c>
      <c r="E200" s="10">
        <v>12</v>
      </c>
      <c r="F200" s="9" t="s">
        <v>195</v>
      </c>
      <c r="G200" s="11">
        <v>0</v>
      </c>
      <c r="H200" s="9" t="s">
        <v>179</v>
      </c>
      <c r="I200" s="9" t="s">
        <v>180</v>
      </c>
      <c r="J200" s="9" t="s">
        <v>4</v>
      </c>
      <c r="K200" s="9"/>
      <c r="L200" s="9" t="s">
        <v>181</v>
      </c>
      <c r="M200" s="12">
        <f t="shared" si="12"/>
        <v>703</v>
      </c>
      <c r="N200" s="13">
        <f t="shared" si="13"/>
        <v>201.5</v>
      </c>
      <c r="O200" s="14">
        <f t="shared" si="14"/>
        <v>904.5</v>
      </c>
      <c r="P200" s="15">
        <f t="shared" si="15"/>
        <v>1.0897590361445784</v>
      </c>
    </row>
    <row r="201" spans="1:16" ht="15.75" hidden="1" customHeight="1" x14ac:dyDescent="0.3">
      <c r="A201" s="8" t="s">
        <v>58</v>
      </c>
      <c r="B201" s="9" t="s">
        <v>216</v>
      </c>
      <c r="C201" s="9" t="s">
        <v>80</v>
      </c>
      <c r="D201" s="9" t="s">
        <v>199</v>
      </c>
      <c r="E201" s="10">
        <v>4</v>
      </c>
      <c r="F201" s="9" t="s">
        <v>195</v>
      </c>
      <c r="G201" s="11">
        <v>0</v>
      </c>
      <c r="H201" s="9" t="s">
        <v>179</v>
      </c>
      <c r="I201" s="9" t="s">
        <v>180</v>
      </c>
      <c r="J201" s="9" t="s">
        <v>4</v>
      </c>
      <c r="K201" s="9"/>
      <c r="L201" s="9" t="s">
        <v>181</v>
      </c>
      <c r="M201" s="12">
        <f t="shared" si="12"/>
        <v>703</v>
      </c>
      <c r="N201" s="13">
        <f t="shared" si="13"/>
        <v>201.5</v>
      </c>
      <c r="O201" s="14">
        <f t="shared" si="14"/>
        <v>904.5</v>
      </c>
      <c r="P201" s="15">
        <f t="shared" si="15"/>
        <v>1.0897590361445784</v>
      </c>
    </row>
    <row r="202" spans="1:16" ht="15.75" hidden="1" customHeight="1" x14ac:dyDescent="0.3">
      <c r="A202" s="8" t="s">
        <v>58</v>
      </c>
      <c r="B202" s="9" t="s">
        <v>217</v>
      </c>
      <c r="C202" s="9" t="s">
        <v>73</v>
      </c>
      <c r="D202" s="9" t="s">
        <v>199</v>
      </c>
      <c r="E202" s="10">
        <v>24</v>
      </c>
      <c r="F202" s="9" t="s">
        <v>195</v>
      </c>
      <c r="G202" s="10">
        <v>24</v>
      </c>
      <c r="H202" s="9" t="s">
        <v>128</v>
      </c>
      <c r="I202" s="9" t="s">
        <v>129</v>
      </c>
      <c r="J202" s="9" t="s">
        <v>8</v>
      </c>
      <c r="K202" s="9"/>
      <c r="L202" s="9" t="s">
        <v>130</v>
      </c>
      <c r="M202" s="12">
        <f t="shared" si="12"/>
        <v>348</v>
      </c>
      <c r="N202" s="13">
        <f t="shared" si="13"/>
        <v>610</v>
      </c>
      <c r="O202" s="14">
        <f t="shared" si="14"/>
        <v>958</v>
      </c>
      <c r="P202" s="15">
        <f t="shared" si="15"/>
        <v>1.1542168674698796</v>
      </c>
    </row>
    <row r="203" spans="1:16" ht="15.75" hidden="1" customHeight="1" x14ac:dyDescent="0.3">
      <c r="A203" s="8" t="s">
        <v>58</v>
      </c>
      <c r="B203" s="9" t="s">
        <v>217</v>
      </c>
      <c r="C203" s="9" t="s">
        <v>79</v>
      </c>
      <c r="D203" s="9" t="s">
        <v>199</v>
      </c>
      <c r="E203" s="10">
        <v>40</v>
      </c>
      <c r="F203" s="9" t="s">
        <v>195</v>
      </c>
      <c r="G203" s="10">
        <v>40</v>
      </c>
      <c r="H203" s="9" t="s">
        <v>128</v>
      </c>
      <c r="I203" s="9" t="s">
        <v>129</v>
      </c>
      <c r="J203" s="9" t="s">
        <v>8</v>
      </c>
      <c r="K203" s="9"/>
      <c r="L203" s="9" t="s">
        <v>130</v>
      </c>
      <c r="M203" s="12">
        <f t="shared" si="12"/>
        <v>348</v>
      </c>
      <c r="N203" s="13">
        <f t="shared" si="13"/>
        <v>610</v>
      </c>
      <c r="O203" s="14">
        <f t="shared" si="14"/>
        <v>958</v>
      </c>
      <c r="P203" s="15">
        <f t="shared" si="15"/>
        <v>1.1542168674698796</v>
      </c>
    </row>
    <row r="204" spans="1:16" ht="15.75" hidden="1" customHeight="1" x14ac:dyDescent="0.3">
      <c r="A204" s="8" t="s">
        <v>58</v>
      </c>
      <c r="B204" s="9" t="s">
        <v>217</v>
      </c>
      <c r="C204" s="9" t="s">
        <v>100</v>
      </c>
      <c r="D204" s="9" t="s">
        <v>199</v>
      </c>
      <c r="E204" s="10">
        <v>16</v>
      </c>
      <c r="F204" s="9" t="s">
        <v>195</v>
      </c>
      <c r="G204" s="10">
        <v>8</v>
      </c>
      <c r="H204" s="9" t="s">
        <v>128</v>
      </c>
      <c r="I204" s="9" t="s">
        <v>129</v>
      </c>
      <c r="J204" s="9" t="s">
        <v>8</v>
      </c>
      <c r="K204" s="9"/>
      <c r="L204" s="9" t="s">
        <v>130</v>
      </c>
      <c r="M204" s="12">
        <f t="shared" si="12"/>
        <v>348</v>
      </c>
      <c r="N204" s="13">
        <f t="shared" si="13"/>
        <v>610</v>
      </c>
      <c r="O204" s="14">
        <f t="shared" si="14"/>
        <v>958</v>
      </c>
      <c r="P204" s="15">
        <f t="shared" si="15"/>
        <v>1.1542168674698796</v>
      </c>
    </row>
    <row r="205" spans="1:16" ht="15.75" hidden="1" customHeight="1" x14ac:dyDescent="0.3">
      <c r="A205" s="8" t="s">
        <v>58</v>
      </c>
      <c r="B205" s="9" t="s">
        <v>217</v>
      </c>
      <c r="C205" s="9" t="s">
        <v>111</v>
      </c>
      <c r="D205" s="9" t="s">
        <v>199</v>
      </c>
      <c r="E205" s="10">
        <v>12</v>
      </c>
      <c r="F205" s="9" t="s">
        <v>195</v>
      </c>
      <c r="G205" s="11">
        <v>0</v>
      </c>
      <c r="H205" s="9" t="s">
        <v>128</v>
      </c>
      <c r="I205" s="9" t="s">
        <v>129</v>
      </c>
      <c r="J205" s="9" t="s">
        <v>8</v>
      </c>
      <c r="K205" s="9"/>
      <c r="L205" s="9" t="s">
        <v>130</v>
      </c>
      <c r="M205" s="12">
        <f t="shared" si="12"/>
        <v>348</v>
      </c>
      <c r="N205" s="13">
        <f t="shared" si="13"/>
        <v>610</v>
      </c>
      <c r="O205" s="14">
        <f t="shared" si="14"/>
        <v>958</v>
      </c>
      <c r="P205" s="15">
        <f t="shared" si="15"/>
        <v>1.1542168674698796</v>
      </c>
    </row>
    <row r="206" spans="1:16" ht="15.75" hidden="1" customHeight="1" x14ac:dyDescent="0.3">
      <c r="A206" s="8" t="s">
        <v>58</v>
      </c>
      <c r="B206" s="9" t="s">
        <v>217</v>
      </c>
      <c r="C206" s="9" t="s">
        <v>80</v>
      </c>
      <c r="D206" s="9" t="s">
        <v>199</v>
      </c>
      <c r="E206" s="10">
        <v>3</v>
      </c>
      <c r="F206" s="9" t="s">
        <v>195</v>
      </c>
      <c r="G206" s="11">
        <v>0</v>
      </c>
      <c r="H206" s="9" t="s">
        <v>128</v>
      </c>
      <c r="I206" s="9" t="s">
        <v>129</v>
      </c>
      <c r="J206" s="9" t="s">
        <v>8</v>
      </c>
      <c r="K206" s="9"/>
      <c r="L206" s="9" t="s">
        <v>130</v>
      </c>
      <c r="M206" s="12">
        <f t="shared" si="12"/>
        <v>348</v>
      </c>
      <c r="N206" s="13">
        <f t="shared" si="13"/>
        <v>610</v>
      </c>
      <c r="O206" s="14">
        <f t="shared" si="14"/>
        <v>958</v>
      </c>
      <c r="P206" s="15">
        <f t="shared" si="15"/>
        <v>1.1542168674698796</v>
      </c>
    </row>
    <row r="207" spans="1:16" ht="15.75" hidden="1" customHeight="1" x14ac:dyDescent="0.3">
      <c r="A207" s="8" t="s">
        <v>58</v>
      </c>
      <c r="B207" s="9" t="s">
        <v>218</v>
      </c>
      <c r="C207" s="9" t="s">
        <v>73</v>
      </c>
      <c r="D207" s="9" t="s">
        <v>103</v>
      </c>
      <c r="E207" s="10">
        <v>24</v>
      </c>
      <c r="F207" s="9" t="s">
        <v>107</v>
      </c>
      <c r="G207" s="10">
        <v>24</v>
      </c>
      <c r="H207" s="9" t="s">
        <v>200</v>
      </c>
      <c r="I207" s="9" t="s">
        <v>201</v>
      </c>
      <c r="J207" s="9" t="s">
        <v>4</v>
      </c>
      <c r="K207" s="9"/>
      <c r="L207" s="9" t="s">
        <v>202</v>
      </c>
      <c r="M207" s="12">
        <f t="shared" si="12"/>
        <v>687</v>
      </c>
      <c r="N207" s="13">
        <f t="shared" si="13"/>
        <v>461.5</v>
      </c>
      <c r="O207" s="14">
        <f t="shared" si="14"/>
        <v>1148.5</v>
      </c>
      <c r="P207" s="15">
        <f t="shared" si="15"/>
        <v>1.3837349397590362</v>
      </c>
    </row>
    <row r="208" spans="1:16" ht="15.75" hidden="1" customHeight="1" x14ac:dyDescent="0.3">
      <c r="A208" s="8" t="s">
        <v>58</v>
      </c>
      <c r="B208" s="9" t="s">
        <v>218</v>
      </c>
      <c r="C208" s="9" t="s">
        <v>100</v>
      </c>
      <c r="D208" s="9" t="s">
        <v>103</v>
      </c>
      <c r="E208" s="10">
        <v>72</v>
      </c>
      <c r="F208" s="9" t="s">
        <v>107</v>
      </c>
      <c r="G208" s="10">
        <v>36</v>
      </c>
      <c r="H208" s="9" t="s">
        <v>200</v>
      </c>
      <c r="I208" s="9" t="s">
        <v>201</v>
      </c>
      <c r="J208" s="9" t="s">
        <v>4</v>
      </c>
      <c r="K208" s="9"/>
      <c r="L208" s="9" t="s">
        <v>202</v>
      </c>
      <c r="M208" s="12">
        <f t="shared" si="12"/>
        <v>687</v>
      </c>
      <c r="N208" s="13">
        <f t="shared" si="13"/>
        <v>461.5</v>
      </c>
      <c r="O208" s="14">
        <f t="shared" si="14"/>
        <v>1148.5</v>
      </c>
      <c r="P208" s="15">
        <f t="shared" si="15"/>
        <v>1.3837349397590362</v>
      </c>
    </row>
    <row r="209" spans="1:16" ht="15.75" hidden="1" customHeight="1" x14ac:dyDescent="0.3">
      <c r="A209" s="8" t="s">
        <v>58</v>
      </c>
      <c r="B209" s="9" t="s">
        <v>218</v>
      </c>
      <c r="C209" s="9" t="s">
        <v>142</v>
      </c>
      <c r="D209" s="9" t="s">
        <v>103</v>
      </c>
      <c r="E209" s="10">
        <v>6</v>
      </c>
      <c r="F209" s="9" t="s">
        <v>107</v>
      </c>
      <c r="G209" s="11">
        <v>0</v>
      </c>
      <c r="H209" s="9" t="s">
        <v>200</v>
      </c>
      <c r="I209" s="9" t="s">
        <v>201</v>
      </c>
      <c r="J209" s="9" t="s">
        <v>4</v>
      </c>
      <c r="K209" s="9"/>
      <c r="L209" s="9" t="s">
        <v>202</v>
      </c>
      <c r="M209" s="12">
        <f t="shared" si="12"/>
        <v>687</v>
      </c>
      <c r="N209" s="13">
        <f t="shared" si="13"/>
        <v>461.5</v>
      </c>
      <c r="O209" s="14">
        <f t="shared" si="14"/>
        <v>1148.5</v>
      </c>
      <c r="P209" s="15">
        <f t="shared" si="15"/>
        <v>1.3837349397590362</v>
      </c>
    </row>
    <row r="210" spans="1:16" ht="15.75" hidden="1" customHeight="1" x14ac:dyDescent="0.3">
      <c r="A210" s="8" t="s">
        <v>58</v>
      </c>
      <c r="B210" s="9" t="s">
        <v>218</v>
      </c>
      <c r="C210" s="9" t="s">
        <v>80</v>
      </c>
      <c r="D210" s="9" t="s">
        <v>103</v>
      </c>
      <c r="E210" s="10">
        <v>1</v>
      </c>
      <c r="F210" s="9" t="s">
        <v>107</v>
      </c>
      <c r="G210" s="11">
        <v>0</v>
      </c>
      <c r="H210" s="9" t="s">
        <v>200</v>
      </c>
      <c r="I210" s="9" t="s">
        <v>201</v>
      </c>
      <c r="J210" s="9" t="s">
        <v>4</v>
      </c>
      <c r="K210" s="9"/>
      <c r="L210" s="9" t="s">
        <v>202</v>
      </c>
      <c r="M210" s="12">
        <f t="shared" si="12"/>
        <v>687</v>
      </c>
      <c r="N210" s="13">
        <f t="shared" si="13"/>
        <v>461.5</v>
      </c>
      <c r="O210" s="14">
        <f t="shared" si="14"/>
        <v>1148.5</v>
      </c>
      <c r="P210" s="15">
        <f t="shared" si="15"/>
        <v>1.3837349397590362</v>
      </c>
    </row>
    <row r="211" spans="1:16" ht="15.75" hidden="1" customHeight="1" x14ac:dyDescent="0.3">
      <c r="A211" s="17" t="s">
        <v>58</v>
      </c>
      <c r="B211" s="9" t="s">
        <v>219</v>
      </c>
      <c r="C211" s="9" t="s">
        <v>73</v>
      </c>
      <c r="D211" s="9" t="s">
        <v>220</v>
      </c>
      <c r="E211" s="10">
        <v>12</v>
      </c>
      <c r="F211" s="9" t="s">
        <v>221</v>
      </c>
      <c r="G211" s="10">
        <v>12</v>
      </c>
      <c r="H211" s="9" t="s">
        <v>222</v>
      </c>
      <c r="I211" s="9" t="s">
        <v>223</v>
      </c>
      <c r="J211" s="9" t="s">
        <v>4</v>
      </c>
      <c r="K211" s="9"/>
      <c r="L211" s="9"/>
      <c r="M211" s="12">
        <f t="shared" si="12"/>
        <v>41</v>
      </c>
      <c r="N211" s="13">
        <f t="shared" si="13"/>
        <v>124</v>
      </c>
      <c r="O211" s="14">
        <f t="shared" si="14"/>
        <v>165</v>
      </c>
      <c r="P211" s="15">
        <f t="shared" si="15"/>
        <v>0.19879518072289157</v>
      </c>
    </row>
    <row r="212" spans="1:16" ht="15.75" hidden="1" customHeight="1" x14ac:dyDescent="0.3">
      <c r="A212" s="17" t="s">
        <v>58</v>
      </c>
      <c r="B212" s="9" t="s">
        <v>219</v>
      </c>
      <c r="C212" s="9" t="s">
        <v>79</v>
      </c>
      <c r="D212" s="9" t="s">
        <v>220</v>
      </c>
      <c r="E212" s="10">
        <v>24</v>
      </c>
      <c r="F212" s="9" t="s">
        <v>221</v>
      </c>
      <c r="G212" s="10">
        <v>24</v>
      </c>
      <c r="H212" s="9" t="s">
        <v>222</v>
      </c>
      <c r="I212" s="9" t="s">
        <v>223</v>
      </c>
      <c r="J212" s="9" t="s">
        <v>4</v>
      </c>
      <c r="K212" s="9"/>
      <c r="L212" s="9"/>
      <c r="M212" s="12">
        <f t="shared" si="12"/>
        <v>41</v>
      </c>
      <c r="N212" s="13">
        <f t="shared" si="13"/>
        <v>124</v>
      </c>
      <c r="O212" s="14">
        <f t="shared" si="14"/>
        <v>165</v>
      </c>
      <c r="P212" s="15">
        <f t="shared" si="15"/>
        <v>0.19879518072289157</v>
      </c>
    </row>
    <row r="213" spans="1:16" ht="15.75" hidden="1" customHeight="1" x14ac:dyDescent="0.3">
      <c r="A213" s="17" t="s">
        <v>58</v>
      </c>
      <c r="B213" s="9" t="s">
        <v>219</v>
      </c>
      <c r="C213" s="9" t="s">
        <v>142</v>
      </c>
      <c r="D213" s="9" t="s">
        <v>220</v>
      </c>
      <c r="E213" s="10">
        <v>4</v>
      </c>
      <c r="F213" s="9" t="s">
        <v>221</v>
      </c>
      <c r="G213" s="11">
        <v>0</v>
      </c>
      <c r="H213" s="9" t="s">
        <v>222</v>
      </c>
      <c r="I213" s="9" t="s">
        <v>223</v>
      </c>
      <c r="J213" s="9" t="s">
        <v>4</v>
      </c>
      <c r="K213" s="9"/>
      <c r="L213" s="9"/>
      <c r="M213" s="12">
        <f t="shared" si="12"/>
        <v>41</v>
      </c>
      <c r="N213" s="13">
        <f t="shared" si="13"/>
        <v>124</v>
      </c>
      <c r="O213" s="14">
        <f t="shared" si="14"/>
        <v>165</v>
      </c>
      <c r="P213" s="15">
        <f t="shared" si="15"/>
        <v>0.19879518072289157</v>
      </c>
    </row>
    <row r="214" spans="1:16" ht="15.75" hidden="1" customHeight="1" x14ac:dyDescent="0.3">
      <c r="A214" s="17" t="s">
        <v>58</v>
      </c>
      <c r="B214" s="9" t="s">
        <v>219</v>
      </c>
      <c r="C214" s="9" t="s">
        <v>80</v>
      </c>
      <c r="D214" s="9" t="s">
        <v>220</v>
      </c>
      <c r="E214" s="10">
        <v>1</v>
      </c>
      <c r="F214" s="9" t="s">
        <v>221</v>
      </c>
      <c r="G214" s="11">
        <v>0</v>
      </c>
      <c r="H214" s="9" t="s">
        <v>222</v>
      </c>
      <c r="I214" s="9" t="s">
        <v>223</v>
      </c>
      <c r="J214" s="9" t="s">
        <v>4</v>
      </c>
      <c r="K214" s="9"/>
      <c r="L214" s="9"/>
      <c r="M214" s="12">
        <f t="shared" si="12"/>
        <v>41</v>
      </c>
      <c r="N214" s="13">
        <f t="shared" si="13"/>
        <v>124</v>
      </c>
      <c r="O214" s="14">
        <f t="shared" si="14"/>
        <v>165</v>
      </c>
      <c r="P214" s="15">
        <f t="shared" si="15"/>
        <v>0.19879518072289157</v>
      </c>
    </row>
    <row r="215" spans="1:16" ht="15.75" hidden="1" customHeight="1" x14ac:dyDescent="0.3">
      <c r="A215" s="8" t="s">
        <v>58</v>
      </c>
      <c r="B215" s="9" t="s">
        <v>224</v>
      </c>
      <c r="C215" s="9" t="s">
        <v>73</v>
      </c>
      <c r="D215" s="9" t="s">
        <v>189</v>
      </c>
      <c r="E215" s="10">
        <v>18</v>
      </c>
      <c r="F215" s="9" t="s">
        <v>190</v>
      </c>
      <c r="G215" s="10">
        <v>18</v>
      </c>
      <c r="H215" s="9" t="s">
        <v>91</v>
      </c>
      <c r="I215" s="9" t="s">
        <v>92</v>
      </c>
      <c r="J215" s="9" t="s">
        <v>4</v>
      </c>
      <c r="K215" s="9"/>
      <c r="L215" s="9" t="s">
        <v>93</v>
      </c>
      <c r="M215" s="12">
        <f t="shared" si="12"/>
        <v>405</v>
      </c>
      <c r="N215" s="13">
        <f t="shared" si="13"/>
        <v>532</v>
      </c>
      <c r="O215" s="14">
        <f t="shared" si="14"/>
        <v>937</v>
      </c>
      <c r="P215" s="15">
        <f t="shared" si="15"/>
        <v>1.1289156626506025</v>
      </c>
    </row>
    <row r="216" spans="1:16" ht="15.75" hidden="1" customHeight="1" x14ac:dyDescent="0.3">
      <c r="A216" s="8" t="s">
        <v>58</v>
      </c>
      <c r="B216" s="9" t="s">
        <v>224</v>
      </c>
      <c r="C216" s="9" t="s">
        <v>73</v>
      </c>
      <c r="D216" s="9" t="s">
        <v>103</v>
      </c>
      <c r="E216" s="10">
        <v>20</v>
      </c>
      <c r="F216" s="9" t="s">
        <v>107</v>
      </c>
      <c r="G216" s="10">
        <v>20</v>
      </c>
      <c r="H216" s="9" t="s">
        <v>91</v>
      </c>
      <c r="I216" s="9" t="s">
        <v>92</v>
      </c>
      <c r="J216" s="9" t="s">
        <v>4</v>
      </c>
      <c r="K216" s="9"/>
      <c r="L216" s="9" t="s">
        <v>225</v>
      </c>
      <c r="M216" s="12">
        <f t="shared" si="12"/>
        <v>405</v>
      </c>
      <c r="N216" s="13">
        <f t="shared" si="13"/>
        <v>532</v>
      </c>
      <c r="O216" s="14">
        <f t="shared" si="14"/>
        <v>937</v>
      </c>
      <c r="P216" s="15">
        <f t="shared" si="15"/>
        <v>1.1289156626506025</v>
      </c>
    </row>
    <row r="217" spans="1:16" ht="15.75" hidden="1" customHeight="1" x14ac:dyDescent="0.3">
      <c r="A217" s="8" t="s">
        <v>58</v>
      </c>
      <c r="B217" s="9" t="s">
        <v>224</v>
      </c>
      <c r="C217" s="9" t="s">
        <v>79</v>
      </c>
      <c r="D217" s="9" t="s">
        <v>189</v>
      </c>
      <c r="E217" s="10">
        <v>38</v>
      </c>
      <c r="F217" s="9" t="s">
        <v>190</v>
      </c>
      <c r="G217" s="10">
        <v>38</v>
      </c>
      <c r="H217" s="9" t="s">
        <v>91</v>
      </c>
      <c r="I217" s="9" t="s">
        <v>92</v>
      </c>
      <c r="J217" s="9" t="s">
        <v>4</v>
      </c>
      <c r="K217" s="9"/>
      <c r="L217" s="9" t="s">
        <v>214</v>
      </c>
      <c r="M217" s="12">
        <f t="shared" si="12"/>
        <v>405</v>
      </c>
      <c r="N217" s="13">
        <f t="shared" si="13"/>
        <v>532</v>
      </c>
      <c r="O217" s="14">
        <f t="shared" si="14"/>
        <v>937</v>
      </c>
      <c r="P217" s="15">
        <f t="shared" si="15"/>
        <v>1.1289156626506025</v>
      </c>
    </row>
    <row r="218" spans="1:16" ht="15.75" hidden="1" customHeight="1" x14ac:dyDescent="0.3">
      <c r="A218" s="8" t="s">
        <v>58</v>
      </c>
      <c r="B218" s="9" t="s">
        <v>224</v>
      </c>
      <c r="C218" s="9" t="s">
        <v>79</v>
      </c>
      <c r="D218" s="9" t="s">
        <v>103</v>
      </c>
      <c r="E218" s="10">
        <v>30</v>
      </c>
      <c r="F218" s="9" t="s">
        <v>107</v>
      </c>
      <c r="G218" s="10">
        <v>30</v>
      </c>
      <c r="H218" s="9" t="s">
        <v>91</v>
      </c>
      <c r="I218" s="9" t="s">
        <v>92</v>
      </c>
      <c r="J218" s="9" t="s">
        <v>4</v>
      </c>
      <c r="K218" s="9"/>
      <c r="L218" s="9" t="s">
        <v>226</v>
      </c>
      <c r="M218" s="12">
        <f t="shared" si="12"/>
        <v>405</v>
      </c>
      <c r="N218" s="13">
        <f t="shared" si="13"/>
        <v>532</v>
      </c>
      <c r="O218" s="14">
        <f t="shared" si="14"/>
        <v>937</v>
      </c>
      <c r="P218" s="15">
        <f t="shared" si="15"/>
        <v>1.1289156626506025</v>
      </c>
    </row>
    <row r="219" spans="1:16" ht="15.75" hidden="1" customHeight="1" x14ac:dyDescent="0.3">
      <c r="A219" s="8" t="s">
        <v>58</v>
      </c>
      <c r="B219" s="9" t="s">
        <v>224</v>
      </c>
      <c r="C219" s="9" t="s">
        <v>111</v>
      </c>
      <c r="D219" s="9" t="s">
        <v>189</v>
      </c>
      <c r="E219" s="10">
        <v>3</v>
      </c>
      <c r="F219" s="9" t="s">
        <v>190</v>
      </c>
      <c r="G219" s="11">
        <v>0</v>
      </c>
      <c r="H219" s="9" t="s">
        <v>91</v>
      </c>
      <c r="I219" s="9" t="s">
        <v>92</v>
      </c>
      <c r="J219" s="9" t="s">
        <v>4</v>
      </c>
      <c r="K219" s="9"/>
      <c r="L219" s="9" t="s">
        <v>197</v>
      </c>
      <c r="M219" s="12">
        <f t="shared" si="12"/>
        <v>405</v>
      </c>
      <c r="N219" s="13">
        <f t="shared" si="13"/>
        <v>532</v>
      </c>
      <c r="O219" s="14">
        <f t="shared" si="14"/>
        <v>937</v>
      </c>
      <c r="P219" s="15">
        <f t="shared" si="15"/>
        <v>1.1289156626506025</v>
      </c>
    </row>
    <row r="220" spans="1:16" ht="15.75" hidden="1" customHeight="1" x14ac:dyDescent="0.3">
      <c r="A220" s="8" t="s">
        <v>58</v>
      </c>
      <c r="B220" s="9" t="s">
        <v>224</v>
      </c>
      <c r="C220" s="9" t="s">
        <v>192</v>
      </c>
      <c r="D220" s="9" t="s">
        <v>189</v>
      </c>
      <c r="E220" s="10">
        <v>16</v>
      </c>
      <c r="F220" s="9" t="s">
        <v>190</v>
      </c>
      <c r="G220" s="10">
        <v>16</v>
      </c>
      <c r="H220" s="9" t="s">
        <v>91</v>
      </c>
      <c r="I220" s="9" t="s">
        <v>92</v>
      </c>
      <c r="J220" s="9" t="s">
        <v>4</v>
      </c>
      <c r="K220" s="9"/>
      <c r="L220" s="9" t="s">
        <v>197</v>
      </c>
      <c r="M220" s="12">
        <f t="shared" si="12"/>
        <v>405</v>
      </c>
      <c r="N220" s="13">
        <f t="shared" si="13"/>
        <v>532</v>
      </c>
      <c r="O220" s="14">
        <f t="shared" si="14"/>
        <v>937</v>
      </c>
      <c r="P220" s="15">
        <f t="shared" si="15"/>
        <v>1.1289156626506025</v>
      </c>
    </row>
    <row r="221" spans="1:16" ht="15.75" hidden="1" customHeight="1" x14ac:dyDescent="0.3">
      <c r="A221" s="8" t="s">
        <v>58</v>
      </c>
      <c r="B221" s="9" t="s">
        <v>224</v>
      </c>
      <c r="C221" s="9" t="s">
        <v>142</v>
      </c>
      <c r="D221" s="9" t="s">
        <v>103</v>
      </c>
      <c r="E221" s="10">
        <v>6</v>
      </c>
      <c r="F221" s="9" t="s">
        <v>107</v>
      </c>
      <c r="G221" s="11">
        <v>0</v>
      </c>
      <c r="H221" s="9" t="s">
        <v>91</v>
      </c>
      <c r="I221" s="9" t="s">
        <v>92</v>
      </c>
      <c r="J221" s="9" t="s">
        <v>4</v>
      </c>
      <c r="K221" s="9"/>
      <c r="L221" s="9" t="s">
        <v>197</v>
      </c>
      <c r="M221" s="12">
        <f t="shared" si="12"/>
        <v>405</v>
      </c>
      <c r="N221" s="13">
        <f t="shared" si="13"/>
        <v>532</v>
      </c>
      <c r="O221" s="14">
        <f t="shared" si="14"/>
        <v>937</v>
      </c>
      <c r="P221" s="15">
        <f t="shared" si="15"/>
        <v>1.1289156626506025</v>
      </c>
    </row>
    <row r="222" spans="1:16" ht="15.75" hidden="1" customHeight="1" x14ac:dyDescent="0.3">
      <c r="A222" s="8" t="s">
        <v>58</v>
      </c>
      <c r="B222" s="9" t="s">
        <v>224</v>
      </c>
      <c r="C222" s="9" t="s">
        <v>80</v>
      </c>
      <c r="D222" s="9" t="s">
        <v>189</v>
      </c>
      <c r="E222" s="10">
        <v>4</v>
      </c>
      <c r="F222" s="9" t="s">
        <v>190</v>
      </c>
      <c r="G222" s="11">
        <v>0</v>
      </c>
      <c r="H222" s="9" t="s">
        <v>91</v>
      </c>
      <c r="I222" s="9" t="s">
        <v>92</v>
      </c>
      <c r="J222" s="9" t="s">
        <v>4</v>
      </c>
      <c r="K222" s="9"/>
      <c r="L222" s="9" t="s">
        <v>197</v>
      </c>
      <c r="M222" s="12">
        <f t="shared" si="12"/>
        <v>405</v>
      </c>
      <c r="N222" s="13">
        <f t="shared" si="13"/>
        <v>532</v>
      </c>
      <c r="O222" s="14">
        <f t="shared" si="14"/>
        <v>937</v>
      </c>
      <c r="P222" s="15">
        <f t="shared" si="15"/>
        <v>1.1289156626506025</v>
      </c>
    </row>
    <row r="223" spans="1:16" ht="15.75" hidden="1" customHeight="1" x14ac:dyDescent="0.3">
      <c r="A223" s="8" t="s">
        <v>58</v>
      </c>
      <c r="B223" s="9" t="s">
        <v>224</v>
      </c>
      <c r="C223" s="9" t="s">
        <v>80</v>
      </c>
      <c r="D223" s="9" t="s">
        <v>103</v>
      </c>
      <c r="E223" s="10">
        <v>1</v>
      </c>
      <c r="F223" s="9" t="s">
        <v>107</v>
      </c>
      <c r="G223" s="11">
        <v>0</v>
      </c>
      <c r="H223" s="9" t="s">
        <v>91</v>
      </c>
      <c r="I223" s="9" t="s">
        <v>92</v>
      </c>
      <c r="J223" s="9" t="s">
        <v>4</v>
      </c>
      <c r="K223" s="9"/>
      <c r="L223" s="9" t="s">
        <v>197</v>
      </c>
      <c r="M223" s="12">
        <f t="shared" si="12"/>
        <v>405</v>
      </c>
      <c r="N223" s="13">
        <f t="shared" si="13"/>
        <v>532</v>
      </c>
      <c r="O223" s="14">
        <f t="shared" si="14"/>
        <v>937</v>
      </c>
      <c r="P223" s="15">
        <f t="shared" si="15"/>
        <v>1.1289156626506025</v>
      </c>
    </row>
    <row r="224" spans="1:16" ht="15.75" hidden="1" customHeight="1" x14ac:dyDescent="0.3">
      <c r="A224" s="8" t="s">
        <v>58</v>
      </c>
      <c r="B224" s="9" t="s">
        <v>227</v>
      </c>
      <c r="C224" s="9" t="s">
        <v>73</v>
      </c>
      <c r="D224" s="9" t="s">
        <v>220</v>
      </c>
      <c r="E224" s="10">
        <v>26</v>
      </c>
      <c r="F224" s="9" t="s">
        <v>221</v>
      </c>
      <c r="G224" s="10">
        <v>26</v>
      </c>
      <c r="H224" s="9" t="s">
        <v>167</v>
      </c>
      <c r="I224" s="9" t="s">
        <v>168</v>
      </c>
      <c r="J224" s="9" t="s">
        <v>4</v>
      </c>
      <c r="K224" s="9" t="s">
        <v>205</v>
      </c>
      <c r="L224" s="9" t="s">
        <v>197</v>
      </c>
      <c r="M224" s="12">
        <f t="shared" si="12"/>
        <v>456</v>
      </c>
      <c r="N224" s="13">
        <f t="shared" si="13"/>
        <v>362</v>
      </c>
      <c r="O224" s="14">
        <f t="shared" si="14"/>
        <v>818</v>
      </c>
      <c r="P224" s="15">
        <f t="shared" si="15"/>
        <v>0.98554216867469879</v>
      </c>
    </row>
    <row r="225" spans="1:16" ht="15.75" hidden="1" customHeight="1" x14ac:dyDescent="0.3">
      <c r="A225" s="8" t="s">
        <v>58</v>
      </c>
      <c r="B225" s="9" t="s">
        <v>227</v>
      </c>
      <c r="C225" s="9" t="s">
        <v>123</v>
      </c>
      <c r="D225" s="9" t="s">
        <v>220</v>
      </c>
      <c r="E225" s="10">
        <v>33</v>
      </c>
      <c r="F225" s="9" t="s">
        <v>221</v>
      </c>
      <c r="G225" s="11">
        <v>0</v>
      </c>
      <c r="H225" s="9" t="s">
        <v>167</v>
      </c>
      <c r="I225" s="9" t="s">
        <v>168</v>
      </c>
      <c r="J225" s="9" t="s">
        <v>4</v>
      </c>
      <c r="K225" s="9"/>
      <c r="L225" s="9" t="s">
        <v>197</v>
      </c>
      <c r="M225" s="12">
        <f t="shared" si="12"/>
        <v>456</v>
      </c>
      <c r="N225" s="13">
        <f t="shared" si="13"/>
        <v>362</v>
      </c>
      <c r="O225" s="14">
        <f t="shared" si="14"/>
        <v>818</v>
      </c>
      <c r="P225" s="15">
        <f t="shared" si="15"/>
        <v>0.98554216867469879</v>
      </c>
    </row>
    <row r="226" spans="1:16" ht="15.75" hidden="1" customHeight="1" x14ac:dyDescent="0.3">
      <c r="A226" s="8" t="s">
        <v>58</v>
      </c>
      <c r="B226" s="9" t="s">
        <v>227</v>
      </c>
      <c r="C226" s="9" t="s">
        <v>100</v>
      </c>
      <c r="D226" s="9" t="s">
        <v>220</v>
      </c>
      <c r="E226" s="10">
        <v>36</v>
      </c>
      <c r="F226" s="9" t="s">
        <v>221</v>
      </c>
      <c r="G226" s="10">
        <v>36</v>
      </c>
      <c r="H226" s="9" t="s">
        <v>167</v>
      </c>
      <c r="I226" s="9" t="s">
        <v>168</v>
      </c>
      <c r="J226" s="9" t="s">
        <v>4</v>
      </c>
      <c r="K226" s="9" t="s">
        <v>206</v>
      </c>
      <c r="L226" s="9" t="s">
        <v>197</v>
      </c>
      <c r="M226" s="12">
        <f t="shared" ref="M226:M289" si="16">SUMIFS($E$2:$E$1130,$A$2:$A$1130,"осень",$I$2:$I$1130,I226)</f>
        <v>456</v>
      </c>
      <c r="N226" s="13">
        <f t="shared" ref="N226:N289" si="17">SUMIFS($E$2:$E$1130,$A$2:$A$1130,"весна",$I$2:$I$1130,I226)</f>
        <v>362</v>
      </c>
      <c r="O226" s="14">
        <f t="shared" ref="O226:O289" si="18">M226+N226</f>
        <v>818</v>
      </c>
      <c r="P226" s="15">
        <f t="shared" ref="P226:P289" si="19">O226/$P$1</f>
        <v>0.98554216867469879</v>
      </c>
    </row>
    <row r="227" spans="1:16" ht="15.75" hidden="1" customHeight="1" x14ac:dyDescent="0.3">
      <c r="A227" s="8" t="s">
        <v>58</v>
      </c>
      <c r="B227" s="9" t="s">
        <v>227</v>
      </c>
      <c r="C227" s="9" t="s">
        <v>111</v>
      </c>
      <c r="D227" s="9" t="s">
        <v>220</v>
      </c>
      <c r="E227" s="10">
        <v>6</v>
      </c>
      <c r="F227" s="9" t="s">
        <v>221</v>
      </c>
      <c r="G227" s="11">
        <v>0</v>
      </c>
      <c r="H227" s="9" t="s">
        <v>167</v>
      </c>
      <c r="I227" s="9" t="s">
        <v>168</v>
      </c>
      <c r="J227" s="9" t="s">
        <v>4</v>
      </c>
      <c r="K227" s="9"/>
      <c r="L227" s="9" t="s">
        <v>197</v>
      </c>
      <c r="M227" s="12">
        <f t="shared" si="16"/>
        <v>456</v>
      </c>
      <c r="N227" s="13">
        <f t="shared" si="17"/>
        <v>362</v>
      </c>
      <c r="O227" s="14">
        <f t="shared" si="18"/>
        <v>818</v>
      </c>
      <c r="P227" s="15">
        <f t="shared" si="19"/>
        <v>0.98554216867469879</v>
      </c>
    </row>
    <row r="228" spans="1:16" ht="15.75" hidden="1" customHeight="1" x14ac:dyDescent="0.3">
      <c r="A228" s="8" t="s">
        <v>58</v>
      </c>
      <c r="B228" s="9" t="s">
        <v>227</v>
      </c>
      <c r="C228" s="9" t="s">
        <v>80</v>
      </c>
      <c r="D228" s="9" t="s">
        <v>220</v>
      </c>
      <c r="E228" s="10">
        <v>5</v>
      </c>
      <c r="F228" s="9" t="s">
        <v>221</v>
      </c>
      <c r="G228" s="11">
        <v>0</v>
      </c>
      <c r="H228" s="9" t="s">
        <v>167</v>
      </c>
      <c r="I228" s="9" t="s">
        <v>168</v>
      </c>
      <c r="J228" s="9" t="s">
        <v>4</v>
      </c>
      <c r="K228" s="9"/>
      <c r="L228" s="9" t="s">
        <v>197</v>
      </c>
      <c r="M228" s="12">
        <f t="shared" si="16"/>
        <v>456</v>
      </c>
      <c r="N228" s="13">
        <f t="shared" si="17"/>
        <v>362</v>
      </c>
      <c r="O228" s="14">
        <f t="shared" si="18"/>
        <v>818</v>
      </c>
      <c r="P228" s="15">
        <f t="shared" si="19"/>
        <v>0.98554216867469879</v>
      </c>
    </row>
    <row r="229" spans="1:16" ht="15.75" hidden="1" customHeight="1" x14ac:dyDescent="0.3">
      <c r="A229" s="8" t="s">
        <v>58</v>
      </c>
      <c r="B229" s="9" t="s">
        <v>228</v>
      </c>
      <c r="C229" s="9" t="s">
        <v>73</v>
      </c>
      <c r="D229" s="9" t="s">
        <v>134</v>
      </c>
      <c r="E229" s="10">
        <v>12</v>
      </c>
      <c r="F229" s="9" t="s">
        <v>166</v>
      </c>
      <c r="G229" s="10">
        <v>12</v>
      </c>
      <c r="H229" s="9" t="s">
        <v>128</v>
      </c>
      <c r="I229" s="9" t="s">
        <v>129</v>
      </c>
      <c r="J229" s="9" t="s">
        <v>8</v>
      </c>
      <c r="K229" s="9"/>
      <c r="L229" s="9" t="s">
        <v>130</v>
      </c>
      <c r="M229" s="12">
        <f t="shared" si="16"/>
        <v>348</v>
      </c>
      <c r="N229" s="13">
        <f t="shared" si="17"/>
        <v>610</v>
      </c>
      <c r="O229" s="14">
        <f t="shared" si="18"/>
        <v>958</v>
      </c>
      <c r="P229" s="15">
        <f t="shared" si="19"/>
        <v>1.1542168674698796</v>
      </c>
    </row>
    <row r="230" spans="1:16" ht="15.75" hidden="1" customHeight="1" x14ac:dyDescent="0.3">
      <c r="A230" s="8" t="s">
        <v>58</v>
      </c>
      <c r="B230" s="9" t="s">
        <v>228</v>
      </c>
      <c r="C230" s="9" t="s">
        <v>79</v>
      </c>
      <c r="D230" s="9" t="s">
        <v>134</v>
      </c>
      <c r="E230" s="10">
        <v>24</v>
      </c>
      <c r="F230" s="9" t="s">
        <v>166</v>
      </c>
      <c r="G230" s="10">
        <v>24</v>
      </c>
      <c r="H230" s="9" t="s">
        <v>128</v>
      </c>
      <c r="I230" s="9" t="s">
        <v>129</v>
      </c>
      <c r="J230" s="9" t="s">
        <v>8</v>
      </c>
      <c r="K230" s="9"/>
      <c r="L230" s="9" t="s">
        <v>130</v>
      </c>
      <c r="M230" s="12">
        <f t="shared" si="16"/>
        <v>348</v>
      </c>
      <c r="N230" s="13">
        <f t="shared" si="17"/>
        <v>610</v>
      </c>
      <c r="O230" s="14">
        <f t="shared" si="18"/>
        <v>958</v>
      </c>
      <c r="P230" s="15">
        <f t="shared" si="19"/>
        <v>1.1542168674698796</v>
      </c>
    </row>
    <row r="231" spans="1:16" ht="15.75" hidden="1" customHeight="1" x14ac:dyDescent="0.3">
      <c r="A231" s="8" t="s">
        <v>58</v>
      </c>
      <c r="B231" s="9" t="s">
        <v>228</v>
      </c>
      <c r="C231" s="9" t="s">
        <v>142</v>
      </c>
      <c r="D231" s="9" t="s">
        <v>134</v>
      </c>
      <c r="E231" s="10">
        <v>2</v>
      </c>
      <c r="F231" s="9" t="s">
        <v>166</v>
      </c>
      <c r="G231" s="11">
        <v>0</v>
      </c>
      <c r="H231" s="9" t="s">
        <v>128</v>
      </c>
      <c r="I231" s="9" t="s">
        <v>129</v>
      </c>
      <c r="J231" s="9" t="s">
        <v>8</v>
      </c>
      <c r="K231" s="9"/>
      <c r="L231" s="9" t="s">
        <v>130</v>
      </c>
      <c r="M231" s="12">
        <f t="shared" si="16"/>
        <v>348</v>
      </c>
      <c r="N231" s="13">
        <f t="shared" si="17"/>
        <v>610</v>
      </c>
      <c r="O231" s="14">
        <f t="shared" si="18"/>
        <v>958</v>
      </c>
      <c r="P231" s="15">
        <f t="shared" si="19"/>
        <v>1.1542168674698796</v>
      </c>
    </row>
    <row r="232" spans="1:16" ht="15.75" hidden="1" customHeight="1" x14ac:dyDescent="0.3">
      <c r="A232" s="8" t="s">
        <v>58</v>
      </c>
      <c r="B232" s="9" t="s">
        <v>228</v>
      </c>
      <c r="C232" s="9" t="s">
        <v>80</v>
      </c>
      <c r="D232" s="9" t="s">
        <v>134</v>
      </c>
      <c r="E232" s="10">
        <v>1</v>
      </c>
      <c r="F232" s="9" t="s">
        <v>166</v>
      </c>
      <c r="G232" s="11">
        <v>0</v>
      </c>
      <c r="H232" s="9" t="s">
        <v>128</v>
      </c>
      <c r="I232" s="9" t="s">
        <v>129</v>
      </c>
      <c r="J232" s="9" t="s">
        <v>8</v>
      </c>
      <c r="K232" s="9"/>
      <c r="L232" s="9" t="s">
        <v>130</v>
      </c>
      <c r="M232" s="12">
        <f t="shared" si="16"/>
        <v>348</v>
      </c>
      <c r="N232" s="13">
        <f t="shared" si="17"/>
        <v>610</v>
      </c>
      <c r="O232" s="14">
        <f t="shared" si="18"/>
        <v>958</v>
      </c>
      <c r="P232" s="15">
        <f t="shared" si="19"/>
        <v>1.1542168674698796</v>
      </c>
    </row>
    <row r="233" spans="1:16" ht="15.75" hidden="1" customHeight="1" x14ac:dyDescent="0.3">
      <c r="A233" s="8" t="s">
        <v>58</v>
      </c>
      <c r="B233" s="9" t="s">
        <v>229</v>
      </c>
      <c r="C233" s="9" t="s">
        <v>102</v>
      </c>
      <c r="D233" s="9" t="s">
        <v>134</v>
      </c>
      <c r="E233" s="10">
        <v>24</v>
      </c>
      <c r="F233" s="9" t="s">
        <v>166</v>
      </c>
      <c r="G233" s="11">
        <v>0</v>
      </c>
      <c r="H233" s="9" t="s">
        <v>230</v>
      </c>
      <c r="I233" s="9" t="s">
        <v>231</v>
      </c>
      <c r="J233" s="9" t="s">
        <v>4</v>
      </c>
      <c r="K233" s="9"/>
      <c r="L233" s="9" t="s">
        <v>232</v>
      </c>
      <c r="M233" s="12">
        <f t="shared" si="16"/>
        <v>116</v>
      </c>
      <c r="N233" s="13">
        <f t="shared" si="17"/>
        <v>105</v>
      </c>
      <c r="O233" s="14">
        <f t="shared" si="18"/>
        <v>221</v>
      </c>
      <c r="P233" s="15">
        <f t="shared" si="19"/>
        <v>0.26626506024096386</v>
      </c>
    </row>
    <row r="234" spans="1:16" ht="15.75" hidden="1" customHeight="1" x14ac:dyDescent="0.3">
      <c r="A234" s="8" t="s">
        <v>58</v>
      </c>
      <c r="B234" s="9" t="s">
        <v>229</v>
      </c>
      <c r="C234" s="9" t="s">
        <v>73</v>
      </c>
      <c r="D234" s="9" t="s">
        <v>134</v>
      </c>
      <c r="E234" s="10">
        <v>16</v>
      </c>
      <c r="F234" s="9" t="s">
        <v>166</v>
      </c>
      <c r="G234" s="10">
        <v>16</v>
      </c>
      <c r="H234" s="9" t="s">
        <v>230</v>
      </c>
      <c r="I234" s="9" t="s">
        <v>231</v>
      </c>
      <c r="J234" s="9" t="s">
        <v>4</v>
      </c>
      <c r="K234" s="9"/>
      <c r="L234" s="9" t="s">
        <v>232</v>
      </c>
      <c r="M234" s="12">
        <f t="shared" si="16"/>
        <v>116</v>
      </c>
      <c r="N234" s="13">
        <f t="shared" si="17"/>
        <v>105</v>
      </c>
      <c r="O234" s="14">
        <f t="shared" si="18"/>
        <v>221</v>
      </c>
      <c r="P234" s="15">
        <f t="shared" si="19"/>
        <v>0.26626506024096386</v>
      </c>
    </row>
    <row r="235" spans="1:16" ht="15.75" hidden="1" customHeight="1" x14ac:dyDescent="0.3">
      <c r="A235" s="8" t="s">
        <v>58</v>
      </c>
      <c r="B235" s="9" t="s">
        <v>229</v>
      </c>
      <c r="C235" s="9" t="s">
        <v>87</v>
      </c>
      <c r="D235" s="9" t="s">
        <v>134</v>
      </c>
      <c r="E235" s="10">
        <v>2</v>
      </c>
      <c r="F235" s="9" t="s">
        <v>166</v>
      </c>
      <c r="G235" s="11">
        <v>0</v>
      </c>
      <c r="H235" s="9" t="s">
        <v>230</v>
      </c>
      <c r="I235" s="9" t="s">
        <v>231</v>
      </c>
      <c r="J235" s="9" t="s">
        <v>4</v>
      </c>
      <c r="K235" s="9"/>
      <c r="L235" s="9" t="s">
        <v>232</v>
      </c>
      <c r="M235" s="12">
        <f t="shared" si="16"/>
        <v>116</v>
      </c>
      <c r="N235" s="13">
        <f t="shared" si="17"/>
        <v>105</v>
      </c>
      <c r="O235" s="14">
        <f t="shared" si="18"/>
        <v>221</v>
      </c>
      <c r="P235" s="15">
        <f t="shared" si="19"/>
        <v>0.26626506024096386</v>
      </c>
    </row>
    <row r="236" spans="1:16" ht="15.75" hidden="1" customHeight="1" x14ac:dyDescent="0.3">
      <c r="A236" s="8" t="s">
        <v>58</v>
      </c>
      <c r="B236" s="9" t="s">
        <v>229</v>
      </c>
      <c r="C236" s="9" t="s">
        <v>79</v>
      </c>
      <c r="D236" s="9" t="s">
        <v>134</v>
      </c>
      <c r="E236" s="10">
        <v>28</v>
      </c>
      <c r="F236" s="9" t="s">
        <v>166</v>
      </c>
      <c r="G236" s="10">
        <v>28</v>
      </c>
      <c r="H236" s="9" t="s">
        <v>230</v>
      </c>
      <c r="I236" s="9" t="s">
        <v>231</v>
      </c>
      <c r="J236" s="9" t="s">
        <v>4</v>
      </c>
      <c r="K236" s="9"/>
      <c r="L236" s="9" t="s">
        <v>232</v>
      </c>
      <c r="M236" s="12">
        <f t="shared" si="16"/>
        <v>116</v>
      </c>
      <c r="N236" s="13">
        <f t="shared" si="17"/>
        <v>105</v>
      </c>
      <c r="O236" s="14">
        <f t="shared" si="18"/>
        <v>221</v>
      </c>
      <c r="P236" s="15">
        <f t="shared" si="19"/>
        <v>0.26626506024096386</v>
      </c>
    </row>
    <row r="237" spans="1:16" ht="15.75" hidden="1" customHeight="1" x14ac:dyDescent="0.3">
      <c r="A237" s="8" t="s">
        <v>58</v>
      </c>
      <c r="B237" s="9" t="s">
        <v>229</v>
      </c>
      <c r="C237" s="9" t="s">
        <v>80</v>
      </c>
      <c r="D237" s="9" t="s">
        <v>134</v>
      </c>
      <c r="E237" s="10">
        <v>1</v>
      </c>
      <c r="F237" s="9" t="s">
        <v>166</v>
      </c>
      <c r="G237" s="11">
        <v>0</v>
      </c>
      <c r="H237" s="9" t="s">
        <v>230</v>
      </c>
      <c r="I237" s="9" t="s">
        <v>231</v>
      </c>
      <c r="J237" s="9" t="s">
        <v>4</v>
      </c>
      <c r="K237" s="9"/>
      <c r="L237" s="9" t="s">
        <v>232</v>
      </c>
      <c r="M237" s="12">
        <f t="shared" si="16"/>
        <v>116</v>
      </c>
      <c r="N237" s="13">
        <f t="shared" si="17"/>
        <v>105</v>
      </c>
      <c r="O237" s="14">
        <f t="shared" si="18"/>
        <v>221</v>
      </c>
      <c r="P237" s="15">
        <f t="shared" si="19"/>
        <v>0.26626506024096386</v>
      </c>
    </row>
    <row r="238" spans="1:16" ht="15.75" hidden="1" customHeight="1" x14ac:dyDescent="0.3">
      <c r="A238" s="17" t="s">
        <v>58</v>
      </c>
      <c r="B238" s="9" t="s">
        <v>233</v>
      </c>
      <c r="C238" s="9" t="s">
        <v>73</v>
      </c>
      <c r="D238" s="9" t="s">
        <v>234</v>
      </c>
      <c r="E238" s="10">
        <v>14</v>
      </c>
      <c r="F238" s="9" t="s">
        <v>235</v>
      </c>
      <c r="G238" s="10">
        <v>14</v>
      </c>
      <c r="H238" s="9" t="s">
        <v>115</v>
      </c>
      <c r="I238" s="9" t="s">
        <v>116</v>
      </c>
      <c r="J238" s="9" t="s">
        <v>4</v>
      </c>
      <c r="K238" s="9"/>
      <c r="L238" s="9" t="s">
        <v>117</v>
      </c>
      <c r="M238" s="12">
        <f t="shared" si="16"/>
        <v>381</v>
      </c>
      <c r="N238" s="13">
        <f t="shared" si="17"/>
        <v>367</v>
      </c>
      <c r="O238" s="14">
        <f t="shared" si="18"/>
        <v>748</v>
      </c>
      <c r="P238" s="15">
        <f t="shared" si="19"/>
        <v>0.90120481927710838</v>
      </c>
    </row>
    <row r="239" spans="1:16" ht="15.75" hidden="1" customHeight="1" x14ac:dyDescent="0.3">
      <c r="A239" s="17" t="s">
        <v>58</v>
      </c>
      <c r="B239" s="9" t="s">
        <v>233</v>
      </c>
      <c r="C239" s="9" t="s">
        <v>87</v>
      </c>
      <c r="D239" s="9" t="s">
        <v>140</v>
      </c>
      <c r="E239" s="10">
        <v>2</v>
      </c>
      <c r="F239" s="9" t="s">
        <v>235</v>
      </c>
      <c r="G239" s="11">
        <v>0</v>
      </c>
      <c r="H239" s="9" t="s">
        <v>115</v>
      </c>
      <c r="I239" s="9" t="s">
        <v>116</v>
      </c>
      <c r="J239" s="9" t="s">
        <v>4</v>
      </c>
      <c r="K239" s="9"/>
      <c r="L239" s="9" t="s">
        <v>117</v>
      </c>
      <c r="M239" s="12">
        <f t="shared" si="16"/>
        <v>381</v>
      </c>
      <c r="N239" s="13">
        <f t="shared" si="17"/>
        <v>367</v>
      </c>
      <c r="O239" s="14">
        <f t="shared" si="18"/>
        <v>748</v>
      </c>
      <c r="P239" s="15">
        <f t="shared" si="19"/>
        <v>0.90120481927710838</v>
      </c>
    </row>
    <row r="240" spans="1:16" ht="15.75" hidden="1" customHeight="1" x14ac:dyDescent="0.3">
      <c r="A240" s="17" t="s">
        <v>58</v>
      </c>
      <c r="B240" s="9" t="s">
        <v>233</v>
      </c>
      <c r="C240" s="9" t="s">
        <v>79</v>
      </c>
      <c r="D240" s="9" t="s">
        <v>139</v>
      </c>
      <c r="E240" s="10">
        <v>36</v>
      </c>
      <c r="F240" s="9" t="s">
        <v>235</v>
      </c>
      <c r="G240" s="10">
        <v>36</v>
      </c>
      <c r="H240" s="9" t="s">
        <v>115</v>
      </c>
      <c r="I240" s="9" t="s">
        <v>116</v>
      </c>
      <c r="J240" s="9" t="s">
        <v>4</v>
      </c>
      <c r="K240" s="9"/>
      <c r="L240" s="9" t="s">
        <v>117</v>
      </c>
      <c r="M240" s="12">
        <f t="shared" si="16"/>
        <v>381</v>
      </c>
      <c r="N240" s="13">
        <f t="shared" si="17"/>
        <v>367</v>
      </c>
      <c r="O240" s="14">
        <f t="shared" si="18"/>
        <v>748</v>
      </c>
      <c r="P240" s="15">
        <f t="shared" si="19"/>
        <v>0.90120481927710838</v>
      </c>
    </row>
    <row r="241" spans="1:16" ht="15.75" hidden="1" customHeight="1" x14ac:dyDescent="0.3">
      <c r="A241" s="17" t="s">
        <v>58</v>
      </c>
      <c r="B241" s="9" t="s">
        <v>233</v>
      </c>
      <c r="C241" s="9" t="s">
        <v>79</v>
      </c>
      <c r="D241" s="9" t="s">
        <v>140</v>
      </c>
      <c r="E241" s="10">
        <v>36</v>
      </c>
      <c r="F241" s="9" t="s">
        <v>235</v>
      </c>
      <c r="G241" s="10">
        <v>36</v>
      </c>
      <c r="H241" s="9" t="s">
        <v>115</v>
      </c>
      <c r="I241" s="9" t="s">
        <v>116</v>
      </c>
      <c r="J241" s="9" t="s">
        <v>4</v>
      </c>
      <c r="K241" s="9"/>
      <c r="L241" s="9" t="s">
        <v>117</v>
      </c>
      <c r="M241" s="12">
        <f t="shared" si="16"/>
        <v>381</v>
      </c>
      <c r="N241" s="13">
        <f t="shared" si="17"/>
        <v>367</v>
      </c>
      <c r="O241" s="14">
        <f t="shared" si="18"/>
        <v>748</v>
      </c>
      <c r="P241" s="15">
        <f t="shared" si="19"/>
        <v>0.90120481927710838</v>
      </c>
    </row>
    <row r="242" spans="1:16" ht="15.75" hidden="1" customHeight="1" x14ac:dyDescent="0.3">
      <c r="A242" s="17" t="s">
        <v>58</v>
      </c>
      <c r="B242" s="9" t="s">
        <v>233</v>
      </c>
      <c r="C242" s="9" t="s">
        <v>111</v>
      </c>
      <c r="D242" s="9" t="s">
        <v>139</v>
      </c>
      <c r="E242" s="10">
        <v>3</v>
      </c>
      <c r="F242" s="9" t="s">
        <v>235</v>
      </c>
      <c r="G242" s="11">
        <v>0</v>
      </c>
      <c r="H242" s="9" t="s">
        <v>115</v>
      </c>
      <c r="I242" s="9" t="s">
        <v>116</v>
      </c>
      <c r="J242" s="9" t="s">
        <v>4</v>
      </c>
      <c r="K242" s="9"/>
      <c r="L242" s="9" t="s">
        <v>117</v>
      </c>
      <c r="M242" s="12">
        <f t="shared" si="16"/>
        <v>381</v>
      </c>
      <c r="N242" s="13">
        <f t="shared" si="17"/>
        <v>367</v>
      </c>
      <c r="O242" s="14">
        <f t="shared" si="18"/>
        <v>748</v>
      </c>
      <c r="P242" s="15">
        <f t="shared" si="19"/>
        <v>0.90120481927710838</v>
      </c>
    </row>
    <row r="243" spans="1:16" ht="15.75" hidden="1" customHeight="1" x14ac:dyDescent="0.3">
      <c r="A243" s="17" t="s">
        <v>58</v>
      </c>
      <c r="B243" s="9" t="s">
        <v>233</v>
      </c>
      <c r="C243" s="9" t="s">
        <v>80</v>
      </c>
      <c r="D243" s="9" t="s">
        <v>139</v>
      </c>
      <c r="E243" s="10">
        <v>3</v>
      </c>
      <c r="F243" s="9" t="s">
        <v>235</v>
      </c>
      <c r="G243" s="11">
        <v>0</v>
      </c>
      <c r="H243" s="9" t="s">
        <v>115</v>
      </c>
      <c r="I243" s="9" t="s">
        <v>116</v>
      </c>
      <c r="J243" s="9" t="s">
        <v>4</v>
      </c>
      <c r="K243" s="9"/>
      <c r="L243" s="9" t="s">
        <v>117</v>
      </c>
      <c r="M243" s="12">
        <f t="shared" si="16"/>
        <v>381</v>
      </c>
      <c r="N243" s="13">
        <f t="shared" si="17"/>
        <v>367</v>
      </c>
      <c r="O243" s="14">
        <f t="shared" si="18"/>
        <v>748</v>
      </c>
      <c r="P243" s="15">
        <f t="shared" si="19"/>
        <v>0.90120481927710838</v>
      </c>
    </row>
    <row r="244" spans="1:16" ht="15.75" hidden="1" customHeight="1" x14ac:dyDescent="0.3">
      <c r="A244" s="17" t="s">
        <v>58</v>
      </c>
      <c r="B244" s="9" t="s">
        <v>233</v>
      </c>
      <c r="C244" s="9" t="s">
        <v>80</v>
      </c>
      <c r="D244" s="9" t="s">
        <v>140</v>
      </c>
      <c r="E244" s="10">
        <v>1</v>
      </c>
      <c r="F244" s="9" t="s">
        <v>235</v>
      </c>
      <c r="G244" s="11">
        <v>0</v>
      </c>
      <c r="H244" s="9" t="s">
        <v>115</v>
      </c>
      <c r="I244" s="9" t="s">
        <v>116</v>
      </c>
      <c r="J244" s="9" t="s">
        <v>4</v>
      </c>
      <c r="K244" s="9"/>
      <c r="L244" s="9" t="s">
        <v>117</v>
      </c>
      <c r="M244" s="12">
        <f t="shared" si="16"/>
        <v>381</v>
      </c>
      <c r="N244" s="13">
        <f t="shared" si="17"/>
        <v>367</v>
      </c>
      <c r="O244" s="14">
        <f t="shared" si="18"/>
        <v>748</v>
      </c>
      <c r="P244" s="15">
        <f t="shared" si="19"/>
        <v>0.90120481927710838</v>
      </c>
    </row>
    <row r="245" spans="1:16" ht="15.75" hidden="1" customHeight="1" x14ac:dyDescent="0.3">
      <c r="A245" s="17" t="s">
        <v>58</v>
      </c>
      <c r="B245" s="9" t="s">
        <v>236</v>
      </c>
      <c r="C245" s="9" t="s">
        <v>73</v>
      </c>
      <c r="D245" s="9" t="s">
        <v>237</v>
      </c>
      <c r="E245" s="10">
        <v>20</v>
      </c>
      <c r="F245" s="9" t="s">
        <v>238</v>
      </c>
      <c r="G245" s="10">
        <v>20</v>
      </c>
      <c r="H245" s="9" t="s">
        <v>70</v>
      </c>
      <c r="I245" s="9" t="s">
        <v>71</v>
      </c>
      <c r="J245" s="9"/>
      <c r="K245" s="9"/>
      <c r="L245" s="9"/>
      <c r="M245" s="12">
        <f t="shared" si="16"/>
        <v>391</v>
      </c>
      <c r="N245" s="13">
        <f t="shared" si="17"/>
        <v>436.5</v>
      </c>
      <c r="O245" s="14">
        <f t="shared" si="18"/>
        <v>827.5</v>
      </c>
      <c r="P245" s="15">
        <f t="shared" si="19"/>
        <v>0.99698795180722888</v>
      </c>
    </row>
    <row r="246" spans="1:16" ht="15.75" hidden="1" customHeight="1" x14ac:dyDescent="0.3">
      <c r="A246" s="17" t="s">
        <v>58</v>
      </c>
      <c r="B246" s="9" t="s">
        <v>236</v>
      </c>
      <c r="C246" s="9" t="s">
        <v>123</v>
      </c>
      <c r="D246" s="9" t="s">
        <v>237</v>
      </c>
      <c r="E246" s="10">
        <v>18</v>
      </c>
      <c r="F246" s="9" t="s">
        <v>238</v>
      </c>
      <c r="G246" s="11">
        <v>0</v>
      </c>
      <c r="H246" s="9" t="s">
        <v>70</v>
      </c>
      <c r="I246" s="9" t="s">
        <v>71</v>
      </c>
      <c r="J246" s="9"/>
      <c r="K246" s="9"/>
      <c r="L246" s="9"/>
      <c r="M246" s="12">
        <f t="shared" si="16"/>
        <v>391</v>
      </c>
      <c r="N246" s="13">
        <f t="shared" si="17"/>
        <v>436.5</v>
      </c>
      <c r="O246" s="14">
        <f t="shared" si="18"/>
        <v>827.5</v>
      </c>
      <c r="P246" s="15">
        <f t="shared" si="19"/>
        <v>0.99698795180722888</v>
      </c>
    </row>
    <row r="247" spans="1:16" ht="15.75" hidden="1" customHeight="1" x14ac:dyDescent="0.3">
      <c r="A247" s="17" t="s">
        <v>58</v>
      </c>
      <c r="B247" s="9" t="s">
        <v>236</v>
      </c>
      <c r="C247" s="9" t="s">
        <v>87</v>
      </c>
      <c r="D247" s="9" t="s">
        <v>237</v>
      </c>
      <c r="E247" s="10">
        <v>2</v>
      </c>
      <c r="F247" s="9" t="s">
        <v>238</v>
      </c>
      <c r="G247" s="11">
        <v>0</v>
      </c>
      <c r="H247" s="9" t="s">
        <v>70</v>
      </c>
      <c r="I247" s="9" t="s">
        <v>71</v>
      </c>
      <c r="J247" s="9"/>
      <c r="K247" s="9"/>
      <c r="L247" s="9"/>
      <c r="M247" s="12">
        <f t="shared" si="16"/>
        <v>391</v>
      </c>
      <c r="N247" s="13">
        <f t="shared" si="17"/>
        <v>436.5</v>
      </c>
      <c r="O247" s="14">
        <f t="shared" si="18"/>
        <v>827.5</v>
      </c>
      <c r="P247" s="15">
        <f t="shared" si="19"/>
        <v>0.99698795180722888</v>
      </c>
    </row>
    <row r="248" spans="1:16" ht="15.75" hidden="1" customHeight="1" x14ac:dyDescent="0.3">
      <c r="A248" s="17" t="s">
        <v>58</v>
      </c>
      <c r="B248" s="9" t="s">
        <v>236</v>
      </c>
      <c r="C248" s="9" t="s">
        <v>79</v>
      </c>
      <c r="D248" s="9" t="s">
        <v>237</v>
      </c>
      <c r="E248" s="10">
        <v>12</v>
      </c>
      <c r="F248" s="9" t="s">
        <v>238</v>
      </c>
      <c r="G248" s="10">
        <v>12</v>
      </c>
      <c r="H248" s="9" t="s">
        <v>70</v>
      </c>
      <c r="I248" s="9" t="s">
        <v>71</v>
      </c>
      <c r="J248" s="9"/>
      <c r="K248" s="9"/>
      <c r="L248" s="9"/>
      <c r="M248" s="12">
        <f t="shared" si="16"/>
        <v>391</v>
      </c>
      <c r="N248" s="13">
        <f t="shared" si="17"/>
        <v>436.5</v>
      </c>
      <c r="O248" s="14">
        <f t="shared" si="18"/>
        <v>827.5</v>
      </c>
      <c r="P248" s="15">
        <f t="shared" si="19"/>
        <v>0.99698795180722888</v>
      </c>
    </row>
    <row r="249" spans="1:16" ht="15.75" hidden="1" customHeight="1" x14ac:dyDescent="0.3">
      <c r="A249" s="17" t="s">
        <v>58</v>
      </c>
      <c r="B249" s="9" t="s">
        <v>236</v>
      </c>
      <c r="C249" s="9" t="s">
        <v>100</v>
      </c>
      <c r="D249" s="9" t="s">
        <v>237</v>
      </c>
      <c r="E249" s="10">
        <v>24</v>
      </c>
      <c r="F249" s="9" t="s">
        <v>238</v>
      </c>
      <c r="G249" s="10">
        <v>24</v>
      </c>
      <c r="H249" s="9" t="s">
        <v>70</v>
      </c>
      <c r="I249" s="9" t="s">
        <v>71</v>
      </c>
      <c r="J249" s="9"/>
      <c r="K249" s="9"/>
      <c r="L249" s="9"/>
      <c r="M249" s="12">
        <f t="shared" si="16"/>
        <v>391</v>
      </c>
      <c r="N249" s="13">
        <f t="shared" si="17"/>
        <v>436.5</v>
      </c>
      <c r="O249" s="14">
        <f t="shared" si="18"/>
        <v>827.5</v>
      </c>
      <c r="P249" s="15">
        <f t="shared" si="19"/>
        <v>0.99698795180722888</v>
      </c>
    </row>
    <row r="250" spans="1:16" ht="15.75" hidden="1" customHeight="1" x14ac:dyDescent="0.3">
      <c r="A250" s="17" t="s">
        <v>58</v>
      </c>
      <c r="B250" s="9" t="s">
        <v>236</v>
      </c>
      <c r="C250" s="9" t="s">
        <v>80</v>
      </c>
      <c r="D250" s="9" t="s">
        <v>237</v>
      </c>
      <c r="E250" s="10">
        <v>1</v>
      </c>
      <c r="F250" s="9" t="s">
        <v>238</v>
      </c>
      <c r="G250" s="11">
        <v>0</v>
      </c>
      <c r="H250" s="9" t="s">
        <v>70</v>
      </c>
      <c r="I250" s="9" t="s">
        <v>71</v>
      </c>
      <c r="J250" s="9"/>
      <c r="K250" s="9"/>
      <c r="L250" s="9"/>
      <c r="M250" s="12">
        <f t="shared" si="16"/>
        <v>391</v>
      </c>
      <c r="N250" s="13">
        <f t="shared" si="17"/>
        <v>436.5</v>
      </c>
      <c r="O250" s="14">
        <f t="shared" si="18"/>
        <v>827.5</v>
      </c>
      <c r="P250" s="15">
        <f t="shared" si="19"/>
        <v>0.99698795180722888</v>
      </c>
    </row>
    <row r="251" spans="1:16" ht="15.75" hidden="1" customHeight="1" x14ac:dyDescent="0.3">
      <c r="A251" s="8" t="s">
        <v>58</v>
      </c>
      <c r="B251" s="9" t="s">
        <v>239</v>
      </c>
      <c r="C251" s="9" t="s">
        <v>73</v>
      </c>
      <c r="D251" s="9" t="s">
        <v>139</v>
      </c>
      <c r="E251" s="10">
        <v>10</v>
      </c>
      <c r="F251" s="9" t="s">
        <v>238</v>
      </c>
      <c r="G251" s="10">
        <v>10</v>
      </c>
      <c r="H251" s="9" t="s">
        <v>70</v>
      </c>
      <c r="I251" s="9" t="s">
        <v>71</v>
      </c>
      <c r="J251" s="9"/>
      <c r="K251" s="9"/>
      <c r="L251" s="9"/>
      <c r="M251" s="12">
        <f t="shared" si="16"/>
        <v>391</v>
      </c>
      <c r="N251" s="13">
        <f t="shared" si="17"/>
        <v>436.5</v>
      </c>
      <c r="O251" s="14">
        <f t="shared" si="18"/>
        <v>827.5</v>
      </c>
      <c r="P251" s="15">
        <f t="shared" si="19"/>
        <v>0.99698795180722888</v>
      </c>
    </row>
    <row r="252" spans="1:16" ht="15.75" hidden="1" customHeight="1" x14ac:dyDescent="0.3">
      <c r="A252" s="8" t="s">
        <v>58</v>
      </c>
      <c r="B252" s="9" t="s">
        <v>239</v>
      </c>
      <c r="C252" s="9" t="s">
        <v>123</v>
      </c>
      <c r="D252" s="9" t="s">
        <v>139</v>
      </c>
      <c r="E252" s="10">
        <v>15</v>
      </c>
      <c r="F252" s="9" t="s">
        <v>238</v>
      </c>
      <c r="G252" s="11">
        <v>0</v>
      </c>
      <c r="H252" s="9" t="s">
        <v>70</v>
      </c>
      <c r="I252" s="9" t="s">
        <v>71</v>
      </c>
      <c r="J252" s="9"/>
      <c r="K252" s="9"/>
      <c r="L252" s="9"/>
      <c r="M252" s="12">
        <f t="shared" si="16"/>
        <v>391</v>
      </c>
      <c r="N252" s="13">
        <f t="shared" si="17"/>
        <v>436.5</v>
      </c>
      <c r="O252" s="14">
        <f t="shared" si="18"/>
        <v>827.5</v>
      </c>
      <c r="P252" s="15">
        <f t="shared" si="19"/>
        <v>0.99698795180722888</v>
      </c>
    </row>
    <row r="253" spans="1:16" ht="15.75" hidden="1" customHeight="1" x14ac:dyDescent="0.3">
      <c r="A253" s="8" t="s">
        <v>58</v>
      </c>
      <c r="B253" s="9" t="s">
        <v>239</v>
      </c>
      <c r="C253" s="9" t="s">
        <v>87</v>
      </c>
      <c r="D253" s="9" t="s">
        <v>139</v>
      </c>
      <c r="E253" s="10">
        <v>2</v>
      </c>
      <c r="F253" s="9" t="s">
        <v>238</v>
      </c>
      <c r="G253" s="11">
        <v>0</v>
      </c>
      <c r="H253" s="9" t="s">
        <v>70</v>
      </c>
      <c r="I253" s="9" t="s">
        <v>71</v>
      </c>
      <c r="J253" s="9"/>
      <c r="K253" s="9"/>
      <c r="L253" s="9"/>
      <c r="M253" s="12">
        <f t="shared" si="16"/>
        <v>391</v>
      </c>
      <c r="N253" s="13">
        <f t="shared" si="17"/>
        <v>436.5</v>
      </c>
      <c r="O253" s="14">
        <f t="shared" si="18"/>
        <v>827.5</v>
      </c>
      <c r="P253" s="15">
        <f t="shared" si="19"/>
        <v>0.99698795180722888</v>
      </c>
    </row>
    <row r="254" spans="1:16" ht="15.75" hidden="1" customHeight="1" x14ac:dyDescent="0.3">
      <c r="A254" s="8" t="s">
        <v>58</v>
      </c>
      <c r="B254" s="9" t="s">
        <v>239</v>
      </c>
      <c r="C254" s="9" t="s">
        <v>79</v>
      </c>
      <c r="D254" s="9" t="s">
        <v>139</v>
      </c>
      <c r="E254" s="10">
        <v>26</v>
      </c>
      <c r="F254" s="9" t="s">
        <v>238</v>
      </c>
      <c r="G254" s="10">
        <v>26</v>
      </c>
      <c r="H254" s="9" t="s">
        <v>70</v>
      </c>
      <c r="I254" s="9" t="s">
        <v>71</v>
      </c>
      <c r="J254" s="9"/>
      <c r="K254" s="9"/>
      <c r="L254" s="9"/>
      <c r="M254" s="12">
        <f t="shared" si="16"/>
        <v>391</v>
      </c>
      <c r="N254" s="13">
        <f t="shared" si="17"/>
        <v>436.5</v>
      </c>
      <c r="O254" s="14">
        <f t="shared" si="18"/>
        <v>827.5</v>
      </c>
      <c r="P254" s="15">
        <f t="shared" si="19"/>
        <v>0.99698795180722888</v>
      </c>
    </row>
    <row r="255" spans="1:16" ht="15.75" hidden="1" customHeight="1" x14ac:dyDescent="0.3">
      <c r="A255" s="8" t="s">
        <v>58</v>
      </c>
      <c r="B255" s="9" t="s">
        <v>239</v>
      </c>
      <c r="C255" s="9" t="s">
        <v>80</v>
      </c>
      <c r="D255" s="9" t="s">
        <v>139</v>
      </c>
      <c r="E255" s="10">
        <v>1</v>
      </c>
      <c r="F255" s="9" t="s">
        <v>238</v>
      </c>
      <c r="G255" s="11">
        <v>0</v>
      </c>
      <c r="H255" s="9" t="s">
        <v>70</v>
      </c>
      <c r="I255" s="9" t="s">
        <v>71</v>
      </c>
      <c r="J255" s="9"/>
      <c r="K255" s="9"/>
      <c r="L255" s="9"/>
      <c r="M255" s="12">
        <f t="shared" si="16"/>
        <v>391</v>
      </c>
      <c r="N255" s="13">
        <f t="shared" si="17"/>
        <v>436.5</v>
      </c>
      <c r="O255" s="14">
        <f t="shared" si="18"/>
        <v>827.5</v>
      </c>
      <c r="P255" s="15">
        <f t="shared" si="19"/>
        <v>0.99698795180722888</v>
      </c>
    </row>
    <row r="256" spans="1:16" ht="15.75" hidden="1" customHeight="1" x14ac:dyDescent="0.3">
      <c r="A256" s="8" t="s">
        <v>58</v>
      </c>
      <c r="B256" s="9" t="s">
        <v>240</v>
      </c>
      <c r="C256" s="9" t="s">
        <v>73</v>
      </c>
      <c r="D256" s="9" t="s">
        <v>237</v>
      </c>
      <c r="E256" s="10">
        <v>14</v>
      </c>
      <c r="F256" s="9" t="s">
        <v>238</v>
      </c>
      <c r="G256" s="10">
        <v>14</v>
      </c>
      <c r="H256" s="9" t="s">
        <v>70</v>
      </c>
      <c r="I256" s="9" t="s">
        <v>71</v>
      </c>
      <c r="J256" s="9"/>
      <c r="K256" s="9"/>
      <c r="L256" s="9"/>
      <c r="M256" s="12">
        <f t="shared" si="16"/>
        <v>391</v>
      </c>
      <c r="N256" s="13">
        <f t="shared" si="17"/>
        <v>436.5</v>
      </c>
      <c r="O256" s="14">
        <f t="shared" si="18"/>
        <v>827.5</v>
      </c>
      <c r="P256" s="15">
        <f t="shared" si="19"/>
        <v>0.99698795180722888</v>
      </c>
    </row>
    <row r="257" spans="1:16" ht="15.75" hidden="1" customHeight="1" x14ac:dyDescent="0.3">
      <c r="A257" s="8" t="s">
        <v>58</v>
      </c>
      <c r="B257" s="9" t="s">
        <v>240</v>
      </c>
      <c r="C257" s="9" t="s">
        <v>123</v>
      </c>
      <c r="D257" s="9" t="s">
        <v>237</v>
      </c>
      <c r="E257" s="10">
        <v>18</v>
      </c>
      <c r="F257" s="9" t="s">
        <v>238</v>
      </c>
      <c r="G257" s="11">
        <v>0</v>
      </c>
      <c r="H257" s="9" t="s">
        <v>70</v>
      </c>
      <c r="I257" s="9" t="s">
        <v>71</v>
      </c>
      <c r="J257" s="9"/>
      <c r="K257" s="9"/>
      <c r="L257" s="9"/>
      <c r="M257" s="12">
        <f t="shared" si="16"/>
        <v>391</v>
      </c>
      <c r="N257" s="13">
        <f t="shared" si="17"/>
        <v>436.5</v>
      </c>
      <c r="O257" s="14">
        <f t="shared" si="18"/>
        <v>827.5</v>
      </c>
      <c r="P257" s="15">
        <f t="shared" si="19"/>
        <v>0.99698795180722888</v>
      </c>
    </row>
    <row r="258" spans="1:16" ht="15.75" hidden="1" customHeight="1" x14ac:dyDescent="0.3">
      <c r="A258" s="8" t="s">
        <v>58</v>
      </c>
      <c r="B258" s="9" t="s">
        <v>240</v>
      </c>
      <c r="C258" s="9" t="s">
        <v>79</v>
      </c>
      <c r="D258" s="9" t="s">
        <v>237</v>
      </c>
      <c r="E258" s="10">
        <v>40</v>
      </c>
      <c r="F258" s="9" t="s">
        <v>238</v>
      </c>
      <c r="G258" s="10">
        <v>40</v>
      </c>
      <c r="H258" s="9" t="s">
        <v>70</v>
      </c>
      <c r="I258" s="9" t="s">
        <v>71</v>
      </c>
      <c r="J258" s="9"/>
      <c r="K258" s="9"/>
      <c r="L258" s="9"/>
      <c r="M258" s="12">
        <f t="shared" si="16"/>
        <v>391</v>
      </c>
      <c r="N258" s="13">
        <f t="shared" si="17"/>
        <v>436.5</v>
      </c>
      <c r="O258" s="14">
        <f t="shared" si="18"/>
        <v>827.5</v>
      </c>
      <c r="P258" s="15">
        <f t="shared" si="19"/>
        <v>0.99698795180722888</v>
      </c>
    </row>
    <row r="259" spans="1:16" ht="15.75" hidden="1" customHeight="1" x14ac:dyDescent="0.3">
      <c r="A259" s="8" t="s">
        <v>58</v>
      </c>
      <c r="B259" s="9" t="s">
        <v>240</v>
      </c>
      <c r="C259" s="9" t="s">
        <v>111</v>
      </c>
      <c r="D259" s="9" t="s">
        <v>237</v>
      </c>
      <c r="E259" s="10">
        <v>3</v>
      </c>
      <c r="F259" s="9" t="s">
        <v>238</v>
      </c>
      <c r="G259" s="11">
        <v>0</v>
      </c>
      <c r="H259" s="9" t="s">
        <v>70</v>
      </c>
      <c r="I259" s="9" t="s">
        <v>71</v>
      </c>
      <c r="J259" s="9"/>
      <c r="K259" s="9"/>
      <c r="L259" s="9"/>
      <c r="M259" s="12">
        <f t="shared" si="16"/>
        <v>391</v>
      </c>
      <c r="N259" s="13">
        <f t="shared" si="17"/>
        <v>436.5</v>
      </c>
      <c r="O259" s="14">
        <f t="shared" si="18"/>
        <v>827.5</v>
      </c>
      <c r="P259" s="15">
        <f t="shared" si="19"/>
        <v>0.99698795180722888</v>
      </c>
    </row>
    <row r="260" spans="1:16" ht="15.75" hidden="1" customHeight="1" x14ac:dyDescent="0.3">
      <c r="A260" s="8" t="s">
        <v>58</v>
      </c>
      <c r="B260" s="9" t="s">
        <v>240</v>
      </c>
      <c r="C260" s="9" t="s">
        <v>80</v>
      </c>
      <c r="D260" s="9" t="s">
        <v>237</v>
      </c>
      <c r="E260" s="10">
        <v>3</v>
      </c>
      <c r="F260" s="9" t="s">
        <v>238</v>
      </c>
      <c r="G260" s="11">
        <v>0</v>
      </c>
      <c r="H260" s="9" t="s">
        <v>70</v>
      </c>
      <c r="I260" s="9" t="s">
        <v>71</v>
      </c>
      <c r="J260" s="9"/>
      <c r="K260" s="9"/>
      <c r="L260" s="9"/>
      <c r="M260" s="12">
        <f t="shared" si="16"/>
        <v>391</v>
      </c>
      <c r="N260" s="13">
        <f t="shared" si="17"/>
        <v>436.5</v>
      </c>
      <c r="O260" s="14">
        <f t="shared" si="18"/>
        <v>827.5</v>
      </c>
      <c r="P260" s="15">
        <f t="shared" si="19"/>
        <v>0.99698795180722888</v>
      </c>
    </row>
    <row r="261" spans="1:16" ht="15.75" hidden="1" customHeight="1" x14ac:dyDescent="0.3">
      <c r="A261" s="8" t="s">
        <v>58</v>
      </c>
      <c r="B261" s="9" t="s">
        <v>241</v>
      </c>
      <c r="C261" s="9" t="s">
        <v>102</v>
      </c>
      <c r="D261" s="9" t="s">
        <v>139</v>
      </c>
      <c r="E261" s="10">
        <v>20</v>
      </c>
      <c r="F261" s="9" t="s">
        <v>238</v>
      </c>
      <c r="G261" s="11">
        <v>0</v>
      </c>
      <c r="H261" s="9" t="s">
        <v>65</v>
      </c>
      <c r="I261" s="9" t="s">
        <v>66</v>
      </c>
      <c r="J261" s="9" t="s">
        <v>4</v>
      </c>
      <c r="K261" s="9"/>
      <c r="L261" s="9"/>
      <c r="M261" s="12">
        <f t="shared" si="16"/>
        <v>291</v>
      </c>
      <c r="N261" s="13">
        <f t="shared" si="17"/>
        <v>650.5</v>
      </c>
      <c r="O261" s="14">
        <f t="shared" si="18"/>
        <v>941.5</v>
      </c>
      <c r="P261" s="15">
        <f t="shared" si="19"/>
        <v>1.1343373493975903</v>
      </c>
    </row>
    <row r="262" spans="1:16" ht="15.75" hidden="1" customHeight="1" x14ac:dyDescent="0.3">
      <c r="A262" s="8" t="s">
        <v>58</v>
      </c>
      <c r="B262" s="9" t="s">
        <v>241</v>
      </c>
      <c r="C262" s="9" t="s">
        <v>73</v>
      </c>
      <c r="D262" s="9" t="s">
        <v>139</v>
      </c>
      <c r="E262" s="10">
        <v>30</v>
      </c>
      <c r="F262" s="9" t="s">
        <v>238</v>
      </c>
      <c r="G262" s="10">
        <v>30</v>
      </c>
      <c r="H262" s="9" t="s">
        <v>65</v>
      </c>
      <c r="I262" s="9" t="s">
        <v>66</v>
      </c>
      <c r="J262" s="9" t="s">
        <v>4</v>
      </c>
      <c r="K262" s="9"/>
      <c r="L262" s="9"/>
      <c r="M262" s="12">
        <f t="shared" si="16"/>
        <v>291</v>
      </c>
      <c r="N262" s="13">
        <f t="shared" si="17"/>
        <v>650.5</v>
      </c>
      <c r="O262" s="14">
        <f t="shared" si="18"/>
        <v>941.5</v>
      </c>
      <c r="P262" s="15">
        <f t="shared" si="19"/>
        <v>1.1343373493975903</v>
      </c>
    </row>
    <row r="263" spans="1:16" ht="15.75" hidden="1" customHeight="1" x14ac:dyDescent="0.3">
      <c r="A263" s="8" t="s">
        <v>58</v>
      </c>
      <c r="B263" s="9" t="s">
        <v>241</v>
      </c>
      <c r="C263" s="9" t="s">
        <v>79</v>
      </c>
      <c r="D263" s="9" t="s">
        <v>139</v>
      </c>
      <c r="E263" s="10">
        <v>34</v>
      </c>
      <c r="F263" s="9" t="s">
        <v>238</v>
      </c>
      <c r="G263" s="10">
        <v>34</v>
      </c>
      <c r="H263" s="9" t="s">
        <v>65</v>
      </c>
      <c r="I263" s="9" t="s">
        <v>66</v>
      </c>
      <c r="J263" s="9" t="s">
        <v>4</v>
      </c>
      <c r="K263" s="9"/>
      <c r="L263" s="9"/>
      <c r="M263" s="12">
        <f t="shared" si="16"/>
        <v>291</v>
      </c>
      <c r="N263" s="13">
        <f t="shared" si="17"/>
        <v>650.5</v>
      </c>
      <c r="O263" s="14">
        <f t="shared" si="18"/>
        <v>941.5</v>
      </c>
      <c r="P263" s="15">
        <f t="shared" si="19"/>
        <v>1.1343373493975903</v>
      </c>
    </row>
    <row r="264" spans="1:16" ht="15.75" hidden="1" customHeight="1" x14ac:dyDescent="0.3">
      <c r="A264" s="8" t="s">
        <v>58</v>
      </c>
      <c r="B264" s="9" t="s">
        <v>241</v>
      </c>
      <c r="C264" s="9" t="s">
        <v>100</v>
      </c>
      <c r="D264" s="9" t="s">
        <v>139</v>
      </c>
      <c r="E264" s="10">
        <v>16</v>
      </c>
      <c r="F264" s="9" t="s">
        <v>238</v>
      </c>
      <c r="G264" s="10">
        <v>16</v>
      </c>
      <c r="H264" s="9" t="s">
        <v>65</v>
      </c>
      <c r="I264" s="9" t="s">
        <v>66</v>
      </c>
      <c r="J264" s="9" t="s">
        <v>4</v>
      </c>
      <c r="K264" s="9"/>
      <c r="L264" s="9"/>
      <c r="M264" s="12">
        <f t="shared" si="16"/>
        <v>291</v>
      </c>
      <c r="N264" s="13">
        <f t="shared" si="17"/>
        <v>650.5</v>
      </c>
      <c r="O264" s="14">
        <f t="shared" si="18"/>
        <v>941.5</v>
      </c>
      <c r="P264" s="15">
        <f t="shared" si="19"/>
        <v>1.1343373493975903</v>
      </c>
    </row>
    <row r="265" spans="1:16" ht="15.75" hidden="1" customHeight="1" x14ac:dyDescent="0.3">
      <c r="A265" s="8" t="s">
        <v>58</v>
      </c>
      <c r="B265" s="9" t="s">
        <v>241</v>
      </c>
      <c r="C265" s="9" t="s">
        <v>111</v>
      </c>
      <c r="D265" s="9" t="s">
        <v>139</v>
      </c>
      <c r="E265" s="10">
        <v>3</v>
      </c>
      <c r="F265" s="9" t="s">
        <v>238</v>
      </c>
      <c r="G265" s="11">
        <v>0</v>
      </c>
      <c r="H265" s="9" t="s">
        <v>65</v>
      </c>
      <c r="I265" s="9" t="s">
        <v>66</v>
      </c>
      <c r="J265" s="9" t="s">
        <v>4</v>
      </c>
      <c r="K265" s="9"/>
      <c r="L265" s="9"/>
      <c r="M265" s="12">
        <f t="shared" si="16"/>
        <v>291</v>
      </c>
      <c r="N265" s="13">
        <f t="shared" si="17"/>
        <v>650.5</v>
      </c>
      <c r="O265" s="14">
        <f t="shared" si="18"/>
        <v>941.5</v>
      </c>
      <c r="P265" s="15">
        <f t="shared" si="19"/>
        <v>1.1343373493975903</v>
      </c>
    </row>
    <row r="266" spans="1:16" ht="15.75" hidden="1" customHeight="1" x14ac:dyDescent="0.3">
      <c r="A266" s="8" t="s">
        <v>58</v>
      </c>
      <c r="B266" s="9" t="s">
        <v>241</v>
      </c>
      <c r="C266" s="9" t="s">
        <v>80</v>
      </c>
      <c r="D266" s="9" t="s">
        <v>139</v>
      </c>
      <c r="E266" s="10">
        <v>4</v>
      </c>
      <c r="F266" s="9" t="s">
        <v>238</v>
      </c>
      <c r="G266" s="11">
        <v>0</v>
      </c>
      <c r="H266" s="9" t="s">
        <v>65</v>
      </c>
      <c r="I266" s="9" t="s">
        <v>66</v>
      </c>
      <c r="J266" s="9" t="s">
        <v>4</v>
      </c>
      <c r="K266" s="9"/>
      <c r="L266" s="9"/>
      <c r="M266" s="12">
        <f t="shared" si="16"/>
        <v>291</v>
      </c>
      <c r="N266" s="13">
        <f t="shared" si="17"/>
        <v>650.5</v>
      </c>
      <c r="O266" s="14">
        <f t="shared" si="18"/>
        <v>941.5</v>
      </c>
      <c r="P266" s="15">
        <f t="shared" si="19"/>
        <v>1.1343373493975903</v>
      </c>
    </row>
    <row r="267" spans="1:16" ht="15.75" hidden="1" customHeight="1" x14ac:dyDescent="0.3">
      <c r="A267" s="8" t="s">
        <v>58</v>
      </c>
      <c r="B267" s="9" t="s">
        <v>242</v>
      </c>
      <c r="C267" s="9" t="s">
        <v>73</v>
      </c>
      <c r="D267" s="9" t="s">
        <v>144</v>
      </c>
      <c r="E267" s="10">
        <v>18</v>
      </c>
      <c r="F267" s="9" t="s">
        <v>145</v>
      </c>
      <c r="G267" s="10">
        <v>18</v>
      </c>
      <c r="H267" s="9" t="s">
        <v>146</v>
      </c>
      <c r="I267" s="9" t="s">
        <v>147</v>
      </c>
      <c r="J267" s="9"/>
      <c r="K267" s="9"/>
      <c r="L267" s="9" t="s">
        <v>243</v>
      </c>
      <c r="M267" s="12">
        <f t="shared" si="16"/>
        <v>279</v>
      </c>
      <c r="N267" s="13">
        <f t="shared" si="17"/>
        <v>427.5</v>
      </c>
      <c r="O267" s="14">
        <f t="shared" si="18"/>
        <v>706.5</v>
      </c>
      <c r="P267" s="15">
        <f t="shared" si="19"/>
        <v>0.85120481927710845</v>
      </c>
    </row>
    <row r="268" spans="1:16" ht="15.75" hidden="1" customHeight="1" x14ac:dyDescent="0.3">
      <c r="A268" s="8" t="s">
        <v>58</v>
      </c>
      <c r="B268" s="9" t="s">
        <v>242</v>
      </c>
      <c r="C268" s="9" t="s">
        <v>123</v>
      </c>
      <c r="D268" s="9" t="s">
        <v>144</v>
      </c>
      <c r="E268" s="10">
        <v>27</v>
      </c>
      <c r="F268" s="9" t="s">
        <v>145</v>
      </c>
      <c r="G268" s="11">
        <v>0</v>
      </c>
      <c r="H268" s="9" t="s">
        <v>146</v>
      </c>
      <c r="I268" s="9" t="s">
        <v>147</v>
      </c>
      <c r="J268" s="9"/>
      <c r="K268" s="9"/>
      <c r="L268" s="9" t="s">
        <v>243</v>
      </c>
      <c r="M268" s="12">
        <f t="shared" si="16"/>
        <v>279</v>
      </c>
      <c r="N268" s="13">
        <f t="shared" si="17"/>
        <v>427.5</v>
      </c>
      <c r="O268" s="14">
        <f t="shared" si="18"/>
        <v>706.5</v>
      </c>
      <c r="P268" s="15">
        <f t="shared" si="19"/>
        <v>0.85120481927710845</v>
      </c>
    </row>
    <row r="269" spans="1:16" ht="15.75" hidden="1" customHeight="1" x14ac:dyDescent="0.3">
      <c r="A269" s="8" t="s">
        <v>58</v>
      </c>
      <c r="B269" s="9" t="s">
        <v>242</v>
      </c>
      <c r="C269" s="9" t="s">
        <v>87</v>
      </c>
      <c r="D269" s="9" t="s">
        <v>144</v>
      </c>
      <c r="E269" s="10">
        <v>3</v>
      </c>
      <c r="F269" s="9" t="s">
        <v>145</v>
      </c>
      <c r="G269" s="11">
        <v>0</v>
      </c>
      <c r="H269" s="9" t="s">
        <v>146</v>
      </c>
      <c r="I269" s="9" t="s">
        <v>147</v>
      </c>
      <c r="J269" s="9"/>
      <c r="K269" s="9"/>
      <c r="L269" s="9" t="s">
        <v>243</v>
      </c>
      <c r="M269" s="12">
        <f t="shared" si="16"/>
        <v>279</v>
      </c>
      <c r="N269" s="13">
        <f t="shared" si="17"/>
        <v>427.5</v>
      </c>
      <c r="O269" s="14">
        <f t="shared" si="18"/>
        <v>706.5</v>
      </c>
      <c r="P269" s="15">
        <f t="shared" si="19"/>
        <v>0.85120481927710845</v>
      </c>
    </row>
    <row r="270" spans="1:16" ht="15.75" hidden="1" customHeight="1" x14ac:dyDescent="0.3">
      <c r="A270" s="8" t="s">
        <v>58</v>
      </c>
      <c r="B270" s="9" t="s">
        <v>242</v>
      </c>
      <c r="C270" s="9" t="s">
        <v>79</v>
      </c>
      <c r="D270" s="9" t="s">
        <v>144</v>
      </c>
      <c r="E270" s="10">
        <v>58</v>
      </c>
      <c r="F270" s="9" t="s">
        <v>145</v>
      </c>
      <c r="G270" s="10">
        <v>58</v>
      </c>
      <c r="H270" s="9" t="s">
        <v>146</v>
      </c>
      <c r="I270" s="9" t="s">
        <v>147</v>
      </c>
      <c r="J270" s="9"/>
      <c r="K270" s="9"/>
      <c r="L270" s="9" t="s">
        <v>243</v>
      </c>
      <c r="M270" s="12">
        <f t="shared" si="16"/>
        <v>279</v>
      </c>
      <c r="N270" s="13">
        <f t="shared" si="17"/>
        <v>427.5</v>
      </c>
      <c r="O270" s="14">
        <f t="shared" si="18"/>
        <v>706.5</v>
      </c>
      <c r="P270" s="15">
        <f t="shared" si="19"/>
        <v>0.85120481927710845</v>
      </c>
    </row>
    <row r="271" spans="1:16" ht="15.75" hidden="1" customHeight="1" x14ac:dyDescent="0.3">
      <c r="A271" s="8" t="s">
        <v>58</v>
      </c>
      <c r="B271" s="9" t="s">
        <v>242</v>
      </c>
      <c r="C271" s="9" t="s">
        <v>80</v>
      </c>
      <c r="D271" s="9" t="s">
        <v>144</v>
      </c>
      <c r="E271" s="10">
        <v>1</v>
      </c>
      <c r="F271" s="9" t="s">
        <v>145</v>
      </c>
      <c r="G271" s="11">
        <v>0</v>
      </c>
      <c r="H271" s="9" t="s">
        <v>146</v>
      </c>
      <c r="I271" s="9" t="s">
        <v>147</v>
      </c>
      <c r="J271" s="9"/>
      <c r="K271" s="9"/>
      <c r="L271" s="9" t="s">
        <v>243</v>
      </c>
      <c r="M271" s="12">
        <f t="shared" si="16"/>
        <v>279</v>
      </c>
      <c r="N271" s="13">
        <f t="shared" si="17"/>
        <v>427.5</v>
      </c>
      <c r="O271" s="14">
        <f t="shared" si="18"/>
        <v>706.5</v>
      </c>
      <c r="P271" s="15">
        <f t="shared" si="19"/>
        <v>0.85120481927710845</v>
      </c>
    </row>
    <row r="272" spans="1:16" ht="15.75" hidden="1" customHeight="1" x14ac:dyDescent="0.3">
      <c r="A272" s="8" t="s">
        <v>58</v>
      </c>
      <c r="B272" s="9" t="s">
        <v>244</v>
      </c>
      <c r="C272" s="9" t="s">
        <v>73</v>
      </c>
      <c r="D272" s="9" t="s">
        <v>141</v>
      </c>
      <c r="E272" s="10">
        <v>8</v>
      </c>
      <c r="F272" s="9" t="s">
        <v>145</v>
      </c>
      <c r="G272" s="10">
        <v>8</v>
      </c>
      <c r="H272" s="9" t="s">
        <v>245</v>
      </c>
      <c r="I272" s="9" t="s">
        <v>246</v>
      </c>
      <c r="J272" s="9"/>
      <c r="K272" s="9"/>
      <c r="L272" s="9" t="s">
        <v>247</v>
      </c>
      <c r="M272" s="12">
        <f t="shared" si="16"/>
        <v>200</v>
      </c>
      <c r="N272" s="13">
        <f t="shared" si="17"/>
        <v>271</v>
      </c>
      <c r="O272" s="14">
        <f t="shared" si="18"/>
        <v>471</v>
      </c>
      <c r="P272" s="15">
        <f t="shared" si="19"/>
        <v>0.56746987951807226</v>
      </c>
    </row>
    <row r="273" spans="1:16" ht="15.75" hidden="1" customHeight="1" x14ac:dyDescent="0.3">
      <c r="A273" s="8" t="s">
        <v>58</v>
      </c>
      <c r="B273" s="9" t="s">
        <v>244</v>
      </c>
      <c r="C273" s="9" t="s">
        <v>79</v>
      </c>
      <c r="D273" s="9" t="s">
        <v>141</v>
      </c>
      <c r="E273" s="10">
        <v>28</v>
      </c>
      <c r="F273" s="9" t="s">
        <v>145</v>
      </c>
      <c r="G273" s="10">
        <v>28</v>
      </c>
      <c r="H273" s="9" t="s">
        <v>245</v>
      </c>
      <c r="I273" s="9" t="s">
        <v>246</v>
      </c>
      <c r="J273" s="9"/>
      <c r="K273" s="9"/>
      <c r="L273" s="9" t="s">
        <v>247</v>
      </c>
      <c r="M273" s="12">
        <f t="shared" si="16"/>
        <v>200</v>
      </c>
      <c r="N273" s="13">
        <f t="shared" si="17"/>
        <v>271</v>
      </c>
      <c r="O273" s="14">
        <f t="shared" si="18"/>
        <v>471</v>
      </c>
      <c r="P273" s="15">
        <f t="shared" si="19"/>
        <v>0.56746987951807226</v>
      </c>
    </row>
    <row r="274" spans="1:16" ht="15.75" hidden="1" customHeight="1" x14ac:dyDescent="0.3">
      <c r="A274" s="8" t="s">
        <v>58</v>
      </c>
      <c r="B274" s="9" t="s">
        <v>244</v>
      </c>
      <c r="C274" s="9" t="s">
        <v>111</v>
      </c>
      <c r="D274" s="9" t="s">
        <v>141</v>
      </c>
      <c r="E274" s="10">
        <v>3</v>
      </c>
      <c r="F274" s="9" t="s">
        <v>145</v>
      </c>
      <c r="G274" s="11">
        <v>0</v>
      </c>
      <c r="H274" s="9" t="s">
        <v>245</v>
      </c>
      <c r="I274" s="9" t="s">
        <v>246</v>
      </c>
      <c r="J274" s="9"/>
      <c r="K274" s="9"/>
      <c r="L274" s="9" t="s">
        <v>247</v>
      </c>
      <c r="M274" s="12">
        <f t="shared" si="16"/>
        <v>200</v>
      </c>
      <c r="N274" s="13">
        <f t="shared" si="17"/>
        <v>271</v>
      </c>
      <c r="O274" s="14">
        <f t="shared" si="18"/>
        <v>471</v>
      </c>
      <c r="P274" s="15">
        <f t="shared" si="19"/>
        <v>0.56746987951807226</v>
      </c>
    </row>
    <row r="275" spans="1:16" ht="15.75" hidden="1" customHeight="1" x14ac:dyDescent="0.3">
      <c r="A275" s="8" t="s">
        <v>58</v>
      </c>
      <c r="B275" s="9" t="s">
        <v>244</v>
      </c>
      <c r="C275" s="9" t="s">
        <v>80</v>
      </c>
      <c r="D275" s="9" t="s">
        <v>141</v>
      </c>
      <c r="E275" s="10">
        <v>2</v>
      </c>
      <c r="F275" s="9" t="s">
        <v>145</v>
      </c>
      <c r="G275" s="11">
        <v>0</v>
      </c>
      <c r="H275" s="9" t="s">
        <v>245</v>
      </c>
      <c r="I275" s="9" t="s">
        <v>246</v>
      </c>
      <c r="J275" s="9"/>
      <c r="K275" s="9"/>
      <c r="L275" s="9" t="s">
        <v>247</v>
      </c>
      <c r="M275" s="12">
        <f t="shared" si="16"/>
        <v>200</v>
      </c>
      <c r="N275" s="13">
        <f t="shared" si="17"/>
        <v>271</v>
      </c>
      <c r="O275" s="14">
        <f t="shared" si="18"/>
        <v>471</v>
      </c>
      <c r="P275" s="15">
        <f t="shared" si="19"/>
        <v>0.56746987951807226</v>
      </c>
    </row>
    <row r="276" spans="1:16" ht="15.75" hidden="1" customHeight="1" x14ac:dyDescent="0.3">
      <c r="A276" s="8" t="s">
        <v>58</v>
      </c>
      <c r="B276" s="9" t="s">
        <v>248</v>
      </c>
      <c r="C276" s="9" t="s">
        <v>73</v>
      </c>
      <c r="D276" s="9" t="s">
        <v>141</v>
      </c>
      <c r="E276" s="10">
        <v>12</v>
      </c>
      <c r="F276" s="9" t="s">
        <v>145</v>
      </c>
      <c r="G276" s="10">
        <v>12</v>
      </c>
      <c r="H276" s="9" t="s">
        <v>94</v>
      </c>
      <c r="I276" s="9" t="s">
        <v>95</v>
      </c>
      <c r="J276" s="9"/>
      <c r="K276" s="9"/>
      <c r="L276" s="9"/>
      <c r="M276" s="12">
        <f t="shared" si="16"/>
        <v>295.8</v>
      </c>
      <c r="N276" s="13">
        <f t="shared" si="17"/>
        <v>488</v>
      </c>
      <c r="O276" s="14">
        <f t="shared" si="18"/>
        <v>783.8</v>
      </c>
      <c r="P276" s="15">
        <f t="shared" si="19"/>
        <v>0.94433734939759029</v>
      </c>
    </row>
    <row r="277" spans="1:16" ht="15.75" hidden="1" customHeight="1" x14ac:dyDescent="0.3">
      <c r="A277" s="8" t="s">
        <v>58</v>
      </c>
      <c r="B277" s="9" t="s">
        <v>248</v>
      </c>
      <c r="C277" s="9" t="s">
        <v>79</v>
      </c>
      <c r="D277" s="9" t="s">
        <v>141</v>
      </c>
      <c r="E277" s="10">
        <v>44</v>
      </c>
      <c r="F277" s="9" t="s">
        <v>145</v>
      </c>
      <c r="G277" s="10">
        <v>44</v>
      </c>
      <c r="H277" s="9" t="s">
        <v>94</v>
      </c>
      <c r="I277" s="9" t="s">
        <v>95</v>
      </c>
      <c r="J277" s="9"/>
      <c r="K277" s="9"/>
      <c r="L277" s="9"/>
      <c r="M277" s="12">
        <f t="shared" si="16"/>
        <v>295.8</v>
      </c>
      <c r="N277" s="13">
        <f t="shared" si="17"/>
        <v>488</v>
      </c>
      <c r="O277" s="14">
        <f t="shared" si="18"/>
        <v>783.8</v>
      </c>
      <c r="P277" s="15">
        <f t="shared" si="19"/>
        <v>0.94433734939759029</v>
      </c>
    </row>
    <row r="278" spans="1:16" ht="15.75" hidden="1" customHeight="1" x14ac:dyDescent="0.3">
      <c r="A278" s="8" t="s">
        <v>58</v>
      </c>
      <c r="B278" s="9" t="s">
        <v>248</v>
      </c>
      <c r="C278" s="9" t="s">
        <v>111</v>
      </c>
      <c r="D278" s="9" t="s">
        <v>141</v>
      </c>
      <c r="E278" s="10">
        <v>3</v>
      </c>
      <c r="F278" s="9" t="s">
        <v>145</v>
      </c>
      <c r="G278" s="11">
        <v>0</v>
      </c>
      <c r="H278" s="9" t="s">
        <v>94</v>
      </c>
      <c r="I278" s="9" t="s">
        <v>95</v>
      </c>
      <c r="J278" s="9"/>
      <c r="K278" s="9"/>
      <c r="L278" s="9"/>
      <c r="M278" s="12">
        <f t="shared" si="16"/>
        <v>295.8</v>
      </c>
      <c r="N278" s="13">
        <f t="shared" si="17"/>
        <v>488</v>
      </c>
      <c r="O278" s="14">
        <f t="shared" si="18"/>
        <v>783.8</v>
      </c>
      <c r="P278" s="15">
        <f t="shared" si="19"/>
        <v>0.94433734939759029</v>
      </c>
    </row>
    <row r="279" spans="1:16" ht="15.75" hidden="1" customHeight="1" x14ac:dyDescent="0.3">
      <c r="A279" s="8" t="s">
        <v>58</v>
      </c>
      <c r="B279" s="9" t="s">
        <v>248</v>
      </c>
      <c r="C279" s="9" t="s">
        <v>80</v>
      </c>
      <c r="D279" s="9" t="s">
        <v>141</v>
      </c>
      <c r="E279" s="10">
        <v>3</v>
      </c>
      <c r="F279" s="9" t="s">
        <v>145</v>
      </c>
      <c r="G279" s="11">
        <v>0</v>
      </c>
      <c r="H279" s="9" t="s">
        <v>94</v>
      </c>
      <c r="I279" s="9" t="s">
        <v>95</v>
      </c>
      <c r="J279" s="9"/>
      <c r="K279" s="9"/>
      <c r="L279" s="9"/>
      <c r="M279" s="12">
        <f t="shared" si="16"/>
        <v>295.8</v>
      </c>
      <c r="N279" s="13">
        <f t="shared" si="17"/>
        <v>488</v>
      </c>
      <c r="O279" s="14">
        <f t="shared" si="18"/>
        <v>783.8</v>
      </c>
      <c r="P279" s="15">
        <f t="shared" si="19"/>
        <v>0.94433734939759029</v>
      </c>
    </row>
    <row r="280" spans="1:16" ht="15.75" hidden="1" customHeight="1" x14ac:dyDescent="0.3">
      <c r="A280" s="8" t="s">
        <v>58</v>
      </c>
      <c r="B280" s="9" t="s">
        <v>249</v>
      </c>
      <c r="C280" s="9" t="s">
        <v>73</v>
      </c>
      <c r="D280" s="9" t="s">
        <v>140</v>
      </c>
      <c r="E280" s="10">
        <v>18</v>
      </c>
      <c r="F280" s="9" t="s">
        <v>153</v>
      </c>
      <c r="G280" s="10">
        <v>18</v>
      </c>
      <c r="H280" s="9" t="s">
        <v>250</v>
      </c>
      <c r="I280" s="9" t="s">
        <v>251</v>
      </c>
      <c r="J280" s="9"/>
      <c r="K280" s="9"/>
      <c r="L280" s="9" t="s">
        <v>252</v>
      </c>
      <c r="M280" s="12">
        <f t="shared" si="16"/>
        <v>179</v>
      </c>
      <c r="N280" s="13">
        <f t="shared" si="17"/>
        <v>72</v>
      </c>
      <c r="O280" s="14">
        <f t="shared" si="18"/>
        <v>251</v>
      </c>
      <c r="P280" s="15">
        <f t="shared" si="19"/>
        <v>0.30240963855421688</v>
      </c>
    </row>
    <row r="281" spans="1:16" ht="15.75" hidden="1" customHeight="1" x14ac:dyDescent="0.3">
      <c r="A281" s="8" t="s">
        <v>58</v>
      </c>
      <c r="B281" s="9" t="s">
        <v>249</v>
      </c>
      <c r="C281" s="9" t="s">
        <v>79</v>
      </c>
      <c r="D281" s="9" t="s">
        <v>140</v>
      </c>
      <c r="E281" s="10">
        <v>32</v>
      </c>
      <c r="F281" s="9" t="s">
        <v>153</v>
      </c>
      <c r="G281" s="10">
        <v>32</v>
      </c>
      <c r="H281" s="9" t="s">
        <v>250</v>
      </c>
      <c r="I281" s="9" t="s">
        <v>251</v>
      </c>
      <c r="J281" s="9"/>
      <c r="K281" s="9"/>
      <c r="L281" s="9" t="s">
        <v>252</v>
      </c>
      <c r="M281" s="12">
        <f t="shared" si="16"/>
        <v>179</v>
      </c>
      <c r="N281" s="13">
        <f t="shared" si="17"/>
        <v>72</v>
      </c>
      <c r="O281" s="14">
        <f t="shared" si="18"/>
        <v>251</v>
      </c>
      <c r="P281" s="15">
        <f t="shared" si="19"/>
        <v>0.30240963855421688</v>
      </c>
    </row>
    <row r="282" spans="1:16" ht="15.75" hidden="1" customHeight="1" x14ac:dyDescent="0.3">
      <c r="A282" s="8" t="s">
        <v>58</v>
      </c>
      <c r="B282" s="9" t="s">
        <v>249</v>
      </c>
      <c r="C282" s="9" t="s">
        <v>142</v>
      </c>
      <c r="D282" s="9" t="s">
        <v>140</v>
      </c>
      <c r="E282" s="10">
        <v>2</v>
      </c>
      <c r="F282" s="9" t="s">
        <v>153</v>
      </c>
      <c r="G282" s="11">
        <v>0</v>
      </c>
      <c r="H282" s="9" t="s">
        <v>250</v>
      </c>
      <c r="I282" s="9" t="s">
        <v>251</v>
      </c>
      <c r="J282" s="9"/>
      <c r="K282" s="9"/>
      <c r="L282" s="9" t="s">
        <v>252</v>
      </c>
      <c r="M282" s="12">
        <f t="shared" si="16"/>
        <v>179</v>
      </c>
      <c r="N282" s="13">
        <f t="shared" si="17"/>
        <v>72</v>
      </c>
      <c r="O282" s="14">
        <f t="shared" si="18"/>
        <v>251</v>
      </c>
      <c r="P282" s="15">
        <f t="shared" si="19"/>
        <v>0.30240963855421688</v>
      </c>
    </row>
    <row r="283" spans="1:16" ht="15.75" hidden="1" customHeight="1" x14ac:dyDescent="0.3">
      <c r="A283" s="8" t="s">
        <v>58</v>
      </c>
      <c r="B283" s="9" t="s">
        <v>249</v>
      </c>
      <c r="C283" s="9" t="s">
        <v>80</v>
      </c>
      <c r="D283" s="9" t="s">
        <v>140</v>
      </c>
      <c r="E283" s="10">
        <v>1</v>
      </c>
      <c r="F283" s="9" t="s">
        <v>153</v>
      </c>
      <c r="G283" s="11">
        <v>0</v>
      </c>
      <c r="H283" s="9" t="s">
        <v>250</v>
      </c>
      <c r="I283" s="9" t="s">
        <v>251</v>
      </c>
      <c r="J283" s="9"/>
      <c r="K283" s="9"/>
      <c r="L283" s="9" t="s">
        <v>252</v>
      </c>
      <c r="M283" s="12">
        <f t="shared" si="16"/>
        <v>179</v>
      </c>
      <c r="N283" s="13">
        <f t="shared" si="17"/>
        <v>72</v>
      </c>
      <c r="O283" s="14">
        <f t="shared" si="18"/>
        <v>251</v>
      </c>
      <c r="P283" s="15">
        <f t="shared" si="19"/>
        <v>0.30240963855421688</v>
      </c>
    </row>
    <row r="284" spans="1:16" ht="15.75" hidden="1" customHeight="1" x14ac:dyDescent="0.3">
      <c r="A284" s="8" t="s">
        <v>58</v>
      </c>
      <c r="B284" s="9" t="s">
        <v>253</v>
      </c>
      <c r="C284" s="9" t="s">
        <v>73</v>
      </c>
      <c r="D284" s="9" t="s">
        <v>140</v>
      </c>
      <c r="E284" s="10">
        <v>16</v>
      </c>
      <c r="F284" s="9" t="s">
        <v>153</v>
      </c>
      <c r="G284" s="10">
        <v>16</v>
      </c>
      <c r="H284" s="9" t="s">
        <v>67</v>
      </c>
      <c r="I284" s="9" t="s">
        <v>68</v>
      </c>
      <c r="J284" s="9" t="s">
        <v>4</v>
      </c>
      <c r="K284" s="9"/>
      <c r="L284" s="9" t="s">
        <v>254</v>
      </c>
      <c r="M284" s="12">
        <f t="shared" si="16"/>
        <v>366</v>
      </c>
      <c r="N284" s="13">
        <f t="shared" si="17"/>
        <v>175</v>
      </c>
      <c r="O284" s="14">
        <f t="shared" si="18"/>
        <v>541</v>
      </c>
      <c r="P284" s="15">
        <f t="shared" si="19"/>
        <v>0.65180722891566267</v>
      </c>
    </row>
    <row r="285" spans="1:16" ht="15.75" hidden="1" customHeight="1" x14ac:dyDescent="0.3">
      <c r="A285" s="8" t="s">
        <v>58</v>
      </c>
      <c r="B285" s="9" t="s">
        <v>253</v>
      </c>
      <c r="C285" s="9" t="s">
        <v>123</v>
      </c>
      <c r="D285" s="9" t="s">
        <v>140</v>
      </c>
      <c r="E285" s="10">
        <v>15</v>
      </c>
      <c r="F285" s="9" t="s">
        <v>153</v>
      </c>
      <c r="G285" s="11">
        <v>0</v>
      </c>
      <c r="H285" s="9" t="s">
        <v>67</v>
      </c>
      <c r="I285" s="9" t="s">
        <v>68</v>
      </c>
      <c r="J285" s="9" t="s">
        <v>4</v>
      </c>
      <c r="K285" s="9"/>
      <c r="L285" s="9" t="s">
        <v>254</v>
      </c>
      <c r="M285" s="12">
        <f t="shared" si="16"/>
        <v>366</v>
      </c>
      <c r="N285" s="13">
        <f t="shared" si="17"/>
        <v>175</v>
      </c>
      <c r="O285" s="14">
        <f t="shared" si="18"/>
        <v>541</v>
      </c>
      <c r="P285" s="15">
        <f t="shared" si="19"/>
        <v>0.65180722891566267</v>
      </c>
    </row>
    <row r="286" spans="1:16" ht="15.75" hidden="1" customHeight="1" x14ac:dyDescent="0.3">
      <c r="A286" s="8" t="s">
        <v>58</v>
      </c>
      <c r="B286" s="9" t="s">
        <v>253</v>
      </c>
      <c r="C286" s="9" t="s">
        <v>87</v>
      </c>
      <c r="D286" s="9" t="s">
        <v>140</v>
      </c>
      <c r="E286" s="10">
        <v>2</v>
      </c>
      <c r="F286" s="9" t="s">
        <v>153</v>
      </c>
      <c r="G286" s="11">
        <v>0</v>
      </c>
      <c r="H286" s="9" t="s">
        <v>67</v>
      </c>
      <c r="I286" s="9" t="s">
        <v>68</v>
      </c>
      <c r="J286" s="9" t="s">
        <v>4</v>
      </c>
      <c r="K286" s="9"/>
      <c r="L286" s="9" t="s">
        <v>254</v>
      </c>
      <c r="M286" s="12">
        <f t="shared" si="16"/>
        <v>366</v>
      </c>
      <c r="N286" s="13">
        <f t="shared" si="17"/>
        <v>175</v>
      </c>
      <c r="O286" s="14">
        <f t="shared" si="18"/>
        <v>541</v>
      </c>
      <c r="P286" s="15">
        <f t="shared" si="19"/>
        <v>0.65180722891566267</v>
      </c>
    </row>
    <row r="287" spans="1:16" ht="15.75" hidden="1" customHeight="1" x14ac:dyDescent="0.3">
      <c r="A287" s="8" t="s">
        <v>58</v>
      </c>
      <c r="B287" s="9" t="s">
        <v>253</v>
      </c>
      <c r="C287" s="9" t="s">
        <v>79</v>
      </c>
      <c r="D287" s="9" t="s">
        <v>140</v>
      </c>
      <c r="E287" s="10">
        <v>50</v>
      </c>
      <c r="F287" s="9" t="s">
        <v>153</v>
      </c>
      <c r="G287" s="10">
        <v>50</v>
      </c>
      <c r="H287" s="9" t="s">
        <v>67</v>
      </c>
      <c r="I287" s="9" t="s">
        <v>68</v>
      </c>
      <c r="J287" s="9" t="s">
        <v>4</v>
      </c>
      <c r="K287" s="9"/>
      <c r="L287" s="9" t="s">
        <v>254</v>
      </c>
      <c r="M287" s="12">
        <f t="shared" si="16"/>
        <v>366</v>
      </c>
      <c r="N287" s="13">
        <f t="shared" si="17"/>
        <v>175</v>
      </c>
      <c r="O287" s="14">
        <f t="shared" si="18"/>
        <v>541</v>
      </c>
      <c r="P287" s="15">
        <f t="shared" si="19"/>
        <v>0.65180722891566267</v>
      </c>
    </row>
    <row r="288" spans="1:16" ht="15.75" hidden="1" customHeight="1" x14ac:dyDescent="0.3">
      <c r="A288" s="8" t="s">
        <v>58</v>
      </c>
      <c r="B288" s="9" t="s">
        <v>253</v>
      </c>
      <c r="C288" s="9" t="s">
        <v>80</v>
      </c>
      <c r="D288" s="9" t="s">
        <v>140</v>
      </c>
      <c r="E288" s="10">
        <v>1</v>
      </c>
      <c r="F288" s="9" t="s">
        <v>153</v>
      </c>
      <c r="G288" s="11">
        <v>0</v>
      </c>
      <c r="H288" s="9" t="s">
        <v>67</v>
      </c>
      <c r="I288" s="9" t="s">
        <v>68</v>
      </c>
      <c r="J288" s="9" t="s">
        <v>4</v>
      </c>
      <c r="K288" s="9"/>
      <c r="L288" s="9" t="s">
        <v>254</v>
      </c>
      <c r="M288" s="12">
        <f t="shared" si="16"/>
        <v>366</v>
      </c>
      <c r="N288" s="13">
        <f t="shared" si="17"/>
        <v>175</v>
      </c>
      <c r="O288" s="14">
        <f t="shared" si="18"/>
        <v>541</v>
      </c>
      <c r="P288" s="15">
        <f t="shared" si="19"/>
        <v>0.65180722891566267</v>
      </c>
    </row>
    <row r="289" spans="1:16" ht="15.75" hidden="1" customHeight="1" x14ac:dyDescent="0.3">
      <c r="A289" s="8" t="s">
        <v>58</v>
      </c>
      <c r="B289" s="9" t="s">
        <v>255</v>
      </c>
      <c r="C289" s="9" t="s">
        <v>73</v>
      </c>
      <c r="D289" s="9" t="s">
        <v>152</v>
      </c>
      <c r="E289" s="10">
        <v>18</v>
      </c>
      <c r="F289" s="9" t="s">
        <v>153</v>
      </c>
      <c r="G289" s="10">
        <v>18</v>
      </c>
      <c r="H289" s="9" t="s">
        <v>96</v>
      </c>
      <c r="I289" s="9" t="s">
        <v>97</v>
      </c>
      <c r="J289" s="9" t="s">
        <v>8</v>
      </c>
      <c r="K289" s="9"/>
      <c r="L289" s="9"/>
      <c r="M289" s="12">
        <f t="shared" si="16"/>
        <v>501</v>
      </c>
      <c r="N289" s="13">
        <f t="shared" si="17"/>
        <v>486.5</v>
      </c>
      <c r="O289" s="14">
        <f t="shared" si="18"/>
        <v>987.5</v>
      </c>
      <c r="P289" s="15">
        <f t="shared" si="19"/>
        <v>1.1897590361445782</v>
      </c>
    </row>
    <row r="290" spans="1:16" ht="15.75" hidden="1" customHeight="1" x14ac:dyDescent="0.3">
      <c r="A290" s="8" t="s">
        <v>58</v>
      </c>
      <c r="B290" s="9" t="s">
        <v>255</v>
      </c>
      <c r="C290" s="9" t="s">
        <v>123</v>
      </c>
      <c r="D290" s="9" t="s">
        <v>152</v>
      </c>
      <c r="E290" s="10">
        <v>21</v>
      </c>
      <c r="F290" s="9" t="s">
        <v>153</v>
      </c>
      <c r="G290" s="11">
        <v>0</v>
      </c>
      <c r="H290" s="9" t="s">
        <v>96</v>
      </c>
      <c r="I290" s="9" t="s">
        <v>97</v>
      </c>
      <c r="J290" s="9" t="s">
        <v>8</v>
      </c>
      <c r="K290" s="9"/>
      <c r="L290" s="9"/>
      <c r="M290" s="12">
        <f t="shared" ref="M290:M353" si="20">SUMIFS($E$2:$E$1130,$A$2:$A$1130,"осень",$I$2:$I$1130,I290)</f>
        <v>501</v>
      </c>
      <c r="N290" s="13">
        <f t="shared" ref="N290:N353" si="21">SUMIFS($E$2:$E$1130,$A$2:$A$1130,"весна",$I$2:$I$1130,I290)</f>
        <v>486.5</v>
      </c>
      <c r="O290" s="14">
        <f t="shared" ref="O290:O353" si="22">M290+N290</f>
        <v>987.5</v>
      </c>
      <c r="P290" s="15">
        <f t="shared" ref="P290:P353" si="23">O290/$P$1</f>
        <v>1.1897590361445782</v>
      </c>
    </row>
    <row r="291" spans="1:16" ht="15.75" hidden="1" customHeight="1" x14ac:dyDescent="0.3">
      <c r="A291" s="8" t="s">
        <v>58</v>
      </c>
      <c r="B291" s="9" t="s">
        <v>255</v>
      </c>
      <c r="C291" s="9" t="s">
        <v>79</v>
      </c>
      <c r="D291" s="9" t="s">
        <v>152</v>
      </c>
      <c r="E291" s="10">
        <v>44</v>
      </c>
      <c r="F291" s="9" t="s">
        <v>153</v>
      </c>
      <c r="G291" s="10">
        <v>44</v>
      </c>
      <c r="H291" s="9" t="s">
        <v>96</v>
      </c>
      <c r="I291" s="9" t="s">
        <v>97</v>
      </c>
      <c r="J291" s="9" t="s">
        <v>8</v>
      </c>
      <c r="K291" s="9"/>
      <c r="L291" s="9"/>
      <c r="M291" s="12">
        <f t="shared" si="20"/>
        <v>501</v>
      </c>
      <c r="N291" s="13">
        <f t="shared" si="21"/>
        <v>486.5</v>
      </c>
      <c r="O291" s="14">
        <f t="shared" si="22"/>
        <v>987.5</v>
      </c>
      <c r="P291" s="15">
        <f t="shared" si="23"/>
        <v>1.1897590361445782</v>
      </c>
    </row>
    <row r="292" spans="1:16" ht="15.75" hidden="1" customHeight="1" x14ac:dyDescent="0.3">
      <c r="A292" s="8" t="s">
        <v>58</v>
      </c>
      <c r="B292" s="9" t="s">
        <v>255</v>
      </c>
      <c r="C292" s="9" t="s">
        <v>100</v>
      </c>
      <c r="D292" s="9" t="s">
        <v>152</v>
      </c>
      <c r="E292" s="10">
        <v>4</v>
      </c>
      <c r="F292" s="9" t="s">
        <v>153</v>
      </c>
      <c r="G292" s="10">
        <v>4</v>
      </c>
      <c r="H292" s="9" t="s">
        <v>96</v>
      </c>
      <c r="I292" s="9" t="s">
        <v>97</v>
      </c>
      <c r="J292" s="9" t="s">
        <v>8</v>
      </c>
      <c r="K292" s="9"/>
      <c r="L292" s="9"/>
      <c r="M292" s="12">
        <f t="shared" si="20"/>
        <v>501</v>
      </c>
      <c r="N292" s="13">
        <f t="shared" si="21"/>
        <v>486.5</v>
      </c>
      <c r="O292" s="14">
        <f t="shared" si="22"/>
        <v>987.5</v>
      </c>
      <c r="P292" s="15">
        <f t="shared" si="23"/>
        <v>1.1897590361445782</v>
      </c>
    </row>
    <row r="293" spans="1:16" ht="15.75" hidden="1" customHeight="1" x14ac:dyDescent="0.3">
      <c r="A293" s="8" t="s">
        <v>58</v>
      </c>
      <c r="B293" s="9" t="s">
        <v>255</v>
      </c>
      <c r="C293" s="9" t="s">
        <v>111</v>
      </c>
      <c r="D293" s="9" t="s">
        <v>152</v>
      </c>
      <c r="E293" s="10">
        <v>4</v>
      </c>
      <c r="F293" s="9" t="s">
        <v>153</v>
      </c>
      <c r="G293" s="11">
        <v>0</v>
      </c>
      <c r="H293" s="9" t="s">
        <v>96</v>
      </c>
      <c r="I293" s="9" t="s">
        <v>97</v>
      </c>
      <c r="J293" s="9" t="s">
        <v>8</v>
      </c>
      <c r="K293" s="9"/>
      <c r="L293" s="9"/>
      <c r="M293" s="12">
        <f t="shared" si="20"/>
        <v>501</v>
      </c>
      <c r="N293" s="13">
        <f t="shared" si="21"/>
        <v>486.5</v>
      </c>
      <c r="O293" s="14">
        <f t="shared" si="22"/>
        <v>987.5</v>
      </c>
      <c r="P293" s="15">
        <f t="shared" si="23"/>
        <v>1.1897590361445782</v>
      </c>
    </row>
    <row r="294" spans="1:16" ht="15.75" hidden="1" customHeight="1" x14ac:dyDescent="0.3">
      <c r="A294" s="8" t="s">
        <v>58</v>
      </c>
      <c r="B294" s="9" t="s">
        <v>255</v>
      </c>
      <c r="C294" s="9" t="s">
        <v>80</v>
      </c>
      <c r="D294" s="9" t="s">
        <v>152</v>
      </c>
      <c r="E294" s="10">
        <v>3</v>
      </c>
      <c r="F294" s="9" t="s">
        <v>153</v>
      </c>
      <c r="G294" s="11">
        <v>0</v>
      </c>
      <c r="H294" s="9" t="s">
        <v>96</v>
      </c>
      <c r="I294" s="9" t="s">
        <v>97</v>
      </c>
      <c r="J294" s="9" t="s">
        <v>8</v>
      </c>
      <c r="K294" s="9"/>
      <c r="L294" s="9"/>
      <c r="M294" s="12">
        <f t="shared" si="20"/>
        <v>501</v>
      </c>
      <c r="N294" s="13">
        <f t="shared" si="21"/>
        <v>486.5</v>
      </c>
      <c r="O294" s="14">
        <f t="shared" si="22"/>
        <v>987.5</v>
      </c>
      <c r="P294" s="15">
        <f t="shared" si="23"/>
        <v>1.1897590361445782</v>
      </c>
    </row>
    <row r="295" spans="1:16" ht="15.75" hidden="1" customHeight="1" x14ac:dyDescent="0.3">
      <c r="A295" s="8" t="s">
        <v>58</v>
      </c>
      <c r="B295" s="9" t="s">
        <v>256</v>
      </c>
      <c r="C295" s="9" t="s">
        <v>73</v>
      </c>
      <c r="D295" s="9" t="s">
        <v>152</v>
      </c>
      <c r="E295" s="10">
        <v>18</v>
      </c>
      <c r="F295" s="9" t="s">
        <v>153</v>
      </c>
      <c r="G295" s="10">
        <v>18</v>
      </c>
      <c r="H295" s="9" t="s">
        <v>257</v>
      </c>
      <c r="I295" s="9" t="s">
        <v>258</v>
      </c>
      <c r="J295" s="9" t="s">
        <v>8</v>
      </c>
      <c r="K295" s="9"/>
      <c r="L295" s="9"/>
      <c r="M295" s="12">
        <f t="shared" si="20"/>
        <v>331</v>
      </c>
      <c r="N295" s="13">
        <f t="shared" si="21"/>
        <v>520</v>
      </c>
      <c r="O295" s="14">
        <f t="shared" si="22"/>
        <v>851</v>
      </c>
      <c r="P295" s="15">
        <f t="shared" si="23"/>
        <v>1.0253012048192771</v>
      </c>
    </row>
    <row r="296" spans="1:16" ht="15.75" hidden="1" customHeight="1" x14ac:dyDescent="0.3">
      <c r="A296" s="8" t="s">
        <v>58</v>
      </c>
      <c r="B296" s="9" t="s">
        <v>256</v>
      </c>
      <c r="C296" s="9" t="s">
        <v>123</v>
      </c>
      <c r="D296" s="9" t="s">
        <v>152</v>
      </c>
      <c r="E296" s="10">
        <v>21</v>
      </c>
      <c r="F296" s="9" t="s">
        <v>153</v>
      </c>
      <c r="G296" s="11">
        <v>0</v>
      </c>
      <c r="H296" s="9" t="s">
        <v>257</v>
      </c>
      <c r="I296" s="9" t="s">
        <v>258</v>
      </c>
      <c r="J296" s="9" t="s">
        <v>8</v>
      </c>
      <c r="K296" s="9"/>
      <c r="L296" s="9"/>
      <c r="M296" s="12">
        <f t="shared" si="20"/>
        <v>331</v>
      </c>
      <c r="N296" s="13">
        <f t="shared" si="21"/>
        <v>520</v>
      </c>
      <c r="O296" s="14">
        <f t="shared" si="22"/>
        <v>851</v>
      </c>
      <c r="P296" s="15">
        <f t="shared" si="23"/>
        <v>1.0253012048192771</v>
      </c>
    </row>
    <row r="297" spans="1:16" ht="15.75" hidden="1" customHeight="1" x14ac:dyDescent="0.3">
      <c r="A297" s="8" t="s">
        <v>58</v>
      </c>
      <c r="B297" s="9" t="s">
        <v>256</v>
      </c>
      <c r="C297" s="9" t="s">
        <v>79</v>
      </c>
      <c r="D297" s="9" t="s">
        <v>152</v>
      </c>
      <c r="E297" s="10">
        <v>32</v>
      </c>
      <c r="F297" s="9" t="s">
        <v>153</v>
      </c>
      <c r="G297" s="10">
        <v>32</v>
      </c>
      <c r="H297" s="9" t="s">
        <v>259</v>
      </c>
      <c r="I297" s="9" t="s">
        <v>260</v>
      </c>
      <c r="J297" s="9"/>
      <c r="K297" s="9"/>
      <c r="L297" s="9"/>
      <c r="M297" s="12">
        <f t="shared" si="20"/>
        <v>144</v>
      </c>
      <c r="N297" s="13">
        <f t="shared" si="21"/>
        <v>88.5</v>
      </c>
      <c r="O297" s="14">
        <f t="shared" si="22"/>
        <v>232.5</v>
      </c>
      <c r="P297" s="15">
        <f t="shared" si="23"/>
        <v>0.28012048192771083</v>
      </c>
    </row>
    <row r="298" spans="1:16" ht="15.75" hidden="1" customHeight="1" x14ac:dyDescent="0.3">
      <c r="A298" s="8" t="s">
        <v>58</v>
      </c>
      <c r="B298" s="9" t="s">
        <v>256</v>
      </c>
      <c r="C298" s="9" t="s">
        <v>100</v>
      </c>
      <c r="D298" s="9" t="s">
        <v>152</v>
      </c>
      <c r="E298" s="10">
        <v>16</v>
      </c>
      <c r="F298" s="9" t="s">
        <v>153</v>
      </c>
      <c r="G298" s="10">
        <v>16</v>
      </c>
      <c r="H298" s="9" t="s">
        <v>257</v>
      </c>
      <c r="I298" s="9" t="s">
        <v>258</v>
      </c>
      <c r="J298" s="9" t="s">
        <v>8</v>
      </c>
      <c r="K298" s="9"/>
      <c r="L298" s="9"/>
      <c r="M298" s="12">
        <f t="shared" si="20"/>
        <v>331</v>
      </c>
      <c r="N298" s="13">
        <f t="shared" si="21"/>
        <v>520</v>
      </c>
      <c r="O298" s="14">
        <f t="shared" si="22"/>
        <v>851</v>
      </c>
      <c r="P298" s="15">
        <f t="shared" si="23"/>
        <v>1.0253012048192771</v>
      </c>
    </row>
    <row r="299" spans="1:16" ht="15.75" hidden="1" customHeight="1" x14ac:dyDescent="0.3">
      <c r="A299" s="8" t="s">
        <v>58</v>
      </c>
      <c r="B299" s="9" t="s">
        <v>256</v>
      </c>
      <c r="C299" s="9" t="s">
        <v>111</v>
      </c>
      <c r="D299" s="9" t="s">
        <v>152</v>
      </c>
      <c r="E299" s="10">
        <v>4</v>
      </c>
      <c r="F299" s="9" t="s">
        <v>153</v>
      </c>
      <c r="G299" s="11">
        <v>0</v>
      </c>
      <c r="H299" s="9" t="s">
        <v>257</v>
      </c>
      <c r="I299" s="9" t="s">
        <v>258</v>
      </c>
      <c r="J299" s="9" t="s">
        <v>8</v>
      </c>
      <c r="K299" s="9"/>
      <c r="L299" s="9"/>
      <c r="M299" s="12">
        <f t="shared" si="20"/>
        <v>331</v>
      </c>
      <c r="N299" s="13">
        <f t="shared" si="21"/>
        <v>520</v>
      </c>
      <c r="O299" s="14">
        <f t="shared" si="22"/>
        <v>851</v>
      </c>
      <c r="P299" s="15">
        <f t="shared" si="23"/>
        <v>1.0253012048192771</v>
      </c>
    </row>
    <row r="300" spans="1:16" ht="15.75" hidden="1" customHeight="1" x14ac:dyDescent="0.3">
      <c r="A300" s="8" t="s">
        <v>58</v>
      </c>
      <c r="B300" s="9" t="s">
        <v>256</v>
      </c>
      <c r="C300" s="9" t="s">
        <v>80</v>
      </c>
      <c r="D300" s="9" t="s">
        <v>152</v>
      </c>
      <c r="E300" s="10">
        <v>3</v>
      </c>
      <c r="F300" s="9" t="s">
        <v>153</v>
      </c>
      <c r="G300" s="11">
        <v>0</v>
      </c>
      <c r="H300" s="9" t="s">
        <v>257</v>
      </c>
      <c r="I300" s="9" t="s">
        <v>258</v>
      </c>
      <c r="J300" s="9" t="s">
        <v>8</v>
      </c>
      <c r="K300" s="9"/>
      <c r="L300" s="9"/>
      <c r="M300" s="12">
        <f t="shared" si="20"/>
        <v>331</v>
      </c>
      <c r="N300" s="13">
        <f t="shared" si="21"/>
        <v>520</v>
      </c>
      <c r="O300" s="14">
        <f t="shared" si="22"/>
        <v>851</v>
      </c>
      <c r="P300" s="15">
        <f t="shared" si="23"/>
        <v>1.0253012048192771</v>
      </c>
    </row>
    <row r="301" spans="1:16" ht="15.75" hidden="1" customHeight="1" x14ac:dyDescent="0.3">
      <c r="A301" s="8" t="s">
        <v>58</v>
      </c>
      <c r="B301" s="9" t="s">
        <v>261</v>
      </c>
      <c r="C301" s="9" t="s">
        <v>73</v>
      </c>
      <c r="D301" s="9" t="s">
        <v>262</v>
      </c>
      <c r="E301" s="10">
        <v>12</v>
      </c>
      <c r="F301" s="9" t="s">
        <v>263</v>
      </c>
      <c r="G301" s="10">
        <v>12</v>
      </c>
      <c r="H301" s="9" t="s">
        <v>65</v>
      </c>
      <c r="I301" s="9" t="s">
        <v>66</v>
      </c>
      <c r="J301" s="9" t="s">
        <v>4</v>
      </c>
      <c r="K301" s="9"/>
      <c r="L301" s="9" t="s">
        <v>264</v>
      </c>
      <c r="M301" s="12">
        <f t="shared" si="20"/>
        <v>291</v>
      </c>
      <c r="N301" s="13">
        <f t="shared" si="21"/>
        <v>650.5</v>
      </c>
      <c r="O301" s="14">
        <f t="shared" si="22"/>
        <v>941.5</v>
      </c>
      <c r="P301" s="15">
        <f t="shared" si="23"/>
        <v>1.1343373493975903</v>
      </c>
    </row>
    <row r="302" spans="1:16" ht="15.75" hidden="1" customHeight="1" x14ac:dyDescent="0.3">
      <c r="A302" s="8" t="s">
        <v>58</v>
      </c>
      <c r="B302" s="9" t="s">
        <v>261</v>
      </c>
      <c r="C302" s="9" t="s">
        <v>87</v>
      </c>
      <c r="D302" s="9" t="s">
        <v>134</v>
      </c>
      <c r="E302" s="10">
        <v>2</v>
      </c>
      <c r="F302" s="9" t="s">
        <v>263</v>
      </c>
      <c r="G302" s="11">
        <v>0</v>
      </c>
      <c r="H302" s="9" t="s">
        <v>65</v>
      </c>
      <c r="I302" s="9" t="s">
        <v>66</v>
      </c>
      <c r="J302" s="9" t="s">
        <v>4</v>
      </c>
      <c r="K302" s="9"/>
      <c r="L302" s="9" t="s">
        <v>264</v>
      </c>
      <c r="M302" s="12">
        <f t="shared" si="20"/>
        <v>291</v>
      </c>
      <c r="N302" s="13">
        <f t="shared" si="21"/>
        <v>650.5</v>
      </c>
      <c r="O302" s="14">
        <f t="shared" si="22"/>
        <v>941.5</v>
      </c>
      <c r="P302" s="15">
        <f t="shared" si="23"/>
        <v>1.1343373493975903</v>
      </c>
    </row>
    <row r="303" spans="1:16" ht="15.75" hidden="1" customHeight="1" x14ac:dyDescent="0.3">
      <c r="A303" s="8" t="s">
        <v>58</v>
      </c>
      <c r="B303" s="9" t="s">
        <v>261</v>
      </c>
      <c r="C303" s="9" t="s">
        <v>87</v>
      </c>
      <c r="D303" s="9" t="s">
        <v>139</v>
      </c>
      <c r="E303" s="10">
        <v>2</v>
      </c>
      <c r="F303" s="9" t="s">
        <v>263</v>
      </c>
      <c r="G303" s="11">
        <v>0</v>
      </c>
      <c r="H303" s="9" t="s">
        <v>65</v>
      </c>
      <c r="I303" s="9" t="s">
        <v>66</v>
      </c>
      <c r="J303" s="9" t="s">
        <v>4</v>
      </c>
      <c r="K303" s="9"/>
      <c r="L303" s="9" t="s">
        <v>264</v>
      </c>
      <c r="M303" s="12">
        <f t="shared" si="20"/>
        <v>291</v>
      </c>
      <c r="N303" s="13">
        <f t="shared" si="21"/>
        <v>650.5</v>
      </c>
      <c r="O303" s="14">
        <f t="shared" si="22"/>
        <v>941.5</v>
      </c>
      <c r="P303" s="15">
        <f t="shared" si="23"/>
        <v>1.1343373493975903</v>
      </c>
    </row>
    <row r="304" spans="1:16" ht="15.75" hidden="1" customHeight="1" x14ac:dyDescent="0.3">
      <c r="A304" s="8" t="s">
        <v>58</v>
      </c>
      <c r="B304" s="9" t="s">
        <v>261</v>
      </c>
      <c r="C304" s="9" t="s">
        <v>87</v>
      </c>
      <c r="D304" s="9" t="s">
        <v>140</v>
      </c>
      <c r="E304" s="10">
        <v>2</v>
      </c>
      <c r="F304" s="9" t="s">
        <v>263</v>
      </c>
      <c r="G304" s="11">
        <v>0</v>
      </c>
      <c r="H304" s="9" t="s">
        <v>65</v>
      </c>
      <c r="I304" s="9" t="s">
        <v>66</v>
      </c>
      <c r="J304" s="9" t="s">
        <v>4</v>
      </c>
      <c r="K304" s="9"/>
      <c r="L304" s="9" t="s">
        <v>264</v>
      </c>
      <c r="M304" s="12">
        <f t="shared" si="20"/>
        <v>291</v>
      </c>
      <c r="N304" s="13">
        <f t="shared" si="21"/>
        <v>650.5</v>
      </c>
      <c r="O304" s="14">
        <f t="shared" si="22"/>
        <v>941.5</v>
      </c>
      <c r="P304" s="15">
        <f t="shared" si="23"/>
        <v>1.1343373493975903</v>
      </c>
    </row>
    <row r="305" spans="1:16" ht="15.75" hidden="1" customHeight="1" x14ac:dyDescent="0.3">
      <c r="A305" s="8" t="s">
        <v>58</v>
      </c>
      <c r="B305" s="9" t="s">
        <v>261</v>
      </c>
      <c r="C305" s="9" t="s">
        <v>87</v>
      </c>
      <c r="D305" s="9" t="s">
        <v>141</v>
      </c>
      <c r="E305" s="10">
        <v>2</v>
      </c>
      <c r="F305" s="9" t="s">
        <v>263</v>
      </c>
      <c r="G305" s="11">
        <v>0</v>
      </c>
      <c r="H305" s="9" t="s">
        <v>65</v>
      </c>
      <c r="I305" s="9" t="s">
        <v>66</v>
      </c>
      <c r="J305" s="9" t="s">
        <v>4</v>
      </c>
      <c r="K305" s="9"/>
      <c r="L305" s="9" t="s">
        <v>264</v>
      </c>
      <c r="M305" s="12">
        <f t="shared" si="20"/>
        <v>291</v>
      </c>
      <c r="N305" s="13">
        <f t="shared" si="21"/>
        <v>650.5</v>
      </c>
      <c r="O305" s="14">
        <f t="shared" si="22"/>
        <v>941.5</v>
      </c>
      <c r="P305" s="15">
        <f t="shared" si="23"/>
        <v>1.1343373493975903</v>
      </c>
    </row>
    <row r="306" spans="1:16" ht="15.75" hidden="1" customHeight="1" x14ac:dyDescent="0.3">
      <c r="A306" s="8" t="s">
        <v>58</v>
      </c>
      <c r="B306" s="9" t="s">
        <v>261</v>
      </c>
      <c r="C306" s="9" t="s">
        <v>79</v>
      </c>
      <c r="D306" s="9" t="s">
        <v>134</v>
      </c>
      <c r="E306" s="10">
        <v>40</v>
      </c>
      <c r="F306" s="9" t="s">
        <v>263</v>
      </c>
      <c r="G306" s="10">
        <v>40</v>
      </c>
      <c r="H306" s="9" t="s">
        <v>98</v>
      </c>
      <c r="I306" s="9" t="s">
        <v>99</v>
      </c>
      <c r="J306" s="9" t="s">
        <v>4</v>
      </c>
      <c r="K306" s="9"/>
      <c r="L306" s="9"/>
      <c r="M306" s="12">
        <f t="shared" si="20"/>
        <v>239</v>
      </c>
      <c r="N306" s="13">
        <f t="shared" si="21"/>
        <v>196.5</v>
      </c>
      <c r="O306" s="14">
        <f t="shared" si="22"/>
        <v>435.5</v>
      </c>
      <c r="P306" s="15">
        <f t="shared" si="23"/>
        <v>0.52469879518072293</v>
      </c>
    </row>
    <row r="307" spans="1:16" ht="15.75" hidden="1" customHeight="1" x14ac:dyDescent="0.3">
      <c r="A307" s="8" t="s">
        <v>58</v>
      </c>
      <c r="B307" s="9" t="s">
        <v>261</v>
      </c>
      <c r="C307" s="9" t="s">
        <v>79</v>
      </c>
      <c r="D307" s="9" t="s">
        <v>139</v>
      </c>
      <c r="E307" s="10">
        <v>40</v>
      </c>
      <c r="F307" s="9" t="s">
        <v>263</v>
      </c>
      <c r="G307" s="10">
        <v>40</v>
      </c>
      <c r="H307" s="9" t="s">
        <v>98</v>
      </c>
      <c r="I307" s="9" t="s">
        <v>99</v>
      </c>
      <c r="J307" s="9" t="s">
        <v>4</v>
      </c>
      <c r="K307" s="9"/>
      <c r="L307" s="9"/>
      <c r="M307" s="12">
        <f t="shared" si="20"/>
        <v>239</v>
      </c>
      <c r="N307" s="13">
        <f t="shared" si="21"/>
        <v>196.5</v>
      </c>
      <c r="O307" s="14">
        <f t="shared" si="22"/>
        <v>435.5</v>
      </c>
      <c r="P307" s="15">
        <f t="shared" si="23"/>
        <v>0.52469879518072293</v>
      </c>
    </row>
    <row r="308" spans="1:16" ht="15.75" hidden="1" customHeight="1" x14ac:dyDescent="0.3">
      <c r="A308" s="8" t="s">
        <v>58</v>
      </c>
      <c r="B308" s="9" t="s">
        <v>261</v>
      </c>
      <c r="C308" s="9" t="s">
        <v>79</v>
      </c>
      <c r="D308" s="9" t="s">
        <v>140</v>
      </c>
      <c r="E308" s="10">
        <v>40</v>
      </c>
      <c r="F308" s="9" t="s">
        <v>263</v>
      </c>
      <c r="G308" s="10">
        <v>40</v>
      </c>
      <c r="H308" s="9" t="s">
        <v>98</v>
      </c>
      <c r="I308" s="9" t="s">
        <v>99</v>
      </c>
      <c r="J308" s="9" t="s">
        <v>4</v>
      </c>
      <c r="K308" s="9"/>
      <c r="L308" s="9"/>
      <c r="M308" s="12">
        <f t="shared" si="20"/>
        <v>239</v>
      </c>
      <c r="N308" s="13">
        <f t="shared" si="21"/>
        <v>196.5</v>
      </c>
      <c r="O308" s="14">
        <f t="shared" si="22"/>
        <v>435.5</v>
      </c>
      <c r="P308" s="15">
        <f t="shared" si="23"/>
        <v>0.52469879518072293</v>
      </c>
    </row>
    <row r="309" spans="1:16" ht="15.75" hidden="1" customHeight="1" x14ac:dyDescent="0.3">
      <c r="A309" s="8" t="s">
        <v>58</v>
      </c>
      <c r="B309" s="9" t="s">
        <v>261</v>
      </c>
      <c r="C309" s="9" t="s">
        <v>79</v>
      </c>
      <c r="D309" s="9" t="s">
        <v>141</v>
      </c>
      <c r="E309" s="10">
        <v>40</v>
      </c>
      <c r="F309" s="9" t="s">
        <v>263</v>
      </c>
      <c r="G309" s="10">
        <v>40</v>
      </c>
      <c r="H309" s="9" t="s">
        <v>98</v>
      </c>
      <c r="I309" s="9" t="s">
        <v>99</v>
      </c>
      <c r="J309" s="9" t="s">
        <v>4</v>
      </c>
      <c r="K309" s="9"/>
      <c r="L309" s="9"/>
      <c r="M309" s="12">
        <f t="shared" si="20"/>
        <v>239</v>
      </c>
      <c r="N309" s="13">
        <f t="shared" si="21"/>
        <v>196.5</v>
      </c>
      <c r="O309" s="14">
        <f t="shared" si="22"/>
        <v>435.5</v>
      </c>
      <c r="P309" s="15">
        <f t="shared" si="23"/>
        <v>0.52469879518072293</v>
      </c>
    </row>
    <row r="310" spans="1:16" ht="15.75" hidden="1" customHeight="1" x14ac:dyDescent="0.3">
      <c r="A310" s="8" t="s">
        <v>58</v>
      </c>
      <c r="B310" s="9" t="s">
        <v>261</v>
      </c>
      <c r="C310" s="9" t="s">
        <v>80</v>
      </c>
      <c r="D310" s="9" t="s">
        <v>134</v>
      </c>
      <c r="E310" s="10">
        <v>1</v>
      </c>
      <c r="F310" s="9" t="s">
        <v>263</v>
      </c>
      <c r="G310" s="11">
        <v>0</v>
      </c>
      <c r="H310" s="9" t="s">
        <v>65</v>
      </c>
      <c r="I310" s="9" t="s">
        <v>66</v>
      </c>
      <c r="J310" s="9" t="s">
        <v>4</v>
      </c>
      <c r="K310" s="9"/>
      <c r="L310" s="9" t="s">
        <v>264</v>
      </c>
      <c r="M310" s="12">
        <f t="shared" si="20"/>
        <v>291</v>
      </c>
      <c r="N310" s="13">
        <f t="shared" si="21"/>
        <v>650.5</v>
      </c>
      <c r="O310" s="14">
        <f t="shared" si="22"/>
        <v>941.5</v>
      </c>
      <c r="P310" s="15">
        <f t="shared" si="23"/>
        <v>1.1343373493975903</v>
      </c>
    </row>
    <row r="311" spans="1:16" ht="15.75" hidden="1" customHeight="1" x14ac:dyDescent="0.3">
      <c r="A311" s="8" t="s">
        <v>58</v>
      </c>
      <c r="B311" s="9" t="s">
        <v>261</v>
      </c>
      <c r="C311" s="9" t="s">
        <v>80</v>
      </c>
      <c r="D311" s="9" t="s">
        <v>139</v>
      </c>
      <c r="E311" s="10">
        <v>1</v>
      </c>
      <c r="F311" s="9" t="s">
        <v>263</v>
      </c>
      <c r="G311" s="11">
        <v>0</v>
      </c>
      <c r="H311" s="9" t="s">
        <v>65</v>
      </c>
      <c r="I311" s="9" t="s">
        <v>66</v>
      </c>
      <c r="J311" s="9" t="s">
        <v>4</v>
      </c>
      <c r="K311" s="9"/>
      <c r="L311" s="9" t="s">
        <v>264</v>
      </c>
      <c r="M311" s="12">
        <f t="shared" si="20"/>
        <v>291</v>
      </c>
      <c r="N311" s="13">
        <f t="shared" si="21"/>
        <v>650.5</v>
      </c>
      <c r="O311" s="14">
        <f t="shared" si="22"/>
        <v>941.5</v>
      </c>
      <c r="P311" s="15">
        <f t="shared" si="23"/>
        <v>1.1343373493975903</v>
      </c>
    </row>
    <row r="312" spans="1:16" ht="15.75" hidden="1" customHeight="1" x14ac:dyDescent="0.3">
      <c r="A312" s="8" t="s">
        <v>58</v>
      </c>
      <c r="B312" s="9" t="s">
        <v>261</v>
      </c>
      <c r="C312" s="9" t="s">
        <v>80</v>
      </c>
      <c r="D312" s="9" t="s">
        <v>140</v>
      </c>
      <c r="E312" s="10">
        <v>1</v>
      </c>
      <c r="F312" s="9" t="s">
        <v>263</v>
      </c>
      <c r="G312" s="11">
        <v>0</v>
      </c>
      <c r="H312" s="9" t="s">
        <v>65</v>
      </c>
      <c r="I312" s="9" t="s">
        <v>66</v>
      </c>
      <c r="J312" s="9" t="s">
        <v>4</v>
      </c>
      <c r="K312" s="9"/>
      <c r="L312" s="9" t="s">
        <v>264</v>
      </c>
      <c r="M312" s="12">
        <f t="shared" si="20"/>
        <v>291</v>
      </c>
      <c r="N312" s="13">
        <f t="shared" si="21"/>
        <v>650.5</v>
      </c>
      <c r="O312" s="14">
        <f t="shared" si="22"/>
        <v>941.5</v>
      </c>
      <c r="P312" s="15">
        <f t="shared" si="23"/>
        <v>1.1343373493975903</v>
      </c>
    </row>
    <row r="313" spans="1:16" ht="15.75" hidden="1" customHeight="1" x14ac:dyDescent="0.3">
      <c r="A313" s="8" t="s">
        <v>58</v>
      </c>
      <c r="B313" s="9" t="s">
        <v>261</v>
      </c>
      <c r="C313" s="9" t="s">
        <v>80</v>
      </c>
      <c r="D313" s="9" t="s">
        <v>141</v>
      </c>
      <c r="E313" s="10">
        <v>1</v>
      </c>
      <c r="F313" s="9" t="s">
        <v>263</v>
      </c>
      <c r="G313" s="11">
        <v>0</v>
      </c>
      <c r="H313" s="9" t="s">
        <v>65</v>
      </c>
      <c r="I313" s="9" t="s">
        <v>66</v>
      </c>
      <c r="J313" s="9" t="s">
        <v>4</v>
      </c>
      <c r="K313" s="9"/>
      <c r="L313" s="9" t="s">
        <v>264</v>
      </c>
      <c r="M313" s="12">
        <f t="shared" si="20"/>
        <v>291</v>
      </c>
      <c r="N313" s="13">
        <f t="shared" si="21"/>
        <v>650.5</v>
      </c>
      <c r="O313" s="14">
        <f t="shared" si="22"/>
        <v>941.5</v>
      </c>
      <c r="P313" s="15">
        <f t="shared" si="23"/>
        <v>1.1343373493975903</v>
      </c>
    </row>
    <row r="314" spans="1:16" ht="15.75" hidden="1" customHeight="1" x14ac:dyDescent="0.3">
      <c r="A314" s="8" t="s">
        <v>58</v>
      </c>
      <c r="B314" s="9" t="s">
        <v>265</v>
      </c>
      <c r="C314" s="9" t="s">
        <v>73</v>
      </c>
      <c r="D314" s="9" t="s">
        <v>103</v>
      </c>
      <c r="E314" s="10">
        <v>34</v>
      </c>
      <c r="F314" s="9" t="s">
        <v>107</v>
      </c>
      <c r="G314" s="10">
        <v>34</v>
      </c>
      <c r="H314" s="9" t="s">
        <v>245</v>
      </c>
      <c r="I314" s="9" t="s">
        <v>246</v>
      </c>
      <c r="J314" s="9"/>
      <c r="K314" s="9"/>
      <c r="L314" s="9" t="s">
        <v>247</v>
      </c>
      <c r="M314" s="12">
        <f t="shared" si="20"/>
        <v>200</v>
      </c>
      <c r="N314" s="13">
        <f t="shared" si="21"/>
        <v>271</v>
      </c>
      <c r="O314" s="14">
        <f t="shared" si="22"/>
        <v>471</v>
      </c>
      <c r="P314" s="15">
        <f t="shared" si="23"/>
        <v>0.56746987951807226</v>
      </c>
    </row>
    <row r="315" spans="1:16" ht="15.75" hidden="1" customHeight="1" x14ac:dyDescent="0.3">
      <c r="A315" s="8" t="s">
        <v>58</v>
      </c>
      <c r="B315" s="9" t="s">
        <v>265</v>
      </c>
      <c r="C315" s="9" t="s">
        <v>87</v>
      </c>
      <c r="D315" s="9" t="s">
        <v>103</v>
      </c>
      <c r="E315" s="10">
        <v>6</v>
      </c>
      <c r="F315" s="9" t="s">
        <v>107</v>
      </c>
      <c r="G315" s="11">
        <v>0</v>
      </c>
      <c r="H315" s="9" t="s">
        <v>245</v>
      </c>
      <c r="I315" s="9" t="s">
        <v>246</v>
      </c>
      <c r="J315" s="9"/>
      <c r="K315" s="9"/>
      <c r="L315" s="9" t="s">
        <v>247</v>
      </c>
      <c r="M315" s="12">
        <f t="shared" si="20"/>
        <v>200</v>
      </c>
      <c r="N315" s="13">
        <f t="shared" si="21"/>
        <v>271</v>
      </c>
      <c r="O315" s="14">
        <f t="shared" si="22"/>
        <v>471</v>
      </c>
      <c r="P315" s="15">
        <f t="shared" si="23"/>
        <v>0.56746987951807226</v>
      </c>
    </row>
    <row r="316" spans="1:16" ht="15.75" hidden="1" customHeight="1" x14ac:dyDescent="0.3">
      <c r="A316" s="8" t="s">
        <v>58</v>
      </c>
      <c r="B316" s="9" t="s">
        <v>265</v>
      </c>
      <c r="C316" s="9" t="s">
        <v>79</v>
      </c>
      <c r="D316" s="9" t="s">
        <v>103</v>
      </c>
      <c r="E316" s="10">
        <v>40</v>
      </c>
      <c r="F316" s="9" t="s">
        <v>107</v>
      </c>
      <c r="G316" s="10">
        <v>40</v>
      </c>
      <c r="H316" s="9" t="s">
        <v>245</v>
      </c>
      <c r="I316" s="9" t="s">
        <v>246</v>
      </c>
      <c r="J316" s="9"/>
      <c r="K316" s="9"/>
      <c r="L316" s="9" t="s">
        <v>247</v>
      </c>
      <c r="M316" s="12">
        <f t="shared" si="20"/>
        <v>200</v>
      </c>
      <c r="N316" s="13">
        <f t="shared" si="21"/>
        <v>271</v>
      </c>
      <c r="O316" s="14">
        <f t="shared" si="22"/>
        <v>471</v>
      </c>
      <c r="P316" s="15">
        <f t="shared" si="23"/>
        <v>0.56746987951807226</v>
      </c>
    </row>
    <row r="317" spans="1:16" ht="15.75" hidden="1" customHeight="1" x14ac:dyDescent="0.3">
      <c r="A317" s="8" t="s">
        <v>58</v>
      </c>
      <c r="B317" s="9" t="s">
        <v>265</v>
      </c>
      <c r="C317" s="9" t="s">
        <v>100</v>
      </c>
      <c r="D317" s="9" t="s">
        <v>103</v>
      </c>
      <c r="E317" s="10">
        <v>32</v>
      </c>
      <c r="F317" s="9" t="s">
        <v>107</v>
      </c>
      <c r="G317" s="10">
        <v>16</v>
      </c>
      <c r="H317" s="9" t="s">
        <v>245</v>
      </c>
      <c r="I317" s="9" t="s">
        <v>246</v>
      </c>
      <c r="J317" s="9"/>
      <c r="K317" s="9"/>
      <c r="L317" s="9" t="s">
        <v>247</v>
      </c>
      <c r="M317" s="12">
        <f t="shared" si="20"/>
        <v>200</v>
      </c>
      <c r="N317" s="13">
        <f t="shared" si="21"/>
        <v>271</v>
      </c>
      <c r="O317" s="14">
        <f t="shared" si="22"/>
        <v>471</v>
      </c>
      <c r="P317" s="15">
        <f t="shared" si="23"/>
        <v>0.56746987951807226</v>
      </c>
    </row>
    <row r="318" spans="1:16" ht="15.75" hidden="1" customHeight="1" x14ac:dyDescent="0.3">
      <c r="A318" s="8" t="s">
        <v>58</v>
      </c>
      <c r="B318" s="9" t="s">
        <v>265</v>
      </c>
      <c r="C318" s="9" t="s">
        <v>80</v>
      </c>
      <c r="D318" s="9" t="s">
        <v>103</v>
      </c>
      <c r="E318" s="10">
        <v>2</v>
      </c>
      <c r="F318" s="9" t="s">
        <v>107</v>
      </c>
      <c r="G318" s="11">
        <v>0</v>
      </c>
      <c r="H318" s="9" t="s">
        <v>245</v>
      </c>
      <c r="I318" s="9" t="s">
        <v>246</v>
      </c>
      <c r="J318" s="9"/>
      <c r="K318" s="9"/>
      <c r="L318" s="9" t="s">
        <v>247</v>
      </c>
      <c r="M318" s="12">
        <f t="shared" si="20"/>
        <v>200</v>
      </c>
      <c r="N318" s="13">
        <f t="shared" si="21"/>
        <v>271</v>
      </c>
      <c r="O318" s="14">
        <f t="shared" si="22"/>
        <v>471</v>
      </c>
      <c r="P318" s="15">
        <f t="shared" si="23"/>
        <v>0.56746987951807226</v>
      </c>
    </row>
    <row r="319" spans="1:16" ht="15.75" hidden="1" customHeight="1" x14ac:dyDescent="0.3">
      <c r="A319" s="8" t="s">
        <v>58</v>
      </c>
      <c r="B319" s="9" t="s">
        <v>266</v>
      </c>
      <c r="C319" s="9" t="s">
        <v>73</v>
      </c>
      <c r="D319" s="9" t="s">
        <v>189</v>
      </c>
      <c r="E319" s="10">
        <v>16</v>
      </c>
      <c r="F319" s="9" t="s">
        <v>190</v>
      </c>
      <c r="G319" s="10">
        <v>16</v>
      </c>
      <c r="H319" s="9" t="s">
        <v>84</v>
      </c>
      <c r="I319" s="9" t="s">
        <v>85</v>
      </c>
      <c r="J319" s="9"/>
      <c r="K319" s="9"/>
      <c r="L319" s="9" t="s">
        <v>86</v>
      </c>
      <c r="M319" s="12">
        <f t="shared" si="20"/>
        <v>256</v>
      </c>
      <c r="N319" s="13">
        <f t="shared" si="21"/>
        <v>691.5</v>
      </c>
      <c r="O319" s="14">
        <f t="shared" si="22"/>
        <v>947.5</v>
      </c>
      <c r="P319" s="15">
        <f t="shared" si="23"/>
        <v>1.1415662650602409</v>
      </c>
    </row>
    <row r="320" spans="1:16" ht="15.75" hidden="1" customHeight="1" x14ac:dyDescent="0.3">
      <c r="A320" s="8" t="s">
        <v>58</v>
      </c>
      <c r="B320" s="9" t="s">
        <v>266</v>
      </c>
      <c r="C320" s="9" t="s">
        <v>79</v>
      </c>
      <c r="D320" s="9" t="s">
        <v>189</v>
      </c>
      <c r="E320" s="10">
        <v>8</v>
      </c>
      <c r="F320" s="9" t="s">
        <v>190</v>
      </c>
      <c r="G320" s="10">
        <v>8</v>
      </c>
      <c r="H320" s="9" t="s">
        <v>84</v>
      </c>
      <c r="I320" s="9" t="s">
        <v>85</v>
      </c>
      <c r="J320" s="9"/>
      <c r="K320" s="9"/>
      <c r="L320" s="9" t="s">
        <v>267</v>
      </c>
      <c r="M320" s="12">
        <f t="shared" si="20"/>
        <v>256</v>
      </c>
      <c r="N320" s="13">
        <f t="shared" si="21"/>
        <v>691.5</v>
      </c>
      <c r="O320" s="14">
        <f t="shared" si="22"/>
        <v>947.5</v>
      </c>
      <c r="P320" s="15">
        <f t="shared" si="23"/>
        <v>1.1415662650602409</v>
      </c>
    </row>
    <row r="321" spans="1:16" ht="15.75" hidden="1" customHeight="1" x14ac:dyDescent="0.3">
      <c r="A321" s="8" t="s">
        <v>58</v>
      </c>
      <c r="B321" s="9" t="s">
        <v>266</v>
      </c>
      <c r="C321" s="9" t="s">
        <v>111</v>
      </c>
      <c r="D321" s="9" t="s">
        <v>189</v>
      </c>
      <c r="E321" s="10">
        <v>3</v>
      </c>
      <c r="F321" s="9" t="s">
        <v>190</v>
      </c>
      <c r="G321" s="11">
        <v>0</v>
      </c>
      <c r="H321" s="9" t="s">
        <v>84</v>
      </c>
      <c r="I321" s="9" t="s">
        <v>85</v>
      </c>
      <c r="J321" s="9"/>
      <c r="K321" s="9"/>
      <c r="L321" s="9" t="s">
        <v>267</v>
      </c>
      <c r="M321" s="12">
        <f t="shared" si="20"/>
        <v>256</v>
      </c>
      <c r="N321" s="13">
        <f t="shared" si="21"/>
        <v>691.5</v>
      </c>
      <c r="O321" s="14">
        <f t="shared" si="22"/>
        <v>947.5</v>
      </c>
      <c r="P321" s="15">
        <f t="shared" si="23"/>
        <v>1.1415662650602409</v>
      </c>
    </row>
    <row r="322" spans="1:16" ht="15.75" hidden="1" customHeight="1" x14ac:dyDescent="0.3">
      <c r="A322" s="8" t="s">
        <v>58</v>
      </c>
      <c r="B322" s="9" t="s">
        <v>266</v>
      </c>
      <c r="C322" s="9" t="s">
        <v>192</v>
      </c>
      <c r="D322" s="9" t="s">
        <v>189</v>
      </c>
      <c r="E322" s="10">
        <v>8</v>
      </c>
      <c r="F322" s="9" t="s">
        <v>190</v>
      </c>
      <c r="G322" s="10">
        <v>8</v>
      </c>
      <c r="H322" s="9" t="s">
        <v>84</v>
      </c>
      <c r="I322" s="9" t="s">
        <v>85</v>
      </c>
      <c r="J322" s="9"/>
      <c r="K322" s="9"/>
      <c r="L322" s="9" t="s">
        <v>267</v>
      </c>
      <c r="M322" s="12">
        <f t="shared" si="20"/>
        <v>256</v>
      </c>
      <c r="N322" s="13">
        <f t="shared" si="21"/>
        <v>691.5</v>
      </c>
      <c r="O322" s="14">
        <f t="shared" si="22"/>
        <v>947.5</v>
      </c>
      <c r="P322" s="15">
        <f t="shared" si="23"/>
        <v>1.1415662650602409</v>
      </c>
    </row>
    <row r="323" spans="1:16" ht="15.75" hidden="1" customHeight="1" x14ac:dyDescent="0.3">
      <c r="A323" s="17" t="s">
        <v>58</v>
      </c>
      <c r="B323" s="9" t="s">
        <v>266</v>
      </c>
      <c r="C323" s="9" t="s">
        <v>80</v>
      </c>
      <c r="D323" s="9" t="s">
        <v>189</v>
      </c>
      <c r="E323" s="10">
        <v>4</v>
      </c>
      <c r="F323" s="9" t="s">
        <v>190</v>
      </c>
      <c r="G323" s="11">
        <v>0</v>
      </c>
      <c r="H323" s="9" t="s">
        <v>84</v>
      </c>
      <c r="I323" s="9" t="s">
        <v>268</v>
      </c>
      <c r="J323" s="9"/>
      <c r="K323" s="9"/>
      <c r="L323" s="9" t="s">
        <v>89</v>
      </c>
      <c r="M323" s="12">
        <f t="shared" si="20"/>
        <v>9</v>
      </c>
      <c r="N323" s="13">
        <f t="shared" si="21"/>
        <v>77</v>
      </c>
      <c r="O323" s="14">
        <f t="shared" si="22"/>
        <v>86</v>
      </c>
      <c r="P323" s="15">
        <f t="shared" si="23"/>
        <v>0.10361445783132531</v>
      </c>
    </row>
    <row r="324" spans="1:16" ht="15.75" hidden="1" customHeight="1" x14ac:dyDescent="0.3">
      <c r="A324" s="8" t="s">
        <v>58</v>
      </c>
      <c r="B324" s="9" t="s">
        <v>269</v>
      </c>
      <c r="C324" s="9" t="s">
        <v>73</v>
      </c>
      <c r="D324" s="9" t="s">
        <v>119</v>
      </c>
      <c r="E324" s="10">
        <v>24</v>
      </c>
      <c r="F324" s="9" t="s">
        <v>121</v>
      </c>
      <c r="G324" s="10">
        <v>24</v>
      </c>
      <c r="H324" s="9" t="s">
        <v>154</v>
      </c>
      <c r="I324" s="9" t="s">
        <v>155</v>
      </c>
      <c r="J324" s="9"/>
      <c r="K324" s="9"/>
      <c r="L324" s="9" t="s">
        <v>270</v>
      </c>
      <c r="M324" s="12">
        <f t="shared" si="20"/>
        <v>302</v>
      </c>
      <c r="N324" s="13">
        <f t="shared" si="21"/>
        <v>124.5</v>
      </c>
      <c r="O324" s="14">
        <f t="shared" si="22"/>
        <v>426.5</v>
      </c>
      <c r="P324" s="15">
        <f t="shared" si="23"/>
        <v>0.51385542168674703</v>
      </c>
    </row>
    <row r="325" spans="1:16" ht="15.75" hidden="1" customHeight="1" x14ac:dyDescent="0.3">
      <c r="A325" s="8" t="s">
        <v>58</v>
      </c>
      <c r="B325" s="9" t="s">
        <v>269</v>
      </c>
      <c r="C325" s="9" t="s">
        <v>87</v>
      </c>
      <c r="D325" s="9" t="s">
        <v>119</v>
      </c>
      <c r="E325" s="10">
        <v>6</v>
      </c>
      <c r="F325" s="9" t="s">
        <v>121</v>
      </c>
      <c r="G325" s="11">
        <v>0</v>
      </c>
      <c r="H325" s="9" t="s">
        <v>154</v>
      </c>
      <c r="I325" s="9" t="s">
        <v>155</v>
      </c>
      <c r="J325" s="9"/>
      <c r="K325" s="9"/>
      <c r="L325" s="9" t="s">
        <v>270</v>
      </c>
      <c r="M325" s="12">
        <f t="shared" si="20"/>
        <v>302</v>
      </c>
      <c r="N325" s="13">
        <f t="shared" si="21"/>
        <v>124.5</v>
      </c>
      <c r="O325" s="14">
        <f t="shared" si="22"/>
        <v>426.5</v>
      </c>
      <c r="P325" s="15">
        <f t="shared" si="23"/>
        <v>0.51385542168674703</v>
      </c>
    </row>
    <row r="326" spans="1:16" ht="15.75" hidden="1" customHeight="1" x14ac:dyDescent="0.3">
      <c r="A326" s="8" t="s">
        <v>58</v>
      </c>
      <c r="B326" s="9" t="s">
        <v>269</v>
      </c>
      <c r="C326" s="9" t="s">
        <v>79</v>
      </c>
      <c r="D326" s="9" t="s">
        <v>119</v>
      </c>
      <c r="E326" s="10">
        <v>28</v>
      </c>
      <c r="F326" s="9" t="s">
        <v>121</v>
      </c>
      <c r="G326" s="10">
        <v>28</v>
      </c>
      <c r="H326" s="9" t="s">
        <v>154</v>
      </c>
      <c r="I326" s="9" t="s">
        <v>155</v>
      </c>
      <c r="J326" s="9"/>
      <c r="K326" s="9"/>
      <c r="L326" s="9" t="s">
        <v>270</v>
      </c>
      <c r="M326" s="12">
        <f t="shared" si="20"/>
        <v>302</v>
      </c>
      <c r="N326" s="13">
        <f t="shared" si="21"/>
        <v>124.5</v>
      </c>
      <c r="O326" s="14">
        <f t="shared" si="22"/>
        <v>426.5</v>
      </c>
      <c r="P326" s="15">
        <f t="shared" si="23"/>
        <v>0.51385542168674703</v>
      </c>
    </row>
    <row r="327" spans="1:16" ht="15.75" hidden="1" customHeight="1" x14ac:dyDescent="0.3">
      <c r="A327" s="8" t="s">
        <v>58</v>
      </c>
      <c r="B327" s="9" t="s">
        <v>269</v>
      </c>
      <c r="C327" s="9" t="s">
        <v>100</v>
      </c>
      <c r="D327" s="9" t="s">
        <v>119</v>
      </c>
      <c r="E327" s="10">
        <v>16</v>
      </c>
      <c r="F327" s="9" t="s">
        <v>121</v>
      </c>
      <c r="G327" s="10">
        <v>8</v>
      </c>
      <c r="H327" s="9" t="s">
        <v>154</v>
      </c>
      <c r="I327" s="9" t="s">
        <v>155</v>
      </c>
      <c r="J327" s="9"/>
      <c r="K327" s="9"/>
      <c r="L327" s="9" t="s">
        <v>270</v>
      </c>
      <c r="M327" s="12">
        <f t="shared" si="20"/>
        <v>302</v>
      </c>
      <c r="N327" s="13">
        <f t="shared" si="21"/>
        <v>124.5</v>
      </c>
      <c r="O327" s="14">
        <f t="shared" si="22"/>
        <v>426.5</v>
      </c>
      <c r="P327" s="15">
        <f t="shared" si="23"/>
        <v>0.51385542168674703</v>
      </c>
    </row>
    <row r="328" spans="1:16" ht="15.75" hidden="1" customHeight="1" x14ac:dyDescent="0.3">
      <c r="A328" s="8" t="s">
        <v>58</v>
      </c>
      <c r="B328" s="9" t="s">
        <v>269</v>
      </c>
      <c r="C328" s="9" t="s">
        <v>80</v>
      </c>
      <c r="D328" s="9" t="s">
        <v>119</v>
      </c>
      <c r="E328" s="10">
        <v>1</v>
      </c>
      <c r="F328" s="9" t="s">
        <v>121</v>
      </c>
      <c r="G328" s="11">
        <v>0</v>
      </c>
      <c r="H328" s="9" t="s">
        <v>154</v>
      </c>
      <c r="I328" s="9" t="s">
        <v>155</v>
      </c>
      <c r="J328" s="9"/>
      <c r="K328" s="9"/>
      <c r="L328" s="9" t="s">
        <v>270</v>
      </c>
      <c r="M328" s="12">
        <f t="shared" si="20"/>
        <v>302</v>
      </c>
      <c r="N328" s="13">
        <f t="shared" si="21"/>
        <v>124.5</v>
      </c>
      <c r="O328" s="14">
        <f t="shared" si="22"/>
        <v>426.5</v>
      </c>
      <c r="P328" s="15">
        <f t="shared" si="23"/>
        <v>0.51385542168674703</v>
      </c>
    </row>
    <row r="329" spans="1:16" ht="15.75" hidden="1" customHeight="1" x14ac:dyDescent="0.3">
      <c r="A329" s="8" t="s">
        <v>58</v>
      </c>
      <c r="B329" s="9" t="s">
        <v>271</v>
      </c>
      <c r="C329" s="9" t="s">
        <v>73</v>
      </c>
      <c r="D329" s="9" t="s">
        <v>119</v>
      </c>
      <c r="E329" s="10">
        <v>24</v>
      </c>
      <c r="F329" s="9" t="s">
        <v>121</v>
      </c>
      <c r="G329" s="10">
        <v>24</v>
      </c>
      <c r="H329" s="9" t="s">
        <v>272</v>
      </c>
      <c r="I329" s="9" t="s">
        <v>273</v>
      </c>
      <c r="J329" s="9" t="s">
        <v>8</v>
      </c>
      <c r="K329" s="9"/>
      <c r="L329" s="9"/>
      <c r="M329" s="12">
        <f t="shared" si="20"/>
        <v>552</v>
      </c>
      <c r="N329" s="13">
        <f t="shared" si="21"/>
        <v>171</v>
      </c>
      <c r="O329" s="14">
        <f t="shared" si="22"/>
        <v>723</v>
      </c>
      <c r="P329" s="15">
        <f t="shared" si="23"/>
        <v>0.87108433734939761</v>
      </c>
    </row>
    <row r="330" spans="1:16" ht="15.75" hidden="1" customHeight="1" x14ac:dyDescent="0.3">
      <c r="A330" s="8" t="s">
        <v>58</v>
      </c>
      <c r="B330" s="9" t="s">
        <v>271</v>
      </c>
      <c r="C330" s="9" t="s">
        <v>87</v>
      </c>
      <c r="D330" s="9" t="s">
        <v>119</v>
      </c>
      <c r="E330" s="10">
        <v>6</v>
      </c>
      <c r="F330" s="9" t="s">
        <v>121</v>
      </c>
      <c r="G330" s="11">
        <v>0</v>
      </c>
      <c r="H330" s="9" t="s">
        <v>272</v>
      </c>
      <c r="I330" s="9" t="s">
        <v>273</v>
      </c>
      <c r="J330" s="9" t="s">
        <v>8</v>
      </c>
      <c r="K330" s="9"/>
      <c r="L330" s="9"/>
      <c r="M330" s="12">
        <f t="shared" si="20"/>
        <v>552</v>
      </c>
      <c r="N330" s="13">
        <f t="shared" si="21"/>
        <v>171</v>
      </c>
      <c r="O330" s="14">
        <f t="shared" si="22"/>
        <v>723</v>
      </c>
      <c r="P330" s="15">
        <f t="shared" si="23"/>
        <v>0.87108433734939761</v>
      </c>
    </row>
    <row r="331" spans="1:16" ht="15.75" hidden="1" customHeight="1" x14ac:dyDescent="0.3">
      <c r="A331" s="8" t="s">
        <v>58</v>
      </c>
      <c r="B331" s="9" t="s">
        <v>271</v>
      </c>
      <c r="C331" s="9" t="s">
        <v>79</v>
      </c>
      <c r="D331" s="9" t="s">
        <v>119</v>
      </c>
      <c r="E331" s="10">
        <v>12</v>
      </c>
      <c r="F331" s="9" t="s">
        <v>121</v>
      </c>
      <c r="G331" s="10">
        <v>12</v>
      </c>
      <c r="H331" s="9" t="s">
        <v>272</v>
      </c>
      <c r="I331" s="9" t="s">
        <v>273</v>
      </c>
      <c r="J331" s="9" t="s">
        <v>8</v>
      </c>
      <c r="K331" s="9"/>
      <c r="L331" s="9"/>
      <c r="M331" s="12">
        <f t="shared" si="20"/>
        <v>552</v>
      </c>
      <c r="N331" s="13">
        <f t="shared" si="21"/>
        <v>171</v>
      </c>
      <c r="O331" s="14">
        <f t="shared" si="22"/>
        <v>723</v>
      </c>
      <c r="P331" s="15">
        <f t="shared" si="23"/>
        <v>0.87108433734939761</v>
      </c>
    </row>
    <row r="332" spans="1:16" ht="15.75" hidden="1" customHeight="1" x14ac:dyDescent="0.3">
      <c r="A332" s="8" t="s">
        <v>58</v>
      </c>
      <c r="B332" s="9" t="s">
        <v>271</v>
      </c>
      <c r="C332" s="9" t="s">
        <v>100</v>
      </c>
      <c r="D332" s="9" t="s">
        <v>119</v>
      </c>
      <c r="E332" s="10">
        <v>48</v>
      </c>
      <c r="F332" s="9" t="s">
        <v>121</v>
      </c>
      <c r="G332" s="10">
        <v>24</v>
      </c>
      <c r="H332" s="9" t="s">
        <v>272</v>
      </c>
      <c r="I332" s="9" t="s">
        <v>273</v>
      </c>
      <c r="J332" s="9" t="s">
        <v>8</v>
      </c>
      <c r="K332" s="9"/>
      <c r="L332" s="9"/>
      <c r="M332" s="12">
        <f t="shared" si="20"/>
        <v>552</v>
      </c>
      <c r="N332" s="13">
        <f t="shared" si="21"/>
        <v>171</v>
      </c>
      <c r="O332" s="14">
        <f t="shared" si="22"/>
        <v>723</v>
      </c>
      <c r="P332" s="15">
        <f t="shared" si="23"/>
        <v>0.87108433734939761</v>
      </c>
    </row>
    <row r="333" spans="1:16" ht="15.75" hidden="1" customHeight="1" x14ac:dyDescent="0.3">
      <c r="A333" s="8" t="s">
        <v>58</v>
      </c>
      <c r="B333" s="9" t="s">
        <v>271</v>
      </c>
      <c r="C333" s="9" t="s">
        <v>80</v>
      </c>
      <c r="D333" s="9" t="s">
        <v>119</v>
      </c>
      <c r="E333" s="10">
        <v>1</v>
      </c>
      <c r="F333" s="9" t="s">
        <v>121</v>
      </c>
      <c r="G333" s="11">
        <v>0</v>
      </c>
      <c r="H333" s="9" t="s">
        <v>272</v>
      </c>
      <c r="I333" s="9" t="s">
        <v>273</v>
      </c>
      <c r="J333" s="9" t="s">
        <v>8</v>
      </c>
      <c r="K333" s="9"/>
      <c r="L333" s="9"/>
      <c r="M333" s="12">
        <f t="shared" si="20"/>
        <v>552</v>
      </c>
      <c r="N333" s="13">
        <f t="shared" si="21"/>
        <v>171</v>
      </c>
      <c r="O333" s="14">
        <f t="shared" si="22"/>
        <v>723</v>
      </c>
      <c r="P333" s="15">
        <f t="shared" si="23"/>
        <v>0.87108433734939761</v>
      </c>
    </row>
    <row r="334" spans="1:16" ht="15.75" hidden="1" customHeight="1" x14ac:dyDescent="0.3">
      <c r="A334" s="8" t="s">
        <v>58</v>
      </c>
      <c r="B334" s="9" t="s">
        <v>274</v>
      </c>
      <c r="C334" s="9" t="s">
        <v>73</v>
      </c>
      <c r="D334" s="9" t="s">
        <v>119</v>
      </c>
      <c r="E334" s="10">
        <v>28</v>
      </c>
      <c r="F334" s="9" t="s">
        <v>121</v>
      </c>
      <c r="G334" s="10">
        <v>28</v>
      </c>
      <c r="H334" s="9" t="s">
        <v>65</v>
      </c>
      <c r="I334" s="9" t="s">
        <v>66</v>
      </c>
      <c r="J334" s="9" t="s">
        <v>4</v>
      </c>
      <c r="K334" s="9"/>
      <c r="L334" s="9" t="s">
        <v>264</v>
      </c>
      <c r="M334" s="12">
        <f t="shared" si="20"/>
        <v>291</v>
      </c>
      <c r="N334" s="13">
        <f t="shared" si="21"/>
        <v>650.5</v>
      </c>
      <c r="O334" s="14">
        <f t="shared" si="22"/>
        <v>941.5</v>
      </c>
      <c r="P334" s="15">
        <f t="shared" si="23"/>
        <v>1.1343373493975903</v>
      </c>
    </row>
    <row r="335" spans="1:16" ht="15.75" hidden="1" customHeight="1" x14ac:dyDescent="0.3">
      <c r="A335" s="8" t="s">
        <v>58</v>
      </c>
      <c r="B335" s="9" t="s">
        <v>274</v>
      </c>
      <c r="C335" s="9" t="s">
        <v>87</v>
      </c>
      <c r="D335" s="9" t="s">
        <v>119</v>
      </c>
      <c r="E335" s="10">
        <v>6</v>
      </c>
      <c r="F335" s="9" t="s">
        <v>121</v>
      </c>
      <c r="G335" s="11">
        <v>0</v>
      </c>
      <c r="H335" s="9" t="s">
        <v>65</v>
      </c>
      <c r="I335" s="9" t="s">
        <v>66</v>
      </c>
      <c r="J335" s="9" t="s">
        <v>4</v>
      </c>
      <c r="K335" s="9"/>
      <c r="L335" s="9" t="s">
        <v>264</v>
      </c>
      <c r="M335" s="12">
        <f t="shared" si="20"/>
        <v>291</v>
      </c>
      <c r="N335" s="13">
        <f t="shared" si="21"/>
        <v>650.5</v>
      </c>
      <c r="O335" s="14">
        <f t="shared" si="22"/>
        <v>941.5</v>
      </c>
      <c r="P335" s="15">
        <f t="shared" si="23"/>
        <v>1.1343373493975903</v>
      </c>
    </row>
    <row r="336" spans="1:16" ht="15.75" hidden="1" customHeight="1" x14ac:dyDescent="0.3">
      <c r="A336" s="8" t="s">
        <v>58</v>
      </c>
      <c r="B336" s="9" t="s">
        <v>274</v>
      </c>
      <c r="C336" s="9" t="s">
        <v>79</v>
      </c>
      <c r="D336" s="9" t="s">
        <v>119</v>
      </c>
      <c r="E336" s="10">
        <v>32</v>
      </c>
      <c r="F336" s="9" t="s">
        <v>121</v>
      </c>
      <c r="G336" s="10">
        <v>32</v>
      </c>
      <c r="H336" s="9" t="s">
        <v>65</v>
      </c>
      <c r="I336" s="9" t="s">
        <v>66</v>
      </c>
      <c r="J336" s="9" t="s">
        <v>4</v>
      </c>
      <c r="K336" s="9"/>
      <c r="L336" s="9" t="s">
        <v>264</v>
      </c>
      <c r="M336" s="12">
        <f t="shared" si="20"/>
        <v>291</v>
      </c>
      <c r="N336" s="13">
        <f t="shared" si="21"/>
        <v>650.5</v>
      </c>
      <c r="O336" s="14">
        <f t="shared" si="22"/>
        <v>941.5</v>
      </c>
      <c r="P336" s="15">
        <f t="shared" si="23"/>
        <v>1.1343373493975903</v>
      </c>
    </row>
    <row r="337" spans="1:16" ht="15.75" hidden="1" customHeight="1" x14ac:dyDescent="0.3">
      <c r="A337" s="8" t="s">
        <v>58</v>
      </c>
      <c r="B337" s="9" t="s">
        <v>274</v>
      </c>
      <c r="C337" s="9" t="s">
        <v>80</v>
      </c>
      <c r="D337" s="9" t="s">
        <v>119</v>
      </c>
      <c r="E337" s="10">
        <v>1</v>
      </c>
      <c r="F337" s="9" t="s">
        <v>121</v>
      </c>
      <c r="G337" s="11">
        <v>0</v>
      </c>
      <c r="H337" s="9" t="s">
        <v>65</v>
      </c>
      <c r="I337" s="9" t="s">
        <v>66</v>
      </c>
      <c r="J337" s="9" t="s">
        <v>4</v>
      </c>
      <c r="K337" s="9"/>
      <c r="L337" s="9" t="s">
        <v>264</v>
      </c>
      <c r="M337" s="12">
        <f t="shared" si="20"/>
        <v>291</v>
      </c>
      <c r="N337" s="13">
        <f t="shared" si="21"/>
        <v>650.5</v>
      </c>
      <c r="O337" s="14">
        <f t="shared" si="22"/>
        <v>941.5</v>
      </c>
      <c r="P337" s="15">
        <f t="shared" si="23"/>
        <v>1.1343373493975903</v>
      </c>
    </row>
    <row r="338" spans="1:16" ht="15.75" hidden="1" customHeight="1" x14ac:dyDescent="0.3">
      <c r="A338" s="8" t="s">
        <v>58</v>
      </c>
      <c r="B338" s="9" t="s">
        <v>275</v>
      </c>
      <c r="C338" s="9" t="s">
        <v>73</v>
      </c>
      <c r="D338" s="9" t="s">
        <v>276</v>
      </c>
      <c r="E338" s="10">
        <v>24</v>
      </c>
      <c r="F338" s="9" t="s">
        <v>277</v>
      </c>
      <c r="G338" s="10">
        <v>24</v>
      </c>
      <c r="H338" s="9" t="s">
        <v>200</v>
      </c>
      <c r="I338" s="9" t="s">
        <v>201</v>
      </c>
      <c r="J338" s="9" t="s">
        <v>4</v>
      </c>
      <c r="K338" s="9"/>
      <c r="L338" s="9" t="s">
        <v>202</v>
      </c>
      <c r="M338" s="12">
        <f t="shared" si="20"/>
        <v>687</v>
      </c>
      <c r="N338" s="13">
        <f t="shared" si="21"/>
        <v>461.5</v>
      </c>
      <c r="O338" s="14">
        <f t="shared" si="22"/>
        <v>1148.5</v>
      </c>
      <c r="P338" s="15">
        <f t="shared" si="23"/>
        <v>1.3837349397590362</v>
      </c>
    </row>
    <row r="339" spans="1:16" ht="15.75" hidden="1" customHeight="1" x14ac:dyDescent="0.3">
      <c r="A339" s="8" t="s">
        <v>58</v>
      </c>
      <c r="B339" s="9" t="s">
        <v>275</v>
      </c>
      <c r="C339" s="9" t="s">
        <v>123</v>
      </c>
      <c r="D339" s="9" t="s">
        <v>276</v>
      </c>
      <c r="E339" s="10">
        <v>54</v>
      </c>
      <c r="F339" s="9" t="s">
        <v>277</v>
      </c>
      <c r="G339" s="11">
        <v>0</v>
      </c>
      <c r="H339" s="9" t="s">
        <v>200</v>
      </c>
      <c r="I339" s="9" t="s">
        <v>201</v>
      </c>
      <c r="J339" s="9" t="s">
        <v>4</v>
      </c>
      <c r="K339" s="9"/>
      <c r="L339" s="9" t="s">
        <v>202</v>
      </c>
      <c r="M339" s="12">
        <f t="shared" si="20"/>
        <v>687</v>
      </c>
      <c r="N339" s="13">
        <f t="shared" si="21"/>
        <v>461.5</v>
      </c>
      <c r="O339" s="14">
        <f t="shared" si="22"/>
        <v>1148.5</v>
      </c>
      <c r="P339" s="15">
        <f t="shared" si="23"/>
        <v>1.3837349397590362</v>
      </c>
    </row>
    <row r="340" spans="1:16" ht="15.75" hidden="1" customHeight="1" x14ac:dyDescent="0.3">
      <c r="A340" s="8" t="s">
        <v>58</v>
      </c>
      <c r="B340" s="9" t="s">
        <v>275</v>
      </c>
      <c r="C340" s="9" t="s">
        <v>79</v>
      </c>
      <c r="D340" s="9" t="s">
        <v>276</v>
      </c>
      <c r="E340" s="10">
        <v>26</v>
      </c>
      <c r="F340" s="9" t="s">
        <v>277</v>
      </c>
      <c r="G340" s="10">
        <v>26</v>
      </c>
      <c r="H340" s="9" t="s">
        <v>200</v>
      </c>
      <c r="I340" s="9" t="s">
        <v>201</v>
      </c>
      <c r="J340" s="9" t="s">
        <v>4</v>
      </c>
      <c r="K340" s="9"/>
      <c r="L340" s="9" t="s">
        <v>202</v>
      </c>
      <c r="M340" s="12">
        <f t="shared" si="20"/>
        <v>687</v>
      </c>
      <c r="N340" s="13">
        <f t="shared" si="21"/>
        <v>461.5</v>
      </c>
      <c r="O340" s="14">
        <f t="shared" si="22"/>
        <v>1148.5</v>
      </c>
      <c r="P340" s="15">
        <f t="shared" si="23"/>
        <v>1.3837349397590362</v>
      </c>
    </row>
    <row r="341" spans="1:16" ht="15.75" hidden="1" customHeight="1" x14ac:dyDescent="0.3">
      <c r="A341" s="8" t="s">
        <v>58</v>
      </c>
      <c r="B341" s="9" t="s">
        <v>275</v>
      </c>
      <c r="C341" s="9" t="s">
        <v>100</v>
      </c>
      <c r="D341" s="9" t="s">
        <v>276</v>
      </c>
      <c r="E341" s="10">
        <v>32</v>
      </c>
      <c r="F341" s="9" t="s">
        <v>277</v>
      </c>
      <c r="G341" s="10">
        <v>16</v>
      </c>
      <c r="H341" s="9" t="s">
        <v>200</v>
      </c>
      <c r="I341" s="9" t="s">
        <v>201</v>
      </c>
      <c r="J341" s="9" t="s">
        <v>4</v>
      </c>
      <c r="K341" s="9"/>
      <c r="L341" s="9" t="s">
        <v>202</v>
      </c>
      <c r="M341" s="12">
        <f t="shared" si="20"/>
        <v>687</v>
      </c>
      <c r="N341" s="13">
        <f t="shared" si="21"/>
        <v>461.5</v>
      </c>
      <c r="O341" s="14">
        <f t="shared" si="22"/>
        <v>1148.5</v>
      </c>
      <c r="P341" s="15">
        <f t="shared" si="23"/>
        <v>1.3837349397590362</v>
      </c>
    </row>
    <row r="342" spans="1:16" ht="15.75" hidden="1" customHeight="1" x14ac:dyDescent="0.3">
      <c r="A342" s="8" t="s">
        <v>58</v>
      </c>
      <c r="B342" s="9" t="s">
        <v>275</v>
      </c>
      <c r="C342" s="9" t="s">
        <v>111</v>
      </c>
      <c r="D342" s="9" t="s">
        <v>276</v>
      </c>
      <c r="E342" s="10">
        <v>9</v>
      </c>
      <c r="F342" s="9" t="s">
        <v>277</v>
      </c>
      <c r="G342" s="11">
        <v>0</v>
      </c>
      <c r="H342" s="9" t="s">
        <v>200</v>
      </c>
      <c r="I342" s="9" t="s">
        <v>201</v>
      </c>
      <c r="J342" s="9" t="s">
        <v>4</v>
      </c>
      <c r="K342" s="9"/>
      <c r="L342" s="9" t="s">
        <v>202</v>
      </c>
      <c r="M342" s="12">
        <f t="shared" si="20"/>
        <v>687</v>
      </c>
      <c r="N342" s="13">
        <f t="shared" si="21"/>
        <v>461.5</v>
      </c>
      <c r="O342" s="14">
        <f t="shared" si="22"/>
        <v>1148.5</v>
      </c>
      <c r="P342" s="15">
        <f t="shared" si="23"/>
        <v>1.3837349397590362</v>
      </c>
    </row>
    <row r="343" spans="1:16" ht="15.75" hidden="1" customHeight="1" x14ac:dyDescent="0.3">
      <c r="A343" s="8" t="s">
        <v>58</v>
      </c>
      <c r="B343" s="9" t="s">
        <v>275</v>
      </c>
      <c r="C343" s="9" t="s">
        <v>80</v>
      </c>
      <c r="D343" s="9" t="s">
        <v>276</v>
      </c>
      <c r="E343" s="10">
        <v>3</v>
      </c>
      <c r="F343" s="9" t="s">
        <v>277</v>
      </c>
      <c r="G343" s="11">
        <v>0</v>
      </c>
      <c r="H343" s="9" t="s">
        <v>200</v>
      </c>
      <c r="I343" s="9" t="s">
        <v>201</v>
      </c>
      <c r="J343" s="9" t="s">
        <v>4</v>
      </c>
      <c r="K343" s="9"/>
      <c r="L343" s="9" t="s">
        <v>202</v>
      </c>
      <c r="M343" s="12">
        <f t="shared" si="20"/>
        <v>687</v>
      </c>
      <c r="N343" s="13">
        <f t="shared" si="21"/>
        <v>461.5</v>
      </c>
      <c r="O343" s="14">
        <f t="shared" si="22"/>
        <v>1148.5</v>
      </c>
      <c r="P343" s="15">
        <f t="shared" si="23"/>
        <v>1.3837349397590362</v>
      </c>
    </row>
    <row r="344" spans="1:16" ht="15.75" hidden="1" customHeight="1" x14ac:dyDescent="0.3">
      <c r="A344" s="8" t="s">
        <v>58</v>
      </c>
      <c r="B344" s="9" t="s">
        <v>278</v>
      </c>
      <c r="C344" s="9" t="s">
        <v>87</v>
      </c>
      <c r="D344" s="9" t="s">
        <v>237</v>
      </c>
      <c r="E344" s="10">
        <v>2</v>
      </c>
      <c r="F344" s="9" t="s">
        <v>279</v>
      </c>
      <c r="G344" s="11">
        <v>0</v>
      </c>
      <c r="H344" s="9" t="s">
        <v>63</v>
      </c>
      <c r="I344" s="9" t="s">
        <v>64</v>
      </c>
      <c r="J344" s="9" t="s">
        <v>4</v>
      </c>
      <c r="K344" s="9"/>
      <c r="L344" s="9" t="s">
        <v>122</v>
      </c>
      <c r="M344" s="12">
        <f t="shared" si="20"/>
        <v>284</v>
      </c>
      <c r="N344" s="13">
        <f t="shared" si="21"/>
        <v>140</v>
      </c>
      <c r="O344" s="14">
        <f t="shared" si="22"/>
        <v>424</v>
      </c>
      <c r="P344" s="15">
        <f t="shared" si="23"/>
        <v>0.51084337349397591</v>
      </c>
    </row>
    <row r="345" spans="1:16" ht="15.75" hidden="1" customHeight="1" x14ac:dyDescent="0.3">
      <c r="A345" s="8" t="s">
        <v>58</v>
      </c>
      <c r="B345" s="9" t="s">
        <v>278</v>
      </c>
      <c r="C345" s="9" t="s">
        <v>79</v>
      </c>
      <c r="D345" s="9" t="s">
        <v>237</v>
      </c>
      <c r="E345" s="10">
        <v>36</v>
      </c>
      <c r="F345" s="9" t="s">
        <v>279</v>
      </c>
      <c r="G345" s="10">
        <v>36</v>
      </c>
      <c r="H345" s="9" t="s">
        <v>63</v>
      </c>
      <c r="I345" s="9" t="s">
        <v>64</v>
      </c>
      <c r="J345" s="9" t="s">
        <v>4</v>
      </c>
      <c r="K345" s="9"/>
      <c r="L345" s="9" t="s">
        <v>122</v>
      </c>
      <c r="M345" s="12">
        <f t="shared" si="20"/>
        <v>284</v>
      </c>
      <c r="N345" s="13">
        <f t="shared" si="21"/>
        <v>140</v>
      </c>
      <c r="O345" s="14">
        <f t="shared" si="22"/>
        <v>424</v>
      </c>
      <c r="P345" s="15">
        <f t="shared" si="23"/>
        <v>0.51084337349397591</v>
      </c>
    </row>
    <row r="346" spans="1:16" ht="15.75" hidden="1" customHeight="1" x14ac:dyDescent="0.3">
      <c r="A346" s="8" t="s">
        <v>58</v>
      </c>
      <c r="B346" s="9" t="s">
        <v>278</v>
      </c>
      <c r="C346" s="9" t="s">
        <v>80</v>
      </c>
      <c r="D346" s="9" t="s">
        <v>237</v>
      </c>
      <c r="E346" s="10">
        <v>1</v>
      </c>
      <c r="F346" s="9" t="s">
        <v>279</v>
      </c>
      <c r="G346" s="11">
        <v>0</v>
      </c>
      <c r="H346" s="9" t="s">
        <v>63</v>
      </c>
      <c r="I346" s="9" t="s">
        <v>64</v>
      </c>
      <c r="J346" s="9" t="s">
        <v>4</v>
      </c>
      <c r="K346" s="9"/>
      <c r="L346" s="9" t="s">
        <v>122</v>
      </c>
      <c r="M346" s="12">
        <f t="shared" si="20"/>
        <v>284</v>
      </c>
      <c r="N346" s="13">
        <f t="shared" si="21"/>
        <v>140</v>
      </c>
      <c r="O346" s="14">
        <f t="shared" si="22"/>
        <v>424</v>
      </c>
      <c r="P346" s="15">
        <f t="shared" si="23"/>
        <v>0.51084337349397591</v>
      </c>
    </row>
    <row r="347" spans="1:16" ht="15.75" hidden="1" customHeight="1" x14ac:dyDescent="0.3">
      <c r="A347" s="8" t="s">
        <v>58</v>
      </c>
      <c r="B347" s="9" t="s">
        <v>280</v>
      </c>
      <c r="C347" s="9" t="s">
        <v>73</v>
      </c>
      <c r="D347" s="9" t="s">
        <v>103</v>
      </c>
      <c r="E347" s="10">
        <v>46</v>
      </c>
      <c r="F347" s="9" t="s">
        <v>107</v>
      </c>
      <c r="G347" s="10">
        <v>46</v>
      </c>
      <c r="H347" s="9" t="s">
        <v>179</v>
      </c>
      <c r="I347" s="9" t="s">
        <v>180</v>
      </c>
      <c r="J347" s="9" t="s">
        <v>4</v>
      </c>
      <c r="K347" s="9"/>
      <c r="L347" s="9" t="s">
        <v>181</v>
      </c>
      <c r="M347" s="12">
        <f t="shared" si="20"/>
        <v>703</v>
      </c>
      <c r="N347" s="13">
        <f t="shared" si="21"/>
        <v>201.5</v>
      </c>
      <c r="O347" s="14">
        <f t="shared" si="22"/>
        <v>904.5</v>
      </c>
      <c r="P347" s="15">
        <f t="shared" si="23"/>
        <v>1.0897590361445784</v>
      </c>
    </row>
    <row r="348" spans="1:16" ht="15.75" hidden="1" customHeight="1" x14ac:dyDescent="0.3">
      <c r="A348" s="8" t="s">
        <v>58</v>
      </c>
      <c r="B348" s="9" t="s">
        <v>280</v>
      </c>
      <c r="C348" s="9" t="s">
        <v>123</v>
      </c>
      <c r="D348" s="9" t="s">
        <v>103</v>
      </c>
      <c r="E348" s="10">
        <v>48</v>
      </c>
      <c r="F348" s="9" t="s">
        <v>107</v>
      </c>
      <c r="G348" s="11">
        <v>0</v>
      </c>
      <c r="H348" s="9" t="s">
        <v>179</v>
      </c>
      <c r="I348" s="9" t="s">
        <v>180</v>
      </c>
      <c r="J348" s="9" t="s">
        <v>4</v>
      </c>
      <c r="K348" s="9"/>
      <c r="L348" s="9"/>
      <c r="M348" s="12">
        <f t="shared" si="20"/>
        <v>703</v>
      </c>
      <c r="N348" s="13">
        <f t="shared" si="21"/>
        <v>201.5</v>
      </c>
      <c r="O348" s="14">
        <f t="shared" si="22"/>
        <v>904.5</v>
      </c>
      <c r="P348" s="15">
        <f t="shared" si="23"/>
        <v>1.0897590361445784</v>
      </c>
    </row>
    <row r="349" spans="1:16" ht="15.75" hidden="1" customHeight="1" x14ac:dyDescent="0.3">
      <c r="A349" s="8" t="s">
        <v>58</v>
      </c>
      <c r="B349" s="9" t="s">
        <v>280</v>
      </c>
      <c r="C349" s="9" t="s">
        <v>79</v>
      </c>
      <c r="D349" s="9" t="s">
        <v>103</v>
      </c>
      <c r="E349" s="10">
        <v>80</v>
      </c>
      <c r="F349" s="9" t="s">
        <v>107</v>
      </c>
      <c r="G349" s="10">
        <v>80</v>
      </c>
      <c r="H349" s="9" t="s">
        <v>179</v>
      </c>
      <c r="I349" s="9" t="s">
        <v>180</v>
      </c>
      <c r="J349" s="9" t="s">
        <v>4</v>
      </c>
      <c r="K349" s="9"/>
      <c r="L349" s="9" t="s">
        <v>181</v>
      </c>
      <c r="M349" s="12">
        <f t="shared" si="20"/>
        <v>703</v>
      </c>
      <c r="N349" s="13">
        <f t="shared" si="21"/>
        <v>201.5</v>
      </c>
      <c r="O349" s="14">
        <f t="shared" si="22"/>
        <v>904.5</v>
      </c>
      <c r="P349" s="15">
        <f t="shared" si="23"/>
        <v>1.0897590361445784</v>
      </c>
    </row>
    <row r="350" spans="1:16" ht="15.75" hidden="1" customHeight="1" x14ac:dyDescent="0.3">
      <c r="A350" s="8" t="s">
        <v>58</v>
      </c>
      <c r="B350" s="9" t="s">
        <v>280</v>
      </c>
      <c r="C350" s="9" t="s">
        <v>111</v>
      </c>
      <c r="D350" s="9" t="s">
        <v>103</v>
      </c>
      <c r="E350" s="10">
        <v>8</v>
      </c>
      <c r="F350" s="9" t="s">
        <v>107</v>
      </c>
      <c r="G350" s="11">
        <v>0</v>
      </c>
      <c r="H350" s="9" t="s">
        <v>179</v>
      </c>
      <c r="I350" s="9" t="s">
        <v>180</v>
      </c>
      <c r="J350" s="9" t="s">
        <v>4</v>
      </c>
      <c r="K350" s="9"/>
      <c r="L350" s="9" t="s">
        <v>181</v>
      </c>
      <c r="M350" s="12">
        <f t="shared" si="20"/>
        <v>703</v>
      </c>
      <c r="N350" s="13">
        <f t="shared" si="21"/>
        <v>201.5</v>
      </c>
      <c r="O350" s="14">
        <f t="shared" si="22"/>
        <v>904.5</v>
      </c>
      <c r="P350" s="15">
        <f t="shared" si="23"/>
        <v>1.0897590361445784</v>
      </c>
    </row>
    <row r="351" spans="1:16" ht="15.75" hidden="1" customHeight="1" x14ac:dyDescent="0.3">
      <c r="A351" s="8" t="s">
        <v>58</v>
      </c>
      <c r="B351" s="9" t="s">
        <v>280</v>
      </c>
      <c r="C351" s="9" t="s">
        <v>80</v>
      </c>
      <c r="D351" s="9" t="s">
        <v>103</v>
      </c>
      <c r="E351" s="10">
        <v>4</v>
      </c>
      <c r="F351" s="9" t="s">
        <v>107</v>
      </c>
      <c r="G351" s="11">
        <v>0</v>
      </c>
      <c r="H351" s="9" t="s">
        <v>179</v>
      </c>
      <c r="I351" s="9" t="s">
        <v>180</v>
      </c>
      <c r="J351" s="9" t="s">
        <v>4</v>
      </c>
      <c r="K351" s="9"/>
      <c r="L351" s="9" t="s">
        <v>181</v>
      </c>
      <c r="M351" s="12">
        <f t="shared" si="20"/>
        <v>703</v>
      </c>
      <c r="N351" s="13">
        <f t="shared" si="21"/>
        <v>201.5</v>
      </c>
      <c r="O351" s="14">
        <f t="shared" si="22"/>
        <v>904.5</v>
      </c>
      <c r="P351" s="15">
        <f t="shared" si="23"/>
        <v>1.0897590361445784</v>
      </c>
    </row>
    <row r="352" spans="1:16" ht="15.75" hidden="1" customHeight="1" x14ac:dyDescent="0.3">
      <c r="A352" s="8" t="s">
        <v>58</v>
      </c>
      <c r="B352" s="9" t="s">
        <v>281</v>
      </c>
      <c r="C352" s="9" t="s">
        <v>73</v>
      </c>
      <c r="D352" s="9" t="s">
        <v>103</v>
      </c>
      <c r="E352" s="10">
        <v>24</v>
      </c>
      <c r="F352" s="9" t="s">
        <v>107</v>
      </c>
      <c r="G352" s="10">
        <v>24</v>
      </c>
      <c r="H352" s="9" t="s">
        <v>91</v>
      </c>
      <c r="I352" s="9" t="s">
        <v>92</v>
      </c>
      <c r="J352" s="9" t="s">
        <v>4</v>
      </c>
      <c r="K352" s="9"/>
      <c r="L352" s="9" t="s">
        <v>93</v>
      </c>
      <c r="M352" s="12">
        <f t="shared" si="20"/>
        <v>405</v>
      </c>
      <c r="N352" s="13">
        <f t="shared" si="21"/>
        <v>532</v>
      </c>
      <c r="O352" s="14">
        <f t="shared" si="22"/>
        <v>937</v>
      </c>
      <c r="P352" s="15">
        <f t="shared" si="23"/>
        <v>1.1289156626506025</v>
      </c>
    </row>
    <row r="353" spans="1:16" ht="15.75" hidden="1" customHeight="1" x14ac:dyDescent="0.3">
      <c r="A353" s="8" t="s">
        <v>58</v>
      </c>
      <c r="B353" s="9" t="s">
        <v>281</v>
      </c>
      <c r="C353" s="9" t="s">
        <v>73</v>
      </c>
      <c r="D353" s="9" t="s">
        <v>220</v>
      </c>
      <c r="E353" s="10">
        <v>24</v>
      </c>
      <c r="F353" s="9" t="s">
        <v>221</v>
      </c>
      <c r="G353" s="10">
        <v>24</v>
      </c>
      <c r="H353" s="9" t="s">
        <v>91</v>
      </c>
      <c r="I353" s="9" t="s">
        <v>92</v>
      </c>
      <c r="J353" s="9" t="s">
        <v>4</v>
      </c>
      <c r="K353" s="9"/>
      <c r="L353" s="9" t="s">
        <v>93</v>
      </c>
      <c r="M353" s="12">
        <f t="shared" si="20"/>
        <v>405</v>
      </c>
      <c r="N353" s="13">
        <f t="shared" si="21"/>
        <v>532</v>
      </c>
      <c r="O353" s="14">
        <f t="shared" si="22"/>
        <v>937</v>
      </c>
      <c r="P353" s="15">
        <f t="shared" si="23"/>
        <v>1.1289156626506025</v>
      </c>
    </row>
    <row r="354" spans="1:16" ht="15.75" hidden="1" customHeight="1" x14ac:dyDescent="0.3">
      <c r="A354" s="8" t="s">
        <v>58</v>
      </c>
      <c r="B354" s="9" t="s">
        <v>281</v>
      </c>
      <c r="C354" s="9" t="s">
        <v>123</v>
      </c>
      <c r="D354" s="9" t="s">
        <v>220</v>
      </c>
      <c r="E354" s="10">
        <v>33</v>
      </c>
      <c r="F354" s="9" t="s">
        <v>221</v>
      </c>
      <c r="G354" s="11">
        <v>0</v>
      </c>
      <c r="H354" s="9" t="s">
        <v>91</v>
      </c>
      <c r="I354" s="9" t="s">
        <v>92</v>
      </c>
      <c r="J354" s="9" t="s">
        <v>4</v>
      </c>
      <c r="K354" s="9"/>
      <c r="L354" s="9" t="s">
        <v>197</v>
      </c>
      <c r="M354" s="12">
        <f t="shared" ref="M354:M417" si="24">SUMIFS($E$2:$E$1130,$A$2:$A$1130,"осень",$I$2:$I$1130,I354)</f>
        <v>405</v>
      </c>
      <c r="N354" s="13">
        <f t="shared" ref="N354:N417" si="25">SUMIFS($E$2:$E$1130,$A$2:$A$1130,"весна",$I$2:$I$1130,I354)</f>
        <v>532</v>
      </c>
      <c r="O354" s="14">
        <f t="shared" ref="O354:O417" si="26">M354+N354</f>
        <v>937</v>
      </c>
      <c r="P354" s="15">
        <f t="shared" ref="P354:P417" si="27">O354/$P$1</f>
        <v>1.1289156626506025</v>
      </c>
    </row>
    <row r="355" spans="1:16" ht="15.75" hidden="1" customHeight="1" x14ac:dyDescent="0.3">
      <c r="A355" s="8" t="s">
        <v>58</v>
      </c>
      <c r="B355" s="9" t="s">
        <v>281</v>
      </c>
      <c r="C355" s="9" t="s">
        <v>79</v>
      </c>
      <c r="D355" s="9" t="s">
        <v>103</v>
      </c>
      <c r="E355" s="10">
        <v>36</v>
      </c>
      <c r="F355" s="9" t="s">
        <v>107</v>
      </c>
      <c r="G355" s="10">
        <v>36</v>
      </c>
      <c r="H355" s="9" t="s">
        <v>91</v>
      </c>
      <c r="I355" s="9" t="s">
        <v>92</v>
      </c>
      <c r="J355" s="9" t="s">
        <v>4</v>
      </c>
      <c r="K355" s="9"/>
      <c r="L355" s="9" t="s">
        <v>214</v>
      </c>
      <c r="M355" s="12">
        <f t="shared" si="24"/>
        <v>405</v>
      </c>
      <c r="N355" s="13">
        <f t="shared" si="25"/>
        <v>532</v>
      </c>
      <c r="O355" s="14">
        <f t="shared" si="26"/>
        <v>937</v>
      </c>
      <c r="P355" s="15">
        <f t="shared" si="27"/>
        <v>1.1289156626506025</v>
      </c>
    </row>
    <row r="356" spans="1:16" ht="15.75" hidden="1" customHeight="1" x14ac:dyDescent="0.3">
      <c r="A356" s="8" t="s">
        <v>58</v>
      </c>
      <c r="B356" s="9" t="s">
        <v>281</v>
      </c>
      <c r="C356" s="9" t="s">
        <v>79</v>
      </c>
      <c r="D356" s="9" t="s">
        <v>220</v>
      </c>
      <c r="E356" s="10">
        <v>30</v>
      </c>
      <c r="F356" s="9" t="s">
        <v>221</v>
      </c>
      <c r="G356" s="10">
        <v>30</v>
      </c>
      <c r="H356" s="9" t="s">
        <v>91</v>
      </c>
      <c r="I356" s="9" t="s">
        <v>92</v>
      </c>
      <c r="J356" s="9" t="s">
        <v>4</v>
      </c>
      <c r="K356" s="9"/>
      <c r="L356" s="9" t="s">
        <v>214</v>
      </c>
      <c r="M356" s="12">
        <f t="shared" si="24"/>
        <v>405</v>
      </c>
      <c r="N356" s="13">
        <f t="shared" si="25"/>
        <v>532</v>
      </c>
      <c r="O356" s="14">
        <f t="shared" si="26"/>
        <v>937</v>
      </c>
      <c r="P356" s="15">
        <f t="shared" si="27"/>
        <v>1.1289156626506025</v>
      </c>
    </row>
    <row r="357" spans="1:16" ht="15.75" hidden="1" customHeight="1" x14ac:dyDescent="0.3">
      <c r="A357" s="8" t="s">
        <v>58</v>
      </c>
      <c r="B357" s="9" t="s">
        <v>281</v>
      </c>
      <c r="C357" s="9" t="s">
        <v>111</v>
      </c>
      <c r="D357" s="9" t="s">
        <v>220</v>
      </c>
      <c r="E357" s="10">
        <v>6</v>
      </c>
      <c r="F357" s="9" t="s">
        <v>221</v>
      </c>
      <c r="G357" s="11">
        <v>0</v>
      </c>
      <c r="H357" s="9" t="s">
        <v>91</v>
      </c>
      <c r="I357" s="9" t="s">
        <v>92</v>
      </c>
      <c r="J357" s="9" t="s">
        <v>4</v>
      </c>
      <c r="K357" s="9"/>
      <c r="L357" s="9" t="s">
        <v>197</v>
      </c>
      <c r="M357" s="12">
        <f t="shared" si="24"/>
        <v>405</v>
      </c>
      <c r="N357" s="13">
        <f t="shared" si="25"/>
        <v>532</v>
      </c>
      <c r="O357" s="14">
        <f t="shared" si="26"/>
        <v>937</v>
      </c>
      <c r="P357" s="15">
        <f t="shared" si="27"/>
        <v>1.1289156626506025</v>
      </c>
    </row>
    <row r="358" spans="1:16" ht="15.75" hidden="1" customHeight="1" x14ac:dyDescent="0.3">
      <c r="A358" s="8" t="s">
        <v>58</v>
      </c>
      <c r="B358" s="9" t="s">
        <v>281</v>
      </c>
      <c r="C358" s="9" t="s">
        <v>142</v>
      </c>
      <c r="D358" s="9" t="s">
        <v>103</v>
      </c>
      <c r="E358" s="10">
        <v>6</v>
      </c>
      <c r="F358" s="9" t="s">
        <v>107</v>
      </c>
      <c r="G358" s="11">
        <v>0</v>
      </c>
      <c r="H358" s="9" t="s">
        <v>91</v>
      </c>
      <c r="I358" s="9" t="s">
        <v>92</v>
      </c>
      <c r="J358" s="9" t="s">
        <v>4</v>
      </c>
      <c r="K358" s="9"/>
      <c r="L358" s="9" t="s">
        <v>197</v>
      </c>
      <c r="M358" s="12">
        <f t="shared" si="24"/>
        <v>405</v>
      </c>
      <c r="N358" s="13">
        <f t="shared" si="25"/>
        <v>532</v>
      </c>
      <c r="O358" s="14">
        <f t="shared" si="26"/>
        <v>937</v>
      </c>
      <c r="P358" s="15">
        <f t="shared" si="27"/>
        <v>1.1289156626506025</v>
      </c>
    </row>
    <row r="359" spans="1:16" ht="15.75" hidden="1" customHeight="1" x14ac:dyDescent="0.3">
      <c r="A359" s="8" t="s">
        <v>58</v>
      </c>
      <c r="B359" s="9" t="s">
        <v>281</v>
      </c>
      <c r="C359" s="9" t="s">
        <v>80</v>
      </c>
      <c r="D359" s="9" t="s">
        <v>103</v>
      </c>
      <c r="E359" s="10">
        <v>1</v>
      </c>
      <c r="F359" s="9" t="s">
        <v>107</v>
      </c>
      <c r="G359" s="11">
        <v>0</v>
      </c>
      <c r="H359" s="9" t="s">
        <v>91</v>
      </c>
      <c r="I359" s="9" t="s">
        <v>92</v>
      </c>
      <c r="J359" s="9" t="s">
        <v>4</v>
      </c>
      <c r="K359" s="9"/>
      <c r="L359" s="9" t="s">
        <v>197</v>
      </c>
      <c r="M359" s="12">
        <f t="shared" si="24"/>
        <v>405</v>
      </c>
      <c r="N359" s="13">
        <f t="shared" si="25"/>
        <v>532</v>
      </c>
      <c r="O359" s="14">
        <f t="shared" si="26"/>
        <v>937</v>
      </c>
      <c r="P359" s="15">
        <f t="shared" si="27"/>
        <v>1.1289156626506025</v>
      </c>
    </row>
    <row r="360" spans="1:16" ht="15.75" hidden="1" customHeight="1" x14ac:dyDescent="0.3">
      <c r="A360" s="8" t="s">
        <v>58</v>
      </c>
      <c r="B360" s="9" t="s">
        <v>281</v>
      </c>
      <c r="C360" s="9" t="s">
        <v>80</v>
      </c>
      <c r="D360" s="9" t="s">
        <v>220</v>
      </c>
      <c r="E360" s="10">
        <v>4</v>
      </c>
      <c r="F360" s="9" t="s">
        <v>221</v>
      </c>
      <c r="G360" s="11">
        <v>0</v>
      </c>
      <c r="H360" s="9" t="s">
        <v>91</v>
      </c>
      <c r="I360" s="9" t="s">
        <v>92</v>
      </c>
      <c r="J360" s="9" t="s">
        <v>4</v>
      </c>
      <c r="K360" s="9"/>
      <c r="L360" s="9" t="s">
        <v>197</v>
      </c>
      <c r="M360" s="12">
        <f t="shared" si="24"/>
        <v>405</v>
      </c>
      <c r="N360" s="13">
        <f t="shared" si="25"/>
        <v>532</v>
      </c>
      <c r="O360" s="14">
        <f t="shared" si="26"/>
        <v>937</v>
      </c>
      <c r="P360" s="15">
        <f t="shared" si="27"/>
        <v>1.1289156626506025</v>
      </c>
    </row>
    <row r="361" spans="1:16" ht="15.75" hidden="1" customHeight="1" x14ac:dyDescent="0.3">
      <c r="A361" s="8" t="s">
        <v>58</v>
      </c>
      <c r="B361" s="9" t="s">
        <v>282</v>
      </c>
      <c r="C361" s="9" t="s">
        <v>73</v>
      </c>
      <c r="D361" s="9" t="s">
        <v>119</v>
      </c>
      <c r="E361" s="10">
        <v>44</v>
      </c>
      <c r="F361" s="9" t="s">
        <v>121</v>
      </c>
      <c r="G361" s="10">
        <v>44</v>
      </c>
      <c r="H361" s="9" t="s">
        <v>96</v>
      </c>
      <c r="I361" s="9" t="s">
        <v>97</v>
      </c>
      <c r="J361" s="9" t="s">
        <v>8</v>
      </c>
      <c r="K361" s="9"/>
      <c r="L361" s="9"/>
      <c r="M361" s="12">
        <f t="shared" si="24"/>
        <v>501</v>
      </c>
      <c r="N361" s="13">
        <f t="shared" si="25"/>
        <v>486.5</v>
      </c>
      <c r="O361" s="14">
        <f t="shared" si="26"/>
        <v>987.5</v>
      </c>
      <c r="P361" s="15">
        <f t="shared" si="27"/>
        <v>1.1897590361445782</v>
      </c>
    </row>
    <row r="362" spans="1:16" ht="15.75" hidden="1" customHeight="1" x14ac:dyDescent="0.3">
      <c r="A362" s="8" t="s">
        <v>58</v>
      </c>
      <c r="B362" s="9" t="s">
        <v>282</v>
      </c>
      <c r="C362" s="9" t="s">
        <v>123</v>
      </c>
      <c r="D362" s="9" t="s">
        <v>119</v>
      </c>
      <c r="E362" s="10">
        <v>51</v>
      </c>
      <c r="F362" s="9" t="s">
        <v>121</v>
      </c>
      <c r="G362" s="11">
        <v>0</v>
      </c>
      <c r="H362" s="9" t="s">
        <v>96</v>
      </c>
      <c r="I362" s="9" t="s">
        <v>97</v>
      </c>
      <c r="J362" s="9" t="s">
        <v>8</v>
      </c>
      <c r="K362" s="9"/>
      <c r="L362" s="9"/>
      <c r="M362" s="12">
        <f t="shared" si="24"/>
        <v>501</v>
      </c>
      <c r="N362" s="13">
        <f t="shared" si="25"/>
        <v>486.5</v>
      </c>
      <c r="O362" s="14">
        <f t="shared" si="26"/>
        <v>987.5</v>
      </c>
      <c r="P362" s="15">
        <f t="shared" si="27"/>
        <v>1.1897590361445782</v>
      </c>
    </row>
    <row r="363" spans="1:16" ht="15.75" hidden="1" customHeight="1" x14ac:dyDescent="0.3">
      <c r="A363" s="8" t="s">
        <v>58</v>
      </c>
      <c r="B363" s="9" t="s">
        <v>282</v>
      </c>
      <c r="C363" s="9" t="s">
        <v>79</v>
      </c>
      <c r="D363" s="9" t="s">
        <v>119</v>
      </c>
      <c r="E363" s="10">
        <v>30</v>
      </c>
      <c r="F363" s="9" t="s">
        <v>121</v>
      </c>
      <c r="G363" s="10">
        <v>30</v>
      </c>
      <c r="H363" s="9" t="s">
        <v>96</v>
      </c>
      <c r="I363" s="9" t="s">
        <v>97</v>
      </c>
      <c r="J363" s="9" t="s">
        <v>8</v>
      </c>
      <c r="K363" s="9"/>
      <c r="L363" s="9"/>
      <c r="M363" s="12">
        <f t="shared" si="24"/>
        <v>501</v>
      </c>
      <c r="N363" s="13">
        <f t="shared" si="25"/>
        <v>486.5</v>
      </c>
      <c r="O363" s="14">
        <f t="shared" si="26"/>
        <v>987.5</v>
      </c>
      <c r="P363" s="15">
        <f t="shared" si="27"/>
        <v>1.1897590361445782</v>
      </c>
    </row>
    <row r="364" spans="1:16" ht="15.75" hidden="1" customHeight="1" x14ac:dyDescent="0.3">
      <c r="A364" s="8" t="s">
        <v>58</v>
      </c>
      <c r="B364" s="9" t="s">
        <v>282</v>
      </c>
      <c r="C364" s="9" t="s">
        <v>100</v>
      </c>
      <c r="D364" s="9" t="s">
        <v>119</v>
      </c>
      <c r="E364" s="10">
        <v>32</v>
      </c>
      <c r="F364" s="9" t="s">
        <v>121</v>
      </c>
      <c r="G364" s="10">
        <v>16</v>
      </c>
      <c r="H364" s="9" t="s">
        <v>96</v>
      </c>
      <c r="I364" s="9" t="s">
        <v>97</v>
      </c>
      <c r="J364" s="9" t="s">
        <v>8</v>
      </c>
      <c r="K364" s="9"/>
      <c r="L364" s="9"/>
      <c r="M364" s="12">
        <f t="shared" si="24"/>
        <v>501</v>
      </c>
      <c r="N364" s="13">
        <f t="shared" si="25"/>
        <v>486.5</v>
      </c>
      <c r="O364" s="14">
        <f t="shared" si="26"/>
        <v>987.5</v>
      </c>
      <c r="P364" s="15">
        <f t="shared" si="27"/>
        <v>1.1897590361445782</v>
      </c>
    </row>
    <row r="365" spans="1:16" ht="15.75" hidden="1" customHeight="1" x14ac:dyDescent="0.3">
      <c r="A365" s="8" t="s">
        <v>58</v>
      </c>
      <c r="B365" s="9" t="s">
        <v>282</v>
      </c>
      <c r="C365" s="9" t="s">
        <v>111</v>
      </c>
      <c r="D365" s="9" t="s">
        <v>119</v>
      </c>
      <c r="E365" s="10">
        <v>9</v>
      </c>
      <c r="F365" s="9" t="s">
        <v>121</v>
      </c>
      <c r="G365" s="11">
        <v>0</v>
      </c>
      <c r="H365" s="9" t="s">
        <v>96</v>
      </c>
      <c r="I365" s="9" t="s">
        <v>97</v>
      </c>
      <c r="J365" s="9" t="s">
        <v>8</v>
      </c>
      <c r="K365" s="9"/>
      <c r="L365" s="9"/>
      <c r="M365" s="12">
        <f t="shared" si="24"/>
        <v>501</v>
      </c>
      <c r="N365" s="13">
        <f t="shared" si="25"/>
        <v>486.5</v>
      </c>
      <c r="O365" s="14">
        <f t="shared" si="26"/>
        <v>987.5</v>
      </c>
      <c r="P365" s="15">
        <f t="shared" si="27"/>
        <v>1.1897590361445782</v>
      </c>
    </row>
    <row r="366" spans="1:16" ht="15.75" hidden="1" customHeight="1" x14ac:dyDescent="0.3">
      <c r="A366" s="8" t="s">
        <v>58</v>
      </c>
      <c r="B366" s="9" t="s">
        <v>282</v>
      </c>
      <c r="C366" s="9" t="s">
        <v>80</v>
      </c>
      <c r="D366" s="9" t="s">
        <v>119</v>
      </c>
      <c r="E366" s="10">
        <v>4</v>
      </c>
      <c r="F366" s="9" t="s">
        <v>121</v>
      </c>
      <c r="G366" s="11">
        <v>0</v>
      </c>
      <c r="H366" s="9" t="s">
        <v>96</v>
      </c>
      <c r="I366" s="9" t="s">
        <v>97</v>
      </c>
      <c r="J366" s="9" t="s">
        <v>8</v>
      </c>
      <c r="K366" s="9"/>
      <c r="L366" s="9"/>
      <c r="M366" s="12">
        <f t="shared" si="24"/>
        <v>501</v>
      </c>
      <c r="N366" s="13">
        <f t="shared" si="25"/>
        <v>486.5</v>
      </c>
      <c r="O366" s="14">
        <f t="shared" si="26"/>
        <v>987.5</v>
      </c>
      <c r="P366" s="15">
        <f t="shared" si="27"/>
        <v>1.1897590361445782</v>
      </c>
    </row>
    <row r="367" spans="1:16" ht="15.75" hidden="1" customHeight="1" x14ac:dyDescent="0.3">
      <c r="A367" s="8" t="s">
        <v>58</v>
      </c>
      <c r="B367" s="9" t="s">
        <v>283</v>
      </c>
      <c r="C367" s="9" t="s">
        <v>73</v>
      </c>
      <c r="D367" s="9" t="s">
        <v>119</v>
      </c>
      <c r="E367" s="10">
        <v>36</v>
      </c>
      <c r="F367" s="9" t="s">
        <v>121</v>
      </c>
      <c r="G367" s="10">
        <v>36</v>
      </c>
      <c r="H367" s="9" t="s">
        <v>250</v>
      </c>
      <c r="I367" s="9" t="s">
        <v>251</v>
      </c>
      <c r="J367" s="9"/>
      <c r="K367" s="9"/>
      <c r="L367" s="9" t="s">
        <v>284</v>
      </c>
      <c r="M367" s="12">
        <f t="shared" si="24"/>
        <v>179</v>
      </c>
      <c r="N367" s="13">
        <f t="shared" si="25"/>
        <v>72</v>
      </c>
      <c r="O367" s="14">
        <f t="shared" si="26"/>
        <v>251</v>
      </c>
      <c r="P367" s="15">
        <f t="shared" si="27"/>
        <v>0.30240963855421688</v>
      </c>
    </row>
    <row r="368" spans="1:16" ht="15.75" hidden="1" customHeight="1" x14ac:dyDescent="0.3">
      <c r="A368" s="8" t="s">
        <v>58</v>
      </c>
      <c r="B368" s="9" t="s">
        <v>283</v>
      </c>
      <c r="C368" s="9" t="s">
        <v>73</v>
      </c>
      <c r="D368" s="9" t="s">
        <v>140</v>
      </c>
      <c r="E368" s="10">
        <v>8</v>
      </c>
      <c r="F368" s="9" t="s">
        <v>153</v>
      </c>
      <c r="G368" s="10">
        <v>8</v>
      </c>
      <c r="H368" s="9" t="s">
        <v>250</v>
      </c>
      <c r="I368" s="9" t="s">
        <v>251</v>
      </c>
      <c r="J368" s="9"/>
      <c r="K368" s="9"/>
      <c r="L368" s="9" t="s">
        <v>252</v>
      </c>
      <c r="M368" s="12">
        <f t="shared" si="24"/>
        <v>179</v>
      </c>
      <c r="N368" s="13">
        <f t="shared" si="25"/>
        <v>72</v>
      </c>
      <c r="O368" s="14">
        <f t="shared" si="26"/>
        <v>251</v>
      </c>
      <c r="P368" s="15">
        <f t="shared" si="27"/>
        <v>0.30240963855421688</v>
      </c>
    </row>
    <row r="369" spans="1:16" ht="15.75" hidden="1" customHeight="1" x14ac:dyDescent="0.3">
      <c r="A369" s="8" t="s">
        <v>58</v>
      </c>
      <c r="B369" s="9" t="s">
        <v>283</v>
      </c>
      <c r="C369" s="9" t="s">
        <v>123</v>
      </c>
      <c r="D369" s="9" t="s">
        <v>140</v>
      </c>
      <c r="E369" s="10">
        <v>15</v>
      </c>
      <c r="F369" s="9" t="s">
        <v>153</v>
      </c>
      <c r="G369" s="11">
        <v>0</v>
      </c>
      <c r="H369" s="9" t="s">
        <v>250</v>
      </c>
      <c r="I369" s="9" t="s">
        <v>251</v>
      </c>
      <c r="J369" s="9"/>
      <c r="K369" s="9"/>
      <c r="L369" s="9" t="s">
        <v>252</v>
      </c>
      <c r="M369" s="12">
        <f t="shared" si="24"/>
        <v>179</v>
      </c>
      <c r="N369" s="13">
        <f t="shared" si="25"/>
        <v>72</v>
      </c>
      <c r="O369" s="14">
        <f t="shared" si="26"/>
        <v>251</v>
      </c>
      <c r="P369" s="15">
        <f t="shared" si="27"/>
        <v>0.30240963855421688</v>
      </c>
    </row>
    <row r="370" spans="1:16" ht="15.75" hidden="1" customHeight="1" x14ac:dyDescent="0.3">
      <c r="A370" s="8" t="s">
        <v>58</v>
      </c>
      <c r="B370" s="9" t="s">
        <v>283</v>
      </c>
      <c r="C370" s="9" t="s">
        <v>87</v>
      </c>
      <c r="D370" s="9" t="s">
        <v>119</v>
      </c>
      <c r="E370" s="10">
        <v>6</v>
      </c>
      <c r="F370" s="9" t="s">
        <v>121</v>
      </c>
      <c r="G370" s="11">
        <v>0</v>
      </c>
      <c r="H370" s="9" t="s">
        <v>250</v>
      </c>
      <c r="I370" s="9" t="s">
        <v>251</v>
      </c>
      <c r="J370" s="9"/>
      <c r="K370" s="9"/>
      <c r="L370" s="9" t="s">
        <v>284</v>
      </c>
      <c r="M370" s="12">
        <f t="shared" si="24"/>
        <v>179</v>
      </c>
      <c r="N370" s="13">
        <f t="shared" si="25"/>
        <v>72</v>
      </c>
      <c r="O370" s="14">
        <f t="shared" si="26"/>
        <v>251</v>
      </c>
      <c r="P370" s="15">
        <f t="shared" si="27"/>
        <v>0.30240963855421688</v>
      </c>
    </row>
    <row r="371" spans="1:16" ht="15.75" hidden="1" customHeight="1" x14ac:dyDescent="0.3">
      <c r="A371" s="8" t="s">
        <v>58</v>
      </c>
      <c r="B371" s="9" t="s">
        <v>283</v>
      </c>
      <c r="C371" s="9" t="s">
        <v>79</v>
      </c>
      <c r="D371" s="9" t="s">
        <v>119</v>
      </c>
      <c r="E371" s="10">
        <v>20</v>
      </c>
      <c r="F371" s="9" t="s">
        <v>121</v>
      </c>
      <c r="G371" s="10">
        <v>20</v>
      </c>
      <c r="H371" s="9" t="s">
        <v>250</v>
      </c>
      <c r="I371" s="9" t="s">
        <v>251</v>
      </c>
      <c r="J371" s="9"/>
      <c r="K371" s="9"/>
      <c r="L371" s="9" t="s">
        <v>284</v>
      </c>
      <c r="M371" s="12">
        <f t="shared" si="24"/>
        <v>179</v>
      </c>
      <c r="N371" s="13">
        <f t="shared" si="25"/>
        <v>72</v>
      </c>
      <c r="O371" s="14">
        <f t="shared" si="26"/>
        <v>251</v>
      </c>
      <c r="P371" s="15">
        <f t="shared" si="27"/>
        <v>0.30240963855421688</v>
      </c>
    </row>
    <row r="372" spans="1:16" ht="15.75" hidden="1" customHeight="1" x14ac:dyDescent="0.3">
      <c r="A372" s="8" t="s">
        <v>58</v>
      </c>
      <c r="B372" s="9" t="s">
        <v>283</v>
      </c>
      <c r="C372" s="9" t="s">
        <v>79</v>
      </c>
      <c r="D372" s="9" t="s">
        <v>140</v>
      </c>
      <c r="E372" s="10">
        <v>22</v>
      </c>
      <c r="F372" s="9" t="s">
        <v>153</v>
      </c>
      <c r="G372" s="10">
        <v>22</v>
      </c>
      <c r="H372" s="9" t="s">
        <v>250</v>
      </c>
      <c r="I372" s="9" t="s">
        <v>251</v>
      </c>
      <c r="J372" s="9"/>
      <c r="K372" s="9"/>
      <c r="L372" s="9" t="s">
        <v>252</v>
      </c>
      <c r="M372" s="12">
        <f t="shared" si="24"/>
        <v>179</v>
      </c>
      <c r="N372" s="13">
        <f t="shared" si="25"/>
        <v>72</v>
      </c>
      <c r="O372" s="14">
        <f t="shared" si="26"/>
        <v>251</v>
      </c>
      <c r="P372" s="15">
        <f t="shared" si="27"/>
        <v>0.30240963855421688</v>
      </c>
    </row>
    <row r="373" spans="1:16" ht="15.75" hidden="1" customHeight="1" x14ac:dyDescent="0.3">
      <c r="A373" s="8" t="s">
        <v>58</v>
      </c>
      <c r="B373" s="9" t="s">
        <v>283</v>
      </c>
      <c r="C373" s="9" t="s">
        <v>100</v>
      </c>
      <c r="D373" s="9" t="s">
        <v>119</v>
      </c>
      <c r="E373" s="10">
        <v>32</v>
      </c>
      <c r="F373" s="9" t="s">
        <v>121</v>
      </c>
      <c r="G373" s="10">
        <v>16</v>
      </c>
      <c r="H373" s="9" t="s">
        <v>259</v>
      </c>
      <c r="I373" s="9" t="s">
        <v>260</v>
      </c>
      <c r="J373" s="9"/>
      <c r="K373" s="9"/>
      <c r="L373" s="9" t="s">
        <v>285</v>
      </c>
      <c r="M373" s="12">
        <f t="shared" si="24"/>
        <v>144</v>
      </c>
      <c r="N373" s="13">
        <f t="shared" si="25"/>
        <v>88.5</v>
      </c>
      <c r="O373" s="14">
        <f t="shared" si="26"/>
        <v>232.5</v>
      </c>
      <c r="P373" s="15">
        <f t="shared" si="27"/>
        <v>0.28012048192771083</v>
      </c>
    </row>
    <row r="374" spans="1:16" ht="15.75" hidden="1" customHeight="1" x14ac:dyDescent="0.3">
      <c r="A374" s="8" t="s">
        <v>58</v>
      </c>
      <c r="B374" s="9" t="s">
        <v>283</v>
      </c>
      <c r="C374" s="9" t="s">
        <v>142</v>
      </c>
      <c r="D374" s="9" t="s">
        <v>140</v>
      </c>
      <c r="E374" s="10">
        <v>2</v>
      </c>
      <c r="F374" s="9" t="s">
        <v>153</v>
      </c>
      <c r="G374" s="11">
        <v>0</v>
      </c>
      <c r="H374" s="9" t="s">
        <v>250</v>
      </c>
      <c r="I374" s="9" t="s">
        <v>251</v>
      </c>
      <c r="J374" s="9"/>
      <c r="K374" s="9"/>
      <c r="L374" s="9" t="s">
        <v>252</v>
      </c>
      <c r="M374" s="12">
        <f t="shared" si="24"/>
        <v>179</v>
      </c>
      <c r="N374" s="13">
        <f t="shared" si="25"/>
        <v>72</v>
      </c>
      <c r="O374" s="14">
        <f t="shared" si="26"/>
        <v>251</v>
      </c>
      <c r="P374" s="15">
        <f t="shared" si="27"/>
        <v>0.30240963855421688</v>
      </c>
    </row>
    <row r="375" spans="1:16" ht="15.75" hidden="1" customHeight="1" x14ac:dyDescent="0.3">
      <c r="A375" s="8" t="s">
        <v>58</v>
      </c>
      <c r="B375" s="9" t="s">
        <v>283</v>
      </c>
      <c r="C375" s="9" t="s">
        <v>80</v>
      </c>
      <c r="D375" s="9" t="s">
        <v>119</v>
      </c>
      <c r="E375" s="10">
        <v>2</v>
      </c>
      <c r="F375" s="9" t="s">
        <v>121</v>
      </c>
      <c r="G375" s="11">
        <v>0</v>
      </c>
      <c r="H375" s="9" t="s">
        <v>250</v>
      </c>
      <c r="I375" s="9" t="s">
        <v>251</v>
      </c>
      <c r="J375" s="9"/>
      <c r="K375" s="9"/>
      <c r="L375" s="9" t="s">
        <v>284</v>
      </c>
      <c r="M375" s="12">
        <f t="shared" si="24"/>
        <v>179</v>
      </c>
      <c r="N375" s="13">
        <f t="shared" si="25"/>
        <v>72</v>
      </c>
      <c r="O375" s="14">
        <f t="shared" si="26"/>
        <v>251</v>
      </c>
      <c r="P375" s="15">
        <f t="shared" si="27"/>
        <v>0.30240963855421688</v>
      </c>
    </row>
    <row r="376" spans="1:16" ht="15.75" hidden="1" customHeight="1" x14ac:dyDescent="0.3">
      <c r="A376" s="8" t="s">
        <v>58</v>
      </c>
      <c r="B376" s="9" t="s">
        <v>286</v>
      </c>
      <c r="C376" s="9" t="s">
        <v>73</v>
      </c>
      <c r="D376" s="9" t="s">
        <v>287</v>
      </c>
      <c r="E376" s="10">
        <v>18</v>
      </c>
      <c r="F376" s="9" t="s">
        <v>133</v>
      </c>
      <c r="G376" s="10">
        <v>18</v>
      </c>
      <c r="H376" s="9" t="s">
        <v>200</v>
      </c>
      <c r="I376" s="9" t="s">
        <v>201</v>
      </c>
      <c r="J376" s="9" t="s">
        <v>4</v>
      </c>
      <c r="K376" s="9"/>
      <c r="L376" s="9" t="s">
        <v>202</v>
      </c>
      <c r="M376" s="12">
        <f t="shared" si="24"/>
        <v>687</v>
      </c>
      <c r="N376" s="13">
        <f t="shared" si="25"/>
        <v>461.5</v>
      </c>
      <c r="O376" s="14">
        <f t="shared" si="26"/>
        <v>1148.5</v>
      </c>
      <c r="P376" s="15">
        <f t="shared" si="27"/>
        <v>1.3837349397590362</v>
      </c>
    </row>
    <row r="377" spans="1:16" ht="15.75" hidden="1" customHeight="1" x14ac:dyDescent="0.3">
      <c r="A377" s="8" t="s">
        <v>58</v>
      </c>
      <c r="B377" s="9" t="s">
        <v>286</v>
      </c>
      <c r="C377" s="9" t="s">
        <v>123</v>
      </c>
      <c r="D377" s="9" t="s">
        <v>287</v>
      </c>
      <c r="E377" s="10">
        <v>21</v>
      </c>
      <c r="F377" s="9" t="s">
        <v>133</v>
      </c>
      <c r="G377" s="11">
        <v>0</v>
      </c>
      <c r="H377" s="9" t="s">
        <v>200</v>
      </c>
      <c r="I377" s="9" t="s">
        <v>201</v>
      </c>
      <c r="J377" s="9" t="s">
        <v>4</v>
      </c>
      <c r="K377" s="9"/>
      <c r="L377" s="9" t="s">
        <v>202</v>
      </c>
      <c r="M377" s="12">
        <f t="shared" si="24"/>
        <v>687</v>
      </c>
      <c r="N377" s="13">
        <f t="shared" si="25"/>
        <v>461.5</v>
      </c>
      <c r="O377" s="14">
        <f t="shared" si="26"/>
        <v>1148.5</v>
      </c>
      <c r="P377" s="15">
        <f t="shared" si="27"/>
        <v>1.3837349397590362</v>
      </c>
    </row>
    <row r="378" spans="1:16" ht="15.75" hidden="1" customHeight="1" x14ac:dyDescent="0.3">
      <c r="A378" s="8" t="s">
        <v>58</v>
      </c>
      <c r="B378" s="9" t="s">
        <v>286</v>
      </c>
      <c r="C378" s="9" t="s">
        <v>79</v>
      </c>
      <c r="D378" s="9" t="s">
        <v>287</v>
      </c>
      <c r="E378" s="10">
        <v>72</v>
      </c>
      <c r="F378" s="9" t="s">
        <v>133</v>
      </c>
      <c r="G378" s="10">
        <v>72</v>
      </c>
      <c r="H378" s="9" t="s">
        <v>200</v>
      </c>
      <c r="I378" s="9" t="s">
        <v>201</v>
      </c>
      <c r="J378" s="9" t="s">
        <v>4</v>
      </c>
      <c r="K378" s="9"/>
      <c r="L378" s="9" t="s">
        <v>202</v>
      </c>
      <c r="M378" s="12">
        <f t="shared" si="24"/>
        <v>687</v>
      </c>
      <c r="N378" s="13">
        <f t="shared" si="25"/>
        <v>461.5</v>
      </c>
      <c r="O378" s="14">
        <f t="shared" si="26"/>
        <v>1148.5</v>
      </c>
      <c r="P378" s="15">
        <f t="shared" si="27"/>
        <v>1.3837349397590362</v>
      </c>
    </row>
    <row r="379" spans="1:16" ht="15.75" hidden="1" customHeight="1" x14ac:dyDescent="0.3">
      <c r="A379" s="8" t="s">
        <v>58</v>
      </c>
      <c r="B379" s="9" t="s">
        <v>286</v>
      </c>
      <c r="C379" s="9" t="s">
        <v>111</v>
      </c>
      <c r="D379" s="9" t="s">
        <v>287</v>
      </c>
      <c r="E379" s="10">
        <v>4</v>
      </c>
      <c r="F379" s="9" t="s">
        <v>133</v>
      </c>
      <c r="G379" s="11">
        <v>0</v>
      </c>
      <c r="H379" s="9" t="s">
        <v>200</v>
      </c>
      <c r="I379" s="9" t="s">
        <v>201</v>
      </c>
      <c r="J379" s="9" t="s">
        <v>4</v>
      </c>
      <c r="K379" s="9"/>
      <c r="L379" s="9" t="s">
        <v>202</v>
      </c>
      <c r="M379" s="12">
        <f t="shared" si="24"/>
        <v>687</v>
      </c>
      <c r="N379" s="13">
        <f t="shared" si="25"/>
        <v>461.5</v>
      </c>
      <c r="O379" s="14">
        <f t="shared" si="26"/>
        <v>1148.5</v>
      </c>
      <c r="P379" s="15">
        <f t="shared" si="27"/>
        <v>1.3837349397590362</v>
      </c>
    </row>
    <row r="380" spans="1:16" ht="15.75" hidden="1" customHeight="1" x14ac:dyDescent="0.3">
      <c r="A380" s="8" t="s">
        <v>58</v>
      </c>
      <c r="B380" s="9" t="s">
        <v>286</v>
      </c>
      <c r="C380" s="9" t="s">
        <v>80</v>
      </c>
      <c r="D380" s="9" t="s">
        <v>287</v>
      </c>
      <c r="E380" s="10">
        <v>3</v>
      </c>
      <c r="F380" s="9" t="s">
        <v>133</v>
      </c>
      <c r="G380" s="11">
        <v>0</v>
      </c>
      <c r="H380" s="9" t="s">
        <v>200</v>
      </c>
      <c r="I380" s="9" t="s">
        <v>201</v>
      </c>
      <c r="J380" s="9" t="s">
        <v>4</v>
      </c>
      <c r="K380" s="9"/>
      <c r="L380" s="9" t="s">
        <v>202</v>
      </c>
      <c r="M380" s="12">
        <f t="shared" si="24"/>
        <v>687</v>
      </c>
      <c r="N380" s="13">
        <f t="shared" si="25"/>
        <v>461.5</v>
      </c>
      <c r="O380" s="14">
        <f t="shared" si="26"/>
        <v>1148.5</v>
      </c>
      <c r="P380" s="15">
        <f t="shared" si="27"/>
        <v>1.3837349397590362</v>
      </c>
    </row>
    <row r="381" spans="1:16" ht="15.75" hidden="1" customHeight="1" x14ac:dyDescent="0.3">
      <c r="A381" s="8" t="s">
        <v>58</v>
      </c>
      <c r="B381" s="9" t="s">
        <v>288</v>
      </c>
      <c r="C381" s="9" t="s">
        <v>73</v>
      </c>
      <c r="D381" s="9" t="s">
        <v>289</v>
      </c>
      <c r="E381" s="10">
        <v>34</v>
      </c>
      <c r="F381" s="9" t="s">
        <v>75</v>
      </c>
      <c r="G381" s="10">
        <v>68</v>
      </c>
      <c r="H381" s="9" t="s">
        <v>94</v>
      </c>
      <c r="I381" s="9" t="s">
        <v>95</v>
      </c>
      <c r="J381" s="9"/>
      <c r="K381" s="9"/>
      <c r="L381" s="9" t="s">
        <v>290</v>
      </c>
      <c r="M381" s="12">
        <f t="shared" si="24"/>
        <v>295.8</v>
      </c>
      <c r="N381" s="13">
        <f t="shared" si="25"/>
        <v>488</v>
      </c>
      <c r="O381" s="14">
        <f t="shared" si="26"/>
        <v>783.8</v>
      </c>
      <c r="P381" s="15">
        <f t="shared" si="27"/>
        <v>0.94433734939759029</v>
      </c>
    </row>
    <row r="382" spans="1:16" ht="14.25" hidden="1" customHeight="1" x14ac:dyDescent="0.3">
      <c r="A382" s="8" t="s">
        <v>58</v>
      </c>
      <c r="B382" s="9" t="s">
        <v>288</v>
      </c>
      <c r="C382" s="9" t="s">
        <v>73</v>
      </c>
      <c r="D382" s="9" t="s">
        <v>289</v>
      </c>
      <c r="E382" s="10">
        <v>34</v>
      </c>
      <c r="F382" s="9" t="s">
        <v>75</v>
      </c>
      <c r="G382" s="10">
        <v>68</v>
      </c>
      <c r="H382" s="9" t="s">
        <v>291</v>
      </c>
      <c r="I382" s="9" t="s">
        <v>292</v>
      </c>
      <c r="J382" s="9"/>
      <c r="K382" s="9"/>
      <c r="L382" s="21" t="s">
        <v>290</v>
      </c>
      <c r="M382" s="12">
        <f t="shared" si="24"/>
        <v>44</v>
      </c>
      <c r="N382" s="13">
        <f t="shared" si="25"/>
        <v>61</v>
      </c>
      <c r="O382" s="14">
        <f t="shared" si="26"/>
        <v>105</v>
      </c>
      <c r="P382" s="15">
        <f t="shared" si="27"/>
        <v>0.12650602409638553</v>
      </c>
    </row>
    <row r="383" spans="1:16" ht="15.75" hidden="1" customHeight="1" x14ac:dyDescent="0.3">
      <c r="A383" s="8" t="s">
        <v>58</v>
      </c>
      <c r="B383" s="9" t="s">
        <v>288</v>
      </c>
      <c r="C383" s="9" t="s">
        <v>79</v>
      </c>
      <c r="D383" s="9" t="s">
        <v>289</v>
      </c>
      <c r="E383" s="10">
        <v>10</v>
      </c>
      <c r="F383" s="9" t="s">
        <v>75</v>
      </c>
      <c r="G383" s="10">
        <v>20</v>
      </c>
      <c r="H383" s="9" t="s">
        <v>291</v>
      </c>
      <c r="I383" s="9" t="s">
        <v>292</v>
      </c>
      <c r="J383" s="9"/>
      <c r="K383" s="9"/>
      <c r="L383" s="21" t="s">
        <v>290</v>
      </c>
      <c r="M383" s="12">
        <f t="shared" si="24"/>
        <v>44</v>
      </c>
      <c r="N383" s="13">
        <f t="shared" si="25"/>
        <v>61</v>
      </c>
      <c r="O383" s="14">
        <f t="shared" si="26"/>
        <v>105</v>
      </c>
      <c r="P383" s="15">
        <f t="shared" si="27"/>
        <v>0.12650602409638553</v>
      </c>
    </row>
    <row r="384" spans="1:16" ht="15.75" hidden="1" customHeight="1" x14ac:dyDescent="0.3">
      <c r="A384" s="8" t="s">
        <v>58</v>
      </c>
      <c r="B384" s="9" t="s">
        <v>288</v>
      </c>
      <c r="C384" s="9" t="s">
        <v>79</v>
      </c>
      <c r="D384" s="9" t="s">
        <v>289</v>
      </c>
      <c r="E384" s="10">
        <v>10</v>
      </c>
      <c r="F384" s="9" t="s">
        <v>75</v>
      </c>
      <c r="G384" s="10">
        <v>20</v>
      </c>
      <c r="H384" s="9" t="s">
        <v>94</v>
      </c>
      <c r="I384" s="9" t="s">
        <v>95</v>
      </c>
      <c r="J384" s="9"/>
      <c r="K384" s="9"/>
      <c r="L384" s="21" t="s">
        <v>290</v>
      </c>
      <c r="M384" s="12">
        <f t="shared" si="24"/>
        <v>295.8</v>
      </c>
      <c r="N384" s="13">
        <f t="shared" si="25"/>
        <v>488</v>
      </c>
      <c r="O384" s="14">
        <f t="shared" si="26"/>
        <v>783.8</v>
      </c>
      <c r="P384" s="15">
        <f t="shared" si="27"/>
        <v>0.94433734939759029</v>
      </c>
    </row>
    <row r="385" spans="1:16" ht="15.75" hidden="1" customHeight="1" x14ac:dyDescent="0.3">
      <c r="A385" s="8" t="s">
        <v>58</v>
      </c>
      <c r="B385" s="9" t="s">
        <v>288</v>
      </c>
      <c r="C385" s="9" t="s">
        <v>111</v>
      </c>
      <c r="D385" s="9" t="s">
        <v>289</v>
      </c>
      <c r="E385" s="10">
        <v>1</v>
      </c>
      <c r="F385" s="9" t="s">
        <v>75</v>
      </c>
      <c r="G385" s="11">
        <v>0</v>
      </c>
      <c r="H385" s="9" t="s">
        <v>94</v>
      </c>
      <c r="I385" s="9" t="s">
        <v>95</v>
      </c>
      <c r="J385" s="9"/>
      <c r="K385" s="9"/>
      <c r="L385" s="9" t="s">
        <v>290</v>
      </c>
      <c r="M385" s="12">
        <f t="shared" si="24"/>
        <v>295.8</v>
      </c>
      <c r="N385" s="13">
        <f t="shared" si="25"/>
        <v>488</v>
      </c>
      <c r="O385" s="14">
        <f t="shared" si="26"/>
        <v>783.8</v>
      </c>
      <c r="P385" s="15">
        <f t="shared" si="27"/>
        <v>0.94433734939759029</v>
      </c>
    </row>
    <row r="386" spans="1:16" ht="15.75" hidden="1" customHeight="1" x14ac:dyDescent="0.3">
      <c r="A386" s="8" t="s">
        <v>58</v>
      </c>
      <c r="B386" s="9" t="s">
        <v>288</v>
      </c>
      <c r="C386" s="9" t="s">
        <v>80</v>
      </c>
      <c r="D386" s="9" t="s">
        <v>289</v>
      </c>
      <c r="E386" s="10">
        <v>5</v>
      </c>
      <c r="F386" s="9" t="s">
        <v>75</v>
      </c>
      <c r="G386" s="11">
        <v>0</v>
      </c>
      <c r="H386" s="9" t="s">
        <v>94</v>
      </c>
      <c r="I386" s="9" t="s">
        <v>95</v>
      </c>
      <c r="J386" s="9"/>
      <c r="K386" s="9"/>
      <c r="L386" s="9" t="s">
        <v>290</v>
      </c>
      <c r="M386" s="12">
        <f t="shared" si="24"/>
        <v>295.8</v>
      </c>
      <c r="N386" s="13">
        <f t="shared" si="25"/>
        <v>488</v>
      </c>
      <c r="O386" s="14">
        <f t="shared" si="26"/>
        <v>783.8</v>
      </c>
      <c r="P386" s="15">
        <f t="shared" si="27"/>
        <v>0.94433734939759029</v>
      </c>
    </row>
    <row r="387" spans="1:16" ht="15.75" hidden="1" customHeight="1" x14ac:dyDescent="0.3">
      <c r="A387" s="8" t="s">
        <v>58</v>
      </c>
      <c r="B387" s="9" t="s">
        <v>293</v>
      </c>
      <c r="C387" s="9" t="s">
        <v>73</v>
      </c>
      <c r="D387" s="9" t="s">
        <v>294</v>
      </c>
      <c r="E387" s="10">
        <v>24</v>
      </c>
      <c r="F387" s="9" t="s">
        <v>161</v>
      </c>
      <c r="G387" s="10">
        <v>24</v>
      </c>
      <c r="H387" s="9" t="s">
        <v>67</v>
      </c>
      <c r="I387" s="9" t="s">
        <v>68</v>
      </c>
      <c r="J387" s="9" t="s">
        <v>4</v>
      </c>
      <c r="K387" s="9"/>
      <c r="L387" s="9" t="s">
        <v>254</v>
      </c>
      <c r="M387" s="12">
        <f t="shared" si="24"/>
        <v>366</v>
      </c>
      <c r="N387" s="13">
        <f t="shared" si="25"/>
        <v>175</v>
      </c>
      <c r="O387" s="14">
        <f t="shared" si="26"/>
        <v>541</v>
      </c>
      <c r="P387" s="15">
        <f t="shared" si="27"/>
        <v>0.65180722891566267</v>
      </c>
    </row>
    <row r="388" spans="1:16" ht="15.75" hidden="1" customHeight="1" x14ac:dyDescent="0.3">
      <c r="A388" s="8" t="s">
        <v>58</v>
      </c>
      <c r="B388" s="9" t="s">
        <v>293</v>
      </c>
      <c r="C388" s="9" t="s">
        <v>87</v>
      </c>
      <c r="D388" s="9" t="s">
        <v>295</v>
      </c>
      <c r="E388" s="10">
        <v>6</v>
      </c>
      <c r="F388" s="9" t="s">
        <v>161</v>
      </c>
      <c r="G388" s="11">
        <v>0</v>
      </c>
      <c r="H388" s="9" t="s">
        <v>67</v>
      </c>
      <c r="I388" s="9" t="s">
        <v>68</v>
      </c>
      <c r="J388" s="9" t="s">
        <v>4</v>
      </c>
      <c r="K388" s="9"/>
      <c r="L388" s="9" t="s">
        <v>254</v>
      </c>
      <c r="M388" s="12">
        <f t="shared" si="24"/>
        <v>366</v>
      </c>
      <c r="N388" s="13">
        <f t="shared" si="25"/>
        <v>175</v>
      </c>
      <c r="O388" s="14">
        <f t="shared" si="26"/>
        <v>541</v>
      </c>
      <c r="P388" s="15">
        <f t="shared" si="27"/>
        <v>0.65180722891566267</v>
      </c>
    </row>
    <row r="389" spans="1:16" ht="15.75" hidden="1" customHeight="1" x14ac:dyDescent="0.3">
      <c r="A389" s="8" t="s">
        <v>58</v>
      </c>
      <c r="B389" s="9" t="s">
        <v>293</v>
      </c>
      <c r="C389" s="9" t="s">
        <v>87</v>
      </c>
      <c r="D389" s="9" t="s">
        <v>296</v>
      </c>
      <c r="E389" s="10">
        <v>8</v>
      </c>
      <c r="F389" s="9" t="s">
        <v>161</v>
      </c>
      <c r="G389" s="11">
        <v>0</v>
      </c>
      <c r="H389" s="9" t="s">
        <v>67</v>
      </c>
      <c r="I389" s="9" t="s">
        <v>68</v>
      </c>
      <c r="J389" s="9" t="s">
        <v>4</v>
      </c>
      <c r="K389" s="9"/>
      <c r="L389" s="9" t="s">
        <v>254</v>
      </c>
      <c r="M389" s="12">
        <f t="shared" si="24"/>
        <v>366</v>
      </c>
      <c r="N389" s="13">
        <f t="shared" si="25"/>
        <v>175</v>
      </c>
      <c r="O389" s="14">
        <f t="shared" si="26"/>
        <v>541</v>
      </c>
      <c r="P389" s="15">
        <f t="shared" si="27"/>
        <v>0.65180722891566267</v>
      </c>
    </row>
    <row r="390" spans="1:16" ht="15.75" hidden="1" customHeight="1" x14ac:dyDescent="0.3">
      <c r="A390" s="8" t="s">
        <v>58</v>
      </c>
      <c r="B390" s="9" t="s">
        <v>293</v>
      </c>
      <c r="C390" s="9" t="s">
        <v>79</v>
      </c>
      <c r="D390" s="9" t="s">
        <v>295</v>
      </c>
      <c r="E390" s="10">
        <v>48</v>
      </c>
      <c r="F390" s="9" t="s">
        <v>161</v>
      </c>
      <c r="G390" s="10">
        <v>48</v>
      </c>
      <c r="H390" s="9" t="s">
        <v>67</v>
      </c>
      <c r="I390" s="9" t="s">
        <v>68</v>
      </c>
      <c r="J390" s="9" t="s">
        <v>4</v>
      </c>
      <c r="K390" s="9"/>
      <c r="L390" s="9" t="s">
        <v>254</v>
      </c>
      <c r="M390" s="12">
        <f t="shared" si="24"/>
        <v>366</v>
      </c>
      <c r="N390" s="13">
        <f t="shared" si="25"/>
        <v>175</v>
      </c>
      <c r="O390" s="14">
        <f t="shared" si="26"/>
        <v>541</v>
      </c>
      <c r="P390" s="15">
        <f t="shared" si="27"/>
        <v>0.65180722891566267</v>
      </c>
    </row>
    <row r="391" spans="1:16" ht="15.75" hidden="1" customHeight="1" x14ac:dyDescent="0.3">
      <c r="A391" s="8" t="s">
        <v>58</v>
      </c>
      <c r="B391" s="9" t="s">
        <v>293</v>
      </c>
      <c r="C391" s="9" t="s">
        <v>79</v>
      </c>
      <c r="D391" s="9" t="s">
        <v>296</v>
      </c>
      <c r="E391" s="10">
        <v>48</v>
      </c>
      <c r="F391" s="9" t="s">
        <v>161</v>
      </c>
      <c r="G391" s="10">
        <v>48</v>
      </c>
      <c r="H391" s="9" t="s">
        <v>67</v>
      </c>
      <c r="I391" s="9" t="s">
        <v>68</v>
      </c>
      <c r="J391" s="9" t="s">
        <v>4</v>
      </c>
      <c r="K391" s="9"/>
      <c r="L391" s="9" t="s">
        <v>254</v>
      </c>
      <c r="M391" s="12">
        <f t="shared" si="24"/>
        <v>366</v>
      </c>
      <c r="N391" s="13">
        <f t="shared" si="25"/>
        <v>175</v>
      </c>
      <c r="O391" s="14">
        <f t="shared" si="26"/>
        <v>541</v>
      </c>
      <c r="P391" s="15">
        <f t="shared" si="27"/>
        <v>0.65180722891566267</v>
      </c>
    </row>
    <row r="392" spans="1:16" ht="15.75" hidden="1" customHeight="1" x14ac:dyDescent="0.3">
      <c r="A392" s="8" t="s">
        <v>58</v>
      </c>
      <c r="B392" s="9" t="s">
        <v>293</v>
      </c>
      <c r="C392" s="9" t="s">
        <v>80</v>
      </c>
      <c r="D392" s="9" t="s">
        <v>295</v>
      </c>
      <c r="E392" s="10">
        <v>1</v>
      </c>
      <c r="F392" s="9" t="s">
        <v>161</v>
      </c>
      <c r="G392" s="11">
        <v>0</v>
      </c>
      <c r="H392" s="9" t="s">
        <v>67</v>
      </c>
      <c r="I392" s="9" t="s">
        <v>68</v>
      </c>
      <c r="J392" s="9" t="s">
        <v>4</v>
      </c>
      <c r="K392" s="9"/>
      <c r="L392" s="9" t="s">
        <v>254</v>
      </c>
      <c r="M392" s="12">
        <f t="shared" si="24"/>
        <v>366</v>
      </c>
      <c r="N392" s="13">
        <f t="shared" si="25"/>
        <v>175</v>
      </c>
      <c r="O392" s="14">
        <f t="shared" si="26"/>
        <v>541</v>
      </c>
      <c r="P392" s="15">
        <f t="shared" si="27"/>
        <v>0.65180722891566267</v>
      </c>
    </row>
    <row r="393" spans="1:16" ht="15.75" hidden="1" customHeight="1" x14ac:dyDescent="0.3">
      <c r="A393" s="8" t="s">
        <v>58</v>
      </c>
      <c r="B393" s="9" t="s">
        <v>293</v>
      </c>
      <c r="C393" s="9" t="s">
        <v>80</v>
      </c>
      <c r="D393" s="9" t="s">
        <v>296</v>
      </c>
      <c r="E393" s="10">
        <v>1</v>
      </c>
      <c r="F393" s="9" t="s">
        <v>161</v>
      </c>
      <c r="G393" s="11">
        <v>0</v>
      </c>
      <c r="H393" s="9" t="s">
        <v>67</v>
      </c>
      <c r="I393" s="9" t="s">
        <v>68</v>
      </c>
      <c r="J393" s="9" t="s">
        <v>4</v>
      </c>
      <c r="K393" s="9"/>
      <c r="L393" s="9" t="s">
        <v>254</v>
      </c>
      <c r="M393" s="12">
        <f t="shared" si="24"/>
        <v>366</v>
      </c>
      <c r="N393" s="13">
        <f t="shared" si="25"/>
        <v>175</v>
      </c>
      <c r="O393" s="14">
        <f t="shared" si="26"/>
        <v>541</v>
      </c>
      <c r="P393" s="15">
        <f t="shared" si="27"/>
        <v>0.65180722891566267</v>
      </c>
    </row>
    <row r="394" spans="1:16" ht="15.75" hidden="1" customHeight="1" x14ac:dyDescent="0.3">
      <c r="A394" s="8" t="s">
        <v>58</v>
      </c>
      <c r="B394" s="9" t="s">
        <v>297</v>
      </c>
      <c r="C394" s="9" t="s">
        <v>73</v>
      </c>
      <c r="D394" s="9" t="s">
        <v>119</v>
      </c>
      <c r="E394" s="10">
        <v>30</v>
      </c>
      <c r="F394" s="9" t="s">
        <v>121</v>
      </c>
      <c r="G394" s="10">
        <v>30</v>
      </c>
      <c r="H394" s="9" t="s">
        <v>259</v>
      </c>
      <c r="I394" s="9" t="s">
        <v>260</v>
      </c>
      <c r="J394" s="9"/>
      <c r="K394" s="9"/>
      <c r="L394" s="9" t="s">
        <v>298</v>
      </c>
      <c r="M394" s="12">
        <f t="shared" si="24"/>
        <v>144</v>
      </c>
      <c r="N394" s="13">
        <f t="shared" si="25"/>
        <v>88.5</v>
      </c>
      <c r="O394" s="14">
        <f t="shared" si="26"/>
        <v>232.5</v>
      </c>
      <c r="P394" s="15">
        <f t="shared" si="27"/>
        <v>0.28012048192771083</v>
      </c>
    </row>
    <row r="395" spans="1:16" ht="15.75" hidden="1" customHeight="1" x14ac:dyDescent="0.3">
      <c r="A395" s="8" t="s">
        <v>58</v>
      </c>
      <c r="B395" s="9" t="s">
        <v>297</v>
      </c>
      <c r="C395" s="9" t="s">
        <v>87</v>
      </c>
      <c r="D395" s="9" t="s">
        <v>119</v>
      </c>
      <c r="E395" s="10">
        <v>6</v>
      </c>
      <c r="F395" s="9" t="s">
        <v>121</v>
      </c>
      <c r="G395" s="11">
        <v>0</v>
      </c>
      <c r="H395" s="9" t="s">
        <v>259</v>
      </c>
      <c r="I395" s="9" t="s">
        <v>260</v>
      </c>
      <c r="J395" s="9"/>
      <c r="K395" s="9"/>
      <c r="L395" s="9" t="s">
        <v>285</v>
      </c>
      <c r="M395" s="12">
        <f t="shared" si="24"/>
        <v>144</v>
      </c>
      <c r="N395" s="13">
        <f t="shared" si="25"/>
        <v>88.5</v>
      </c>
      <c r="O395" s="14">
        <f t="shared" si="26"/>
        <v>232.5</v>
      </c>
      <c r="P395" s="15">
        <f t="shared" si="27"/>
        <v>0.28012048192771083</v>
      </c>
    </row>
    <row r="396" spans="1:16" ht="15.75" hidden="1" customHeight="1" x14ac:dyDescent="0.3">
      <c r="A396" s="8" t="s">
        <v>58</v>
      </c>
      <c r="B396" s="9" t="s">
        <v>297</v>
      </c>
      <c r="C396" s="9" t="s">
        <v>79</v>
      </c>
      <c r="D396" s="9" t="s">
        <v>119</v>
      </c>
      <c r="E396" s="10">
        <v>18</v>
      </c>
      <c r="F396" s="9" t="s">
        <v>121</v>
      </c>
      <c r="G396" s="10">
        <v>18</v>
      </c>
      <c r="H396" s="9" t="s">
        <v>259</v>
      </c>
      <c r="I396" s="9" t="s">
        <v>260</v>
      </c>
      <c r="J396" s="9"/>
      <c r="K396" s="9"/>
      <c r="L396" s="9" t="s">
        <v>285</v>
      </c>
      <c r="M396" s="12">
        <f t="shared" si="24"/>
        <v>144</v>
      </c>
      <c r="N396" s="13">
        <f t="shared" si="25"/>
        <v>88.5</v>
      </c>
      <c r="O396" s="14">
        <f t="shared" si="26"/>
        <v>232.5</v>
      </c>
      <c r="P396" s="15">
        <f t="shared" si="27"/>
        <v>0.28012048192771083</v>
      </c>
    </row>
    <row r="397" spans="1:16" ht="15.75" hidden="1" customHeight="1" x14ac:dyDescent="0.3">
      <c r="A397" s="8" t="s">
        <v>58</v>
      </c>
      <c r="B397" s="9" t="s">
        <v>297</v>
      </c>
      <c r="C397" s="9" t="s">
        <v>100</v>
      </c>
      <c r="D397" s="9" t="s">
        <v>119</v>
      </c>
      <c r="E397" s="10">
        <v>24</v>
      </c>
      <c r="F397" s="9" t="s">
        <v>121</v>
      </c>
      <c r="G397" s="10">
        <v>12</v>
      </c>
      <c r="H397" s="9" t="s">
        <v>259</v>
      </c>
      <c r="I397" s="9" t="s">
        <v>260</v>
      </c>
      <c r="J397" s="9"/>
      <c r="K397" s="9"/>
      <c r="L397" s="9" t="s">
        <v>285</v>
      </c>
      <c r="M397" s="12">
        <f t="shared" si="24"/>
        <v>144</v>
      </c>
      <c r="N397" s="13">
        <f t="shared" si="25"/>
        <v>88.5</v>
      </c>
      <c r="O397" s="14">
        <f t="shared" si="26"/>
        <v>232.5</v>
      </c>
      <c r="P397" s="15">
        <f t="shared" si="27"/>
        <v>0.28012048192771083</v>
      </c>
    </row>
    <row r="398" spans="1:16" ht="15.75" hidden="1" customHeight="1" x14ac:dyDescent="0.3">
      <c r="A398" s="8" t="s">
        <v>58</v>
      </c>
      <c r="B398" s="9" t="s">
        <v>297</v>
      </c>
      <c r="C398" s="9" t="s">
        <v>80</v>
      </c>
      <c r="D398" s="9" t="s">
        <v>119</v>
      </c>
      <c r="E398" s="10">
        <v>2</v>
      </c>
      <c r="F398" s="9" t="s">
        <v>121</v>
      </c>
      <c r="G398" s="11">
        <v>0</v>
      </c>
      <c r="H398" s="9" t="s">
        <v>259</v>
      </c>
      <c r="I398" s="9" t="s">
        <v>260</v>
      </c>
      <c r="J398" s="9"/>
      <c r="K398" s="9"/>
      <c r="L398" s="9" t="s">
        <v>285</v>
      </c>
      <c r="M398" s="12">
        <f t="shared" si="24"/>
        <v>144</v>
      </c>
      <c r="N398" s="13">
        <f t="shared" si="25"/>
        <v>88.5</v>
      </c>
      <c r="O398" s="14">
        <f t="shared" si="26"/>
        <v>232.5</v>
      </c>
      <c r="P398" s="15">
        <f t="shared" si="27"/>
        <v>0.28012048192771083</v>
      </c>
    </row>
    <row r="399" spans="1:16" ht="15.75" hidden="1" customHeight="1" x14ac:dyDescent="0.3">
      <c r="A399" s="8" t="s">
        <v>58</v>
      </c>
      <c r="B399" s="9" t="s">
        <v>299</v>
      </c>
      <c r="C399" s="9" t="s">
        <v>73</v>
      </c>
      <c r="D399" s="9" t="s">
        <v>300</v>
      </c>
      <c r="E399" s="10">
        <v>10</v>
      </c>
      <c r="F399" s="9" t="s">
        <v>263</v>
      </c>
      <c r="G399" s="10">
        <v>10</v>
      </c>
      <c r="H399" s="9" t="s">
        <v>174</v>
      </c>
      <c r="I399" s="9" t="s">
        <v>175</v>
      </c>
      <c r="J399" s="9" t="s">
        <v>8</v>
      </c>
      <c r="K399" s="9"/>
      <c r="L399" s="9"/>
      <c r="M399" s="12">
        <f t="shared" si="24"/>
        <v>320</v>
      </c>
      <c r="N399" s="13">
        <f t="shared" si="25"/>
        <v>169</v>
      </c>
      <c r="O399" s="14">
        <f t="shared" si="26"/>
        <v>489</v>
      </c>
      <c r="P399" s="15">
        <f t="shared" si="27"/>
        <v>0.58915662650602407</v>
      </c>
    </row>
    <row r="400" spans="1:16" ht="15.75" hidden="1" customHeight="1" x14ac:dyDescent="0.3">
      <c r="A400" s="8" t="s">
        <v>58</v>
      </c>
      <c r="B400" s="9" t="s">
        <v>299</v>
      </c>
      <c r="C400" s="9" t="s">
        <v>79</v>
      </c>
      <c r="D400" s="9" t="s">
        <v>165</v>
      </c>
      <c r="E400" s="10">
        <v>44</v>
      </c>
      <c r="F400" s="9" t="s">
        <v>263</v>
      </c>
      <c r="G400" s="10">
        <v>44</v>
      </c>
      <c r="H400" s="9" t="s">
        <v>174</v>
      </c>
      <c r="I400" s="9" t="s">
        <v>175</v>
      </c>
      <c r="J400" s="9" t="s">
        <v>8</v>
      </c>
      <c r="K400" s="9"/>
      <c r="L400" s="9"/>
      <c r="M400" s="12">
        <f t="shared" si="24"/>
        <v>320</v>
      </c>
      <c r="N400" s="13">
        <f t="shared" si="25"/>
        <v>169</v>
      </c>
      <c r="O400" s="14">
        <f t="shared" si="26"/>
        <v>489</v>
      </c>
      <c r="P400" s="15">
        <f t="shared" si="27"/>
        <v>0.58915662650602407</v>
      </c>
    </row>
    <row r="401" spans="1:16" ht="15.75" hidden="1" customHeight="1" x14ac:dyDescent="0.3">
      <c r="A401" s="8" t="s">
        <v>58</v>
      </c>
      <c r="B401" s="9" t="s">
        <v>299</v>
      </c>
      <c r="C401" s="9" t="s">
        <v>79</v>
      </c>
      <c r="D401" s="9" t="s">
        <v>237</v>
      </c>
      <c r="E401" s="10">
        <v>44</v>
      </c>
      <c r="F401" s="9" t="s">
        <v>263</v>
      </c>
      <c r="G401" s="10">
        <v>44</v>
      </c>
      <c r="H401" s="9" t="s">
        <v>174</v>
      </c>
      <c r="I401" s="9" t="s">
        <v>175</v>
      </c>
      <c r="J401" s="9" t="s">
        <v>8</v>
      </c>
      <c r="K401" s="9"/>
      <c r="L401" s="9"/>
      <c r="M401" s="12">
        <f t="shared" si="24"/>
        <v>320</v>
      </c>
      <c r="N401" s="13">
        <f t="shared" si="25"/>
        <v>169</v>
      </c>
      <c r="O401" s="14">
        <f t="shared" si="26"/>
        <v>489</v>
      </c>
      <c r="P401" s="15">
        <f t="shared" si="27"/>
        <v>0.58915662650602407</v>
      </c>
    </row>
    <row r="402" spans="1:16" ht="15.75" hidden="1" customHeight="1" x14ac:dyDescent="0.3">
      <c r="A402" s="8" t="s">
        <v>58</v>
      </c>
      <c r="B402" s="9" t="s">
        <v>299</v>
      </c>
      <c r="C402" s="9" t="s">
        <v>79</v>
      </c>
      <c r="D402" s="9" t="s">
        <v>152</v>
      </c>
      <c r="E402" s="10">
        <v>44</v>
      </c>
      <c r="F402" s="9" t="s">
        <v>263</v>
      </c>
      <c r="G402" s="10">
        <v>44</v>
      </c>
      <c r="H402" s="9" t="s">
        <v>174</v>
      </c>
      <c r="I402" s="9" t="s">
        <v>175</v>
      </c>
      <c r="J402" s="9" t="s">
        <v>8</v>
      </c>
      <c r="K402" s="9"/>
      <c r="L402" s="9"/>
      <c r="M402" s="12">
        <f t="shared" si="24"/>
        <v>320</v>
      </c>
      <c r="N402" s="13">
        <f t="shared" si="25"/>
        <v>169</v>
      </c>
      <c r="O402" s="14">
        <f t="shared" si="26"/>
        <v>489</v>
      </c>
      <c r="P402" s="15">
        <f t="shared" si="27"/>
        <v>0.58915662650602407</v>
      </c>
    </row>
    <row r="403" spans="1:16" ht="15.75" hidden="1" customHeight="1" x14ac:dyDescent="0.3">
      <c r="A403" s="8" t="s">
        <v>58</v>
      </c>
      <c r="B403" s="9" t="s">
        <v>299</v>
      </c>
      <c r="C403" s="9" t="s">
        <v>79</v>
      </c>
      <c r="D403" s="9" t="s">
        <v>144</v>
      </c>
      <c r="E403" s="10">
        <v>44</v>
      </c>
      <c r="F403" s="9" t="s">
        <v>263</v>
      </c>
      <c r="G403" s="10">
        <v>44</v>
      </c>
      <c r="H403" s="9" t="s">
        <v>174</v>
      </c>
      <c r="I403" s="9" t="s">
        <v>175</v>
      </c>
      <c r="J403" s="9" t="s">
        <v>8</v>
      </c>
      <c r="K403" s="9"/>
      <c r="L403" s="9"/>
      <c r="M403" s="12">
        <f t="shared" si="24"/>
        <v>320</v>
      </c>
      <c r="N403" s="13">
        <f t="shared" si="25"/>
        <v>169</v>
      </c>
      <c r="O403" s="14">
        <f t="shared" si="26"/>
        <v>489</v>
      </c>
      <c r="P403" s="15">
        <f t="shared" si="27"/>
        <v>0.58915662650602407</v>
      </c>
    </row>
    <row r="404" spans="1:16" ht="15.75" hidden="1" customHeight="1" x14ac:dyDescent="0.3">
      <c r="A404" s="8" t="s">
        <v>58</v>
      </c>
      <c r="B404" s="9" t="s">
        <v>299</v>
      </c>
      <c r="C404" s="9" t="s">
        <v>111</v>
      </c>
      <c r="D404" s="9" t="s">
        <v>165</v>
      </c>
      <c r="E404" s="10">
        <v>4</v>
      </c>
      <c r="F404" s="9" t="s">
        <v>263</v>
      </c>
      <c r="G404" s="11">
        <v>0</v>
      </c>
      <c r="H404" s="9" t="s">
        <v>174</v>
      </c>
      <c r="I404" s="9" t="s">
        <v>175</v>
      </c>
      <c r="J404" s="9" t="s">
        <v>8</v>
      </c>
      <c r="K404" s="9"/>
      <c r="L404" s="9"/>
      <c r="M404" s="12">
        <f t="shared" si="24"/>
        <v>320</v>
      </c>
      <c r="N404" s="13">
        <f t="shared" si="25"/>
        <v>169</v>
      </c>
      <c r="O404" s="14">
        <f t="shared" si="26"/>
        <v>489</v>
      </c>
      <c r="P404" s="15">
        <f t="shared" si="27"/>
        <v>0.58915662650602407</v>
      </c>
    </row>
    <row r="405" spans="1:16" ht="15.75" hidden="1" customHeight="1" x14ac:dyDescent="0.3">
      <c r="A405" s="8" t="s">
        <v>58</v>
      </c>
      <c r="B405" s="9" t="s">
        <v>299</v>
      </c>
      <c r="C405" s="9" t="s">
        <v>111</v>
      </c>
      <c r="D405" s="9" t="s">
        <v>237</v>
      </c>
      <c r="E405" s="10">
        <v>3</v>
      </c>
      <c r="F405" s="9" t="s">
        <v>263</v>
      </c>
      <c r="G405" s="11">
        <v>0</v>
      </c>
      <c r="H405" s="9" t="s">
        <v>174</v>
      </c>
      <c r="I405" s="9" t="s">
        <v>175</v>
      </c>
      <c r="J405" s="9" t="s">
        <v>8</v>
      </c>
      <c r="K405" s="9"/>
      <c r="L405" s="9"/>
      <c r="M405" s="12">
        <f t="shared" si="24"/>
        <v>320</v>
      </c>
      <c r="N405" s="13">
        <f t="shared" si="25"/>
        <v>169</v>
      </c>
      <c r="O405" s="14">
        <f t="shared" si="26"/>
        <v>489</v>
      </c>
      <c r="P405" s="15">
        <f t="shared" si="27"/>
        <v>0.58915662650602407</v>
      </c>
    </row>
    <row r="406" spans="1:16" ht="15.75" hidden="1" customHeight="1" x14ac:dyDescent="0.3">
      <c r="A406" s="8" t="s">
        <v>58</v>
      </c>
      <c r="B406" s="9" t="s">
        <v>299</v>
      </c>
      <c r="C406" s="9" t="s">
        <v>111</v>
      </c>
      <c r="D406" s="9" t="s">
        <v>152</v>
      </c>
      <c r="E406" s="10">
        <v>4</v>
      </c>
      <c r="F406" s="9" t="s">
        <v>263</v>
      </c>
      <c r="G406" s="11">
        <v>0</v>
      </c>
      <c r="H406" s="9" t="s">
        <v>174</v>
      </c>
      <c r="I406" s="9" t="s">
        <v>175</v>
      </c>
      <c r="J406" s="9" t="s">
        <v>8</v>
      </c>
      <c r="K406" s="9"/>
      <c r="L406" s="9"/>
      <c r="M406" s="12">
        <f t="shared" si="24"/>
        <v>320</v>
      </c>
      <c r="N406" s="13">
        <f t="shared" si="25"/>
        <v>169</v>
      </c>
      <c r="O406" s="14">
        <f t="shared" si="26"/>
        <v>489</v>
      </c>
      <c r="P406" s="15">
        <f t="shared" si="27"/>
        <v>0.58915662650602407</v>
      </c>
    </row>
    <row r="407" spans="1:16" ht="15.75" hidden="1" customHeight="1" x14ac:dyDescent="0.3">
      <c r="A407" s="8" t="s">
        <v>58</v>
      </c>
      <c r="B407" s="9" t="s">
        <v>299</v>
      </c>
      <c r="C407" s="9" t="s">
        <v>111</v>
      </c>
      <c r="D407" s="9" t="s">
        <v>144</v>
      </c>
      <c r="E407" s="10">
        <v>5</v>
      </c>
      <c r="F407" s="9" t="s">
        <v>263</v>
      </c>
      <c r="G407" s="11">
        <v>0</v>
      </c>
      <c r="H407" s="9" t="s">
        <v>174</v>
      </c>
      <c r="I407" s="9" t="s">
        <v>175</v>
      </c>
      <c r="J407" s="9" t="s">
        <v>8</v>
      </c>
      <c r="K407" s="9"/>
      <c r="L407" s="9"/>
      <c r="M407" s="12">
        <f t="shared" si="24"/>
        <v>320</v>
      </c>
      <c r="N407" s="13">
        <f t="shared" si="25"/>
        <v>169</v>
      </c>
      <c r="O407" s="14">
        <f t="shared" si="26"/>
        <v>489</v>
      </c>
      <c r="P407" s="15">
        <f t="shared" si="27"/>
        <v>0.58915662650602407</v>
      </c>
    </row>
    <row r="408" spans="1:16" ht="12.75" hidden="1" customHeight="1" x14ac:dyDescent="0.3">
      <c r="A408" s="8" t="s">
        <v>58</v>
      </c>
      <c r="B408" s="9" t="s">
        <v>299</v>
      </c>
      <c r="C408" s="9" t="s">
        <v>80</v>
      </c>
      <c r="D408" s="9" t="s">
        <v>165</v>
      </c>
      <c r="E408" s="10">
        <v>3</v>
      </c>
      <c r="F408" s="9" t="s">
        <v>263</v>
      </c>
      <c r="G408" s="11">
        <v>0</v>
      </c>
      <c r="H408" s="9" t="s">
        <v>174</v>
      </c>
      <c r="I408" s="9" t="s">
        <v>175</v>
      </c>
      <c r="J408" s="9" t="s">
        <v>8</v>
      </c>
      <c r="K408" s="9"/>
      <c r="L408" s="9"/>
      <c r="M408" s="12">
        <f t="shared" si="24"/>
        <v>320</v>
      </c>
      <c r="N408" s="13">
        <f t="shared" si="25"/>
        <v>169</v>
      </c>
      <c r="O408" s="14">
        <f t="shared" si="26"/>
        <v>489</v>
      </c>
      <c r="P408" s="15">
        <f t="shared" si="27"/>
        <v>0.58915662650602407</v>
      </c>
    </row>
    <row r="409" spans="1:16" ht="15.75" hidden="1" customHeight="1" x14ac:dyDescent="0.3">
      <c r="A409" s="8" t="s">
        <v>58</v>
      </c>
      <c r="B409" s="9" t="s">
        <v>299</v>
      </c>
      <c r="C409" s="9" t="s">
        <v>80</v>
      </c>
      <c r="D409" s="9" t="s">
        <v>237</v>
      </c>
      <c r="E409" s="10">
        <v>3</v>
      </c>
      <c r="F409" s="9" t="s">
        <v>263</v>
      </c>
      <c r="G409" s="11">
        <v>0</v>
      </c>
      <c r="H409" s="9" t="s">
        <v>174</v>
      </c>
      <c r="I409" s="9" t="s">
        <v>175</v>
      </c>
      <c r="J409" s="9" t="s">
        <v>8</v>
      </c>
      <c r="K409" s="9"/>
      <c r="L409" s="9"/>
      <c r="M409" s="12">
        <f t="shared" si="24"/>
        <v>320</v>
      </c>
      <c r="N409" s="13">
        <f t="shared" si="25"/>
        <v>169</v>
      </c>
      <c r="O409" s="14">
        <f t="shared" si="26"/>
        <v>489</v>
      </c>
      <c r="P409" s="15">
        <f t="shared" si="27"/>
        <v>0.58915662650602407</v>
      </c>
    </row>
    <row r="410" spans="1:16" ht="15.75" hidden="1" customHeight="1" x14ac:dyDescent="0.3">
      <c r="A410" s="8" t="s">
        <v>58</v>
      </c>
      <c r="B410" s="9" t="s">
        <v>299</v>
      </c>
      <c r="C410" s="9" t="s">
        <v>80</v>
      </c>
      <c r="D410" s="9" t="s">
        <v>152</v>
      </c>
      <c r="E410" s="10">
        <v>3</v>
      </c>
      <c r="F410" s="9" t="s">
        <v>263</v>
      </c>
      <c r="G410" s="11">
        <v>0</v>
      </c>
      <c r="H410" s="9" t="s">
        <v>174</v>
      </c>
      <c r="I410" s="9" t="s">
        <v>175</v>
      </c>
      <c r="J410" s="9" t="s">
        <v>8</v>
      </c>
      <c r="K410" s="9"/>
      <c r="L410" s="9"/>
      <c r="M410" s="12">
        <f t="shared" si="24"/>
        <v>320</v>
      </c>
      <c r="N410" s="13">
        <f t="shared" si="25"/>
        <v>169</v>
      </c>
      <c r="O410" s="14">
        <f t="shared" si="26"/>
        <v>489</v>
      </c>
      <c r="P410" s="15">
        <f t="shared" si="27"/>
        <v>0.58915662650602407</v>
      </c>
    </row>
    <row r="411" spans="1:16" ht="15.75" hidden="1" customHeight="1" x14ac:dyDescent="0.3">
      <c r="A411" s="8" t="s">
        <v>58</v>
      </c>
      <c r="B411" s="9" t="s">
        <v>299</v>
      </c>
      <c r="C411" s="9" t="s">
        <v>80</v>
      </c>
      <c r="D411" s="9" t="s">
        <v>144</v>
      </c>
      <c r="E411" s="10">
        <v>3</v>
      </c>
      <c r="F411" s="9" t="s">
        <v>263</v>
      </c>
      <c r="G411" s="11">
        <v>0</v>
      </c>
      <c r="H411" s="9" t="s">
        <v>174</v>
      </c>
      <c r="I411" s="9" t="s">
        <v>175</v>
      </c>
      <c r="J411" s="9" t="s">
        <v>8</v>
      </c>
      <c r="K411" s="9"/>
      <c r="L411" s="9"/>
      <c r="M411" s="12">
        <f t="shared" si="24"/>
        <v>320</v>
      </c>
      <c r="N411" s="13">
        <f t="shared" si="25"/>
        <v>169</v>
      </c>
      <c r="O411" s="14">
        <f t="shared" si="26"/>
        <v>489</v>
      </c>
      <c r="P411" s="15">
        <f t="shared" si="27"/>
        <v>0.58915662650602407</v>
      </c>
    </row>
    <row r="412" spans="1:16" ht="15.75" hidden="1" customHeight="1" x14ac:dyDescent="0.3">
      <c r="A412" s="8" t="s">
        <v>58</v>
      </c>
      <c r="B412" s="9" t="s">
        <v>301</v>
      </c>
      <c r="C412" s="9" t="s">
        <v>73</v>
      </c>
      <c r="D412" s="9" t="s">
        <v>300</v>
      </c>
      <c r="E412" s="10">
        <v>8</v>
      </c>
      <c r="F412" s="9" t="s">
        <v>263</v>
      </c>
      <c r="G412" s="10">
        <v>8</v>
      </c>
      <c r="H412" s="9" t="s">
        <v>171</v>
      </c>
      <c r="I412" s="9" t="s">
        <v>172</v>
      </c>
      <c r="J412" s="9" t="s">
        <v>8</v>
      </c>
      <c r="K412" s="9" t="s">
        <v>205</v>
      </c>
      <c r="L412" s="9" t="s">
        <v>302</v>
      </c>
      <c r="M412" s="12">
        <f t="shared" si="24"/>
        <v>339</v>
      </c>
      <c r="N412" s="13">
        <f t="shared" si="25"/>
        <v>296</v>
      </c>
      <c r="O412" s="14">
        <f t="shared" si="26"/>
        <v>635</v>
      </c>
      <c r="P412" s="15">
        <f t="shared" si="27"/>
        <v>0.76506024096385539</v>
      </c>
    </row>
    <row r="413" spans="1:16" ht="15.75" hidden="1" customHeight="1" x14ac:dyDescent="0.3">
      <c r="A413" s="8" t="s">
        <v>58</v>
      </c>
      <c r="B413" s="9" t="s">
        <v>301</v>
      </c>
      <c r="C413" s="9" t="s">
        <v>79</v>
      </c>
      <c r="D413" s="9" t="s">
        <v>165</v>
      </c>
      <c r="E413" s="10">
        <v>28</v>
      </c>
      <c r="F413" s="9" t="s">
        <v>263</v>
      </c>
      <c r="G413" s="10">
        <v>28</v>
      </c>
      <c r="H413" s="9" t="s">
        <v>171</v>
      </c>
      <c r="I413" s="9" t="s">
        <v>172</v>
      </c>
      <c r="J413" s="9" t="s">
        <v>8</v>
      </c>
      <c r="K413" s="9" t="s">
        <v>205</v>
      </c>
      <c r="L413" s="9" t="s">
        <v>303</v>
      </c>
      <c r="M413" s="12">
        <f t="shared" si="24"/>
        <v>339</v>
      </c>
      <c r="N413" s="13">
        <f t="shared" si="25"/>
        <v>296</v>
      </c>
      <c r="O413" s="14">
        <f t="shared" si="26"/>
        <v>635</v>
      </c>
      <c r="P413" s="15">
        <f t="shared" si="27"/>
        <v>0.76506024096385539</v>
      </c>
    </row>
    <row r="414" spans="1:16" ht="15.75" hidden="1" customHeight="1" x14ac:dyDescent="0.3">
      <c r="A414" s="8" t="s">
        <v>58</v>
      </c>
      <c r="B414" s="9" t="s">
        <v>301</v>
      </c>
      <c r="C414" s="9" t="s">
        <v>79</v>
      </c>
      <c r="D414" s="9" t="s">
        <v>237</v>
      </c>
      <c r="E414" s="10">
        <v>28</v>
      </c>
      <c r="F414" s="9" t="s">
        <v>263</v>
      </c>
      <c r="G414" s="10">
        <v>28</v>
      </c>
      <c r="H414" s="9" t="s">
        <v>171</v>
      </c>
      <c r="I414" s="9" t="s">
        <v>172</v>
      </c>
      <c r="J414" s="9" t="s">
        <v>8</v>
      </c>
      <c r="K414" s="9" t="s">
        <v>205</v>
      </c>
      <c r="L414" s="9" t="s">
        <v>303</v>
      </c>
      <c r="M414" s="12">
        <f t="shared" si="24"/>
        <v>339</v>
      </c>
      <c r="N414" s="13">
        <f t="shared" si="25"/>
        <v>296</v>
      </c>
      <c r="O414" s="14">
        <f t="shared" si="26"/>
        <v>635</v>
      </c>
      <c r="P414" s="15">
        <f t="shared" si="27"/>
        <v>0.76506024096385539</v>
      </c>
    </row>
    <row r="415" spans="1:16" ht="15.75" hidden="1" customHeight="1" x14ac:dyDescent="0.3">
      <c r="A415" s="8" t="s">
        <v>58</v>
      </c>
      <c r="B415" s="9" t="s">
        <v>301</v>
      </c>
      <c r="C415" s="9" t="s">
        <v>79</v>
      </c>
      <c r="D415" s="9" t="s">
        <v>152</v>
      </c>
      <c r="E415" s="10">
        <v>28</v>
      </c>
      <c r="F415" s="9" t="s">
        <v>263</v>
      </c>
      <c r="G415" s="10">
        <v>28</v>
      </c>
      <c r="H415" s="9" t="s">
        <v>171</v>
      </c>
      <c r="I415" s="9" t="s">
        <v>172</v>
      </c>
      <c r="J415" s="9" t="s">
        <v>8</v>
      </c>
      <c r="K415" s="9" t="s">
        <v>205</v>
      </c>
      <c r="L415" s="9" t="s">
        <v>303</v>
      </c>
      <c r="M415" s="12">
        <f t="shared" si="24"/>
        <v>339</v>
      </c>
      <c r="N415" s="13">
        <f t="shared" si="25"/>
        <v>296</v>
      </c>
      <c r="O415" s="14">
        <f t="shared" si="26"/>
        <v>635</v>
      </c>
      <c r="P415" s="15">
        <f t="shared" si="27"/>
        <v>0.76506024096385539</v>
      </c>
    </row>
    <row r="416" spans="1:16" ht="15.75" hidden="1" customHeight="1" x14ac:dyDescent="0.3">
      <c r="A416" s="8" t="s">
        <v>58</v>
      </c>
      <c r="B416" s="9" t="s">
        <v>301</v>
      </c>
      <c r="C416" s="9" t="s">
        <v>79</v>
      </c>
      <c r="D416" s="9" t="s">
        <v>144</v>
      </c>
      <c r="E416" s="10">
        <v>28</v>
      </c>
      <c r="F416" s="9" t="s">
        <v>263</v>
      </c>
      <c r="G416" s="10">
        <v>28</v>
      </c>
      <c r="H416" s="9" t="s">
        <v>171</v>
      </c>
      <c r="I416" s="9" t="s">
        <v>172</v>
      </c>
      <c r="J416" s="9" t="s">
        <v>8</v>
      </c>
      <c r="K416" s="9" t="s">
        <v>205</v>
      </c>
      <c r="L416" s="9" t="s">
        <v>303</v>
      </c>
      <c r="M416" s="12">
        <f t="shared" si="24"/>
        <v>339</v>
      </c>
      <c r="N416" s="13">
        <f t="shared" si="25"/>
        <v>296</v>
      </c>
      <c r="O416" s="14">
        <f t="shared" si="26"/>
        <v>635</v>
      </c>
      <c r="P416" s="15">
        <f t="shared" si="27"/>
        <v>0.76506024096385539</v>
      </c>
    </row>
    <row r="417" spans="1:36" ht="15.75" hidden="1" customHeight="1" x14ac:dyDescent="0.3">
      <c r="A417" s="8" t="s">
        <v>58</v>
      </c>
      <c r="B417" s="9" t="s">
        <v>301</v>
      </c>
      <c r="C417" s="9" t="s">
        <v>142</v>
      </c>
      <c r="D417" s="9" t="s">
        <v>165</v>
      </c>
      <c r="E417" s="10">
        <v>2</v>
      </c>
      <c r="F417" s="9" t="s">
        <v>263</v>
      </c>
      <c r="G417" s="11">
        <v>0</v>
      </c>
      <c r="H417" s="9" t="s">
        <v>171</v>
      </c>
      <c r="I417" s="9" t="s">
        <v>172</v>
      </c>
      <c r="J417" s="9" t="s">
        <v>8</v>
      </c>
      <c r="K417" s="9" t="s">
        <v>205</v>
      </c>
      <c r="L417" s="9" t="s">
        <v>303</v>
      </c>
      <c r="M417" s="12">
        <f t="shared" si="24"/>
        <v>339</v>
      </c>
      <c r="N417" s="13">
        <f t="shared" si="25"/>
        <v>296</v>
      </c>
      <c r="O417" s="14">
        <f t="shared" si="26"/>
        <v>635</v>
      </c>
      <c r="P417" s="15">
        <f t="shared" si="27"/>
        <v>0.76506024096385539</v>
      </c>
    </row>
    <row r="418" spans="1:36" ht="15.75" hidden="1" customHeight="1" x14ac:dyDescent="0.3">
      <c r="A418" s="8" t="s">
        <v>58</v>
      </c>
      <c r="B418" s="9" t="s">
        <v>301</v>
      </c>
      <c r="C418" s="9" t="s">
        <v>142</v>
      </c>
      <c r="D418" s="9" t="s">
        <v>237</v>
      </c>
      <c r="E418" s="10">
        <v>2</v>
      </c>
      <c r="F418" s="9" t="s">
        <v>263</v>
      </c>
      <c r="G418" s="11">
        <v>0</v>
      </c>
      <c r="H418" s="9" t="s">
        <v>171</v>
      </c>
      <c r="I418" s="9" t="s">
        <v>172</v>
      </c>
      <c r="J418" s="9" t="s">
        <v>8</v>
      </c>
      <c r="K418" s="9" t="s">
        <v>205</v>
      </c>
      <c r="L418" s="9" t="s">
        <v>303</v>
      </c>
      <c r="M418" s="12">
        <f t="shared" ref="M418:M481" si="28">SUMIFS($E$2:$E$1130,$A$2:$A$1130,"осень",$I$2:$I$1130,I418)</f>
        <v>339</v>
      </c>
      <c r="N418" s="13">
        <f t="shared" ref="N418:N481" si="29">SUMIFS($E$2:$E$1130,$A$2:$A$1130,"весна",$I$2:$I$1130,I418)</f>
        <v>296</v>
      </c>
      <c r="O418" s="14">
        <f t="shared" ref="O418:O481" si="30">M418+N418</f>
        <v>635</v>
      </c>
      <c r="P418" s="15">
        <f t="shared" ref="P418:P481" si="31">O418/$P$1</f>
        <v>0.76506024096385539</v>
      </c>
    </row>
    <row r="419" spans="1:36" ht="15.75" hidden="1" customHeight="1" x14ac:dyDescent="0.3">
      <c r="A419" s="8" t="s">
        <v>58</v>
      </c>
      <c r="B419" s="9" t="s">
        <v>301</v>
      </c>
      <c r="C419" s="9" t="s">
        <v>142</v>
      </c>
      <c r="D419" s="9" t="s">
        <v>152</v>
      </c>
      <c r="E419" s="10">
        <v>2</v>
      </c>
      <c r="F419" s="9" t="s">
        <v>263</v>
      </c>
      <c r="G419" s="11">
        <v>0</v>
      </c>
      <c r="H419" s="9" t="s">
        <v>171</v>
      </c>
      <c r="I419" s="9" t="s">
        <v>172</v>
      </c>
      <c r="J419" s="9" t="s">
        <v>8</v>
      </c>
      <c r="K419" s="9" t="s">
        <v>205</v>
      </c>
      <c r="L419" s="9" t="s">
        <v>303</v>
      </c>
      <c r="M419" s="12">
        <f t="shared" si="28"/>
        <v>339</v>
      </c>
      <c r="N419" s="13">
        <f t="shared" si="29"/>
        <v>296</v>
      </c>
      <c r="O419" s="14">
        <f t="shared" si="30"/>
        <v>635</v>
      </c>
      <c r="P419" s="15">
        <f t="shared" si="31"/>
        <v>0.76506024096385539</v>
      </c>
    </row>
    <row r="420" spans="1:36" ht="15.75" hidden="1" customHeight="1" x14ac:dyDescent="0.3">
      <c r="A420" s="8" t="s">
        <v>58</v>
      </c>
      <c r="B420" s="9" t="s">
        <v>301</v>
      </c>
      <c r="C420" s="9" t="s">
        <v>142</v>
      </c>
      <c r="D420" s="9" t="s">
        <v>144</v>
      </c>
      <c r="E420" s="10">
        <v>3</v>
      </c>
      <c r="F420" s="9" t="s">
        <v>263</v>
      </c>
      <c r="G420" s="11">
        <v>0</v>
      </c>
      <c r="H420" s="9" t="s">
        <v>171</v>
      </c>
      <c r="I420" s="9" t="s">
        <v>172</v>
      </c>
      <c r="J420" s="9" t="s">
        <v>8</v>
      </c>
      <c r="K420" s="9" t="s">
        <v>205</v>
      </c>
      <c r="L420" s="9" t="s">
        <v>303</v>
      </c>
      <c r="M420" s="12">
        <f t="shared" si="28"/>
        <v>339</v>
      </c>
      <c r="N420" s="13">
        <f t="shared" si="29"/>
        <v>296</v>
      </c>
      <c r="O420" s="14">
        <f t="shared" si="30"/>
        <v>635</v>
      </c>
      <c r="P420" s="15">
        <f t="shared" si="31"/>
        <v>0.76506024096385539</v>
      </c>
    </row>
    <row r="421" spans="1:36" ht="15.75" hidden="1" customHeight="1" x14ac:dyDescent="0.3">
      <c r="A421" s="8" t="s">
        <v>58</v>
      </c>
      <c r="B421" s="9" t="s">
        <v>304</v>
      </c>
      <c r="C421" s="9" t="s">
        <v>73</v>
      </c>
      <c r="D421" s="9" t="s">
        <v>300</v>
      </c>
      <c r="E421" s="10">
        <v>12</v>
      </c>
      <c r="F421" s="9" t="s">
        <v>263</v>
      </c>
      <c r="G421" s="10">
        <v>12</v>
      </c>
      <c r="H421" s="9" t="s">
        <v>67</v>
      </c>
      <c r="I421" s="9" t="s">
        <v>68</v>
      </c>
      <c r="J421" s="9" t="s">
        <v>4</v>
      </c>
      <c r="K421" s="9"/>
      <c r="L421" s="9" t="s">
        <v>254</v>
      </c>
      <c r="M421" s="12">
        <f t="shared" si="28"/>
        <v>366</v>
      </c>
      <c r="N421" s="13">
        <f t="shared" si="29"/>
        <v>175</v>
      </c>
      <c r="O421" s="14">
        <f t="shared" si="30"/>
        <v>541</v>
      </c>
      <c r="P421" s="15">
        <f t="shared" si="31"/>
        <v>0.65180722891566267</v>
      </c>
    </row>
    <row r="422" spans="1:36" ht="15.75" hidden="1" customHeight="1" x14ac:dyDescent="0.3">
      <c r="A422" s="8" t="s">
        <v>58</v>
      </c>
      <c r="B422" s="9" t="s">
        <v>304</v>
      </c>
      <c r="C422" s="9" t="s">
        <v>79</v>
      </c>
      <c r="D422" s="9" t="s">
        <v>165</v>
      </c>
      <c r="E422" s="10">
        <v>24</v>
      </c>
      <c r="F422" s="9" t="s">
        <v>263</v>
      </c>
      <c r="G422" s="10">
        <v>24</v>
      </c>
      <c r="H422" s="9" t="s">
        <v>67</v>
      </c>
      <c r="I422" s="9" t="s">
        <v>68</v>
      </c>
      <c r="J422" s="9" t="s">
        <v>4</v>
      </c>
      <c r="K422" s="9"/>
      <c r="L422" s="9" t="s">
        <v>254</v>
      </c>
      <c r="M422" s="12">
        <f t="shared" si="28"/>
        <v>366</v>
      </c>
      <c r="N422" s="13">
        <f t="shared" si="29"/>
        <v>175</v>
      </c>
      <c r="O422" s="14">
        <f t="shared" si="30"/>
        <v>541</v>
      </c>
      <c r="P422" s="15">
        <f t="shared" si="31"/>
        <v>0.65180722891566267</v>
      </c>
    </row>
    <row r="423" spans="1:36" ht="15.75" hidden="1" customHeight="1" x14ac:dyDescent="0.3">
      <c r="A423" s="8" t="s">
        <v>58</v>
      </c>
      <c r="B423" s="9" t="s">
        <v>304</v>
      </c>
      <c r="C423" s="9" t="s">
        <v>79</v>
      </c>
      <c r="D423" s="9" t="s">
        <v>237</v>
      </c>
      <c r="E423" s="10">
        <v>24</v>
      </c>
      <c r="F423" s="9" t="s">
        <v>263</v>
      </c>
      <c r="G423" s="10">
        <v>24</v>
      </c>
      <c r="H423" s="9" t="s">
        <v>67</v>
      </c>
      <c r="I423" s="9" t="s">
        <v>68</v>
      </c>
      <c r="J423" s="9" t="s">
        <v>4</v>
      </c>
      <c r="K423" s="9"/>
      <c r="L423" s="9" t="s">
        <v>254</v>
      </c>
      <c r="M423" s="12">
        <f t="shared" si="28"/>
        <v>366</v>
      </c>
      <c r="N423" s="13">
        <f t="shared" si="29"/>
        <v>175</v>
      </c>
      <c r="O423" s="14">
        <f t="shared" si="30"/>
        <v>541</v>
      </c>
      <c r="P423" s="15">
        <f t="shared" si="31"/>
        <v>0.65180722891566267</v>
      </c>
    </row>
    <row r="424" spans="1:36" ht="15.75" hidden="1" customHeight="1" x14ac:dyDescent="0.3">
      <c r="A424" s="8" t="s">
        <v>58</v>
      </c>
      <c r="B424" s="9" t="s">
        <v>304</v>
      </c>
      <c r="C424" s="9" t="s">
        <v>79</v>
      </c>
      <c r="D424" s="9" t="s">
        <v>152</v>
      </c>
      <c r="E424" s="10">
        <v>24</v>
      </c>
      <c r="F424" s="9" t="s">
        <v>263</v>
      </c>
      <c r="G424" s="10">
        <v>24</v>
      </c>
      <c r="H424" s="9" t="s">
        <v>67</v>
      </c>
      <c r="I424" s="9" t="s">
        <v>68</v>
      </c>
      <c r="J424" s="9" t="s">
        <v>4</v>
      </c>
      <c r="K424" s="9"/>
      <c r="L424" s="9" t="s">
        <v>254</v>
      </c>
      <c r="M424" s="12">
        <f t="shared" si="28"/>
        <v>366</v>
      </c>
      <c r="N424" s="13">
        <f t="shared" si="29"/>
        <v>175</v>
      </c>
      <c r="O424" s="14">
        <f t="shared" si="30"/>
        <v>541</v>
      </c>
      <c r="P424" s="15">
        <f t="shared" si="31"/>
        <v>0.65180722891566267</v>
      </c>
    </row>
    <row r="425" spans="1:36" ht="15.75" hidden="1" customHeight="1" x14ac:dyDescent="0.3">
      <c r="A425" s="8" t="s">
        <v>58</v>
      </c>
      <c r="B425" s="9" t="s">
        <v>304</v>
      </c>
      <c r="C425" s="9" t="s">
        <v>79</v>
      </c>
      <c r="D425" s="9" t="s">
        <v>144</v>
      </c>
      <c r="E425" s="10">
        <v>24</v>
      </c>
      <c r="F425" s="9" t="s">
        <v>263</v>
      </c>
      <c r="G425" s="10">
        <v>24</v>
      </c>
      <c r="H425" s="9" t="s">
        <v>67</v>
      </c>
      <c r="I425" s="9" t="s">
        <v>68</v>
      </c>
      <c r="J425" s="9" t="s">
        <v>4</v>
      </c>
      <c r="K425" s="9"/>
      <c r="L425" s="9" t="s">
        <v>254</v>
      </c>
      <c r="M425" s="12">
        <f t="shared" si="28"/>
        <v>366</v>
      </c>
      <c r="N425" s="13">
        <f t="shared" si="29"/>
        <v>175</v>
      </c>
      <c r="O425" s="14">
        <f t="shared" si="30"/>
        <v>541</v>
      </c>
      <c r="P425" s="15">
        <f t="shared" si="31"/>
        <v>0.65180722891566267</v>
      </c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</row>
    <row r="426" spans="1:36" ht="15.75" hidden="1" customHeight="1" x14ac:dyDescent="0.3">
      <c r="A426" s="8" t="s">
        <v>58</v>
      </c>
      <c r="B426" s="9" t="s">
        <v>304</v>
      </c>
      <c r="C426" s="9" t="s">
        <v>142</v>
      </c>
      <c r="D426" s="9" t="s">
        <v>165</v>
      </c>
      <c r="E426" s="10">
        <v>2</v>
      </c>
      <c r="F426" s="9" t="s">
        <v>263</v>
      </c>
      <c r="G426" s="11">
        <v>0</v>
      </c>
      <c r="H426" s="9" t="s">
        <v>67</v>
      </c>
      <c r="I426" s="9" t="s">
        <v>68</v>
      </c>
      <c r="J426" s="9" t="s">
        <v>4</v>
      </c>
      <c r="K426" s="9"/>
      <c r="L426" s="9" t="s">
        <v>254</v>
      </c>
      <c r="M426" s="12">
        <f t="shared" si="28"/>
        <v>366</v>
      </c>
      <c r="N426" s="13">
        <f t="shared" si="29"/>
        <v>175</v>
      </c>
      <c r="O426" s="14">
        <f t="shared" si="30"/>
        <v>541</v>
      </c>
      <c r="P426" s="15">
        <f t="shared" si="31"/>
        <v>0.65180722891566267</v>
      </c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</row>
    <row r="427" spans="1:36" ht="15.75" hidden="1" customHeight="1" x14ac:dyDescent="0.3">
      <c r="A427" s="8" t="s">
        <v>58</v>
      </c>
      <c r="B427" s="9" t="s">
        <v>304</v>
      </c>
      <c r="C427" s="9" t="s">
        <v>142</v>
      </c>
      <c r="D427" s="9" t="s">
        <v>237</v>
      </c>
      <c r="E427" s="10">
        <v>2</v>
      </c>
      <c r="F427" s="9" t="s">
        <v>263</v>
      </c>
      <c r="G427" s="11">
        <v>0</v>
      </c>
      <c r="H427" s="9" t="s">
        <v>67</v>
      </c>
      <c r="I427" s="9" t="s">
        <v>68</v>
      </c>
      <c r="J427" s="9" t="s">
        <v>4</v>
      </c>
      <c r="K427" s="9"/>
      <c r="L427" s="9" t="s">
        <v>254</v>
      </c>
      <c r="M427" s="12">
        <f t="shared" si="28"/>
        <v>366</v>
      </c>
      <c r="N427" s="13">
        <f t="shared" si="29"/>
        <v>175</v>
      </c>
      <c r="O427" s="14">
        <f t="shared" si="30"/>
        <v>541</v>
      </c>
      <c r="P427" s="15">
        <f t="shared" si="31"/>
        <v>0.65180722891566267</v>
      </c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</row>
    <row r="428" spans="1:36" ht="15.75" hidden="1" customHeight="1" x14ac:dyDescent="0.3">
      <c r="A428" s="8" t="s">
        <v>58</v>
      </c>
      <c r="B428" s="9" t="s">
        <v>304</v>
      </c>
      <c r="C428" s="9" t="s">
        <v>142</v>
      </c>
      <c r="D428" s="9" t="s">
        <v>152</v>
      </c>
      <c r="E428" s="10">
        <v>2</v>
      </c>
      <c r="F428" s="9" t="s">
        <v>263</v>
      </c>
      <c r="G428" s="11">
        <v>0</v>
      </c>
      <c r="H428" s="9" t="s">
        <v>67</v>
      </c>
      <c r="I428" s="9" t="s">
        <v>68</v>
      </c>
      <c r="J428" s="9" t="s">
        <v>4</v>
      </c>
      <c r="K428" s="9"/>
      <c r="L428" s="9" t="s">
        <v>254</v>
      </c>
      <c r="M428" s="12">
        <f t="shared" si="28"/>
        <v>366</v>
      </c>
      <c r="N428" s="13">
        <f t="shared" si="29"/>
        <v>175</v>
      </c>
      <c r="O428" s="14">
        <f t="shared" si="30"/>
        <v>541</v>
      </c>
      <c r="P428" s="15">
        <f t="shared" si="31"/>
        <v>0.65180722891566267</v>
      </c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</row>
    <row r="429" spans="1:36" ht="15.75" hidden="1" customHeight="1" x14ac:dyDescent="0.3">
      <c r="A429" s="8" t="s">
        <v>58</v>
      </c>
      <c r="B429" s="9" t="s">
        <v>304</v>
      </c>
      <c r="C429" s="9" t="s">
        <v>142</v>
      </c>
      <c r="D429" s="9" t="s">
        <v>144</v>
      </c>
      <c r="E429" s="10">
        <v>3</v>
      </c>
      <c r="F429" s="9" t="s">
        <v>263</v>
      </c>
      <c r="G429" s="11">
        <v>0</v>
      </c>
      <c r="H429" s="9" t="s">
        <v>67</v>
      </c>
      <c r="I429" s="9" t="s">
        <v>68</v>
      </c>
      <c r="J429" s="9" t="s">
        <v>4</v>
      </c>
      <c r="K429" s="9"/>
      <c r="L429" s="9" t="s">
        <v>254</v>
      </c>
      <c r="M429" s="12">
        <f t="shared" si="28"/>
        <v>366</v>
      </c>
      <c r="N429" s="13">
        <f t="shared" si="29"/>
        <v>175</v>
      </c>
      <c r="O429" s="14">
        <f t="shared" si="30"/>
        <v>541</v>
      </c>
      <c r="P429" s="15">
        <f t="shared" si="31"/>
        <v>0.65180722891566267</v>
      </c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</row>
    <row r="430" spans="1:36" ht="15.75" hidden="1" customHeight="1" x14ac:dyDescent="0.3">
      <c r="A430" s="8" t="s">
        <v>58</v>
      </c>
      <c r="B430" s="9" t="s">
        <v>304</v>
      </c>
      <c r="C430" s="9" t="s">
        <v>80</v>
      </c>
      <c r="D430" s="9" t="s">
        <v>165</v>
      </c>
      <c r="E430" s="10">
        <v>1</v>
      </c>
      <c r="F430" s="9" t="s">
        <v>263</v>
      </c>
      <c r="G430" s="11">
        <v>0</v>
      </c>
      <c r="H430" s="9" t="s">
        <v>67</v>
      </c>
      <c r="I430" s="9" t="s">
        <v>68</v>
      </c>
      <c r="J430" s="9" t="s">
        <v>4</v>
      </c>
      <c r="K430" s="9"/>
      <c r="L430" s="9" t="s">
        <v>254</v>
      </c>
      <c r="M430" s="12">
        <f t="shared" si="28"/>
        <v>366</v>
      </c>
      <c r="N430" s="13">
        <f t="shared" si="29"/>
        <v>175</v>
      </c>
      <c r="O430" s="14">
        <f t="shared" si="30"/>
        <v>541</v>
      </c>
      <c r="P430" s="15">
        <f t="shared" si="31"/>
        <v>0.65180722891566267</v>
      </c>
    </row>
    <row r="431" spans="1:36" ht="15.75" hidden="1" customHeight="1" x14ac:dyDescent="0.3">
      <c r="A431" s="8" t="s">
        <v>58</v>
      </c>
      <c r="B431" s="9" t="s">
        <v>304</v>
      </c>
      <c r="C431" s="9" t="s">
        <v>80</v>
      </c>
      <c r="D431" s="9" t="s">
        <v>237</v>
      </c>
      <c r="E431" s="10">
        <v>1</v>
      </c>
      <c r="F431" s="9" t="s">
        <v>263</v>
      </c>
      <c r="G431" s="11">
        <v>0</v>
      </c>
      <c r="H431" s="9" t="s">
        <v>67</v>
      </c>
      <c r="I431" s="9" t="s">
        <v>68</v>
      </c>
      <c r="J431" s="9" t="s">
        <v>4</v>
      </c>
      <c r="K431" s="9"/>
      <c r="L431" s="9" t="s">
        <v>254</v>
      </c>
      <c r="M431" s="12">
        <f t="shared" si="28"/>
        <v>366</v>
      </c>
      <c r="N431" s="13">
        <f t="shared" si="29"/>
        <v>175</v>
      </c>
      <c r="O431" s="14">
        <f t="shared" si="30"/>
        <v>541</v>
      </c>
      <c r="P431" s="15">
        <f t="shared" si="31"/>
        <v>0.65180722891566267</v>
      </c>
    </row>
    <row r="432" spans="1:36" ht="15.75" hidden="1" customHeight="1" x14ac:dyDescent="0.3">
      <c r="A432" s="8" t="s">
        <v>58</v>
      </c>
      <c r="B432" s="9" t="s">
        <v>304</v>
      </c>
      <c r="C432" s="9" t="s">
        <v>80</v>
      </c>
      <c r="D432" s="9" t="s">
        <v>152</v>
      </c>
      <c r="E432" s="10">
        <v>1</v>
      </c>
      <c r="F432" s="9" t="s">
        <v>263</v>
      </c>
      <c r="G432" s="11">
        <v>0</v>
      </c>
      <c r="H432" s="9" t="s">
        <v>67</v>
      </c>
      <c r="I432" s="9" t="s">
        <v>68</v>
      </c>
      <c r="J432" s="9" t="s">
        <v>4</v>
      </c>
      <c r="K432" s="9"/>
      <c r="L432" s="9" t="s">
        <v>254</v>
      </c>
      <c r="M432" s="12">
        <f t="shared" si="28"/>
        <v>366</v>
      </c>
      <c r="N432" s="13">
        <f t="shared" si="29"/>
        <v>175</v>
      </c>
      <c r="O432" s="14">
        <f t="shared" si="30"/>
        <v>541</v>
      </c>
      <c r="P432" s="15">
        <f t="shared" si="31"/>
        <v>0.65180722891566267</v>
      </c>
    </row>
    <row r="433" spans="1:16" ht="15.75" hidden="1" customHeight="1" x14ac:dyDescent="0.3">
      <c r="A433" s="8" t="s">
        <v>58</v>
      </c>
      <c r="B433" s="9" t="s">
        <v>304</v>
      </c>
      <c r="C433" s="9" t="s">
        <v>80</v>
      </c>
      <c r="D433" s="9" t="s">
        <v>144</v>
      </c>
      <c r="E433" s="10">
        <v>1</v>
      </c>
      <c r="F433" s="9" t="s">
        <v>263</v>
      </c>
      <c r="G433" s="11">
        <v>0</v>
      </c>
      <c r="H433" s="9" t="s">
        <v>67</v>
      </c>
      <c r="I433" s="9" t="s">
        <v>68</v>
      </c>
      <c r="J433" s="9" t="s">
        <v>4</v>
      </c>
      <c r="K433" s="9"/>
      <c r="L433" s="9" t="s">
        <v>254</v>
      </c>
      <c r="M433" s="12">
        <f t="shared" si="28"/>
        <v>366</v>
      </c>
      <c r="N433" s="13">
        <f t="shared" si="29"/>
        <v>175</v>
      </c>
      <c r="O433" s="14">
        <f t="shared" si="30"/>
        <v>541</v>
      </c>
      <c r="P433" s="15">
        <f t="shared" si="31"/>
        <v>0.65180722891566267</v>
      </c>
    </row>
    <row r="434" spans="1:16" ht="15.75" hidden="1" customHeight="1" x14ac:dyDescent="0.3">
      <c r="A434" s="8" t="s">
        <v>58</v>
      </c>
      <c r="B434" s="9" t="s">
        <v>305</v>
      </c>
      <c r="C434" s="9" t="s">
        <v>73</v>
      </c>
      <c r="D434" s="9" t="s">
        <v>300</v>
      </c>
      <c r="E434" s="10">
        <v>20</v>
      </c>
      <c r="F434" s="9" t="s">
        <v>263</v>
      </c>
      <c r="G434" s="10">
        <v>20</v>
      </c>
      <c r="H434" s="9" t="s">
        <v>154</v>
      </c>
      <c r="I434" s="9" t="s">
        <v>155</v>
      </c>
      <c r="J434" s="9"/>
      <c r="K434" s="9"/>
      <c r="L434" s="9" t="s">
        <v>156</v>
      </c>
      <c r="M434" s="12">
        <f t="shared" si="28"/>
        <v>302</v>
      </c>
      <c r="N434" s="13">
        <f t="shared" si="29"/>
        <v>124.5</v>
      </c>
      <c r="O434" s="14">
        <f t="shared" si="30"/>
        <v>426.5</v>
      </c>
      <c r="P434" s="15">
        <f t="shared" si="31"/>
        <v>0.51385542168674703</v>
      </c>
    </row>
    <row r="435" spans="1:16" ht="15.75" hidden="1" customHeight="1" x14ac:dyDescent="0.3">
      <c r="A435" s="8" t="s">
        <v>58</v>
      </c>
      <c r="B435" s="9" t="s">
        <v>305</v>
      </c>
      <c r="C435" s="9" t="s">
        <v>87</v>
      </c>
      <c r="D435" s="9" t="s">
        <v>165</v>
      </c>
      <c r="E435" s="10">
        <v>2</v>
      </c>
      <c r="F435" s="9" t="s">
        <v>263</v>
      </c>
      <c r="G435" s="11">
        <v>0</v>
      </c>
      <c r="H435" s="9" t="s">
        <v>154</v>
      </c>
      <c r="I435" s="9" t="s">
        <v>155</v>
      </c>
      <c r="J435" s="9"/>
      <c r="K435" s="9"/>
      <c r="L435" s="9" t="s">
        <v>156</v>
      </c>
      <c r="M435" s="12">
        <f t="shared" si="28"/>
        <v>302</v>
      </c>
      <c r="N435" s="13">
        <f t="shared" si="29"/>
        <v>124.5</v>
      </c>
      <c r="O435" s="14">
        <f t="shared" si="30"/>
        <v>426.5</v>
      </c>
      <c r="P435" s="15">
        <f t="shared" si="31"/>
        <v>0.51385542168674703</v>
      </c>
    </row>
    <row r="436" spans="1:16" ht="15.75" hidden="1" customHeight="1" x14ac:dyDescent="0.3">
      <c r="A436" s="8" t="s">
        <v>58</v>
      </c>
      <c r="B436" s="9" t="s">
        <v>305</v>
      </c>
      <c r="C436" s="9" t="s">
        <v>87</v>
      </c>
      <c r="D436" s="9" t="s">
        <v>237</v>
      </c>
      <c r="E436" s="10">
        <v>2</v>
      </c>
      <c r="F436" s="9" t="s">
        <v>263</v>
      </c>
      <c r="G436" s="11">
        <v>0</v>
      </c>
      <c r="H436" s="9" t="s">
        <v>154</v>
      </c>
      <c r="I436" s="9" t="s">
        <v>155</v>
      </c>
      <c r="J436" s="9"/>
      <c r="K436" s="9"/>
      <c r="L436" s="9" t="s">
        <v>156</v>
      </c>
      <c r="M436" s="12">
        <f t="shared" si="28"/>
        <v>302</v>
      </c>
      <c r="N436" s="13">
        <f t="shared" si="29"/>
        <v>124.5</v>
      </c>
      <c r="O436" s="14">
        <f t="shared" si="30"/>
        <v>426.5</v>
      </c>
      <c r="P436" s="15">
        <f t="shared" si="31"/>
        <v>0.51385542168674703</v>
      </c>
    </row>
    <row r="437" spans="1:16" ht="15.75" hidden="1" customHeight="1" x14ac:dyDescent="0.3">
      <c r="A437" s="8" t="s">
        <v>58</v>
      </c>
      <c r="B437" s="9" t="s">
        <v>305</v>
      </c>
      <c r="C437" s="9" t="s">
        <v>87</v>
      </c>
      <c r="D437" s="9" t="s">
        <v>152</v>
      </c>
      <c r="E437" s="10">
        <v>2</v>
      </c>
      <c r="F437" s="9" t="s">
        <v>263</v>
      </c>
      <c r="G437" s="11">
        <v>0</v>
      </c>
      <c r="H437" s="9" t="s">
        <v>154</v>
      </c>
      <c r="I437" s="9" t="s">
        <v>155</v>
      </c>
      <c r="J437" s="9"/>
      <c r="K437" s="9"/>
      <c r="L437" s="9" t="s">
        <v>156</v>
      </c>
      <c r="M437" s="12">
        <f t="shared" si="28"/>
        <v>302</v>
      </c>
      <c r="N437" s="13">
        <f t="shared" si="29"/>
        <v>124.5</v>
      </c>
      <c r="O437" s="14">
        <f t="shared" si="30"/>
        <v>426.5</v>
      </c>
      <c r="P437" s="15">
        <f t="shared" si="31"/>
        <v>0.51385542168674703</v>
      </c>
    </row>
    <row r="438" spans="1:16" ht="15.75" hidden="1" customHeight="1" x14ac:dyDescent="0.3">
      <c r="A438" s="8" t="s">
        <v>58</v>
      </c>
      <c r="B438" s="9" t="s">
        <v>305</v>
      </c>
      <c r="C438" s="9" t="s">
        <v>87</v>
      </c>
      <c r="D438" s="9" t="s">
        <v>144</v>
      </c>
      <c r="E438" s="10">
        <v>3</v>
      </c>
      <c r="F438" s="9" t="s">
        <v>263</v>
      </c>
      <c r="G438" s="11">
        <v>0</v>
      </c>
      <c r="H438" s="9" t="s">
        <v>154</v>
      </c>
      <c r="I438" s="9" t="s">
        <v>155</v>
      </c>
      <c r="J438" s="9"/>
      <c r="K438" s="9"/>
      <c r="L438" s="9" t="s">
        <v>156</v>
      </c>
      <c r="M438" s="12">
        <f t="shared" si="28"/>
        <v>302</v>
      </c>
      <c r="N438" s="13">
        <f t="shared" si="29"/>
        <v>124.5</v>
      </c>
      <c r="O438" s="14">
        <f t="shared" si="30"/>
        <v>426.5</v>
      </c>
      <c r="P438" s="15">
        <f t="shared" si="31"/>
        <v>0.51385542168674703</v>
      </c>
    </row>
    <row r="439" spans="1:16" ht="15.75" hidden="1" customHeight="1" x14ac:dyDescent="0.3">
      <c r="A439" s="8" t="s">
        <v>58</v>
      </c>
      <c r="B439" s="9" t="s">
        <v>305</v>
      </c>
      <c r="C439" s="9" t="s">
        <v>79</v>
      </c>
      <c r="D439" s="9" t="s">
        <v>165</v>
      </c>
      <c r="E439" s="10">
        <v>34</v>
      </c>
      <c r="F439" s="9" t="s">
        <v>263</v>
      </c>
      <c r="G439" s="10">
        <v>34</v>
      </c>
      <c r="H439" s="9" t="s">
        <v>306</v>
      </c>
      <c r="I439" s="9" t="s">
        <v>307</v>
      </c>
      <c r="J439" s="9"/>
      <c r="K439" s="9"/>
      <c r="L439" s="9" t="s">
        <v>308</v>
      </c>
      <c r="M439" s="12">
        <f t="shared" si="28"/>
        <v>68</v>
      </c>
      <c r="N439" s="13">
        <f t="shared" si="29"/>
        <v>72</v>
      </c>
      <c r="O439" s="14">
        <f t="shared" si="30"/>
        <v>140</v>
      </c>
      <c r="P439" s="15">
        <f t="shared" si="31"/>
        <v>0.16867469879518071</v>
      </c>
    </row>
    <row r="440" spans="1:16" ht="15.75" hidden="1" customHeight="1" x14ac:dyDescent="0.3">
      <c r="A440" s="8" t="s">
        <v>58</v>
      </c>
      <c r="B440" s="9" t="s">
        <v>305</v>
      </c>
      <c r="C440" s="9" t="s">
        <v>79</v>
      </c>
      <c r="D440" s="9" t="s">
        <v>237</v>
      </c>
      <c r="E440" s="10">
        <v>34</v>
      </c>
      <c r="F440" s="9" t="s">
        <v>263</v>
      </c>
      <c r="G440" s="10">
        <v>34</v>
      </c>
      <c r="H440" s="9" t="s">
        <v>306</v>
      </c>
      <c r="I440" s="9" t="s">
        <v>307</v>
      </c>
      <c r="J440" s="9"/>
      <c r="K440" s="9"/>
      <c r="L440" s="9" t="s">
        <v>308</v>
      </c>
      <c r="M440" s="12">
        <f t="shared" si="28"/>
        <v>68</v>
      </c>
      <c r="N440" s="13">
        <f t="shared" si="29"/>
        <v>72</v>
      </c>
      <c r="O440" s="14">
        <f t="shared" si="30"/>
        <v>140</v>
      </c>
      <c r="P440" s="15">
        <f t="shared" si="31"/>
        <v>0.16867469879518071</v>
      </c>
    </row>
    <row r="441" spans="1:16" ht="15.75" hidden="1" customHeight="1" x14ac:dyDescent="0.3">
      <c r="A441" s="8" t="s">
        <v>58</v>
      </c>
      <c r="B441" s="9" t="s">
        <v>305</v>
      </c>
      <c r="C441" s="9" t="s">
        <v>79</v>
      </c>
      <c r="D441" s="9" t="s">
        <v>152</v>
      </c>
      <c r="E441" s="10">
        <v>34</v>
      </c>
      <c r="F441" s="9" t="s">
        <v>263</v>
      </c>
      <c r="G441" s="10">
        <v>34</v>
      </c>
      <c r="H441" s="9" t="s">
        <v>154</v>
      </c>
      <c r="I441" s="9" t="s">
        <v>155</v>
      </c>
      <c r="J441" s="9"/>
      <c r="K441" s="9"/>
      <c r="L441" s="9" t="s">
        <v>156</v>
      </c>
      <c r="M441" s="12">
        <f t="shared" si="28"/>
        <v>302</v>
      </c>
      <c r="N441" s="13">
        <f t="shared" si="29"/>
        <v>124.5</v>
      </c>
      <c r="O441" s="14">
        <f t="shared" si="30"/>
        <v>426.5</v>
      </c>
      <c r="P441" s="15">
        <f t="shared" si="31"/>
        <v>0.51385542168674703</v>
      </c>
    </row>
    <row r="442" spans="1:16" ht="15.75" hidden="1" customHeight="1" x14ac:dyDescent="0.3">
      <c r="A442" s="8" t="s">
        <v>58</v>
      </c>
      <c r="B442" s="9" t="s">
        <v>305</v>
      </c>
      <c r="C442" s="9" t="s">
        <v>79</v>
      </c>
      <c r="D442" s="9" t="s">
        <v>144</v>
      </c>
      <c r="E442" s="10">
        <v>34</v>
      </c>
      <c r="F442" s="9" t="s">
        <v>263</v>
      </c>
      <c r="G442" s="10">
        <v>34</v>
      </c>
      <c r="H442" s="9" t="s">
        <v>154</v>
      </c>
      <c r="I442" s="9" t="s">
        <v>155</v>
      </c>
      <c r="J442" s="9"/>
      <c r="K442" s="9"/>
      <c r="L442" s="9" t="s">
        <v>156</v>
      </c>
      <c r="M442" s="12">
        <f t="shared" si="28"/>
        <v>302</v>
      </c>
      <c r="N442" s="13">
        <f t="shared" si="29"/>
        <v>124.5</v>
      </c>
      <c r="O442" s="14">
        <f t="shared" si="30"/>
        <v>426.5</v>
      </c>
      <c r="P442" s="15">
        <f t="shared" si="31"/>
        <v>0.51385542168674703</v>
      </c>
    </row>
    <row r="443" spans="1:16" ht="15.75" hidden="1" customHeight="1" x14ac:dyDescent="0.3">
      <c r="A443" s="8" t="s">
        <v>58</v>
      </c>
      <c r="B443" s="9" t="s">
        <v>305</v>
      </c>
      <c r="C443" s="9" t="s">
        <v>80</v>
      </c>
      <c r="D443" s="9" t="s">
        <v>165</v>
      </c>
      <c r="E443" s="10">
        <v>1</v>
      </c>
      <c r="F443" s="9" t="s">
        <v>263</v>
      </c>
      <c r="G443" s="11">
        <v>0</v>
      </c>
      <c r="H443" s="9" t="s">
        <v>154</v>
      </c>
      <c r="I443" s="9" t="s">
        <v>155</v>
      </c>
      <c r="J443" s="9"/>
      <c r="K443" s="9"/>
      <c r="L443" s="9" t="s">
        <v>156</v>
      </c>
      <c r="M443" s="12">
        <f t="shared" si="28"/>
        <v>302</v>
      </c>
      <c r="N443" s="13">
        <f t="shared" si="29"/>
        <v>124.5</v>
      </c>
      <c r="O443" s="14">
        <f t="shared" si="30"/>
        <v>426.5</v>
      </c>
      <c r="P443" s="15">
        <f t="shared" si="31"/>
        <v>0.51385542168674703</v>
      </c>
    </row>
    <row r="444" spans="1:16" ht="15.75" hidden="1" customHeight="1" x14ac:dyDescent="0.3">
      <c r="A444" s="8" t="s">
        <v>58</v>
      </c>
      <c r="B444" s="9" t="s">
        <v>305</v>
      </c>
      <c r="C444" s="9" t="s">
        <v>80</v>
      </c>
      <c r="D444" s="9" t="s">
        <v>237</v>
      </c>
      <c r="E444" s="10">
        <v>1</v>
      </c>
      <c r="F444" s="9" t="s">
        <v>263</v>
      </c>
      <c r="G444" s="11">
        <v>0</v>
      </c>
      <c r="H444" s="9" t="s">
        <v>154</v>
      </c>
      <c r="I444" s="9" t="s">
        <v>155</v>
      </c>
      <c r="J444" s="9"/>
      <c r="K444" s="9"/>
      <c r="L444" s="9" t="s">
        <v>156</v>
      </c>
      <c r="M444" s="12">
        <f t="shared" si="28"/>
        <v>302</v>
      </c>
      <c r="N444" s="13">
        <f t="shared" si="29"/>
        <v>124.5</v>
      </c>
      <c r="O444" s="14">
        <f t="shared" si="30"/>
        <v>426.5</v>
      </c>
      <c r="P444" s="15">
        <f t="shared" si="31"/>
        <v>0.51385542168674703</v>
      </c>
    </row>
    <row r="445" spans="1:16" ht="15.75" hidden="1" customHeight="1" x14ac:dyDescent="0.3">
      <c r="A445" s="8" t="s">
        <v>58</v>
      </c>
      <c r="B445" s="9" t="s">
        <v>305</v>
      </c>
      <c r="C445" s="9" t="s">
        <v>80</v>
      </c>
      <c r="D445" s="9" t="s">
        <v>152</v>
      </c>
      <c r="E445" s="10">
        <v>1</v>
      </c>
      <c r="F445" s="9" t="s">
        <v>263</v>
      </c>
      <c r="G445" s="11">
        <v>0</v>
      </c>
      <c r="H445" s="9" t="s">
        <v>154</v>
      </c>
      <c r="I445" s="9" t="s">
        <v>155</v>
      </c>
      <c r="J445" s="9"/>
      <c r="K445" s="9"/>
      <c r="L445" s="9" t="s">
        <v>156</v>
      </c>
      <c r="M445" s="12">
        <f t="shared" si="28"/>
        <v>302</v>
      </c>
      <c r="N445" s="13">
        <f t="shared" si="29"/>
        <v>124.5</v>
      </c>
      <c r="O445" s="14">
        <f t="shared" si="30"/>
        <v>426.5</v>
      </c>
      <c r="P445" s="15">
        <f t="shared" si="31"/>
        <v>0.51385542168674703</v>
      </c>
    </row>
    <row r="446" spans="1:16" ht="15.75" hidden="1" customHeight="1" x14ac:dyDescent="0.3">
      <c r="A446" s="8" t="s">
        <v>58</v>
      </c>
      <c r="B446" s="9" t="s">
        <v>305</v>
      </c>
      <c r="C446" s="9" t="s">
        <v>80</v>
      </c>
      <c r="D446" s="9" t="s">
        <v>144</v>
      </c>
      <c r="E446" s="10">
        <v>1</v>
      </c>
      <c r="F446" s="9" t="s">
        <v>263</v>
      </c>
      <c r="G446" s="11">
        <v>0</v>
      </c>
      <c r="H446" s="9" t="s">
        <v>154</v>
      </c>
      <c r="I446" s="9" t="s">
        <v>155</v>
      </c>
      <c r="J446" s="9"/>
      <c r="K446" s="9"/>
      <c r="L446" s="9" t="s">
        <v>156</v>
      </c>
      <c r="M446" s="12">
        <f t="shared" si="28"/>
        <v>302</v>
      </c>
      <c r="N446" s="13">
        <f t="shared" si="29"/>
        <v>124.5</v>
      </c>
      <c r="O446" s="14">
        <f t="shared" si="30"/>
        <v>426.5</v>
      </c>
      <c r="P446" s="15">
        <f t="shared" si="31"/>
        <v>0.51385542168674703</v>
      </c>
    </row>
    <row r="447" spans="1:16" ht="15.75" hidden="1" customHeight="1" x14ac:dyDescent="0.3">
      <c r="A447" s="8" t="s">
        <v>58</v>
      </c>
      <c r="B447" s="9" t="s">
        <v>309</v>
      </c>
      <c r="C447" s="9" t="s">
        <v>73</v>
      </c>
      <c r="D447" s="9" t="s">
        <v>134</v>
      </c>
      <c r="E447" s="10">
        <v>16</v>
      </c>
      <c r="F447" s="9" t="s">
        <v>166</v>
      </c>
      <c r="G447" s="10">
        <v>16</v>
      </c>
      <c r="H447" s="9" t="s">
        <v>210</v>
      </c>
      <c r="I447" s="9" t="s">
        <v>211</v>
      </c>
      <c r="J447" s="9" t="s">
        <v>4</v>
      </c>
      <c r="K447" s="9"/>
      <c r="L447" s="9" t="s">
        <v>169</v>
      </c>
      <c r="M447" s="12">
        <f t="shared" si="28"/>
        <v>213</v>
      </c>
      <c r="N447" s="13">
        <f t="shared" si="29"/>
        <v>399</v>
      </c>
      <c r="O447" s="14">
        <f t="shared" si="30"/>
        <v>612</v>
      </c>
      <c r="P447" s="15">
        <f t="shared" si="31"/>
        <v>0.73734939759036144</v>
      </c>
    </row>
    <row r="448" spans="1:16" ht="15.75" hidden="1" customHeight="1" x14ac:dyDescent="0.3">
      <c r="A448" s="8" t="s">
        <v>58</v>
      </c>
      <c r="B448" s="9" t="s">
        <v>309</v>
      </c>
      <c r="C448" s="9" t="s">
        <v>123</v>
      </c>
      <c r="D448" s="9" t="s">
        <v>134</v>
      </c>
      <c r="E448" s="10">
        <v>18</v>
      </c>
      <c r="F448" s="9" t="s">
        <v>166</v>
      </c>
      <c r="G448" s="11">
        <v>0</v>
      </c>
      <c r="H448" s="9" t="s">
        <v>210</v>
      </c>
      <c r="I448" s="9" t="s">
        <v>211</v>
      </c>
      <c r="J448" s="9" t="s">
        <v>4</v>
      </c>
      <c r="K448" s="9"/>
      <c r="L448" s="9" t="s">
        <v>169</v>
      </c>
      <c r="M448" s="12">
        <f t="shared" si="28"/>
        <v>213</v>
      </c>
      <c r="N448" s="13">
        <f t="shared" si="29"/>
        <v>399</v>
      </c>
      <c r="O448" s="14">
        <f t="shared" si="30"/>
        <v>612</v>
      </c>
      <c r="P448" s="15">
        <f t="shared" si="31"/>
        <v>0.73734939759036144</v>
      </c>
    </row>
    <row r="449" spans="1:16" ht="15.75" hidden="1" customHeight="1" x14ac:dyDescent="0.3">
      <c r="A449" s="8" t="s">
        <v>58</v>
      </c>
      <c r="B449" s="9" t="s">
        <v>309</v>
      </c>
      <c r="C449" s="9" t="s">
        <v>79</v>
      </c>
      <c r="D449" s="9" t="s">
        <v>134</v>
      </c>
      <c r="E449" s="10">
        <v>28</v>
      </c>
      <c r="F449" s="9" t="s">
        <v>166</v>
      </c>
      <c r="G449" s="10">
        <v>28</v>
      </c>
      <c r="H449" s="9" t="s">
        <v>210</v>
      </c>
      <c r="I449" s="9" t="s">
        <v>211</v>
      </c>
      <c r="J449" s="9" t="s">
        <v>4</v>
      </c>
      <c r="K449" s="9"/>
      <c r="L449" s="9" t="s">
        <v>169</v>
      </c>
      <c r="M449" s="12">
        <f t="shared" si="28"/>
        <v>213</v>
      </c>
      <c r="N449" s="13">
        <f t="shared" si="29"/>
        <v>399</v>
      </c>
      <c r="O449" s="14">
        <f t="shared" si="30"/>
        <v>612</v>
      </c>
      <c r="P449" s="15">
        <f t="shared" si="31"/>
        <v>0.73734939759036144</v>
      </c>
    </row>
    <row r="450" spans="1:16" ht="15.75" hidden="1" customHeight="1" x14ac:dyDescent="0.3">
      <c r="A450" s="8" t="s">
        <v>58</v>
      </c>
      <c r="B450" s="9" t="s">
        <v>309</v>
      </c>
      <c r="C450" s="9" t="s">
        <v>111</v>
      </c>
      <c r="D450" s="9" t="s">
        <v>134</v>
      </c>
      <c r="E450" s="10">
        <v>3</v>
      </c>
      <c r="F450" s="9" t="s">
        <v>166</v>
      </c>
      <c r="G450" s="11">
        <v>0</v>
      </c>
      <c r="H450" s="9" t="s">
        <v>210</v>
      </c>
      <c r="I450" s="9" t="s">
        <v>211</v>
      </c>
      <c r="J450" s="9" t="s">
        <v>4</v>
      </c>
      <c r="K450" s="9"/>
      <c r="L450" s="9" t="s">
        <v>169</v>
      </c>
      <c r="M450" s="12">
        <f t="shared" si="28"/>
        <v>213</v>
      </c>
      <c r="N450" s="13">
        <f t="shared" si="29"/>
        <v>399</v>
      </c>
      <c r="O450" s="14">
        <f t="shared" si="30"/>
        <v>612</v>
      </c>
      <c r="P450" s="15">
        <f t="shared" si="31"/>
        <v>0.73734939759036144</v>
      </c>
    </row>
    <row r="451" spans="1:16" ht="15.75" hidden="1" customHeight="1" x14ac:dyDescent="0.3">
      <c r="A451" s="8" t="s">
        <v>58</v>
      </c>
      <c r="B451" s="9" t="s">
        <v>309</v>
      </c>
      <c r="C451" s="9" t="s">
        <v>80</v>
      </c>
      <c r="D451" s="9" t="s">
        <v>134</v>
      </c>
      <c r="E451" s="10">
        <v>3</v>
      </c>
      <c r="F451" s="9" t="s">
        <v>166</v>
      </c>
      <c r="G451" s="11">
        <v>0</v>
      </c>
      <c r="H451" s="9" t="s">
        <v>210</v>
      </c>
      <c r="I451" s="9" t="s">
        <v>211</v>
      </c>
      <c r="J451" s="9" t="s">
        <v>4</v>
      </c>
      <c r="K451" s="9"/>
      <c r="L451" s="9" t="s">
        <v>169</v>
      </c>
      <c r="M451" s="12">
        <f t="shared" si="28"/>
        <v>213</v>
      </c>
      <c r="N451" s="13">
        <f t="shared" si="29"/>
        <v>399</v>
      </c>
      <c r="O451" s="14">
        <f t="shared" si="30"/>
        <v>612</v>
      </c>
      <c r="P451" s="15">
        <f t="shared" si="31"/>
        <v>0.73734939759036144</v>
      </c>
    </row>
    <row r="452" spans="1:16" ht="15.75" hidden="1" customHeight="1" x14ac:dyDescent="0.3">
      <c r="A452" s="17" t="s">
        <v>58</v>
      </c>
      <c r="B452" s="9" t="s">
        <v>310</v>
      </c>
      <c r="C452" s="9" t="s">
        <v>73</v>
      </c>
      <c r="D452" s="9" t="s">
        <v>220</v>
      </c>
      <c r="E452" s="10">
        <v>28</v>
      </c>
      <c r="F452" s="9" t="s">
        <v>221</v>
      </c>
      <c r="G452" s="10">
        <v>28</v>
      </c>
      <c r="H452" s="9" t="s">
        <v>115</v>
      </c>
      <c r="I452" s="9" t="s">
        <v>116</v>
      </c>
      <c r="J452" s="9" t="s">
        <v>4</v>
      </c>
      <c r="K452" s="9"/>
      <c r="L452" s="9" t="s">
        <v>117</v>
      </c>
      <c r="M452" s="12">
        <f t="shared" si="28"/>
        <v>381</v>
      </c>
      <c r="N452" s="13">
        <f t="shared" si="29"/>
        <v>367</v>
      </c>
      <c r="O452" s="14">
        <f t="shared" si="30"/>
        <v>748</v>
      </c>
      <c r="P452" s="15">
        <f t="shared" si="31"/>
        <v>0.90120481927710838</v>
      </c>
    </row>
    <row r="453" spans="1:16" ht="15.75" hidden="1" customHeight="1" x14ac:dyDescent="0.3">
      <c r="A453" s="17" t="s">
        <v>58</v>
      </c>
      <c r="B453" s="9" t="s">
        <v>310</v>
      </c>
      <c r="C453" s="9" t="s">
        <v>73</v>
      </c>
      <c r="D453" s="9" t="s">
        <v>160</v>
      </c>
      <c r="E453" s="10">
        <v>24</v>
      </c>
      <c r="F453" s="9" t="s">
        <v>161</v>
      </c>
      <c r="G453" s="10">
        <v>24</v>
      </c>
      <c r="H453" s="9" t="s">
        <v>115</v>
      </c>
      <c r="I453" s="9" t="s">
        <v>116</v>
      </c>
      <c r="J453" s="9" t="s">
        <v>4</v>
      </c>
      <c r="K453" s="9"/>
      <c r="L453" s="9" t="s">
        <v>117</v>
      </c>
      <c r="M453" s="12">
        <f t="shared" si="28"/>
        <v>381</v>
      </c>
      <c r="N453" s="13">
        <f t="shared" si="29"/>
        <v>367</v>
      </c>
      <c r="O453" s="14">
        <f t="shared" si="30"/>
        <v>748</v>
      </c>
      <c r="P453" s="15">
        <f t="shared" si="31"/>
        <v>0.90120481927710838</v>
      </c>
    </row>
    <row r="454" spans="1:16" ht="15.75" hidden="1" customHeight="1" x14ac:dyDescent="0.3">
      <c r="A454" s="17" t="s">
        <v>58</v>
      </c>
      <c r="B454" s="9" t="s">
        <v>310</v>
      </c>
      <c r="C454" s="9" t="s">
        <v>87</v>
      </c>
      <c r="D454" s="9" t="s">
        <v>162</v>
      </c>
      <c r="E454" s="10">
        <v>6</v>
      </c>
      <c r="F454" s="9" t="s">
        <v>161</v>
      </c>
      <c r="G454" s="11">
        <v>0</v>
      </c>
      <c r="H454" s="9" t="s">
        <v>115</v>
      </c>
      <c r="I454" s="9" t="s">
        <v>116</v>
      </c>
      <c r="J454" s="9" t="s">
        <v>4</v>
      </c>
      <c r="K454" s="9"/>
      <c r="L454" s="9" t="s">
        <v>117</v>
      </c>
      <c r="M454" s="12">
        <f t="shared" si="28"/>
        <v>381</v>
      </c>
      <c r="N454" s="13">
        <f t="shared" si="29"/>
        <v>367</v>
      </c>
      <c r="O454" s="14">
        <f t="shared" si="30"/>
        <v>748</v>
      </c>
      <c r="P454" s="15">
        <f t="shared" si="31"/>
        <v>0.90120481927710838</v>
      </c>
    </row>
    <row r="455" spans="1:16" ht="15.75" hidden="1" customHeight="1" x14ac:dyDescent="0.3">
      <c r="A455" s="17" t="s">
        <v>58</v>
      </c>
      <c r="B455" s="9" t="s">
        <v>310</v>
      </c>
      <c r="C455" s="9" t="s">
        <v>87</v>
      </c>
      <c r="D455" s="9" t="s">
        <v>163</v>
      </c>
      <c r="E455" s="10">
        <v>5</v>
      </c>
      <c r="F455" s="9" t="s">
        <v>161</v>
      </c>
      <c r="G455" s="11">
        <v>0</v>
      </c>
      <c r="H455" s="9" t="s">
        <v>115</v>
      </c>
      <c r="I455" s="9" t="s">
        <v>116</v>
      </c>
      <c r="J455" s="9" t="s">
        <v>4</v>
      </c>
      <c r="K455" s="9"/>
      <c r="L455" s="9" t="s">
        <v>117</v>
      </c>
      <c r="M455" s="12">
        <f t="shared" si="28"/>
        <v>381</v>
      </c>
      <c r="N455" s="13">
        <f t="shared" si="29"/>
        <v>367</v>
      </c>
      <c r="O455" s="14">
        <f t="shared" si="30"/>
        <v>748</v>
      </c>
      <c r="P455" s="15">
        <f t="shared" si="31"/>
        <v>0.90120481927710838</v>
      </c>
    </row>
    <row r="456" spans="1:16" ht="15.75" hidden="1" customHeight="1" x14ac:dyDescent="0.3">
      <c r="A456" s="17" t="s">
        <v>58</v>
      </c>
      <c r="B456" s="9" t="s">
        <v>310</v>
      </c>
      <c r="C456" s="9" t="s">
        <v>79</v>
      </c>
      <c r="D456" s="9" t="s">
        <v>162</v>
      </c>
      <c r="E456" s="10">
        <v>30</v>
      </c>
      <c r="F456" s="9" t="s">
        <v>161</v>
      </c>
      <c r="G456" s="10">
        <v>30</v>
      </c>
      <c r="H456" s="9" t="s">
        <v>115</v>
      </c>
      <c r="I456" s="9" t="s">
        <v>116</v>
      </c>
      <c r="J456" s="9" t="s">
        <v>4</v>
      </c>
      <c r="K456" s="9"/>
      <c r="L456" s="9" t="s">
        <v>117</v>
      </c>
      <c r="M456" s="12">
        <f t="shared" si="28"/>
        <v>381</v>
      </c>
      <c r="N456" s="13">
        <f t="shared" si="29"/>
        <v>367</v>
      </c>
      <c r="O456" s="14">
        <f t="shared" si="30"/>
        <v>748</v>
      </c>
      <c r="P456" s="15">
        <f t="shared" si="31"/>
        <v>0.90120481927710838</v>
      </c>
    </row>
    <row r="457" spans="1:16" ht="15.75" hidden="1" customHeight="1" x14ac:dyDescent="0.3">
      <c r="A457" s="17" t="s">
        <v>58</v>
      </c>
      <c r="B457" s="9" t="s">
        <v>310</v>
      </c>
      <c r="C457" s="9" t="s">
        <v>79</v>
      </c>
      <c r="D457" s="9" t="s">
        <v>163</v>
      </c>
      <c r="E457" s="10">
        <v>30</v>
      </c>
      <c r="F457" s="9" t="s">
        <v>161</v>
      </c>
      <c r="G457" s="10">
        <v>30</v>
      </c>
      <c r="H457" s="9" t="s">
        <v>115</v>
      </c>
      <c r="I457" s="9" t="s">
        <v>116</v>
      </c>
      <c r="J457" s="9" t="s">
        <v>4</v>
      </c>
      <c r="K457" s="9"/>
      <c r="L457" s="9" t="s">
        <v>117</v>
      </c>
      <c r="M457" s="12">
        <f t="shared" si="28"/>
        <v>381</v>
      </c>
      <c r="N457" s="13">
        <f t="shared" si="29"/>
        <v>367</v>
      </c>
      <c r="O457" s="14">
        <f t="shared" si="30"/>
        <v>748</v>
      </c>
      <c r="P457" s="15">
        <f t="shared" si="31"/>
        <v>0.90120481927710838</v>
      </c>
    </row>
    <row r="458" spans="1:16" ht="15.75" hidden="1" customHeight="1" x14ac:dyDescent="0.3">
      <c r="A458" s="8" t="s">
        <v>58</v>
      </c>
      <c r="B458" s="9" t="s">
        <v>310</v>
      </c>
      <c r="C458" s="9" t="s">
        <v>100</v>
      </c>
      <c r="D458" s="9" t="s">
        <v>220</v>
      </c>
      <c r="E458" s="10">
        <v>44</v>
      </c>
      <c r="F458" s="9" t="s">
        <v>221</v>
      </c>
      <c r="G458" s="10">
        <v>44</v>
      </c>
      <c r="H458" s="9" t="s">
        <v>84</v>
      </c>
      <c r="I458" s="9" t="s">
        <v>85</v>
      </c>
      <c r="J458" s="9"/>
      <c r="K458" s="9"/>
      <c r="L458" s="9" t="s">
        <v>89</v>
      </c>
      <c r="M458" s="12">
        <f t="shared" si="28"/>
        <v>256</v>
      </c>
      <c r="N458" s="13">
        <f t="shared" si="29"/>
        <v>691.5</v>
      </c>
      <c r="O458" s="14">
        <f t="shared" si="30"/>
        <v>947.5</v>
      </c>
      <c r="P458" s="15">
        <f t="shared" si="31"/>
        <v>1.1415662650602409</v>
      </c>
    </row>
    <row r="459" spans="1:16" ht="15.75" hidden="1" customHeight="1" x14ac:dyDescent="0.3">
      <c r="A459" s="8" t="s">
        <v>58</v>
      </c>
      <c r="B459" s="9" t="s">
        <v>310</v>
      </c>
      <c r="C459" s="9" t="s">
        <v>111</v>
      </c>
      <c r="D459" s="9" t="s">
        <v>220</v>
      </c>
      <c r="E459" s="10">
        <v>6</v>
      </c>
      <c r="F459" s="9" t="s">
        <v>221</v>
      </c>
      <c r="G459" s="11">
        <v>0</v>
      </c>
      <c r="H459" s="9" t="s">
        <v>84</v>
      </c>
      <c r="I459" s="9" t="s">
        <v>85</v>
      </c>
      <c r="J459" s="9"/>
      <c r="K459" s="9"/>
      <c r="L459" s="9" t="s">
        <v>89</v>
      </c>
      <c r="M459" s="12">
        <f t="shared" si="28"/>
        <v>256</v>
      </c>
      <c r="N459" s="13">
        <f t="shared" si="29"/>
        <v>691.5</v>
      </c>
      <c r="O459" s="14">
        <f t="shared" si="30"/>
        <v>947.5</v>
      </c>
      <c r="P459" s="15">
        <f t="shared" si="31"/>
        <v>1.1415662650602409</v>
      </c>
    </row>
    <row r="460" spans="1:16" ht="15.75" hidden="1" customHeight="1" x14ac:dyDescent="0.3">
      <c r="A460" s="17" t="s">
        <v>58</v>
      </c>
      <c r="B460" s="9" t="s">
        <v>310</v>
      </c>
      <c r="C460" s="9" t="s">
        <v>80</v>
      </c>
      <c r="D460" s="9" t="s">
        <v>220</v>
      </c>
      <c r="E460" s="10">
        <v>5</v>
      </c>
      <c r="F460" s="9" t="s">
        <v>221</v>
      </c>
      <c r="G460" s="11">
        <v>0</v>
      </c>
      <c r="H460" s="9" t="s">
        <v>311</v>
      </c>
      <c r="I460" s="9" t="s">
        <v>268</v>
      </c>
      <c r="J460" s="9"/>
      <c r="K460" s="9"/>
      <c r="L460" s="9" t="s">
        <v>89</v>
      </c>
      <c r="M460" s="12">
        <f t="shared" si="28"/>
        <v>9</v>
      </c>
      <c r="N460" s="13">
        <f t="shared" si="29"/>
        <v>77</v>
      </c>
      <c r="O460" s="14">
        <f t="shared" si="30"/>
        <v>86</v>
      </c>
      <c r="P460" s="15">
        <f t="shared" si="31"/>
        <v>0.10361445783132531</v>
      </c>
    </row>
    <row r="461" spans="1:16" ht="15.75" hidden="1" customHeight="1" x14ac:dyDescent="0.3">
      <c r="A461" s="17" t="s">
        <v>58</v>
      </c>
      <c r="B461" s="9" t="s">
        <v>310</v>
      </c>
      <c r="C461" s="9" t="s">
        <v>80</v>
      </c>
      <c r="D461" s="9" t="s">
        <v>162</v>
      </c>
      <c r="E461" s="10">
        <v>1</v>
      </c>
      <c r="F461" s="9" t="s">
        <v>161</v>
      </c>
      <c r="G461" s="11">
        <v>0</v>
      </c>
      <c r="H461" s="9" t="s">
        <v>115</v>
      </c>
      <c r="I461" s="9" t="s">
        <v>116</v>
      </c>
      <c r="J461" s="9" t="s">
        <v>4</v>
      </c>
      <c r="K461" s="9"/>
      <c r="L461" s="9" t="s">
        <v>117</v>
      </c>
      <c r="M461" s="12">
        <f t="shared" si="28"/>
        <v>381</v>
      </c>
      <c r="N461" s="13">
        <f t="shared" si="29"/>
        <v>367</v>
      </c>
      <c r="O461" s="14">
        <f t="shared" si="30"/>
        <v>748</v>
      </c>
      <c r="P461" s="15">
        <f t="shared" si="31"/>
        <v>0.90120481927710838</v>
      </c>
    </row>
    <row r="462" spans="1:16" ht="15.75" hidden="1" customHeight="1" x14ac:dyDescent="0.3">
      <c r="A462" s="17" t="s">
        <v>58</v>
      </c>
      <c r="B462" s="9" t="s">
        <v>310</v>
      </c>
      <c r="C462" s="9" t="s">
        <v>80</v>
      </c>
      <c r="D462" s="9" t="s">
        <v>163</v>
      </c>
      <c r="E462" s="10">
        <v>1</v>
      </c>
      <c r="F462" s="9" t="s">
        <v>161</v>
      </c>
      <c r="G462" s="11">
        <v>0</v>
      </c>
      <c r="H462" s="9" t="s">
        <v>115</v>
      </c>
      <c r="I462" s="9" t="s">
        <v>116</v>
      </c>
      <c r="J462" s="9" t="s">
        <v>4</v>
      </c>
      <c r="K462" s="9"/>
      <c r="L462" s="9" t="s">
        <v>117</v>
      </c>
      <c r="M462" s="12">
        <f t="shared" si="28"/>
        <v>381</v>
      </c>
      <c r="N462" s="13">
        <f t="shared" si="29"/>
        <v>367</v>
      </c>
      <c r="O462" s="14">
        <f t="shared" si="30"/>
        <v>748</v>
      </c>
      <c r="P462" s="15">
        <f t="shared" si="31"/>
        <v>0.90120481927710838</v>
      </c>
    </row>
    <row r="463" spans="1:16" ht="15.75" hidden="1" customHeight="1" x14ac:dyDescent="0.3">
      <c r="A463" s="8" t="s">
        <v>58</v>
      </c>
      <c r="B463" s="9" t="s">
        <v>312</v>
      </c>
      <c r="C463" s="9" t="s">
        <v>73</v>
      </c>
      <c r="D463" s="9" t="s">
        <v>313</v>
      </c>
      <c r="E463" s="10">
        <v>24</v>
      </c>
      <c r="F463" s="9" t="s">
        <v>314</v>
      </c>
      <c r="G463" s="10">
        <v>24</v>
      </c>
      <c r="H463" s="9" t="s">
        <v>272</v>
      </c>
      <c r="I463" s="9" t="s">
        <v>273</v>
      </c>
      <c r="J463" s="9" t="s">
        <v>8</v>
      </c>
      <c r="K463" s="9"/>
      <c r="L463" s="9"/>
      <c r="M463" s="12">
        <f t="shared" si="28"/>
        <v>552</v>
      </c>
      <c r="N463" s="13">
        <f t="shared" si="29"/>
        <v>171</v>
      </c>
      <c r="O463" s="14">
        <f t="shared" si="30"/>
        <v>723</v>
      </c>
      <c r="P463" s="15">
        <f t="shared" si="31"/>
        <v>0.87108433734939761</v>
      </c>
    </row>
    <row r="464" spans="1:16" ht="15.75" hidden="1" customHeight="1" x14ac:dyDescent="0.3">
      <c r="A464" s="8" t="s">
        <v>58</v>
      </c>
      <c r="B464" s="9" t="s">
        <v>312</v>
      </c>
      <c r="C464" s="9" t="s">
        <v>79</v>
      </c>
      <c r="D464" s="9" t="s">
        <v>315</v>
      </c>
      <c r="E464" s="10">
        <v>16</v>
      </c>
      <c r="F464" s="9" t="s">
        <v>314</v>
      </c>
      <c r="G464" s="10">
        <v>16</v>
      </c>
      <c r="H464" s="9" t="s">
        <v>272</v>
      </c>
      <c r="I464" s="9" t="s">
        <v>273</v>
      </c>
      <c r="J464" s="9" t="s">
        <v>8</v>
      </c>
      <c r="K464" s="9"/>
      <c r="L464" s="9"/>
      <c r="M464" s="12">
        <f t="shared" si="28"/>
        <v>552</v>
      </c>
      <c r="N464" s="13">
        <f t="shared" si="29"/>
        <v>171</v>
      </c>
      <c r="O464" s="14">
        <f t="shared" si="30"/>
        <v>723</v>
      </c>
      <c r="P464" s="15">
        <f t="shared" si="31"/>
        <v>0.87108433734939761</v>
      </c>
    </row>
    <row r="465" spans="1:16" ht="15.75" hidden="1" customHeight="1" x14ac:dyDescent="0.3">
      <c r="A465" s="8" t="s">
        <v>58</v>
      </c>
      <c r="B465" s="9" t="s">
        <v>312</v>
      </c>
      <c r="C465" s="9" t="s">
        <v>79</v>
      </c>
      <c r="D465" s="9" t="s">
        <v>183</v>
      </c>
      <c r="E465" s="10">
        <v>16</v>
      </c>
      <c r="F465" s="9" t="s">
        <v>314</v>
      </c>
      <c r="G465" s="10">
        <v>16</v>
      </c>
      <c r="H465" s="9" t="s">
        <v>272</v>
      </c>
      <c r="I465" s="9" t="s">
        <v>273</v>
      </c>
      <c r="J465" s="9" t="s">
        <v>8</v>
      </c>
      <c r="K465" s="9"/>
      <c r="L465" s="9"/>
      <c r="M465" s="12">
        <f t="shared" si="28"/>
        <v>552</v>
      </c>
      <c r="N465" s="13">
        <f t="shared" si="29"/>
        <v>171</v>
      </c>
      <c r="O465" s="14">
        <f t="shared" si="30"/>
        <v>723</v>
      </c>
      <c r="P465" s="15">
        <f t="shared" si="31"/>
        <v>0.87108433734939761</v>
      </c>
    </row>
    <row r="466" spans="1:16" ht="15.75" hidden="1" customHeight="1" x14ac:dyDescent="0.3">
      <c r="A466" s="8" t="s">
        <v>58</v>
      </c>
      <c r="B466" s="9" t="s">
        <v>312</v>
      </c>
      <c r="C466" s="9" t="s">
        <v>79</v>
      </c>
      <c r="D466" s="9" t="s">
        <v>162</v>
      </c>
      <c r="E466" s="10">
        <v>16</v>
      </c>
      <c r="F466" s="9" t="s">
        <v>314</v>
      </c>
      <c r="G466" s="10">
        <v>16</v>
      </c>
      <c r="H466" s="9" t="s">
        <v>272</v>
      </c>
      <c r="I466" s="9" t="s">
        <v>273</v>
      </c>
      <c r="J466" s="9" t="s">
        <v>8</v>
      </c>
      <c r="K466" s="9"/>
      <c r="L466" s="9"/>
      <c r="M466" s="12">
        <f t="shared" si="28"/>
        <v>552</v>
      </c>
      <c r="N466" s="13">
        <f t="shared" si="29"/>
        <v>171</v>
      </c>
      <c r="O466" s="14">
        <f t="shared" si="30"/>
        <v>723</v>
      </c>
      <c r="P466" s="15">
        <f t="shared" si="31"/>
        <v>0.87108433734939761</v>
      </c>
    </row>
    <row r="467" spans="1:16" ht="15.75" hidden="1" customHeight="1" x14ac:dyDescent="0.3">
      <c r="A467" s="8" t="s">
        <v>58</v>
      </c>
      <c r="B467" s="9" t="s">
        <v>312</v>
      </c>
      <c r="C467" s="9" t="s">
        <v>79</v>
      </c>
      <c r="D467" s="9" t="s">
        <v>184</v>
      </c>
      <c r="E467" s="10">
        <v>16</v>
      </c>
      <c r="F467" s="9" t="s">
        <v>314</v>
      </c>
      <c r="G467" s="10">
        <v>16</v>
      </c>
      <c r="H467" s="9" t="s">
        <v>272</v>
      </c>
      <c r="I467" s="9" t="s">
        <v>273</v>
      </c>
      <c r="J467" s="9" t="s">
        <v>8</v>
      </c>
      <c r="K467" s="9"/>
      <c r="L467" s="9"/>
      <c r="M467" s="12">
        <f t="shared" si="28"/>
        <v>552</v>
      </c>
      <c r="N467" s="13">
        <f t="shared" si="29"/>
        <v>171</v>
      </c>
      <c r="O467" s="14">
        <f t="shared" si="30"/>
        <v>723</v>
      </c>
      <c r="P467" s="15">
        <f t="shared" si="31"/>
        <v>0.87108433734939761</v>
      </c>
    </row>
    <row r="468" spans="1:16" ht="15.75" hidden="1" customHeight="1" x14ac:dyDescent="0.3">
      <c r="A468" s="8" t="s">
        <v>58</v>
      </c>
      <c r="B468" s="9" t="s">
        <v>312</v>
      </c>
      <c r="C468" s="9" t="s">
        <v>79</v>
      </c>
      <c r="D468" s="9" t="s">
        <v>185</v>
      </c>
      <c r="E468" s="10">
        <v>16</v>
      </c>
      <c r="F468" s="9" t="s">
        <v>314</v>
      </c>
      <c r="G468" s="10">
        <v>16</v>
      </c>
      <c r="H468" s="9" t="s">
        <v>272</v>
      </c>
      <c r="I468" s="9" t="s">
        <v>273</v>
      </c>
      <c r="J468" s="9" t="s">
        <v>8</v>
      </c>
      <c r="K468" s="9"/>
      <c r="L468" s="9"/>
      <c r="M468" s="12">
        <f t="shared" si="28"/>
        <v>552</v>
      </c>
      <c r="N468" s="13">
        <f t="shared" si="29"/>
        <v>171</v>
      </c>
      <c r="O468" s="14">
        <f t="shared" si="30"/>
        <v>723</v>
      </c>
      <c r="P468" s="15">
        <f t="shared" si="31"/>
        <v>0.87108433734939761</v>
      </c>
    </row>
    <row r="469" spans="1:16" ht="15.75" hidden="1" customHeight="1" x14ac:dyDescent="0.3">
      <c r="A469" s="8" t="s">
        <v>58</v>
      </c>
      <c r="B469" s="9" t="s">
        <v>312</v>
      </c>
      <c r="C469" s="9" t="s">
        <v>79</v>
      </c>
      <c r="D469" s="9" t="s">
        <v>163</v>
      </c>
      <c r="E469" s="10">
        <v>16</v>
      </c>
      <c r="F469" s="9" t="s">
        <v>314</v>
      </c>
      <c r="G469" s="10">
        <v>16</v>
      </c>
      <c r="H469" s="9" t="s">
        <v>272</v>
      </c>
      <c r="I469" s="9" t="s">
        <v>273</v>
      </c>
      <c r="J469" s="9" t="s">
        <v>8</v>
      </c>
      <c r="K469" s="9"/>
      <c r="L469" s="9"/>
      <c r="M469" s="12">
        <f t="shared" si="28"/>
        <v>552</v>
      </c>
      <c r="N469" s="13">
        <f t="shared" si="29"/>
        <v>171</v>
      </c>
      <c r="O469" s="14">
        <f t="shared" si="30"/>
        <v>723</v>
      </c>
      <c r="P469" s="15">
        <f t="shared" si="31"/>
        <v>0.87108433734939761</v>
      </c>
    </row>
    <row r="470" spans="1:16" ht="15.75" hidden="1" customHeight="1" x14ac:dyDescent="0.3">
      <c r="A470" s="8" t="s">
        <v>58</v>
      </c>
      <c r="B470" s="9" t="s">
        <v>312</v>
      </c>
      <c r="C470" s="9" t="s">
        <v>100</v>
      </c>
      <c r="D470" s="9" t="s">
        <v>315</v>
      </c>
      <c r="E470" s="10">
        <v>48</v>
      </c>
      <c r="F470" s="9" t="s">
        <v>314</v>
      </c>
      <c r="G470" s="10">
        <v>24</v>
      </c>
      <c r="H470" s="9" t="s">
        <v>316</v>
      </c>
      <c r="I470" s="21" t="s">
        <v>273</v>
      </c>
      <c r="J470" s="21" t="s">
        <v>8</v>
      </c>
      <c r="K470" s="9"/>
      <c r="L470" s="9"/>
      <c r="M470" s="12">
        <f t="shared" si="28"/>
        <v>552</v>
      </c>
      <c r="N470" s="13">
        <f t="shared" si="29"/>
        <v>171</v>
      </c>
      <c r="O470" s="14">
        <f t="shared" si="30"/>
        <v>723</v>
      </c>
      <c r="P470" s="15">
        <f t="shared" si="31"/>
        <v>0.87108433734939761</v>
      </c>
    </row>
    <row r="471" spans="1:16" ht="15.75" hidden="1" customHeight="1" x14ac:dyDescent="0.3">
      <c r="A471" s="8" t="s">
        <v>58</v>
      </c>
      <c r="B471" s="9" t="s">
        <v>312</v>
      </c>
      <c r="C471" s="9" t="s">
        <v>100</v>
      </c>
      <c r="D471" s="9" t="s">
        <v>183</v>
      </c>
      <c r="E471" s="10">
        <v>24</v>
      </c>
      <c r="F471" s="9" t="s">
        <v>314</v>
      </c>
      <c r="G471" s="10">
        <v>24</v>
      </c>
      <c r="H471" s="9" t="s">
        <v>272</v>
      </c>
      <c r="I471" s="9" t="s">
        <v>273</v>
      </c>
      <c r="J471" s="9" t="s">
        <v>8</v>
      </c>
      <c r="K471" s="9"/>
      <c r="L471" s="9"/>
      <c r="M471" s="12">
        <f t="shared" si="28"/>
        <v>552</v>
      </c>
      <c r="N471" s="13">
        <f t="shared" si="29"/>
        <v>171</v>
      </c>
      <c r="O471" s="14">
        <f t="shared" si="30"/>
        <v>723</v>
      </c>
      <c r="P471" s="15">
        <f t="shared" si="31"/>
        <v>0.87108433734939761</v>
      </c>
    </row>
    <row r="472" spans="1:16" ht="15.75" hidden="1" customHeight="1" x14ac:dyDescent="0.3">
      <c r="A472" s="8" t="s">
        <v>58</v>
      </c>
      <c r="B472" s="9" t="s">
        <v>312</v>
      </c>
      <c r="C472" s="9" t="s">
        <v>100</v>
      </c>
      <c r="D472" s="9" t="s">
        <v>162</v>
      </c>
      <c r="E472" s="10">
        <v>48</v>
      </c>
      <c r="F472" s="9" t="s">
        <v>314</v>
      </c>
      <c r="G472" s="10">
        <v>24</v>
      </c>
      <c r="H472" s="9" t="s">
        <v>272</v>
      </c>
      <c r="I472" s="9" t="s">
        <v>273</v>
      </c>
      <c r="J472" s="9" t="s">
        <v>8</v>
      </c>
      <c r="K472" s="9"/>
      <c r="L472" s="9"/>
      <c r="M472" s="12">
        <f t="shared" si="28"/>
        <v>552</v>
      </c>
      <c r="N472" s="13">
        <f t="shared" si="29"/>
        <v>171</v>
      </c>
      <c r="O472" s="14">
        <f t="shared" si="30"/>
        <v>723</v>
      </c>
      <c r="P472" s="15">
        <f t="shared" si="31"/>
        <v>0.87108433734939761</v>
      </c>
    </row>
    <row r="473" spans="1:16" ht="15.75" hidden="1" customHeight="1" x14ac:dyDescent="0.3">
      <c r="A473" s="8" t="s">
        <v>58</v>
      </c>
      <c r="B473" s="9" t="s">
        <v>312</v>
      </c>
      <c r="C473" s="9" t="s">
        <v>100</v>
      </c>
      <c r="D473" s="9" t="s">
        <v>184</v>
      </c>
      <c r="E473" s="10">
        <v>48</v>
      </c>
      <c r="F473" s="9" t="s">
        <v>314</v>
      </c>
      <c r="G473" s="10">
        <v>24</v>
      </c>
      <c r="H473" s="9" t="s">
        <v>272</v>
      </c>
      <c r="I473" s="9" t="s">
        <v>273</v>
      </c>
      <c r="J473" s="9" t="s">
        <v>8</v>
      </c>
      <c r="K473" s="9"/>
      <c r="L473" s="9"/>
      <c r="M473" s="12">
        <f t="shared" si="28"/>
        <v>552</v>
      </c>
      <c r="N473" s="13">
        <f t="shared" si="29"/>
        <v>171</v>
      </c>
      <c r="O473" s="14">
        <f t="shared" si="30"/>
        <v>723</v>
      </c>
      <c r="P473" s="15">
        <f t="shared" si="31"/>
        <v>0.87108433734939761</v>
      </c>
    </row>
    <row r="474" spans="1:16" ht="15.75" hidden="1" customHeight="1" x14ac:dyDescent="0.3">
      <c r="A474" s="8" t="s">
        <v>58</v>
      </c>
      <c r="B474" s="9" t="s">
        <v>312</v>
      </c>
      <c r="C474" s="9" t="s">
        <v>100</v>
      </c>
      <c r="D474" s="9" t="s">
        <v>185</v>
      </c>
      <c r="E474" s="10">
        <v>48</v>
      </c>
      <c r="F474" s="9" t="s">
        <v>314</v>
      </c>
      <c r="G474" s="10">
        <v>24</v>
      </c>
      <c r="H474" s="9" t="s">
        <v>316</v>
      </c>
      <c r="I474" s="21" t="s">
        <v>273</v>
      </c>
      <c r="J474" s="21" t="s">
        <v>8</v>
      </c>
      <c r="K474" s="9"/>
      <c r="L474" s="9"/>
      <c r="M474" s="12">
        <f t="shared" si="28"/>
        <v>552</v>
      </c>
      <c r="N474" s="13">
        <f t="shared" si="29"/>
        <v>171</v>
      </c>
      <c r="O474" s="14">
        <f t="shared" si="30"/>
        <v>723</v>
      </c>
      <c r="P474" s="15">
        <f t="shared" si="31"/>
        <v>0.87108433734939761</v>
      </c>
    </row>
    <row r="475" spans="1:16" ht="15.75" hidden="1" customHeight="1" x14ac:dyDescent="0.3">
      <c r="A475" s="8" t="s">
        <v>58</v>
      </c>
      <c r="B475" s="9" t="s">
        <v>312</v>
      </c>
      <c r="C475" s="9" t="s">
        <v>100</v>
      </c>
      <c r="D475" s="9" t="s">
        <v>163</v>
      </c>
      <c r="E475" s="10">
        <v>24</v>
      </c>
      <c r="F475" s="9" t="s">
        <v>314</v>
      </c>
      <c r="G475" s="10">
        <v>24</v>
      </c>
      <c r="H475" s="9" t="s">
        <v>272</v>
      </c>
      <c r="I475" s="9" t="s">
        <v>273</v>
      </c>
      <c r="J475" s="9" t="s">
        <v>8</v>
      </c>
      <c r="K475" s="9"/>
      <c r="L475" s="9"/>
      <c r="M475" s="12">
        <f t="shared" si="28"/>
        <v>552</v>
      </c>
      <c r="N475" s="13">
        <f t="shared" si="29"/>
        <v>171</v>
      </c>
      <c r="O475" s="14">
        <f t="shared" si="30"/>
        <v>723</v>
      </c>
      <c r="P475" s="15">
        <f t="shared" si="31"/>
        <v>0.87108433734939761</v>
      </c>
    </row>
    <row r="476" spans="1:16" ht="15.75" hidden="1" customHeight="1" x14ac:dyDescent="0.3">
      <c r="A476" s="8" t="s">
        <v>58</v>
      </c>
      <c r="B476" s="9" t="s">
        <v>312</v>
      </c>
      <c r="C476" s="9" t="s">
        <v>111</v>
      </c>
      <c r="D476" s="9" t="s">
        <v>315</v>
      </c>
      <c r="E476" s="10">
        <v>8</v>
      </c>
      <c r="F476" s="9" t="s">
        <v>314</v>
      </c>
      <c r="G476" s="11">
        <v>0</v>
      </c>
      <c r="H476" s="9" t="s">
        <v>272</v>
      </c>
      <c r="I476" s="9" t="s">
        <v>273</v>
      </c>
      <c r="J476" s="9" t="s">
        <v>8</v>
      </c>
      <c r="K476" s="9"/>
      <c r="L476" s="9"/>
      <c r="M476" s="12">
        <f t="shared" si="28"/>
        <v>552</v>
      </c>
      <c r="N476" s="13">
        <f t="shared" si="29"/>
        <v>171</v>
      </c>
      <c r="O476" s="14">
        <f t="shared" si="30"/>
        <v>723</v>
      </c>
      <c r="P476" s="15">
        <f t="shared" si="31"/>
        <v>0.87108433734939761</v>
      </c>
    </row>
    <row r="477" spans="1:16" ht="15.75" hidden="1" customHeight="1" x14ac:dyDescent="0.3">
      <c r="A477" s="8" t="s">
        <v>58</v>
      </c>
      <c r="B477" s="9" t="s">
        <v>312</v>
      </c>
      <c r="C477" s="9" t="s">
        <v>111</v>
      </c>
      <c r="D477" s="9" t="s">
        <v>183</v>
      </c>
      <c r="E477" s="10">
        <v>8</v>
      </c>
      <c r="F477" s="9" t="s">
        <v>314</v>
      </c>
      <c r="G477" s="11">
        <v>0</v>
      </c>
      <c r="H477" s="9" t="s">
        <v>272</v>
      </c>
      <c r="I477" s="9" t="s">
        <v>273</v>
      </c>
      <c r="J477" s="9" t="s">
        <v>8</v>
      </c>
      <c r="K477" s="9"/>
      <c r="L477" s="9"/>
      <c r="M477" s="12">
        <f t="shared" si="28"/>
        <v>552</v>
      </c>
      <c r="N477" s="13">
        <f t="shared" si="29"/>
        <v>171</v>
      </c>
      <c r="O477" s="14">
        <f t="shared" si="30"/>
        <v>723</v>
      </c>
      <c r="P477" s="15">
        <f t="shared" si="31"/>
        <v>0.87108433734939761</v>
      </c>
    </row>
    <row r="478" spans="1:16" ht="15.75" hidden="1" customHeight="1" x14ac:dyDescent="0.3">
      <c r="A478" s="8" t="s">
        <v>58</v>
      </c>
      <c r="B478" s="9" t="s">
        <v>312</v>
      </c>
      <c r="C478" s="9" t="s">
        <v>111</v>
      </c>
      <c r="D478" s="9" t="s">
        <v>162</v>
      </c>
      <c r="E478" s="10">
        <v>9</v>
      </c>
      <c r="F478" s="9" t="s">
        <v>314</v>
      </c>
      <c r="G478" s="11">
        <v>0</v>
      </c>
      <c r="H478" s="9" t="s">
        <v>272</v>
      </c>
      <c r="I478" s="9" t="s">
        <v>273</v>
      </c>
      <c r="J478" s="9" t="s">
        <v>8</v>
      </c>
      <c r="K478" s="9"/>
      <c r="L478" s="9"/>
      <c r="M478" s="12">
        <f t="shared" si="28"/>
        <v>552</v>
      </c>
      <c r="N478" s="13">
        <f t="shared" si="29"/>
        <v>171</v>
      </c>
      <c r="O478" s="14">
        <f t="shared" si="30"/>
        <v>723</v>
      </c>
      <c r="P478" s="15">
        <f t="shared" si="31"/>
        <v>0.87108433734939761</v>
      </c>
    </row>
    <row r="479" spans="1:16" ht="15.75" hidden="1" customHeight="1" x14ac:dyDescent="0.3">
      <c r="A479" s="8" t="s">
        <v>58</v>
      </c>
      <c r="B479" s="9" t="s">
        <v>312</v>
      </c>
      <c r="C479" s="9" t="s">
        <v>111</v>
      </c>
      <c r="D479" s="9" t="s">
        <v>184</v>
      </c>
      <c r="E479" s="10">
        <v>9</v>
      </c>
      <c r="F479" s="9" t="s">
        <v>314</v>
      </c>
      <c r="G479" s="11">
        <v>0</v>
      </c>
      <c r="H479" s="9" t="s">
        <v>272</v>
      </c>
      <c r="I479" s="9" t="s">
        <v>273</v>
      </c>
      <c r="J479" s="9" t="s">
        <v>8</v>
      </c>
      <c r="K479" s="9"/>
      <c r="L479" s="9"/>
      <c r="M479" s="12">
        <f t="shared" si="28"/>
        <v>552</v>
      </c>
      <c r="N479" s="13">
        <f t="shared" si="29"/>
        <v>171</v>
      </c>
      <c r="O479" s="14">
        <f t="shared" si="30"/>
        <v>723</v>
      </c>
      <c r="P479" s="15">
        <f t="shared" si="31"/>
        <v>0.87108433734939761</v>
      </c>
    </row>
    <row r="480" spans="1:16" ht="15.75" hidden="1" customHeight="1" x14ac:dyDescent="0.3">
      <c r="A480" s="8" t="s">
        <v>58</v>
      </c>
      <c r="B480" s="9" t="s">
        <v>312</v>
      </c>
      <c r="C480" s="9" t="s">
        <v>111</v>
      </c>
      <c r="D480" s="9" t="s">
        <v>185</v>
      </c>
      <c r="E480" s="10">
        <v>12</v>
      </c>
      <c r="F480" s="9" t="s">
        <v>314</v>
      </c>
      <c r="G480" s="11">
        <v>0</v>
      </c>
      <c r="H480" s="9" t="s">
        <v>272</v>
      </c>
      <c r="I480" s="9" t="s">
        <v>273</v>
      </c>
      <c r="J480" s="9" t="s">
        <v>8</v>
      </c>
      <c r="K480" s="9"/>
      <c r="L480" s="9"/>
      <c r="M480" s="12">
        <f t="shared" si="28"/>
        <v>552</v>
      </c>
      <c r="N480" s="13">
        <f t="shared" si="29"/>
        <v>171</v>
      </c>
      <c r="O480" s="14">
        <f t="shared" si="30"/>
        <v>723</v>
      </c>
      <c r="P480" s="15">
        <f t="shared" si="31"/>
        <v>0.87108433734939761</v>
      </c>
    </row>
    <row r="481" spans="1:16" ht="15.75" hidden="1" customHeight="1" x14ac:dyDescent="0.3">
      <c r="A481" s="8" t="s">
        <v>58</v>
      </c>
      <c r="B481" s="9" t="s">
        <v>312</v>
      </c>
      <c r="C481" s="9" t="s">
        <v>111</v>
      </c>
      <c r="D481" s="9" t="s">
        <v>163</v>
      </c>
      <c r="E481" s="10">
        <v>7</v>
      </c>
      <c r="F481" s="9" t="s">
        <v>314</v>
      </c>
      <c r="G481" s="11">
        <v>0</v>
      </c>
      <c r="H481" s="9" t="s">
        <v>272</v>
      </c>
      <c r="I481" s="9" t="s">
        <v>273</v>
      </c>
      <c r="J481" s="9" t="s">
        <v>8</v>
      </c>
      <c r="K481" s="9"/>
      <c r="L481" s="9"/>
      <c r="M481" s="12">
        <f t="shared" si="28"/>
        <v>552</v>
      </c>
      <c r="N481" s="13">
        <f t="shared" si="29"/>
        <v>171</v>
      </c>
      <c r="O481" s="14">
        <f t="shared" si="30"/>
        <v>723</v>
      </c>
      <c r="P481" s="15">
        <f t="shared" si="31"/>
        <v>0.87108433734939761</v>
      </c>
    </row>
    <row r="482" spans="1:16" ht="15.75" hidden="1" customHeight="1" x14ac:dyDescent="0.3">
      <c r="A482" s="8" t="s">
        <v>58</v>
      </c>
      <c r="B482" s="9" t="s">
        <v>312</v>
      </c>
      <c r="C482" s="9" t="s">
        <v>80</v>
      </c>
      <c r="D482" s="9" t="s">
        <v>315</v>
      </c>
      <c r="E482" s="10">
        <v>3</v>
      </c>
      <c r="F482" s="9" t="s">
        <v>314</v>
      </c>
      <c r="G482" s="11">
        <v>0</v>
      </c>
      <c r="H482" s="9" t="s">
        <v>272</v>
      </c>
      <c r="I482" s="9" t="s">
        <v>273</v>
      </c>
      <c r="J482" s="9" t="s">
        <v>8</v>
      </c>
      <c r="K482" s="9"/>
      <c r="L482" s="9"/>
      <c r="M482" s="12">
        <f t="shared" ref="M482:M545" si="32">SUMIFS($E$2:$E$1130,$A$2:$A$1130,"осень",$I$2:$I$1130,I482)</f>
        <v>552</v>
      </c>
      <c r="N482" s="13">
        <f t="shared" ref="N482:N545" si="33">SUMIFS($E$2:$E$1130,$A$2:$A$1130,"весна",$I$2:$I$1130,I482)</f>
        <v>171</v>
      </c>
      <c r="O482" s="14">
        <f t="shared" ref="O482:O545" si="34">M482+N482</f>
        <v>723</v>
      </c>
      <c r="P482" s="15">
        <f t="shared" ref="P482:P545" si="35">O482/$P$1</f>
        <v>0.87108433734939761</v>
      </c>
    </row>
    <row r="483" spans="1:16" ht="15.75" hidden="1" customHeight="1" x14ac:dyDescent="0.3">
      <c r="A483" s="8" t="s">
        <v>58</v>
      </c>
      <c r="B483" s="9" t="s">
        <v>312</v>
      </c>
      <c r="C483" s="9" t="s">
        <v>80</v>
      </c>
      <c r="D483" s="9" t="s">
        <v>183</v>
      </c>
      <c r="E483" s="10">
        <v>3</v>
      </c>
      <c r="F483" s="9" t="s">
        <v>314</v>
      </c>
      <c r="G483" s="11">
        <v>0</v>
      </c>
      <c r="H483" s="9" t="s">
        <v>272</v>
      </c>
      <c r="I483" s="9" t="s">
        <v>273</v>
      </c>
      <c r="J483" s="9" t="s">
        <v>8</v>
      </c>
      <c r="K483" s="9"/>
      <c r="L483" s="9"/>
      <c r="M483" s="12">
        <f t="shared" si="32"/>
        <v>552</v>
      </c>
      <c r="N483" s="13">
        <f t="shared" si="33"/>
        <v>171</v>
      </c>
      <c r="O483" s="14">
        <f t="shared" si="34"/>
        <v>723</v>
      </c>
      <c r="P483" s="15">
        <f t="shared" si="35"/>
        <v>0.87108433734939761</v>
      </c>
    </row>
    <row r="484" spans="1:16" ht="15.75" hidden="1" customHeight="1" x14ac:dyDescent="0.3">
      <c r="A484" s="8" t="s">
        <v>58</v>
      </c>
      <c r="B484" s="9" t="s">
        <v>312</v>
      </c>
      <c r="C484" s="9" t="s">
        <v>80</v>
      </c>
      <c r="D484" s="9" t="s">
        <v>162</v>
      </c>
      <c r="E484" s="10">
        <v>3</v>
      </c>
      <c r="F484" s="9" t="s">
        <v>314</v>
      </c>
      <c r="G484" s="11">
        <v>0</v>
      </c>
      <c r="H484" s="9" t="s">
        <v>272</v>
      </c>
      <c r="I484" s="9" t="s">
        <v>273</v>
      </c>
      <c r="J484" s="9" t="s">
        <v>8</v>
      </c>
      <c r="K484" s="9"/>
      <c r="L484" s="9"/>
      <c r="M484" s="12">
        <f t="shared" si="32"/>
        <v>552</v>
      </c>
      <c r="N484" s="13">
        <f t="shared" si="33"/>
        <v>171</v>
      </c>
      <c r="O484" s="14">
        <f t="shared" si="34"/>
        <v>723</v>
      </c>
      <c r="P484" s="15">
        <f t="shared" si="35"/>
        <v>0.87108433734939761</v>
      </c>
    </row>
    <row r="485" spans="1:16" ht="15.75" hidden="1" customHeight="1" x14ac:dyDescent="0.3">
      <c r="A485" s="8" t="s">
        <v>58</v>
      </c>
      <c r="B485" s="9" t="s">
        <v>312</v>
      </c>
      <c r="C485" s="9" t="s">
        <v>80</v>
      </c>
      <c r="D485" s="9" t="s">
        <v>184</v>
      </c>
      <c r="E485" s="10">
        <v>3</v>
      </c>
      <c r="F485" s="9" t="s">
        <v>314</v>
      </c>
      <c r="G485" s="11">
        <v>0</v>
      </c>
      <c r="H485" s="9" t="s">
        <v>272</v>
      </c>
      <c r="I485" s="9" t="s">
        <v>273</v>
      </c>
      <c r="J485" s="9" t="s">
        <v>8</v>
      </c>
      <c r="K485" s="9"/>
      <c r="L485" s="9"/>
      <c r="M485" s="12">
        <f t="shared" si="32"/>
        <v>552</v>
      </c>
      <c r="N485" s="13">
        <f t="shared" si="33"/>
        <v>171</v>
      </c>
      <c r="O485" s="14">
        <f t="shared" si="34"/>
        <v>723</v>
      </c>
      <c r="P485" s="15">
        <f t="shared" si="35"/>
        <v>0.87108433734939761</v>
      </c>
    </row>
    <row r="486" spans="1:16" ht="15.75" hidden="1" customHeight="1" x14ac:dyDescent="0.3">
      <c r="A486" s="8" t="s">
        <v>58</v>
      </c>
      <c r="B486" s="9" t="s">
        <v>312</v>
      </c>
      <c r="C486" s="9" t="s">
        <v>80</v>
      </c>
      <c r="D486" s="9" t="s">
        <v>185</v>
      </c>
      <c r="E486" s="10">
        <v>3</v>
      </c>
      <c r="F486" s="9" t="s">
        <v>314</v>
      </c>
      <c r="G486" s="11">
        <v>0</v>
      </c>
      <c r="H486" s="9" t="s">
        <v>272</v>
      </c>
      <c r="I486" s="9" t="s">
        <v>273</v>
      </c>
      <c r="J486" s="9" t="s">
        <v>8</v>
      </c>
      <c r="K486" s="9"/>
      <c r="L486" s="9"/>
      <c r="M486" s="12">
        <f t="shared" si="32"/>
        <v>552</v>
      </c>
      <c r="N486" s="13">
        <f t="shared" si="33"/>
        <v>171</v>
      </c>
      <c r="O486" s="14">
        <f t="shared" si="34"/>
        <v>723</v>
      </c>
      <c r="P486" s="15">
        <f t="shared" si="35"/>
        <v>0.87108433734939761</v>
      </c>
    </row>
    <row r="487" spans="1:16" ht="15.75" hidden="1" customHeight="1" x14ac:dyDescent="0.3">
      <c r="A487" s="8" t="s">
        <v>58</v>
      </c>
      <c r="B487" s="9" t="s">
        <v>312</v>
      </c>
      <c r="C487" s="9" t="s">
        <v>80</v>
      </c>
      <c r="D487" s="9" t="s">
        <v>163</v>
      </c>
      <c r="E487" s="10">
        <v>3</v>
      </c>
      <c r="F487" s="9" t="s">
        <v>314</v>
      </c>
      <c r="G487" s="11">
        <v>0</v>
      </c>
      <c r="H487" s="9" t="s">
        <v>272</v>
      </c>
      <c r="I487" s="9" t="s">
        <v>273</v>
      </c>
      <c r="J487" s="9" t="s">
        <v>8</v>
      </c>
      <c r="K487" s="9"/>
      <c r="L487" s="9"/>
      <c r="M487" s="12">
        <f t="shared" si="32"/>
        <v>552</v>
      </c>
      <c r="N487" s="13">
        <f t="shared" si="33"/>
        <v>171</v>
      </c>
      <c r="O487" s="14">
        <f t="shared" si="34"/>
        <v>723</v>
      </c>
      <c r="P487" s="15">
        <f t="shared" si="35"/>
        <v>0.87108433734939761</v>
      </c>
    </row>
    <row r="488" spans="1:16" ht="15.75" hidden="1" customHeight="1" x14ac:dyDescent="0.3">
      <c r="A488" s="8" t="s">
        <v>58</v>
      </c>
      <c r="B488" s="9" t="s">
        <v>317</v>
      </c>
      <c r="C488" s="9" t="s">
        <v>73</v>
      </c>
      <c r="D488" s="9" t="s">
        <v>318</v>
      </c>
      <c r="E488" s="10">
        <v>24</v>
      </c>
      <c r="F488" s="9" t="s">
        <v>319</v>
      </c>
      <c r="G488" s="10">
        <v>24</v>
      </c>
      <c r="H488" s="9" t="s">
        <v>257</v>
      </c>
      <c r="I488" s="9" t="s">
        <v>258</v>
      </c>
      <c r="J488" s="9" t="s">
        <v>8</v>
      </c>
      <c r="K488" s="9"/>
      <c r="L488" s="9"/>
      <c r="M488" s="12">
        <f t="shared" si="32"/>
        <v>331</v>
      </c>
      <c r="N488" s="13">
        <f t="shared" si="33"/>
        <v>520</v>
      </c>
      <c r="O488" s="14">
        <f t="shared" si="34"/>
        <v>851</v>
      </c>
      <c r="P488" s="15">
        <f t="shared" si="35"/>
        <v>1.0253012048192771</v>
      </c>
    </row>
    <row r="489" spans="1:16" ht="15.75" hidden="1" customHeight="1" x14ac:dyDescent="0.3">
      <c r="A489" s="8" t="s">
        <v>58</v>
      </c>
      <c r="B489" s="9" t="s">
        <v>317</v>
      </c>
      <c r="C489" s="9" t="s">
        <v>87</v>
      </c>
      <c r="D489" s="9" t="s">
        <v>318</v>
      </c>
      <c r="E489" s="10">
        <v>1</v>
      </c>
      <c r="F489" s="9" t="s">
        <v>319</v>
      </c>
      <c r="G489" s="11">
        <v>0</v>
      </c>
      <c r="H489" s="9" t="s">
        <v>257</v>
      </c>
      <c r="I489" s="9" t="s">
        <v>258</v>
      </c>
      <c r="J489" s="9" t="s">
        <v>8</v>
      </c>
      <c r="K489" s="9"/>
      <c r="L489" s="9"/>
      <c r="M489" s="12">
        <f t="shared" si="32"/>
        <v>331</v>
      </c>
      <c r="N489" s="13">
        <f t="shared" si="33"/>
        <v>520</v>
      </c>
      <c r="O489" s="14">
        <f t="shared" si="34"/>
        <v>851</v>
      </c>
      <c r="P489" s="15">
        <f t="shared" si="35"/>
        <v>1.0253012048192771</v>
      </c>
    </row>
    <row r="490" spans="1:16" ht="15.75" hidden="1" customHeight="1" x14ac:dyDescent="0.3">
      <c r="A490" s="8" t="s">
        <v>58</v>
      </c>
      <c r="B490" s="9" t="s">
        <v>317</v>
      </c>
      <c r="C490" s="9" t="s">
        <v>79</v>
      </c>
      <c r="D490" s="9" t="s">
        <v>318</v>
      </c>
      <c r="E490" s="10">
        <v>8</v>
      </c>
      <c r="F490" s="9" t="s">
        <v>319</v>
      </c>
      <c r="G490" s="10">
        <v>8</v>
      </c>
      <c r="H490" s="9" t="s">
        <v>257</v>
      </c>
      <c r="I490" s="9" t="s">
        <v>258</v>
      </c>
      <c r="J490" s="9" t="s">
        <v>8</v>
      </c>
      <c r="K490" s="9"/>
      <c r="L490" s="9"/>
      <c r="M490" s="12">
        <f t="shared" si="32"/>
        <v>331</v>
      </c>
      <c r="N490" s="13">
        <f t="shared" si="33"/>
        <v>520</v>
      </c>
      <c r="O490" s="14">
        <f t="shared" si="34"/>
        <v>851</v>
      </c>
      <c r="P490" s="15">
        <f t="shared" si="35"/>
        <v>1.0253012048192771</v>
      </c>
    </row>
    <row r="491" spans="1:16" ht="15.75" hidden="1" customHeight="1" x14ac:dyDescent="0.3">
      <c r="A491" s="8" t="s">
        <v>58</v>
      </c>
      <c r="B491" s="9" t="s">
        <v>317</v>
      </c>
      <c r="C491" s="9" t="s">
        <v>80</v>
      </c>
      <c r="D491" s="9" t="s">
        <v>318</v>
      </c>
      <c r="E491" s="10">
        <v>1</v>
      </c>
      <c r="F491" s="9" t="s">
        <v>319</v>
      </c>
      <c r="G491" s="11">
        <v>0</v>
      </c>
      <c r="H491" s="9" t="s">
        <v>257</v>
      </c>
      <c r="I491" s="9" t="s">
        <v>258</v>
      </c>
      <c r="J491" s="9" t="s">
        <v>8</v>
      </c>
      <c r="K491" s="9"/>
      <c r="L491" s="9"/>
      <c r="M491" s="12">
        <f t="shared" si="32"/>
        <v>331</v>
      </c>
      <c r="N491" s="13">
        <f t="shared" si="33"/>
        <v>520</v>
      </c>
      <c r="O491" s="14">
        <f t="shared" si="34"/>
        <v>851</v>
      </c>
      <c r="P491" s="15">
        <f t="shared" si="35"/>
        <v>1.0253012048192771</v>
      </c>
    </row>
    <row r="492" spans="1:16" ht="15.75" hidden="1" customHeight="1" x14ac:dyDescent="0.3">
      <c r="A492" s="8" t="s">
        <v>58</v>
      </c>
      <c r="B492" s="9" t="s">
        <v>320</v>
      </c>
      <c r="C492" s="9" t="s">
        <v>73</v>
      </c>
      <c r="D492" s="9" t="s">
        <v>321</v>
      </c>
      <c r="E492" s="10">
        <v>68</v>
      </c>
      <c r="F492" s="9" t="s">
        <v>322</v>
      </c>
      <c r="G492" s="10">
        <v>68</v>
      </c>
      <c r="H492" s="9" t="s">
        <v>171</v>
      </c>
      <c r="I492" s="9" t="s">
        <v>172</v>
      </c>
      <c r="J492" s="9" t="s">
        <v>8</v>
      </c>
      <c r="K492" s="9"/>
      <c r="L492" s="9" t="s">
        <v>323</v>
      </c>
      <c r="M492" s="12">
        <f t="shared" si="32"/>
        <v>339</v>
      </c>
      <c r="N492" s="13">
        <f t="shared" si="33"/>
        <v>296</v>
      </c>
      <c r="O492" s="14">
        <f t="shared" si="34"/>
        <v>635</v>
      </c>
      <c r="P492" s="15">
        <f t="shared" si="35"/>
        <v>0.76506024096385539</v>
      </c>
    </row>
    <row r="493" spans="1:16" ht="15.75" hidden="1" customHeight="1" x14ac:dyDescent="0.3">
      <c r="A493" s="8" t="s">
        <v>58</v>
      </c>
      <c r="B493" s="9" t="s">
        <v>320</v>
      </c>
      <c r="C493" s="9" t="s">
        <v>79</v>
      </c>
      <c r="D493" s="9" t="s">
        <v>321</v>
      </c>
      <c r="E493" s="10">
        <v>20</v>
      </c>
      <c r="F493" s="9" t="s">
        <v>322</v>
      </c>
      <c r="G493" s="10">
        <v>20</v>
      </c>
      <c r="H493" s="9" t="s">
        <v>171</v>
      </c>
      <c r="I493" s="9" t="s">
        <v>172</v>
      </c>
      <c r="J493" s="9" t="s">
        <v>8</v>
      </c>
      <c r="K493" s="9"/>
      <c r="L493" s="9" t="s">
        <v>323</v>
      </c>
      <c r="M493" s="12">
        <f t="shared" si="32"/>
        <v>339</v>
      </c>
      <c r="N493" s="13">
        <f t="shared" si="33"/>
        <v>296</v>
      </c>
      <c r="O493" s="14">
        <f t="shared" si="34"/>
        <v>635</v>
      </c>
      <c r="P493" s="15">
        <f t="shared" si="35"/>
        <v>0.76506024096385539</v>
      </c>
    </row>
    <row r="494" spans="1:16" ht="15.75" hidden="1" customHeight="1" x14ac:dyDescent="0.3">
      <c r="A494" s="8" t="s">
        <v>58</v>
      </c>
      <c r="B494" s="9" t="s">
        <v>320</v>
      </c>
      <c r="C494" s="9" t="s">
        <v>111</v>
      </c>
      <c r="D494" s="9" t="s">
        <v>321</v>
      </c>
      <c r="E494" s="10">
        <v>1</v>
      </c>
      <c r="F494" s="9" t="s">
        <v>322</v>
      </c>
      <c r="G494" s="11">
        <v>0</v>
      </c>
      <c r="H494" s="9" t="s">
        <v>171</v>
      </c>
      <c r="I494" s="9" t="s">
        <v>172</v>
      </c>
      <c r="J494" s="9" t="s">
        <v>8</v>
      </c>
      <c r="K494" s="9"/>
      <c r="L494" s="9" t="s">
        <v>323</v>
      </c>
      <c r="M494" s="12">
        <f t="shared" si="32"/>
        <v>339</v>
      </c>
      <c r="N494" s="13">
        <f t="shared" si="33"/>
        <v>296</v>
      </c>
      <c r="O494" s="14">
        <f t="shared" si="34"/>
        <v>635</v>
      </c>
      <c r="P494" s="15">
        <f t="shared" si="35"/>
        <v>0.76506024096385539</v>
      </c>
    </row>
    <row r="495" spans="1:16" ht="15.75" hidden="1" customHeight="1" x14ac:dyDescent="0.3">
      <c r="A495" s="8" t="s">
        <v>58</v>
      </c>
      <c r="B495" s="9" t="s">
        <v>320</v>
      </c>
      <c r="C495" s="9" t="s">
        <v>80</v>
      </c>
      <c r="D495" s="9" t="s">
        <v>321</v>
      </c>
      <c r="E495" s="10">
        <v>5</v>
      </c>
      <c r="F495" s="9" t="s">
        <v>322</v>
      </c>
      <c r="G495" s="11">
        <v>0</v>
      </c>
      <c r="H495" s="9" t="s">
        <v>171</v>
      </c>
      <c r="I495" s="9" t="s">
        <v>172</v>
      </c>
      <c r="J495" s="9" t="s">
        <v>8</v>
      </c>
      <c r="K495" s="9"/>
      <c r="L495" s="9" t="s">
        <v>323</v>
      </c>
      <c r="M495" s="12">
        <f t="shared" si="32"/>
        <v>339</v>
      </c>
      <c r="N495" s="13">
        <f t="shared" si="33"/>
        <v>296</v>
      </c>
      <c r="O495" s="14">
        <f t="shared" si="34"/>
        <v>635</v>
      </c>
      <c r="P495" s="15">
        <f t="shared" si="35"/>
        <v>0.76506024096385539</v>
      </c>
    </row>
    <row r="496" spans="1:16" ht="15.75" hidden="1" customHeight="1" x14ac:dyDescent="0.3">
      <c r="A496" s="8" t="s">
        <v>58</v>
      </c>
      <c r="B496" s="9" t="s">
        <v>324</v>
      </c>
      <c r="C496" s="9" t="s">
        <v>73</v>
      </c>
      <c r="D496" s="9" t="s">
        <v>325</v>
      </c>
      <c r="E496" s="10">
        <v>68</v>
      </c>
      <c r="F496" s="9" t="s">
        <v>319</v>
      </c>
      <c r="G496" s="10">
        <v>68</v>
      </c>
      <c r="H496" s="9" t="s">
        <v>257</v>
      </c>
      <c r="I496" s="22" t="s">
        <v>97</v>
      </c>
      <c r="J496" s="9" t="s">
        <v>8</v>
      </c>
      <c r="K496" s="9"/>
      <c r="L496" s="9" t="s">
        <v>326</v>
      </c>
      <c r="M496" s="12">
        <f t="shared" si="32"/>
        <v>501</v>
      </c>
      <c r="N496" s="13">
        <f t="shared" si="33"/>
        <v>486.5</v>
      </c>
      <c r="O496" s="14">
        <f t="shared" si="34"/>
        <v>987.5</v>
      </c>
      <c r="P496" s="15">
        <f t="shared" si="35"/>
        <v>1.1897590361445782</v>
      </c>
    </row>
    <row r="497" spans="1:16" ht="15.75" hidden="1" customHeight="1" x14ac:dyDescent="0.3">
      <c r="A497" s="8" t="s">
        <v>58</v>
      </c>
      <c r="B497" s="9" t="s">
        <v>324</v>
      </c>
      <c r="C497" s="9" t="s">
        <v>79</v>
      </c>
      <c r="D497" s="9" t="s">
        <v>325</v>
      </c>
      <c r="E497" s="10">
        <v>20</v>
      </c>
      <c r="F497" s="9" t="s">
        <v>319</v>
      </c>
      <c r="G497" s="10">
        <v>20</v>
      </c>
      <c r="H497" s="9" t="s">
        <v>257</v>
      </c>
      <c r="I497" s="22" t="s">
        <v>97</v>
      </c>
      <c r="J497" s="9" t="s">
        <v>8</v>
      </c>
      <c r="K497" s="9"/>
      <c r="L497" s="9" t="s">
        <v>326</v>
      </c>
      <c r="M497" s="12">
        <f t="shared" si="32"/>
        <v>501</v>
      </c>
      <c r="N497" s="13">
        <f t="shared" si="33"/>
        <v>486.5</v>
      </c>
      <c r="O497" s="14">
        <f t="shared" si="34"/>
        <v>987.5</v>
      </c>
      <c r="P497" s="15">
        <f t="shared" si="35"/>
        <v>1.1897590361445782</v>
      </c>
    </row>
    <row r="498" spans="1:16" ht="15.75" hidden="1" customHeight="1" x14ac:dyDescent="0.3">
      <c r="A498" s="8" t="s">
        <v>58</v>
      </c>
      <c r="B498" s="9" t="s">
        <v>324</v>
      </c>
      <c r="C498" s="9" t="s">
        <v>111</v>
      </c>
      <c r="D498" s="9" t="s">
        <v>325</v>
      </c>
      <c r="E498" s="10">
        <v>2</v>
      </c>
      <c r="F498" s="9" t="s">
        <v>319</v>
      </c>
      <c r="G498" s="11">
        <v>0</v>
      </c>
      <c r="H498" s="9" t="s">
        <v>257</v>
      </c>
      <c r="I498" s="22" t="s">
        <v>97</v>
      </c>
      <c r="J498" s="9" t="s">
        <v>8</v>
      </c>
      <c r="K498" s="9"/>
      <c r="L498" s="9" t="s">
        <v>326</v>
      </c>
      <c r="M498" s="12">
        <f t="shared" si="32"/>
        <v>501</v>
      </c>
      <c r="N498" s="13">
        <f t="shared" si="33"/>
        <v>486.5</v>
      </c>
      <c r="O498" s="14">
        <f t="shared" si="34"/>
        <v>987.5</v>
      </c>
      <c r="P498" s="15">
        <f t="shared" si="35"/>
        <v>1.1897590361445782</v>
      </c>
    </row>
    <row r="499" spans="1:16" ht="15.75" hidden="1" customHeight="1" x14ac:dyDescent="0.3">
      <c r="A499" s="8" t="s">
        <v>58</v>
      </c>
      <c r="B499" s="9" t="s">
        <v>324</v>
      </c>
      <c r="C499" s="9" t="s">
        <v>80</v>
      </c>
      <c r="D499" s="9" t="s">
        <v>325</v>
      </c>
      <c r="E499" s="10">
        <v>5</v>
      </c>
      <c r="F499" s="9" t="s">
        <v>319</v>
      </c>
      <c r="G499" s="11">
        <v>0</v>
      </c>
      <c r="H499" s="9" t="s">
        <v>257</v>
      </c>
      <c r="I499" s="22" t="s">
        <v>97</v>
      </c>
      <c r="J499" s="9" t="s">
        <v>8</v>
      </c>
      <c r="K499" s="9"/>
      <c r="L499" s="9" t="s">
        <v>326</v>
      </c>
      <c r="M499" s="12">
        <f t="shared" si="32"/>
        <v>501</v>
      </c>
      <c r="N499" s="13">
        <f t="shared" si="33"/>
        <v>486.5</v>
      </c>
      <c r="O499" s="14">
        <f t="shared" si="34"/>
        <v>987.5</v>
      </c>
      <c r="P499" s="15">
        <f t="shared" si="35"/>
        <v>1.1897590361445782</v>
      </c>
    </row>
    <row r="500" spans="1:16" ht="15.75" hidden="1" customHeight="1" x14ac:dyDescent="0.3">
      <c r="A500" s="8" t="s">
        <v>58</v>
      </c>
      <c r="B500" s="9" t="s">
        <v>327</v>
      </c>
      <c r="C500" s="9" t="s">
        <v>73</v>
      </c>
      <c r="D500" s="9" t="s">
        <v>82</v>
      </c>
      <c r="E500" s="10">
        <v>16</v>
      </c>
      <c r="F500" s="9" t="s">
        <v>83</v>
      </c>
      <c r="G500" s="10">
        <v>16</v>
      </c>
      <c r="H500" s="9" t="s">
        <v>84</v>
      </c>
      <c r="I500" s="9" t="s">
        <v>85</v>
      </c>
      <c r="J500" s="9"/>
      <c r="K500" s="9"/>
      <c r="L500" s="9" t="s">
        <v>86</v>
      </c>
      <c r="M500" s="12">
        <f t="shared" si="32"/>
        <v>256</v>
      </c>
      <c r="N500" s="13">
        <f t="shared" si="33"/>
        <v>691.5</v>
      </c>
      <c r="O500" s="14">
        <f t="shared" si="34"/>
        <v>947.5</v>
      </c>
      <c r="P500" s="15">
        <f t="shared" si="35"/>
        <v>1.1415662650602409</v>
      </c>
    </row>
    <row r="501" spans="1:16" ht="15.75" hidden="1" customHeight="1" x14ac:dyDescent="0.3">
      <c r="A501" s="8" t="s">
        <v>58</v>
      </c>
      <c r="B501" s="9" t="s">
        <v>327</v>
      </c>
      <c r="C501" s="9" t="s">
        <v>73</v>
      </c>
      <c r="D501" s="9" t="s">
        <v>126</v>
      </c>
      <c r="E501" s="10">
        <v>32</v>
      </c>
      <c r="F501" s="9" t="s">
        <v>127</v>
      </c>
      <c r="G501" s="10">
        <v>32</v>
      </c>
      <c r="H501" s="9" t="s">
        <v>84</v>
      </c>
      <c r="I501" s="9" t="s">
        <v>85</v>
      </c>
      <c r="J501" s="9"/>
      <c r="K501" s="9"/>
      <c r="L501" s="9" t="s">
        <v>86</v>
      </c>
      <c r="M501" s="12">
        <f t="shared" si="32"/>
        <v>256</v>
      </c>
      <c r="N501" s="13">
        <f t="shared" si="33"/>
        <v>691.5</v>
      </c>
      <c r="O501" s="14">
        <f t="shared" si="34"/>
        <v>947.5</v>
      </c>
      <c r="P501" s="15">
        <f t="shared" si="35"/>
        <v>1.1415662650602409</v>
      </c>
    </row>
    <row r="502" spans="1:16" ht="15.75" hidden="1" customHeight="1" x14ac:dyDescent="0.3">
      <c r="A502" s="8" t="s">
        <v>58</v>
      </c>
      <c r="B502" s="9" t="s">
        <v>327</v>
      </c>
      <c r="C502" s="9" t="s">
        <v>87</v>
      </c>
      <c r="D502" s="9" t="s">
        <v>88</v>
      </c>
      <c r="E502" s="10">
        <v>7</v>
      </c>
      <c r="F502" s="9" t="s">
        <v>83</v>
      </c>
      <c r="G502" s="11">
        <v>0</v>
      </c>
      <c r="H502" s="9" t="s">
        <v>84</v>
      </c>
      <c r="I502" s="9" t="s">
        <v>85</v>
      </c>
      <c r="J502" s="9"/>
      <c r="K502" s="9"/>
      <c r="L502" s="9" t="s">
        <v>89</v>
      </c>
      <c r="M502" s="12">
        <f t="shared" si="32"/>
        <v>256</v>
      </c>
      <c r="N502" s="13">
        <f t="shared" si="33"/>
        <v>691.5</v>
      </c>
      <c r="O502" s="14">
        <f t="shared" si="34"/>
        <v>947.5</v>
      </c>
      <c r="P502" s="15">
        <f t="shared" si="35"/>
        <v>1.1415662650602409</v>
      </c>
    </row>
    <row r="503" spans="1:16" ht="15.75" hidden="1" customHeight="1" x14ac:dyDescent="0.3">
      <c r="A503" s="8" t="s">
        <v>58</v>
      </c>
      <c r="B503" s="9" t="s">
        <v>327</v>
      </c>
      <c r="C503" s="9" t="s">
        <v>87</v>
      </c>
      <c r="D503" s="9" t="s">
        <v>90</v>
      </c>
      <c r="E503" s="10">
        <v>7</v>
      </c>
      <c r="F503" s="9" t="s">
        <v>83</v>
      </c>
      <c r="G503" s="11">
        <v>0</v>
      </c>
      <c r="H503" s="9" t="s">
        <v>84</v>
      </c>
      <c r="I503" s="9" t="s">
        <v>85</v>
      </c>
      <c r="J503" s="9"/>
      <c r="K503" s="9"/>
      <c r="L503" s="9" t="s">
        <v>89</v>
      </c>
      <c r="M503" s="12">
        <f t="shared" si="32"/>
        <v>256</v>
      </c>
      <c r="N503" s="13">
        <f t="shared" si="33"/>
        <v>691.5</v>
      </c>
      <c r="O503" s="14">
        <f t="shared" si="34"/>
        <v>947.5</v>
      </c>
      <c r="P503" s="15">
        <f t="shared" si="35"/>
        <v>1.1415662650602409</v>
      </c>
    </row>
    <row r="504" spans="1:16" ht="15.75" hidden="1" customHeight="1" x14ac:dyDescent="0.3">
      <c r="A504" s="8" t="s">
        <v>58</v>
      </c>
      <c r="B504" s="9" t="s">
        <v>327</v>
      </c>
      <c r="C504" s="9" t="s">
        <v>87</v>
      </c>
      <c r="D504" s="9" t="s">
        <v>126</v>
      </c>
      <c r="E504" s="10">
        <v>5</v>
      </c>
      <c r="F504" s="9" t="s">
        <v>127</v>
      </c>
      <c r="G504" s="11">
        <v>0</v>
      </c>
      <c r="H504" s="9" t="s">
        <v>84</v>
      </c>
      <c r="I504" s="9" t="s">
        <v>85</v>
      </c>
      <c r="J504" s="9"/>
      <c r="K504" s="9"/>
      <c r="L504" s="9" t="s">
        <v>89</v>
      </c>
      <c r="M504" s="12">
        <f t="shared" si="32"/>
        <v>256</v>
      </c>
      <c r="N504" s="13">
        <f t="shared" si="33"/>
        <v>691.5</v>
      </c>
      <c r="O504" s="14">
        <f t="shared" si="34"/>
        <v>947.5</v>
      </c>
      <c r="P504" s="15">
        <f t="shared" si="35"/>
        <v>1.1415662650602409</v>
      </c>
    </row>
    <row r="505" spans="1:16" ht="15.75" hidden="1" customHeight="1" x14ac:dyDescent="0.3">
      <c r="A505" s="8" t="s">
        <v>58</v>
      </c>
      <c r="B505" s="9" t="s">
        <v>327</v>
      </c>
      <c r="C505" s="9" t="s">
        <v>79</v>
      </c>
      <c r="D505" s="9" t="s">
        <v>88</v>
      </c>
      <c r="E505" s="10">
        <v>38</v>
      </c>
      <c r="F505" s="9" t="s">
        <v>83</v>
      </c>
      <c r="G505" s="10">
        <v>38</v>
      </c>
      <c r="H505" s="9" t="s">
        <v>186</v>
      </c>
      <c r="I505" s="9" t="s">
        <v>187</v>
      </c>
      <c r="J505" s="9"/>
      <c r="K505" s="9"/>
      <c r="L505" s="9"/>
      <c r="M505" s="12">
        <f t="shared" si="32"/>
        <v>87</v>
      </c>
      <c r="N505" s="13">
        <f t="shared" si="33"/>
        <v>111.5</v>
      </c>
      <c r="O505" s="14">
        <f t="shared" si="34"/>
        <v>198.5</v>
      </c>
      <c r="P505" s="15">
        <f t="shared" si="35"/>
        <v>0.23915662650602409</v>
      </c>
    </row>
    <row r="506" spans="1:16" ht="15.75" hidden="1" customHeight="1" x14ac:dyDescent="0.3">
      <c r="A506" s="8" t="s">
        <v>58</v>
      </c>
      <c r="B506" s="9" t="s">
        <v>327</v>
      </c>
      <c r="C506" s="9" t="s">
        <v>79</v>
      </c>
      <c r="D506" s="9" t="s">
        <v>90</v>
      </c>
      <c r="E506" s="10">
        <v>38</v>
      </c>
      <c r="F506" s="9" t="s">
        <v>83</v>
      </c>
      <c r="G506" s="10">
        <v>38</v>
      </c>
      <c r="H506" s="9" t="s">
        <v>328</v>
      </c>
      <c r="I506" s="9" t="s">
        <v>329</v>
      </c>
      <c r="J506" s="9"/>
      <c r="K506" s="9"/>
      <c r="L506" s="9"/>
      <c r="M506" s="12">
        <f t="shared" si="32"/>
        <v>39</v>
      </c>
      <c r="N506" s="13">
        <f t="shared" si="33"/>
        <v>194</v>
      </c>
      <c r="O506" s="14">
        <f t="shared" si="34"/>
        <v>233</v>
      </c>
      <c r="P506" s="15">
        <f t="shared" si="35"/>
        <v>0.28072289156626506</v>
      </c>
    </row>
    <row r="507" spans="1:16" ht="15.75" hidden="1" customHeight="1" x14ac:dyDescent="0.3">
      <c r="A507" s="8" t="s">
        <v>58</v>
      </c>
      <c r="B507" s="9" t="s">
        <v>327</v>
      </c>
      <c r="C507" s="9" t="s">
        <v>79</v>
      </c>
      <c r="D507" s="9" t="s">
        <v>126</v>
      </c>
      <c r="E507" s="10">
        <v>16</v>
      </c>
      <c r="F507" s="9" t="s">
        <v>127</v>
      </c>
      <c r="G507" s="10">
        <v>16</v>
      </c>
      <c r="H507" s="9" t="s">
        <v>84</v>
      </c>
      <c r="I507" s="9" t="s">
        <v>85</v>
      </c>
      <c r="J507" s="9"/>
      <c r="K507" s="9"/>
      <c r="L507" s="9" t="s">
        <v>267</v>
      </c>
      <c r="M507" s="12">
        <f t="shared" si="32"/>
        <v>256</v>
      </c>
      <c r="N507" s="13">
        <f t="shared" si="33"/>
        <v>691.5</v>
      </c>
      <c r="O507" s="14">
        <f t="shared" si="34"/>
        <v>947.5</v>
      </c>
      <c r="P507" s="15">
        <f t="shared" si="35"/>
        <v>1.1415662650602409</v>
      </c>
    </row>
    <row r="508" spans="1:16" ht="15.75" hidden="1" customHeight="1" x14ac:dyDescent="0.3">
      <c r="A508" s="8" t="s">
        <v>58</v>
      </c>
      <c r="B508" s="9" t="s">
        <v>327</v>
      </c>
      <c r="C508" s="9" t="s">
        <v>100</v>
      </c>
      <c r="D508" s="9" t="s">
        <v>126</v>
      </c>
      <c r="E508" s="10">
        <v>24</v>
      </c>
      <c r="F508" s="9" t="s">
        <v>127</v>
      </c>
      <c r="G508" s="10">
        <v>24</v>
      </c>
      <c r="H508" s="9" t="s">
        <v>84</v>
      </c>
      <c r="I508" s="9" t="s">
        <v>85</v>
      </c>
      <c r="J508" s="9"/>
      <c r="K508" s="9"/>
      <c r="L508" s="9" t="s">
        <v>267</v>
      </c>
      <c r="M508" s="12">
        <f t="shared" si="32"/>
        <v>256</v>
      </c>
      <c r="N508" s="13">
        <f t="shared" si="33"/>
        <v>691.5</v>
      </c>
      <c r="O508" s="14">
        <f t="shared" si="34"/>
        <v>947.5</v>
      </c>
      <c r="P508" s="15">
        <f t="shared" si="35"/>
        <v>1.1415662650602409</v>
      </c>
    </row>
    <row r="509" spans="1:16" ht="15.75" hidden="1" customHeight="1" x14ac:dyDescent="0.3">
      <c r="A509" s="8" t="s">
        <v>58</v>
      </c>
      <c r="B509" s="9" t="s">
        <v>327</v>
      </c>
      <c r="C509" s="9" t="s">
        <v>80</v>
      </c>
      <c r="D509" s="9" t="s">
        <v>88</v>
      </c>
      <c r="E509" s="10">
        <v>1</v>
      </c>
      <c r="F509" s="9" t="s">
        <v>83</v>
      </c>
      <c r="G509" s="11">
        <v>0</v>
      </c>
      <c r="H509" s="9" t="s">
        <v>186</v>
      </c>
      <c r="I509" s="9" t="s">
        <v>187</v>
      </c>
      <c r="J509" s="9"/>
      <c r="K509" s="9"/>
      <c r="L509" s="9"/>
      <c r="M509" s="12">
        <f t="shared" si="32"/>
        <v>87</v>
      </c>
      <c r="N509" s="13">
        <f t="shared" si="33"/>
        <v>111.5</v>
      </c>
      <c r="O509" s="14">
        <f t="shared" si="34"/>
        <v>198.5</v>
      </c>
      <c r="P509" s="15">
        <f t="shared" si="35"/>
        <v>0.23915662650602409</v>
      </c>
    </row>
    <row r="510" spans="1:16" ht="15.75" hidden="1" customHeight="1" x14ac:dyDescent="0.3">
      <c r="A510" s="8" t="s">
        <v>58</v>
      </c>
      <c r="B510" s="9" t="s">
        <v>327</v>
      </c>
      <c r="C510" s="9" t="s">
        <v>80</v>
      </c>
      <c r="D510" s="9" t="s">
        <v>90</v>
      </c>
      <c r="E510" s="10">
        <v>1</v>
      </c>
      <c r="F510" s="9" t="s">
        <v>83</v>
      </c>
      <c r="G510" s="11">
        <v>0</v>
      </c>
      <c r="H510" s="9" t="s">
        <v>328</v>
      </c>
      <c r="I510" s="9" t="s">
        <v>329</v>
      </c>
      <c r="J510" s="9"/>
      <c r="K510" s="9"/>
      <c r="L510" s="9"/>
      <c r="M510" s="12">
        <f t="shared" si="32"/>
        <v>39</v>
      </c>
      <c r="N510" s="13">
        <f t="shared" si="33"/>
        <v>194</v>
      </c>
      <c r="O510" s="14">
        <f t="shared" si="34"/>
        <v>233</v>
      </c>
      <c r="P510" s="15">
        <f t="shared" si="35"/>
        <v>0.28072289156626506</v>
      </c>
    </row>
    <row r="511" spans="1:16" ht="15.75" hidden="1" customHeight="1" x14ac:dyDescent="0.3">
      <c r="A511" s="8" t="s">
        <v>58</v>
      </c>
      <c r="B511" s="9" t="s">
        <v>327</v>
      </c>
      <c r="C511" s="9" t="s">
        <v>80</v>
      </c>
      <c r="D511" s="9" t="s">
        <v>126</v>
      </c>
      <c r="E511" s="10">
        <v>2</v>
      </c>
      <c r="F511" s="9" t="s">
        <v>127</v>
      </c>
      <c r="G511" s="11">
        <v>0</v>
      </c>
      <c r="H511" s="9" t="s">
        <v>84</v>
      </c>
      <c r="I511" s="9" t="s">
        <v>85</v>
      </c>
      <c r="J511" s="9"/>
      <c r="K511" s="9"/>
      <c r="L511" s="9" t="s">
        <v>89</v>
      </c>
      <c r="M511" s="12">
        <f t="shared" si="32"/>
        <v>256</v>
      </c>
      <c r="N511" s="13">
        <f t="shared" si="33"/>
        <v>691.5</v>
      </c>
      <c r="O511" s="14">
        <f t="shared" si="34"/>
        <v>947.5</v>
      </c>
      <c r="P511" s="15">
        <f t="shared" si="35"/>
        <v>1.1415662650602409</v>
      </c>
    </row>
    <row r="512" spans="1:16" ht="15.75" hidden="1" customHeight="1" x14ac:dyDescent="0.3">
      <c r="A512" s="8" t="s">
        <v>58</v>
      </c>
      <c r="B512" s="9" t="s">
        <v>330</v>
      </c>
      <c r="C512" s="9" t="s">
        <v>79</v>
      </c>
      <c r="D512" s="9" t="s">
        <v>287</v>
      </c>
      <c r="E512" s="10">
        <v>72</v>
      </c>
      <c r="F512" s="9"/>
      <c r="G512" s="10">
        <v>72</v>
      </c>
      <c r="H512" s="9" t="s">
        <v>200</v>
      </c>
      <c r="I512" s="9" t="s">
        <v>201</v>
      </c>
      <c r="J512" s="9" t="s">
        <v>4</v>
      </c>
      <c r="K512" s="9"/>
      <c r="L512" s="9" t="s">
        <v>202</v>
      </c>
      <c r="M512" s="12">
        <f t="shared" si="32"/>
        <v>687</v>
      </c>
      <c r="N512" s="13">
        <f t="shared" si="33"/>
        <v>461.5</v>
      </c>
      <c r="O512" s="14">
        <f t="shared" si="34"/>
        <v>1148.5</v>
      </c>
      <c r="P512" s="15">
        <f t="shared" si="35"/>
        <v>1.3837349397590362</v>
      </c>
    </row>
    <row r="513" spans="1:16" ht="15.75" hidden="1" customHeight="1" x14ac:dyDescent="0.3">
      <c r="A513" s="8" t="s">
        <v>58</v>
      </c>
      <c r="B513" s="9" t="s">
        <v>330</v>
      </c>
      <c r="C513" s="9" t="s">
        <v>111</v>
      </c>
      <c r="D513" s="9" t="s">
        <v>287</v>
      </c>
      <c r="E513" s="10">
        <v>4</v>
      </c>
      <c r="F513" s="9"/>
      <c r="G513" s="11">
        <v>0</v>
      </c>
      <c r="H513" s="9" t="s">
        <v>200</v>
      </c>
      <c r="I513" s="9" t="s">
        <v>201</v>
      </c>
      <c r="J513" s="9" t="s">
        <v>4</v>
      </c>
      <c r="K513" s="9"/>
      <c r="L513" s="9" t="s">
        <v>202</v>
      </c>
      <c r="M513" s="12">
        <f t="shared" si="32"/>
        <v>687</v>
      </c>
      <c r="N513" s="13">
        <f t="shared" si="33"/>
        <v>461.5</v>
      </c>
      <c r="O513" s="14">
        <f t="shared" si="34"/>
        <v>1148.5</v>
      </c>
      <c r="P513" s="15">
        <f t="shared" si="35"/>
        <v>1.3837349397590362</v>
      </c>
    </row>
    <row r="514" spans="1:16" ht="15.75" hidden="1" customHeight="1" x14ac:dyDescent="0.3">
      <c r="A514" s="8" t="s">
        <v>58</v>
      </c>
      <c r="B514" s="9" t="s">
        <v>330</v>
      </c>
      <c r="C514" s="9" t="s">
        <v>80</v>
      </c>
      <c r="D514" s="9" t="s">
        <v>287</v>
      </c>
      <c r="E514" s="10">
        <v>2</v>
      </c>
      <c r="F514" s="9"/>
      <c r="G514" s="11">
        <v>0</v>
      </c>
      <c r="H514" s="9" t="s">
        <v>200</v>
      </c>
      <c r="I514" s="9" t="s">
        <v>201</v>
      </c>
      <c r="J514" s="9" t="s">
        <v>4</v>
      </c>
      <c r="K514" s="9"/>
      <c r="L514" s="9" t="s">
        <v>202</v>
      </c>
      <c r="M514" s="12">
        <f t="shared" si="32"/>
        <v>687</v>
      </c>
      <c r="N514" s="13">
        <f t="shared" si="33"/>
        <v>461.5</v>
      </c>
      <c r="O514" s="14">
        <f t="shared" si="34"/>
        <v>1148.5</v>
      </c>
      <c r="P514" s="15">
        <f t="shared" si="35"/>
        <v>1.3837349397590362</v>
      </c>
    </row>
    <row r="515" spans="1:16" ht="15.75" hidden="1" customHeight="1" x14ac:dyDescent="0.3">
      <c r="A515" s="8" t="s">
        <v>58</v>
      </c>
      <c r="B515" s="9" t="s">
        <v>331</v>
      </c>
      <c r="C515" s="9" t="s">
        <v>73</v>
      </c>
      <c r="D515" s="9" t="s">
        <v>132</v>
      </c>
      <c r="E515" s="10">
        <v>14</v>
      </c>
      <c r="F515" s="9" t="s">
        <v>133</v>
      </c>
      <c r="G515" s="10">
        <v>14</v>
      </c>
      <c r="H515" s="9" t="s">
        <v>200</v>
      </c>
      <c r="I515" s="9" t="s">
        <v>201</v>
      </c>
      <c r="J515" s="9" t="s">
        <v>4</v>
      </c>
      <c r="K515" s="9"/>
      <c r="L515" s="9"/>
      <c r="M515" s="12">
        <f t="shared" si="32"/>
        <v>687</v>
      </c>
      <c r="N515" s="13">
        <f t="shared" si="33"/>
        <v>461.5</v>
      </c>
      <c r="O515" s="14">
        <f t="shared" si="34"/>
        <v>1148.5</v>
      </c>
      <c r="P515" s="15">
        <f t="shared" si="35"/>
        <v>1.3837349397590362</v>
      </c>
    </row>
    <row r="516" spans="1:16" ht="15.75" hidden="1" customHeight="1" x14ac:dyDescent="0.3">
      <c r="A516" s="8" t="s">
        <v>58</v>
      </c>
      <c r="B516" s="9" t="s">
        <v>331</v>
      </c>
      <c r="C516" s="9" t="s">
        <v>79</v>
      </c>
      <c r="D516" s="9" t="s">
        <v>132</v>
      </c>
      <c r="E516" s="10">
        <v>24</v>
      </c>
      <c r="F516" s="9" t="s">
        <v>133</v>
      </c>
      <c r="G516" s="10">
        <v>24</v>
      </c>
      <c r="H516" s="9" t="s">
        <v>200</v>
      </c>
      <c r="I516" s="9" t="s">
        <v>201</v>
      </c>
      <c r="J516" s="9" t="s">
        <v>4</v>
      </c>
      <c r="K516" s="9"/>
      <c r="L516" s="9"/>
      <c r="M516" s="12">
        <f t="shared" si="32"/>
        <v>687</v>
      </c>
      <c r="N516" s="13">
        <f t="shared" si="33"/>
        <v>461.5</v>
      </c>
      <c r="O516" s="14">
        <f t="shared" si="34"/>
        <v>1148.5</v>
      </c>
      <c r="P516" s="15">
        <f t="shared" si="35"/>
        <v>1.3837349397590362</v>
      </c>
    </row>
    <row r="517" spans="1:16" ht="15.75" hidden="1" customHeight="1" x14ac:dyDescent="0.3">
      <c r="A517" s="8" t="s">
        <v>58</v>
      </c>
      <c r="B517" s="9" t="s">
        <v>331</v>
      </c>
      <c r="C517" s="9" t="s">
        <v>142</v>
      </c>
      <c r="D517" s="9" t="s">
        <v>132</v>
      </c>
      <c r="E517" s="10">
        <v>2</v>
      </c>
      <c r="F517" s="9" t="s">
        <v>133</v>
      </c>
      <c r="G517" s="11">
        <v>0</v>
      </c>
      <c r="H517" s="9" t="s">
        <v>200</v>
      </c>
      <c r="I517" s="9" t="s">
        <v>201</v>
      </c>
      <c r="J517" s="9" t="s">
        <v>4</v>
      </c>
      <c r="K517" s="9"/>
      <c r="L517" s="9"/>
      <c r="M517" s="12">
        <f t="shared" si="32"/>
        <v>687</v>
      </c>
      <c r="N517" s="13">
        <f t="shared" si="33"/>
        <v>461.5</v>
      </c>
      <c r="O517" s="14">
        <f t="shared" si="34"/>
        <v>1148.5</v>
      </c>
      <c r="P517" s="15">
        <f t="shared" si="35"/>
        <v>1.3837349397590362</v>
      </c>
    </row>
    <row r="518" spans="1:16" ht="15.75" hidden="1" customHeight="1" x14ac:dyDescent="0.3">
      <c r="A518" s="8" t="s">
        <v>58</v>
      </c>
      <c r="B518" s="9" t="s">
        <v>331</v>
      </c>
      <c r="C518" s="9" t="s">
        <v>80</v>
      </c>
      <c r="D518" s="9" t="s">
        <v>132</v>
      </c>
      <c r="E518" s="10">
        <v>1</v>
      </c>
      <c r="F518" s="9" t="s">
        <v>133</v>
      </c>
      <c r="G518" s="11">
        <v>0</v>
      </c>
      <c r="H518" s="9" t="s">
        <v>200</v>
      </c>
      <c r="I518" s="9" t="s">
        <v>201</v>
      </c>
      <c r="J518" s="9" t="s">
        <v>4</v>
      </c>
      <c r="K518" s="9"/>
      <c r="L518" s="9"/>
      <c r="M518" s="12">
        <f t="shared" si="32"/>
        <v>687</v>
      </c>
      <c r="N518" s="13">
        <f t="shared" si="33"/>
        <v>461.5</v>
      </c>
      <c r="O518" s="14">
        <f t="shared" si="34"/>
        <v>1148.5</v>
      </c>
      <c r="P518" s="15">
        <f t="shared" si="35"/>
        <v>1.3837349397590362</v>
      </c>
    </row>
    <row r="519" spans="1:16" ht="15.75" hidden="1" customHeight="1" x14ac:dyDescent="0.3">
      <c r="A519" s="8" t="s">
        <v>58</v>
      </c>
      <c r="B519" s="9" t="s">
        <v>332</v>
      </c>
      <c r="C519" s="9" t="s">
        <v>333</v>
      </c>
      <c r="D519" s="9" t="s">
        <v>165</v>
      </c>
      <c r="E519" s="10">
        <v>15</v>
      </c>
      <c r="F519" s="9"/>
      <c r="G519" s="11">
        <v>0</v>
      </c>
      <c r="H519" s="9" t="s">
        <v>200</v>
      </c>
      <c r="I519" s="9" t="s">
        <v>201</v>
      </c>
      <c r="J519" s="9" t="s">
        <v>4</v>
      </c>
      <c r="K519" s="9"/>
      <c r="L519" s="9" t="s">
        <v>197</v>
      </c>
      <c r="M519" s="12">
        <f t="shared" si="32"/>
        <v>687</v>
      </c>
      <c r="N519" s="13">
        <f t="shared" si="33"/>
        <v>461.5</v>
      </c>
      <c r="O519" s="14">
        <f t="shared" si="34"/>
        <v>1148.5</v>
      </c>
      <c r="P519" s="15">
        <f t="shared" si="35"/>
        <v>1.3837349397590362</v>
      </c>
    </row>
    <row r="520" spans="1:16" ht="15.75" hidden="1" customHeight="1" x14ac:dyDescent="0.3">
      <c r="A520" s="8" t="s">
        <v>58</v>
      </c>
      <c r="B520" s="9" t="s">
        <v>332</v>
      </c>
      <c r="C520" s="9" t="s">
        <v>333</v>
      </c>
      <c r="D520" s="9" t="s">
        <v>237</v>
      </c>
      <c r="E520" s="10">
        <v>13</v>
      </c>
      <c r="F520" s="9"/>
      <c r="G520" s="11">
        <v>0</v>
      </c>
      <c r="H520" s="9" t="s">
        <v>65</v>
      </c>
      <c r="I520" s="9" t="s">
        <v>66</v>
      </c>
      <c r="J520" s="9" t="s">
        <v>4</v>
      </c>
      <c r="K520" s="9"/>
      <c r="L520" s="9"/>
      <c r="M520" s="12">
        <f t="shared" si="32"/>
        <v>291</v>
      </c>
      <c r="N520" s="13">
        <f t="shared" si="33"/>
        <v>650.5</v>
      </c>
      <c r="O520" s="14">
        <f t="shared" si="34"/>
        <v>941.5</v>
      </c>
      <c r="P520" s="15">
        <f t="shared" si="35"/>
        <v>1.1343373493975903</v>
      </c>
    </row>
    <row r="521" spans="1:16" ht="15.75" hidden="1" customHeight="1" x14ac:dyDescent="0.3">
      <c r="A521" s="8" t="s">
        <v>58</v>
      </c>
      <c r="B521" s="9" t="s">
        <v>332</v>
      </c>
      <c r="C521" s="9" t="s">
        <v>333</v>
      </c>
      <c r="D521" s="9" t="s">
        <v>152</v>
      </c>
      <c r="E521" s="10">
        <v>15</v>
      </c>
      <c r="F521" s="9"/>
      <c r="G521" s="11">
        <v>0</v>
      </c>
      <c r="H521" s="9" t="s">
        <v>257</v>
      </c>
      <c r="I521" s="9" t="s">
        <v>258</v>
      </c>
      <c r="J521" s="9" t="s">
        <v>8</v>
      </c>
      <c r="K521" s="9"/>
      <c r="L521" s="9"/>
      <c r="M521" s="12">
        <f t="shared" si="32"/>
        <v>331</v>
      </c>
      <c r="N521" s="13">
        <f t="shared" si="33"/>
        <v>520</v>
      </c>
      <c r="O521" s="14">
        <f t="shared" si="34"/>
        <v>851</v>
      </c>
      <c r="P521" s="15">
        <f t="shared" si="35"/>
        <v>1.0253012048192771</v>
      </c>
    </row>
    <row r="522" spans="1:16" ht="15.75" hidden="1" customHeight="1" x14ac:dyDescent="0.3">
      <c r="A522" s="8" t="s">
        <v>58</v>
      </c>
      <c r="B522" s="9" t="s">
        <v>332</v>
      </c>
      <c r="C522" s="9" t="s">
        <v>333</v>
      </c>
      <c r="D522" s="9" t="s">
        <v>144</v>
      </c>
      <c r="E522" s="10">
        <v>19</v>
      </c>
      <c r="F522" s="9"/>
      <c r="G522" s="11">
        <v>0</v>
      </c>
      <c r="H522" s="9" t="s">
        <v>146</v>
      </c>
      <c r="I522" s="9" t="s">
        <v>147</v>
      </c>
      <c r="J522" s="9"/>
      <c r="K522" s="9"/>
      <c r="L522" s="9" t="s">
        <v>334</v>
      </c>
      <c r="M522" s="12">
        <f t="shared" si="32"/>
        <v>279</v>
      </c>
      <c r="N522" s="13">
        <f t="shared" si="33"/>
        <v>427.5</v>
      </c>
      <c r="O522" s="14">
        <f t="shared" si="34"/>
        <v>706.5</v>
      </c>
      <c r="P522" s="15">
        <f t="shared" si="35"/>
        <v>0.85120481927710845</v>
      </c>
    </row>
    <row r="523" spans="1:16" ht="15.75" hidden="1" customHeight="1" x14ac:dyDescent="0.3">
      <c r="A523" s="8" t="s">
        <v>58</v>
      </c>
      <c r="B523" s="9" t="s">
        <v>335</v>
      </c>
      <c r="C523" s="9" t="s">
        <v>333</v>
      </c>
      <c r="D523" s="9" t="s">
        <v>287</v>
      </c>
      <c r="E523" s="10">
        <v>28</v>
      </c>
      <c r="F523" s="9"/>
      <c r="G523" s="11">
        <v>0</v>
      </c>
      <c r="H523" s="21" t="s">
        <v>70</v>
      </c>
      <c r="I523" s="21" t="s">
        <v>71</v>
      </c>
      <c r="J523" s="9"/>
      <c r="K523" s="9"/>
      <c r="L523" s="9"/>
      <c r="M523" s="12">
        <f t="shared" si="32"/>
        <v>391</v>
      </c>
      <c r="N523" s="13">
        <f t="shared" si="33"/>
        <v>436.5</v>
      </c>
      <c r="O523" s="14">
        <f t="shared" si="34"/>
        <v>827.5</v>
      </c>
      <c r="P523" s="15">
        <f t="shared" si="35"/>
        <v>0.99698795180722888</v>
      </c>
    </row>
    <row r="524" spans="1:16" ht="15.75" hidden="1" customHeight="1" x14ac:dyDescent="0.3">
      <c r="A524" s="8" t="s">
        <v>58</v>
      </c>
      <c r="B524" s="9" t="s">
        <v>335</v>
      </c>
      <c r="C524" s="9" t="s">
        <v>333</v>
      </c>
      <c r="D524" s="9" t="s">
        <v>165</v>
      </c>
      <c r="E524" s="10">
        <v>15</v>
      </c>
      <c r="F524" s="9"/>
      <c r="G524" s="11">
        <v>0</v>
      </c>
      <c r="H524" s="21" t="s">
        <v>70</v>
      </c>
      <c r="I524" s="21" t="s">
        <v>71</v>
      </c>
      <c r="J524" s="9"/>
      <c r="K524" s="9"/>
      <c r="L524" s="9"/>
      <c r="M524" s="12">
        <f t="shared" si="32"/>
        <v>391</v>
      </c>
      <c r="N524" s="13">
        <f t="shared" si="33"/>
        <v>436.5</v>
      </c>
      <c r="O524" s="14">
        <f t="shared" si="34"/>
        <v>827.5</v>
      </c>
      <c r="P524" s="15">
        <f t="shared" si="35"/>
        <v>0.99698795180722888</v>
      </c>
    </row>
    <row r="525" spans="1:16" ht="15.75" hidden="1" customHeight="1" x14ac:dyDescent="0.3">
      <c r="A525" s="8" t="s">
        <v>58</v>
      </c>
      <c r="B525" s="9" t="s">
        <v>335</v>
      </c>
      <c r="C525" s="9" t="s">
        <v>333</v>
      </c>
      <c r="D525" s="9" t="s">
        <v>237</v>
      </c>
      <c r="E525" s="10">
        <v>13</v>
      </c>
      <c r="F525" s="9"/>
      <c r="G525" s="11">
        <v>0</v>
      </c>
      <c r="H525" s="21" t="s">
        <v>70</v>
      </c>
      <c r="I525" s="21" t="s">
        <v>71</v>
      </c>
      <c r="J525" s="9"/>
      <c r="K525" s="9"/>
      <c r="L525" s="9"/>
      <c r="M525" s="12">
        <f t="shared" si="32"/>
        <v>391</v>
      </c>
      <c r="N525" s="13">
        <f t="shared" si="33"/>
        <v>436.5</v>
      </c>
      <c r="O525" s="14">
        <f t="shared" si="34"/>
        <v>827.5</v>
      </c>
      <c r="P525" s="15">
        <f t="shared" si="35"/>
        <v>0.99698795180722888</v>
      </c>
    </row>
    <row r="526" spans="1:16" ht="15.75" hidden="1" customHeight="1" x14ac:dyDescent="0.3">
      <c r="A526" s="8" t="s">
        <v>58</v>
      </c>
      <c r="B526" s="9" t="s">
        <v>335</v>
      </c>
      <c r="C526" s="9" t="s">
        <v>333</v>
      </c>
      <c r="D526" s="9" t="s">
        <v>152</v>
      </c>
      <c r="E526" s="10">
        <v>15</v>
      </c>
      <c r="F526" s="9"/>
      <c r="G526" s="11">
        <v>0</v>
      </c>
      <c r="H526" s="21" t="s">
        <v>70</v>
      </c>
      <c r="I526" s="21" t="s">
        <v>71</v>
      </c>
      <c r="J526" s="9"/>
      <c r="K526" s="9"/>
      <c r="L526" s="9"/>
      <c r="M526" s="12">
        <f t="shared" si="32"/>
        <v>391</v>
      </c>
      <c r="N526" s="13">
        <f t="shared" si="33"/>
        <v>436.5</v>
      </c>
      <c r="O526" s="14">
        <f t="shared" si="34"/>
        <v>827.5</v>
      </c>
      <c r="P526" s="15">
        <f t="shared" si="35"/>
        <v>0.99698795180722888</v>
      </c>
    </row>
    <row r="527" spans="1:16" ht="15.75" hidden="1" customHeight="1" x14ac:dyDescent="0.3">
      <c r="A527" s="8" t="s">
        <v>58</v>
      </c>
      <c r="B527" s="9" t="s">
        <v>335</v>
      </c>
      <c r="C527" s="9" t="s">
        <v>333</v>
      </c>
      <c r="D527" s="9" t="s">
        <v>144</v>
      </c>
      <c r="E527" s="10">
        <v>19</v>
      </c>
      <c r="F527" s="9"/>
      <c r="G527" s="11">
        <v>0</v>
      </c>
      <c r="H527" s="21" t="s">
        <v>70</v>
      </c>
      <c r="I527" s="21" t="s">
        <v>71</v>
      </c>
      <c r="J527" s="9"/>
      <c r="K527" s="9"/>
      <c r="L527" s="9"/>
      <c r="M527" s="12">
        <f t="shared" si="32"/>
        <v>391</v>
      </c>
      <c r="N527" s="13">
        <f t="shared" si="33"/>
        <v>436.5</v>
      </c>
      <c r="O527" s="14">
        <f t="shared" si="34"/>
        <v>827.5</v>
      </c>
      <c r="P527" s="15">
        <f t="shared" si="35"/>
        <v>0.99698795180722888</v>
      </c>
    </row>
    <row r="528" spans="1:16" ht="15.75" hidden="1" customHeight="1" x14ac:dyDescent="0.3">
      <c r="A528" s="17" t="s">
        <v>58</v>
      </c>
      <c r="B528" s="21" t="s">
        <v>336</v>
      </c>
      <c r="C528" s="21" t="s">
        <v>336</v>
      </c>
      <c r="D528" s="21" t="s">
        <v>134</v>
      </c>
      <c r="E528" s="23">
        <v>30</v>
      </c>
      <c r="F528" s="24"/>
      <c r="G528" s="25">
        <v>0</v>
      </c>
      <c r="H528" s="24" t="s">
        <v>230</v>
      </c>
      <c r="I528" s="24" t="s">
        <v>231</v>
      </c>
      <c r="J528" s="24" t="s">
        <v>4</v>
      </c>
      <c r="K528" s="24"/>
      <c r="L528" s="24" t="s">
        <v>337</v>
      </c>
      <c r="M528" s="12">
        <f t="shared" si="32"/>
        <v>116</v>
      </c>
      <c r="N528" s="13">
        <f t="shared" si="33"/>
        <v>105</v>
      </c>
      <c r="O528" s="14">
        <f t="shared" si="34"/>
        <v>221</v>
      </c>
      <c r="P528" s="15">
        <f t="shared" si="35"/>
        <v>0.26626506024096386</v>
      </c>
    </row>
    <row r="529" spans="1:16" ht="15.75" hidden="1" customHeight="1" x14ac:dyDescent="0.3">
      <c r="A529" s="17" t="s">
        <v>58</v>
      </c>
      <c r="B529" s="21" t="s">
        <v>336</v>
      </c>
      <c r="C529" s="21" t="s">
        <v>336</v>
      </c>
      <c r="D529" s="21" t="s">
        <v>134</v>
      </c>
      <c r="E529" s="23">
        <v>30</v>
      </c>
      <c r="F529" s="24"/>
      <c r="G529" s="25">
        <v>0</v>
      </c>
      <c r="H529" s="24" t="s">
        <v>128</v>
      </c>
      <c r="I529" s="24" t="s">
        <v>129</v>
      </c>
      <c r="J529" s="24" t="s">
        <v>8</v>
      </c>
      <c r="K529" s="24"/>
      <c r="L529" s="24" t="s">
        <v>337</v>
      </c>
      <c r="M529" s="12">
        <f t="shared" si="32"/>
        <v>348</v>
      </c>
      <c r="N529" s="13">
        <f t="shared" si="33"/>
        <v>610</v>
      </c>
      <c r="O529" s="14">
        <f t="shared" si="34"/>
        <v>958</v>
      </c>
      <c r="P529" s="15">
        <f t="shared" si="35"/>
        <v>1.1542168674698796</v>
      </c>
    </row>
    <row r="530" spans="1:16" ht="15.75" hidden="1" customHeight="1" x14ac:dyDescent="0.3">
      <c r="A530" s="17" t="s">
        <v>58</v>
      </c>
      <c r="B530" s="21" t="s">
        <v>336</v>
      </c>
      <c r="C530" s="21" t="s">
        <v>336</v>
      </c>
      <c r="D530" s="21" t="s">
        <v>134</v>
      </c>
      <c r="E530" s="23">
        <v>15</v>
      </c>
      <c r="F530" s="24"/>
      <c r="G530" s="25">
        <v>0</v>
      </c>
      <c r="H530" s="24" t="s">
        <v>171</v>
      </c>
      <c r="I530" s="24" t="s">
        <v>172</v>
      </c>
      <c r="J530" s="24" t="s">
        <v>8</v>
      </c>
      <c r="K530" s="24"/>
      <c r="L530" s="24" t="s">
        <v>338</v>
      </c>
      <c r="M530" s="12">
        <f t="shared" si="32"/>
        <v>339</v>
      </c>
      <c r="N530" s="13">
        <f t="shared" si="33"/>
        <v>296</v>
      </c>
      <c r="O530" s="14">
        <f t="shared" si="34"/>
        <v>635</v>
      </c>
      <c r="P530" s="15">
        <f t="shared" si="35"/>
        <v>0.76506024096385539</v>
      </c>
    </row>
    <row r="531" spans="1:16" ht="15.75" hidden="1" customHeight="1" x14ac:dyDescent="0.3">
      <c r="A531" s="17" t="s">
        <v>58</v>
      </c>
      <c r="B531" s="21" t="s">
        <v>336</v>
      </c>
      <c r="C531" s="21" t="s">
        <v>336</v>
      </c>
      <c r="D531" s="21" t="s">
        <v>134</v>
      </c>
      <c r="E531" s="23">
        <v>15</v>
      </c>
      <c r="F531" s="24"/>
      <c r="G531" s="25">
        <v>0</v>
      </c>
      <c r="H531" s="24" t="s">
        <v>174</v>
      </c>
      <c r="I531" s="24" t="s">
        <v>175</v>
      </c>
      <c r="J531" s="24" t="s">
        <v>8</v>
      </c>
      <c r="K531" s="24"/>
      <c r="L531" s="24" t="s">
        <v>338</v>
      </c>
      <c r="M531" s="12">
        <f t="shared" si="32"/>
        <v>320</v>
      </c>
      <c r="N531" s="13">
        <f t="shared" si="33"/>
        <v>169</v>
      </c>
      <c r="O531" s="14">
        <f t="shared" si="34"/>
        <v>489</v>
      </c>
      <c r="P531" s="15">
        <f t="shared" si="35"/>
        <v>0.58915662650602407</v>
      </c>
    </row>
    <row r="532" spans="1:16" ht="15.75" hidden="1" customHeight="1" x14ac:dyDescent="0.3">
      <c r="A532" s="17" t="s">
        <v>58</v>
      </c>
      <c r="B532" s="21" t="s">
        <v>336</v>
      </c>
      <c r="C532" s="21" t="s">
        <v>336</v>
      </c>
      <c r="D532" s="21" t="s">
        <v>139</v>
      </c>
      <c r="E532" s="23">
        <v>15</v>
      </c>
      <c r="F532" s="9"/>
      <c r="G532" s="11">
        <v>0</v>
      </c>
      <c r="H532" s="9" t="s">
        <v>65</v>
      </c>
      <c r="I532" s="9" t="s">
        <v>66</v>
      </c>
      <c r="J532" s="9" t="s">
        <v>4</v>
      </c>
      <c r="K532" s="9"/>
      <c r="L532" s="9" t="s">
        <v>338</v>
      </c>
      <c r="M532" s="12">
        <f t="shared" si="32"/>
        <v>291</v>
      </c>
      <c r="N532" s="13">
        <f t="shared" si="33"/>
        <v>650.5</v>
      </c>
      <c r="O532" s="14">
        <f t="shared" si="34"/>
        <v>941.5</v>
      </c>
      <c r="P532" s="15">
        <f t="shared" si="35"/>
        <v>1.1343373493975903</v>
      </c>
    </row>
    <row r="533" spans="1:16" ht="15.75" hidden="1" customHeight="1" x14ac:dyDescent="0.3">
      <c r="A533" s="17" t="s">
        <v>58</v>
      </c>
      <c r="B533" s="21" t="s">
        <v>336</v>
      </c>
      <c r="C533" s="21" t="s">
        <v>336</v>
      </c>
      <c r="D533" s="21" t="s">
        <v>139</v>
      </c>
      <c r="E533" s="23">
        <v>15</v>
      </c>
      <c r="F533" s="9"/>
      <c r="G533" s="11">
        <v>0</v>
      </c>
      <c r="H533" s="9" t="s">
        <v>272</v>
      </c>
      <c r="I533" s="9" t="s">
        <v>273</v>
      </c>
      <c r="J533" s="9" t="s">
        <v>8</v>
      </c>
      <c r="K533" s="9"/>
      <c r="L533" s="9" t="s">
        <v>338</v>
      </c>
      <c r="M533" s="12">
        <f t="shared" si="32"/>
        <v>552</v>
      </c>
      <c r="N533" s="13">
        <f t="shared" si="33"/>
        <v>171</v>
      </c>
      <c r="O533" s="14">
        <f t="shared" si="34"/>
        <v>723</v>
      </c>
      <c r="P533" s="15">
        <f t="shared" si="35"/>
        <v>0.87108433734939761</v>
      </c>
    </row>
    <row r="534" spans="1:16" ht="15.75" hidden="1" customHeight="1" x14ac:dyDescent="0.3">
      <c r="A534" s="17" t="s">
        <v>58</v>
      </c>
      <c r="B534" s="21" t="s">
        <v>336</v>
      </c>
      <c r="C534" s="21" t="s">
        <v>336</v>
      </c>
      <c r="D534" s="21" t="s">
        <v>139</v>
      </c>
      <c r="E534" s="23">
        <v>15</v>
      </c>
      <c r="F534" s="9"/>
      <c r="G534" s="11">
        <v>0</v>
      </c>
      <c r="H534" s="9" t="s">
        <v>63</v>
      </c>
      <c r="I534" s="9" t="s">
        <v>64</v>
      </c>
      <c r="J534" s="9" t="s">
        <v>4</v>
      </c>
      <c r="K534" s="9"/>
      <c r="L534" s="9" t="s">
        <v>338</v>
      </c>
      <c r="M534" s="12">
        <f t="shared" si="32"/>
        <v>284</v>
      </c>
      <c r="N534" s="13">
        <f t="shared" si="33"/>
        <v>140</v>
      </c>
      <c r="O534" s="14">
        <f t="shared" si="34"/>
        <v>424</v>
      </c>
      <c r="P534" s="15">
        <f t="shared" si="35"/>
        <v>0.51084337349397591</v>
      </c>
    </row>
    <row r="535" spans="1:16" ht="15.75" hidden="1" customHeight="1" x14ac:dyDescent="0.3">
      <c r="A535" s="17" t="s">
        <v>58</v>
      </c>
      <c r="B535" s="21" t="s">
        <v>336</v>
      </c>
      <c r="C535" s="21" t="s">
        <v>336</v>
      </c>
      <c r="D535" s="21" t="s">
        <v>139</v>
      </c>
      <c r="E535" s="23">
        <v>15</v>
      </c>
      <c r="F535" s="9"/>
      <c r="G535" s="11">
        <v>0</v>
      </c>
      <c r="H535" s="9" t="s">
        <v>70</v>
      </c>
      <c r="I535" s="9" t="s">
        <v>71</v>
      </c>
      <c r="J535" s="9"/>
      <c r="K535" s="9"/>
      <c r="L535" s="9" t="s">
        <v>338</v>
      </c>
      <c r="M535" s="12">
        <f t="shared" si="32"/>
        <v>391</v>
      </c>
      <c r="N535" s="13">
        <f t="shared" si="33"/>
        <v>436.5</v>
      </c>
      <c r="O535" s="14">
        <f t="shared" si="34"/>
        <v>827.5</v>
      </c>
      <c r="P535" s="15">
        <f t="shared" si="35"/>
        <v>0.99698795180722888</v>
      </c>
    </row>
    <row r="536" spans="1:16" ht="15.75" hidden="1" customHeight="1" x14ac:dyDescent="0.3">
      <c r="A536" s="17" t="s">
        <v>58</v>
      </c>
      <c r="B536" s="21" t="s">
        <v>336</v>
      </c>
      <c r="C536" s="21" t="s">
        <v>336</v>
      </c>
      <c r="D536" s="21" t="s">
        <v>139</v>
      </c>
      <c r="E536" s="23">
        <v>15</v>
      </c>
      <c r="F536" s="9"/>
      <c r="G536" s="11">
        <v>0</v>
      </c>
      <c r="H536" s="9" t="s">
        <v>115</v>
      </c>
      <c r="I536" s="9" t="s">
        <v>116</v>
      </c>
      <c r="J536" s="9" t="s">
        <v>4</v>
      </c>
      <c r="K536" s="9"/>
      <c r="L536" s="9" t="s">
        <v>338</v>
      </c>
      <c r="M536" s="12">
        <f t="shared" si="32"/>
        <v>381</v>
      </c>
      <c r="N536" s="13">
        <f t="shared" si="33"/>
        <v>367</v>
      </c>
      <c r="O536" s="14">
        <f t="shared" si="34"/>
        <v>748</v>
      </c>
      <c r="P536" s="15">
        <f t="shared" si="35"/>
        <v>0.90120481927710838</v>
      </c>
    </row>
    <row r="537" spans="1:16" ht="15.75" hidden="1" customHeight="1" x14ac:dyDescent="0.3">
      <c r="A537" s="17" t="s">
        <v>58</v>
      </c>
      <c r="B537" s="21" t="s">
        <v>336</v>
      </c>
      <c r="C537" s="21" t="s">
        <v>336</v>
      </c>
      <c r="D537" s="21" t="s">
        <v>140</v>
      </c>
      <c r="E537" s="23">
        <v>30</v>
      </c>
      <c r="F537" s="9"/>
      <c r="G537" s="11">
        <v>0</v>
      </c>
      <c r="H537" s="9" t="s">
        <v>154</v>
      </c>
      <c r="I537" s="9" t="s">
        <v>155</v>
      </c>
      <c r="J537" s="9"/>
      <c r="K537" s="9" t="s">
        <v>337</v>
      </c>
      <c r="L537" s="9"/>
      <c r="M537" s="12">
        <f t="shared" si="32"/>
        <v>302</v>
      </c>
      <c r="N537" s="13">
        <f t="shared" si="33"/>
        <v>124.5</v>
      </c>
      <c r="O537" s="14">
        <f t="shared" si="34"/>
        <v>426.5</v>
      </c>
      <c r="P537" s="15">
        <f t="shared" si="35"/>
        <v>0.51385542168674703</v>
      </c>
    </row>
    <row r="538" spans="1:16" ht="15.75" hidden="1" customHeight="1" x14ac:dyDescent="0.3">
      <c r="A538" s="17" t="s">
        <v>58</v>
      </c>
      <c r="B538" s="21" t="s">
        <v>336</v>
      </c>
      <c r="C538" s="21" t="s">
        <v>336</v>
      </c>
      <c r="D538" s="21" t="s">
        <v>140</v>
      </c>
      <c r="E538" s="23">
        <v>30</v>
      </c>
      <c r="F538" s="9"/>
      <c r="G538" s="11">
        <v>0</v>
      </c>
      <c r="H538" s="9" t="s">
        <v>96</v>
      </c>
      <c r="I538" s="9" t="s">
        <v>97</v>
      </c>
      <c r="J538" s="9" t="s">
        <v>8</v>
      </c>
      <c r="K538" s="9" t="s">
        <v>337</v>
      </c>
      <c r="L538" s="9"/>
      <c r="M538" s="12">
        <f t="shared" si="32"/>
        <v>501</v>
      </c>
      <c r="N538" s="13">
        <f t="shared" si="33"/>
        <v>486.5</v>
      </c>
      <c r="O538" s="14">
        <f t="shared" si="34"/>
        <v>987.5</v>
      </c>
      <c r="P538" s="15">
        <f t="shared" si="35"/>
        <v>1.1897590361445782</v>
      </c>
    </row>
    <row r="539" spans="1:16" ht="15.75" hidden="1" customHeight="1" x14ac:dyDescent="0.3">
      <c r="A539" s="17" t="s">
        <v>58</v>
      </c>
      <c r="B539" s="21" t="s">
        <v>336</v>
      </c>
      <c r="C539" s="21" t="s">
        <v>336</v>
      </c>
      <c r="D539" s="21" t="s">
        <v>140</v>
      </c>
      <c r="E539" s="23">
        <v>15</v>
      </c>
      <c r="F539" s="9"/>
      <c r="G539" s="11">
        <v>0</v>
      </c>
      <c r="H539" s="9" t="s">
        <v>250</v>
      </c>
      <c r="I539" s="9" t="s">
        <v>251</v>
      </c>
      <c r="J539" s="9"/>
      <c r="K539" s="9" t="s">
        <v>338</v>
      </c>
      <c r="L539" s="9"/>
      <c r="M539" s="12">
        <f t="shared" si="32"/>
        <v>179</v>
      </c>
      <c r="N539" s="13">
        <f t="shared" si="33"/>
        <v>72</v>
      </c>
      <c r="O539" s="14">
        <f t="shared" si="34"/>
        <v>251</v>
      </c>
      <c r="P539" s="15">
        <f t="shared" si="35"/>
        <v>0.30240963855421688</v>
      </c>
    </row>
    <row r="540" spans="1:16" ht="15.75" hidden="1" customHeight="1" x14ac:dyDescent="0.3">
      <c r="A540" s="17" t="s">
        <v>58</v>
      </c>
      <c r="B540" s="21" t="s">
        <v>336</v>
      </c>
      <c r="C540" s="21" t="s">
        <v>336</v>
      </c>
      <c r="D540" s="21" t="s">
        <v>141</v>
      </c>
      <c r="E540" s="10">
        <v>30</v>
      </c>
      <c r="F540" s="9"/>
      <c r="G540" s="11">
        <v>0</v>
      </c>
      <c r="H540" s="9" t="s">
        <v>146</v>
      </c>
      <c r="I540" s="9" t="s">
        <v>147</v>
      </c>
      <c r="J540" s="9"/>
      <c r="K540" s="9" t="s">
        <v>337</v>
      </c>
      <c r="L540" s="9" t="s">
        <v>334</v>
      </c>
      <c r="M540" s="12">
        <f t="shared" si="32"/>
        <v>279</v>
      </c>
      <c r="N540" s="13">
        <f t="shared" si="33"/>
        <v>427.5</v>
      </c>
      <c r="O540" s="14">
        <f t="shared" si="34"/>
        <v>706.5</v>
      </c>
      <c r="P540" s="15">
        <f t="shared" si="35"/>
        <v>0.85120481927710845</v>
      </c>
    </row>
    <row r="541" spans="1:16" ht="15.75" hidden="1" customHeight="1" x14ac:dyDescent="0.3">
      <c r="A541" s="17" t="s">
        <v>58</v>
      </c>
      <c r="B541" s="21" t="s">
        <v>336</v>
      </c>
      <c r="C541" s="21" t="s">
        <v>336</v>
      </c>
      <c r="D541" s="21" t="s">
        <v>141</v>
      </c>
      <c r="E541" s="10">
        <v>30</v>
      </c>
      <c r="F541" s="9"/>
      <c r="G541" s="11">
        <v>0</v>
      </c>
      <c r="H541" s="9" t="s">
        <v>94</v>
      </c>
      <c r="I541" s="9" t="s">
        <v>95</v>
      </c>
      <c r="J541" s="9"/>
      <c r="K541" s="9" t="s">
        <v>337</v>
      </c>
      <c r="L541" s="9"/>
      <c r="M541" s="12">
        <f t="shared" si="32"/>
        <v>295.8</v>
      </c>
      <c r="N541" s="13">
        <f t="shared" si="33"/>
        <v>488</v>
      </c>
      <c r="O541" s="14">
        <f t="shared" si="34"/>
        <v>783.8</v>
      </c>
      <c r="P541" s="15">
        <f t="shared" si="35"/>
        <v>0.94433734939759029</v>
      </c>
    </row>
    <row r="542" spans="1:16" ht="15.75" hidden="1" customHeight="1" x14ac:dyDescent="0.3">
      <c r="A542" s="17" t="s">
        <v>58</v>
      </c>
      <c r="B542" s="21" t="s">
        <v>336</v>
      </c>
      <c r="C542" s="21" t="s">
        <v>336</v>
      </c>
      <c r="D542" s="21" t="s">
        <v>141</v>
      </c>
      <c r="E542" s="10">
        <v>15</v>
      </c>
      <c r="F542" s="9"/>
      <c r="G542" s="11">
        <v>0</v>
      </c>
      <c r="H542" s="9" t="s">
        <v>76</v>
      </c>
      <c r="I542" s="9" t="s">
        <v>77</v>
      </c>
      <c r="J542" s="9"/>
      <c r="K542" s="9" t="s">
        <v>338</v>
      </c>
      <c r="L542" s="9"/>
      <c r="M542" s="12">
        <f t="shared" si="32"/>
        <v>249</v>
      </c>
      <c r="N542" s="13">
        <f t="shared" si="33"/>
        <v>294</v>
      </c>
      <c r="O542" s="14">
        <f t="shared" si="34"/>
        <v>543</v>
      </c>
      <c r="P542" s="15">
        <f t="shared" si="35"/>
        <v>0.6542168674698795</v>
      </c>
    </row>
    <row r="543" spans="1:16" ht="15.75" hidden="1" customHeight="1" x14ac:dyDescent="0.3">
      <c r="A543" s="17" t="s">
        <v>58</v>
      </c>
      <c r="B543" s="21" t="s">
        <v>336</v>
      </c>
      <c r="C543" s="21" t="s">
        <v>336</v>
      </c>
      <c r="D543" s="21" t="s">
        <v>141</v>
      </c>
      <c r="E543" s="10">
        <v>15</v>
      </c>
      <c r="F543" s="9"/>
      <c r="G543" s="11">
        <v>0</v>
      </c>
      <c r="H543" s="9" t="s">
        <v>245</v>
      </c>
      <c r="I543" s="9" t="s">
        <v>246</v>
      </c>
      <c r="J543" s="9"/>
      <c r="K543" s="9" t="s">
        <v>338</v>
      </c>
      <c r="L543" s="9"/>
      <c r="M543" s="12">
        <f t="shared" si="32"/>
        <v>200</v>
      </c>
      <c r="N543" s="13">
        <f t="shared" si="33"/>
        <v>271</v>
      </c>
      <c r="O543" s="14">
        <f t="shared" si="34"/>
        <v>471</v>
      </c>
      <c r="P543" s="15">
        <f t="shared" si="35"/>
        <v>0.56746987951807226</v>
      </c>
    </row>
    <row r="544" spans="1:16" ht="15.75" hidden="1" customHeight="1" x14ac:dyDescent="0.3">
      <c r="A544" s="8" t="s">
        <v>58</v>
      </c>
      <c r="B544" s="9" t="s">
        <v>336</v>
      </c>
      <c r="C544" s="9" t="s">
        <v>336</v>
      </c>
      <c r="D544" s="9" t="s">
        <v>165</v>
      </c>
      <c r="E544" s="10">
        <v>15</v>
      </c>
      <c r="F544" s="9"/>
      <c r="G544" s="11">
        <v>0</v>
      </c>
      <c r="H544" s="9" t="s">
        <v>230</v>
      </c>
      <c r="I544" s="24" t="s">
        <v>231</v>
      </c>
      <c r="J544" s="24" t="s">
        <v>4</v>
      </c>
      <c r="K544" s="9"/>
      <c r="L544" s="9"/>
      <c r="M544" s="12">
        <f t="shared" si="32"/>
        <v>116</v>
      </c>
      <c r="N544" s="13">
        <f t="shared" si="33"/>
        <v>105</v>
      </c>
      <c r="O544" s="14">
        <f t="shared" si="34"/>
        <v>221</v>
      </c>
      <c r="P544" s="15">
        <f t="shared" si="35"/>
        <v>0.26626506024096386</v>
      </c>
    </row>
    <row r="545" spans="1:16" ht="15.75" hidden="1" customHeight="1" x14ac:dyDescent="0.3">
      <c r="A545" s="8" t="s">
        <v>58</v>
      </c>
      <c r="B545" s="9" t="s">
        <v>336</v>
      </c>
      <c r="C545" s="9" t="s">
        <v>336</v>
      </c>
      <c r="D545" s="9" t="s">
        <v>165</v>
      </c>
      <c r="E545" s="10">
        <v>15</v>
      </c>
      <c r="F545" s="9"/>
      <c r="G545" s="11">
        <v>0</v>
      </c>
      <c r="H545" s="9" t="s">
        <v>128</v>
      </c>
      <c r="I545" s="9" t="s">
        <v>129</v>
      </c>
      <c r="J545" s="9" t="s">
        <v>8</v>
      </c>
      <c r="K545" s="9"/>
      <c r="L545" s="9"/>
      <c r="M545" s="12">
        <f t="shared" si="32"/>
        <v>348</v>
      </c>
      <c r="N545" s="13">
        <f t="shared" si="33"/>
        <v>610</v>
      </c>
      <c r="O545" s="14">
        <f t="shared" si="34"/>
        <v>958</v>
      </c>
      <c r="P545" s="15">
        <f t="shared" si="35"/>
        <v>1.1542168674698796</v>
      </c>
    </row>
    <row r="546" spans="1:16" ht="15.75" hidden="1" customHeight="1" x14ac:dyDescent="0.3">
      <c r="A546" s="8" t="s">
        <v>58</v>
      </c>
      <c r="B546" s="9" t="s">
        <v>336</v>
      </c>
      <c r="C546" s="9" t="s">
        <v>336</v>
      </c>
      <c r="D546" s="9" t="s">
        <v>165</v>
      </c>
      <c r="E546" s="10">
        <v>15</v>
      </c>
      <c r="F546" s="9"/>
      <c r="G546" s="11">
        <v>0</v>
      </c>
      <c r="H546" s="9" t="s">
        <v>210</v>
      </c>
      <c r="I546" s="9" t="s">
        <v>211</v>
      </c>
      <c r="J546" s="9" t="s">
        <v>4</v>
      </c>
      <c r="K546" s="9"/>
      <c r="L546" s="9" t="s">
        <v>169</v>
      </c>
      <c r="M546" s="12">
        <f t="shared" ref="M546:M609" si="36">SUMIFS($E$2:$E$1130,$A$2:$A$1130,"осень",$I$2:$I$1130,I546)</f>
        <v>213</v>
      </c>
      <c r="N546" s="13">
        <f t="shared" ref="N546:N609" si="37">SUMIFS($E$2:$E$1130,$A$2:$A$1130,"весна",$I$2:$I$1130,I546)</f>
        <v>399</v>
      </c>
      <c r="O546" s="14">
        <f t="shared" ref="O546:O609" si="38">M546+N546</f>
        <v>612</v>
      </c>
      <c r="P546" s="15">
        <f t="shared" ref="P546:P609" si="39">O546/$P$1</f>
        <v>0.73734939759036144</v>
      </c>
    </row>
    <row r="547" spans="1:16" ht="15.75" hidden="1" customHeight="1" x14ac:dyDescent="0.3">
      <c r="A547" s="8" t="s">
        <v>58</v>
      </c>
      <c r="B547" s="9" t="s">
        <v>336</v>
      </c>
      <c r="C547" s="9" t="s">
        <v>336</v>
      </c>
      <c r="D547" s="9" t="s">
        <v>165</v>
      </c>
      <c r="E547" s="10">
        <v>15</v>
      </c>
      <c r="F547" s="9"/>
      <c r="G547" s="11">
        <v>0</v>
      </c>
      <c r="H547" s="9" t="s">
        <v>171</v>
      </c>
      <c r="I547" s="9" t="s">
        <v>172</v>
      </c>
      <c r="J547" s="9" t="s">
        <v>8</v>
      </c>
      <c r="K547" s="9"/>
      <c r="L547" s="9"/>
      <c r="M547" s="12">
        <f t="shared" si="36"/>
        <v>339</v>
      </c>
      <c r="N547" s="13">
        <f t="shared" si="37"/>
        <v>296</v>
      </c>
      <c r="O547" s="14">
        <f t="shared" si="38"/>
        <v>635</v>
      </c>
      <c r="P547" s="15">
        <f t="shared" si="39"/>
        <v>0.76506024096385539</v>
      </c>
    </row>
    <row r="548" spans="1:16" ht="15.75" hidden="1" customHeight="1" x14ac:dyDescent="0.3">
      <c r="A548" s="8" t="s">
        <v>58</v>
      </c>
      <c r="B548" s="9" t="s">
        <v>336</v>
      </c>
      <c r="C548" s="9" t="s">
        <v>336</v>
      </c>
      <c r="D548" s="9" t="s">
        <v>165</v>
      </c>
      <c r="E548" s="10">
        <v>30</v>
      </c>
      <c r="F548" s="9"/>
      <c r="G548" s="11">
        <v>0</v>
      </c>
      <c r="H548" s="9" t="s">
        <v>174</v>
      </c>
      <c r="I548" s="9" t="s">
        <v>175</v>
      </c>
      <c r="J548" s="9" t="s">
        <v>8</v>
      </c>
      <c r="K548" s="9"/>
      <c r="L548" s="9"/>
      <c r="M548" s="12">
        <f t="shared" si="36"/>
        <v>320</v>
      </c>
      <c r="N548" s="13">
        <f t="shared" si="37"/>
        <v>169</v>
      </c>
      <c r="O548" s="14">
        <f t="shared" si="38"/>
        <v>489</v>
      </c>
      <c r="P548" s="15">
        <f t="shared" si="39"/>
        <v>0.58915662650602407</v>
      </c>
    </row>
    <row r="549" spans="1:16" ht="15.75" hidden="1" customHeight="1" x14ac:dyDescent="0.3">
      <c r="A549" s="8" t="s">
        <v>58</v>
      </c>
      <c r="B549" s="9" t="s">
        <v>336</v>
      </c>
      <c r="C549" s="9" t="s">
        <v>336</v>
      </c>
      <c r="D549" s="9" t="s">
        <v>165</v>
      </c>
      <c r="E549" s="10">
        <v>15</v>
      </c>
      <c r="F549" s="9"/>
      <c r="G549" s="11">
        <v>0</v>
      </c>
      <c r="H549" s="9" t="s">
        <v>167</v>
      </c>
      <c r="I549" s="9" t="s">
        <v>168</v>
      </c>
      <c r="J549" s="9" t="s">
        <v>4</v>
      </c>
      <c r="K549" s="9"/>
      <c r="L549" s="9"/>
      <c r="M549" s="12">
        <f t="shared" si="36"/>
        <v>456</v>
      </c>
      <c r="N549" s="13">
        <f t="shared" si="37"/>
        <v>362</v>
      </c>
      <c r="O549" s="14">
        <f t="shared" si="38"/>
        <v>818</v>
      </c>
      <c r="P549" s="15">
        <f t="shared" si="39"/>
        <v>0.98554216867469879</v>
      </c>
    </row>
    <row r="550" spans="1:16" ht="15.75" hidden="1" customHeight="1" x14ac:dyDescent="0.3">
      <c r="A550" s="17" t="s">
        <v>58</v>
      </c>
      <c r="B550" s="21" t="s">
        <v>336</v>
      </c>
      <c r="C550" s="21" t="s">
        <v>336</v>
      </c>
      <c r="D550" s="21" t="s">
        <v>237</v>
      </c>
      <c r="E550" s="23">
        <v>15</v>
      </c>
      <c r="F550" s="9"/>
      <c r="G550" s="11">
        <v>0</v>
      </c>
      <c r="H550" s="9" t="s">
        <v>70</v>
      </c>
      <c r="I550" s="9" t="s">
        <v>99</v>
      </c>
      <c r="J550" s="9" t="s">
        <v>4</v>
      </c>
      <c r="K550" s="26" t="s">
        <v>338</v>
      </c>
      <c r="L550" s="9"/>
      <c r="M550" s="12">
        <f t="shared" si="36"/>
        <v>239</v>
      </c>
      <c r="N550" s="13">
        <f t="shared" si="37"/>
        <v>196.5</v>
      </c>
      <c r="O550" s="14">
        <f t="shared" si="38"/>
        <v>435.5</v>
      </c>
      <c r="P550" s="15">
        <f t="shared" si="39"/>
        <v>0.52469879518072293</v>
      </c>
    </row>
    <row r="551" spans="1:16" ht="15.75" hidden="1" customHeight="1" x14ac:dyDescent="0.3">
      <c r="A551" s="17" t="s">
        <v>58</v>
      </c>
      <c r="B551" s="21" t="s">
        <v>336</v>
      </c>
      <c r="C551" s="21" t="s">
        <v>336</v>
      </c>
      <c r="D551" s="21" t="s">
        <v>237</v>
      </c>
      <c r="E551" s="23">
        <v>15</v>
      </c>
      <c r="F551" s="9"/>
      <c r="G551" s="11">
        <v>0</v>
      </c>
      <c r="H551" s="9" t="s">
        <v>65</v>
      </c>
      <c r="I551" s="9" t="s">
        <v>66</v>
      </c>
      <c r="J551" s="9"/>
      <c r="K551" s="26" t="s">
        <v>338</v>
      </c>
      <c r="L551" s="9"/>
      <c r="M551" s="12">
        <f t="shared" si="36"/>
        <v>291</v>
      </c>
      <c r="N551" s="13">
        <f t="shared" si="37"/>
        <v>650.5</v>
      </c>
      <c r="O551" s="14">
        <f t="shared" si="38"/>
        <v>941.5</v>
      </c>
      <c r="P551" s="15">
        <f t="shared" si="39"/>
        <v>1.1343373493975903</v>
      </c>
    </row>
    <row r="552" spans="1:16" ht="15.75" hidden="1" customHeight="1" x14ac:dyDescent="0.3">
      <c r="A552" s="17" t="s">
        <v>58</v>
      </c>
      <c r="B552" s="21" t="s">
        <v>336</v>
      </c>
      <c r="C552" s="21" t="s">
        <v>336</v>
      </c>
      <c r="D552" s="21" t="s">
        <v>237</v>
      </c>
      <c r="E552" s="23">
        <v>15</v>
      </c>
      <c r="F552" s="9"/>
      <c r="G552" s="11">
        <v>0</v>
      </c>
      <c r="H552" s="9"/>
      <c r="I552" s="9" t="s">
        <v>116</v>
      </c>
      <c r="J552" s="9" t="s">
        <v>4</v>
      </c>
      <c r="K552" s="26" t="s">
        <v>338</v>
      </c>
      <c r="L552" s="9" t="s">
        <v>117</v>
      </c>
      <c r="M552" s="12">
        <f t="shared" si="36"/>
        <v>381</v>
      </c>
      <c r="N552" s="13">
        <f t="shared" si="37"/>
        <v>367</v>
      </c>
      <c r="O552" s="14">
        <f t="shared" si="38"/>
        <v>748</v>
      </c>
      <c r="P552" s="15">
        <f t="shared" si="39"/>
        <v>0.90120481927710838</v>
      </c>
    </row>
    <row r="553" spans="1:16" ht="15.75" hidden="1" customHeight="1" x14ac:dyDescent="0.3">
      <c r="A553" s="17" t="s">
        <v>58</v>
      </c>
      <c r="B553" s="21" t="s">
        <v>336</v>
      </c>
      <c r="C553" s="21" t="s">
        <v>336</v>
      </c>
      <c r="D553" s="21" t="s">
        <v>237</v>
      </c>
      <c r="E553" s="23">
        <v>15</v>
      </c>
      <c r="F553" s="9"/>
      <c r="G553" s="11">
        <v>0</v>
      </c>
      <c r="H553" s="9" t="s">
        <v>63</v>
      </c>
      <c r="I553" s="9" t="s">
        <v>273</v>
      </c>
      <c r="J553" s="9"/>
      <c r="K553" s="26" t="s">
        <v>338</v>
      </c>
      <c r="L553" s="9" t="s">
        <v>122</v>
      </c>
      <c r="M553" s="12">
        <f t="shared" si="36"/>
        <v>552</v>
      </c>
      <c r="N553" s="13">
        <f t="shared" si="37"/>
        <v>171</v>
      </c>
      <c r="O553" s="14">
        <f t="shared" si="38"/>
        <v>723</v>
      </c>
      <c r="P553" s="15">
        <f t="shared" si="39"/>
        <v>0.87108433734939761</v>
      </c>
    </row>
    <row r="554" spans="1:16" ht="15.75" hidden="1" customHeight="1" x14ac:dyDescent="0.3">
      <c r="A554" s="17" t="s">
        <v>58</v>
      </c>
      <c r="B554" s="21" t="s">
        <v>336</v>
      </c>
      <c r="C554" s="21" t="s">
        <v>336</v>
      </c>
      <c r="D554" s="21" t="s">
        <v>237</v>
      </c>
      <c r="E554" s="23">
        <v>15</v>
      </c>
      <c r="F554" s="9"/>
      <c r="G554" s="11">
        <v>0</v>
      </c>
      <c r="H554" s="9" t="s">
        <v>272</v>
      </c>
      <c r="I554" s="9" t="s">
        <v>64</v>
      </c>
      <c r="J554" s="9"/>
      <c r="K554" s="26" t="s">
        <v>338</v>
      </c>
      <c r="L554" s="9"/>
      <c r="M554" s="12">
        <f t="shared" si="36"/>
        <v>284</v>
      </c>
      <c r="N554" s="13">
        <f t="shared" si="37"/>
        <v>140</v>
      </c>
      <c r="O554" s="14">
        <f t="shared" si="38"/>
        <v>424</v>
      </c>
      <c r="P554" s="15">
        <f t="shared" si="39"/>
        <v>0.51084337349397591</v>
      </c>
    </row>
    <row r="555" spans="1:16" ht="15.75" hidden="1" customHeight="1" x14ac:dyDescent="0.3">
      <c r="A555" s="17" t="s">
        <v>58</v>
      </c>
      <c r="B555" s="18" t="s">
        <v>336</v>
      </c>
      <c r="C555" s="18" t="s">
        <v>336</v>
      </c>
      <c r="D555" s="18" t="s">
        <v>237</v>
      </c>
      <c r="E555" s="19">
        <v>15</v>
      </c>
      <c r="F555" s="18"/>
      <c r="G555" s="27">
        <v>0</v>
      </c>
      <c r="H555" s="18" t="s">
        <v>272</v>
      </c>
      <c r="I555" s="20" t="s">
        <v>71</v>
      </c>
      <c r="J555" s="18"/>
      <c r="K555" s="18"/>
      <c r="L555" s="28" t="s">
        <v>339</v>
      </c>
      <c r="M555" s="12">
        <f t="shared" si="36"/>
        <v>391</v>
      </c>
      <c r="N555" s="13">
        <f t="shared" si="37"/>
        <v>436.5</v>
      </c>
      <c r="O555" s="14">
        <f t="shared" si="38"/>
        <v>827.5</v>
      </c>
      <c r="P555" s="15">
        <f t="shared" si="39"/>
        <v>0.99698795180722888</v>
      </c>
    </row>
    <row r="556" spans="1:16" ht="15.75" hidden="1" customHeight="1" x14ac:dyDescent="0.3">
      <c r="A556" s="29" t="s">
        <v>58</v>
      </c>
      <c r="B556" s="9" t="s">
        <v>336</v>
      </c>
      <c r="C556" s="9" t="s">
        <v>336</v>
      </c>
      <c r="D556" s="9" t="s">
        <v>152</v>
      </c>
      <c r="E556" s="10">
        <v>15</v>
      </c>
      <c r="F556" s="9"/>
      <c r="G556" s="11">
        <v>0</v>
      </c>
      <c r="H556" s="9" t="s">
        <v>257</v>
      </c>
      <c r="I556" s="9" t="s">
        <v>258</v>
      </c>
      <c r="J556" s="9" t="s">
        <v>8</v>
      </c>
      <c r="K556" s="9"/>
      <c r="L556" s="9"/>
      <c r="M556" s="12">
        <f t="shared" si="36"/>
        <v>331</v>
      </c>
      <c r="N556" s="13">
        <f t="shared" si="37"/>
        <v>520</v>
      </c>
      <c r="O556" s="14">
        <f t="shared" si="38"/>
        <v>851</v>
      </c>
      <c r="P556" s="15">
        <f t="shared" si="39"/>
        <v>1.0253012048192771</v>
      </c>
    </row>
    <row r="557" spans="1:16" ht="15.75" hidden="1" customHeight="1" x14ac:dyDescent="0.3">
      <c r="A557" s="29" t="s">
        <v>58</v>
      </c>
      <c r="B557" s="9" t="s">
        <v>336</v>
      </c>
      <c r="C557" s="9" t="s">
        <v>336</v>
      </c>
      <c r="D557" s="9" t="s">
        <v>152</v>
      </c>
      <c r="E557" s="10">
        <v>30</v>
      </c>
      <c r="F557" s="9"/>
      <c r="G557" s="11">
        <v>0</v>
      </c>
      <c r="H557" s="9" t="s">
        <v>96</v>
      </c>
      <c r="I557" s="9" t="s">
        <v>97</v>
      </c>
      <c r="J557" s="9" t="s">
        <v>8</v>
      </c>
      <c r="K557" s="9"/>
      <c r="L557" s="9"/>
      <c r="M557" s="12">
        <f t="shared" si="36"/>
        <v>501</v>
      </c>
      <c r="N557" s="13">
        <f t="shared" si="37"/>
        <v>486.5</v>
      </c>
      <c r="O557" s="14">
        <f t="shared" si="38"/>
        <v>987.5</v>
      </c>
      <c r="P557" s="15">
        <f t="shared" si="39"/>
        <v>1.1897590361445782</v>
      </c>
    </row>
    <row r="558" spans="1:16" ht="15.75" hidden="1" customHeight="1" x14ac:dyDescent="0.3">
      <c r="A558" s="29" t="s">
        <v>58</v>
      </c>
      <c r="B558" s="9" t="s">
        <v>336</v>
      </c>
      <c r="C558" s="9" t="s">
        <v>336</v>
      </c>
      <c r="D558" s="9" t="s">
        <v>152</v>
      </c>
      <c r="E558" s="10">
        <v>15</v>
      </c>
      <c r="F558" s="9"/>
      <c r="G558" s="11">
        <v>0</v>
      </c>
      <c r="H558" s="9" t="s">
        <v>94</v>
      </c>
      <c r="I558" s="9" t="s">
        <v>95</v>
      </c>
      <c r="J558" s="9"/>
      <c r="K558" s="9"/>
      <c r="L558" s="9"/>
      <c r="M558" s="12">
        <f t="shared" si="36"/>
        <v>295.8</v>
      </c>
      <c r="N558" s="13">
        <f t="shared" si="37"/>
        <v>488</v>
      </c>
      <c r="O558" s="14">
        <f t="shared" si="38"/>
        <v>783.8</v>
      </c>
      <c r="P558" s="15">
        <f t="shared" si="39"/>
        <v>0.94433734939759029</v>
      </c>
    </row>
    <row r="559" spans="1:16" ht="15.75" hidden="1" customHeight="1" x14ac:dyDescent="0.3">
      <c r="A559" s="29" t="s">
        <v>58</v>
      </c>
      <c r="B559" s="9" t="s">
        <v>336</v>
      </c>
      <c r="C559" s="9" t="s">
        <v>336</v>
      </c>
      <c r="D559" s="9" t="s">
        <v>152</v>
      </c>
      <c r="E559" s="10">
        <v>15</v>
      </c>
      <c r="F559" s="9"/>
      <c r="G559" s="11">
        <v>0</v>
      </c>
      <c r="H559" s="9" t="s">
        <v>76</v>
      </c>
      <c r="I559" s="9" t="s">
        <v>77</v>
      </c>
      <c r="J559" s="9"/>
      <c r="K559" s="9"/>
      <c r="L559" s="9"/>
      <c r="M559" s="12">
        <f t="shared" si="36"/>
        <v>249</v>
      </c>
      <c r="N559" s="13">
        <f t="shared" si="37"/>
        <v>294</v>
      </c>
      <c r="O559" s="14">
        <f t="shared" si="38"/>
        <v>543</v>
      </c>
      <c r="P559" s="15">
        <f t="shared" si="39"/>
        <v>0.6542168674698795</v>
      </c>
    </row>
    <row r="560" spans="1:16" ht="15.75" hidden="1" customHeight="1" x14ac:dyDescent="0.3">
      <c r="A560" s="29" t="s">
        <v>58</v>
      </c>
      <c r="B560" s="18" t="s">
        <v>336</v>
      </c>
      <c r="C560" s="18" t="s">
        <v>336</v>
      </c>
      <c r="D560" s="18" t="s">
        <v>152</v>
      </c>
      <c r="E560" s="19">
        <v>30</v>
      </c>
      <c r="F560" s="18"/>
      <c r="G560" s="27">
        <v>0</v>
      </c>
      <c r="H560" s="18" t="s">
        <v>250</v>
      </c>
      <c r="I560" s="30" t="s">
        <v>258</v>
      </c>
      <c r="J560" s="18"/>
      <c r="K560" s="18"/>
      <c r="L560" s="28" t="s">
        <v>339</v>
      </c>
      <c r="M560" s="12">
        <f t="shared" si="36"/>
        <v>331</v>
      </c>
      <c r="N560" s="13">
        <f t="shared" si="37"/>
        <v>520</v>
      </c>
      <c r="O560" s="14">
        <f t="shared" si="38"/>
        <v>851</v>
      </c>
      <c r="P560" s="15">
        <f t="shared" si="39"/>
        <v>1.0253012048192771</v>
      </c>
    </row>
    <row r="561" spans="1:16" ht="15.75" hidden="1" customHeight="1" x14ac:dyDescent="0.3">
      <c r="A561" s="17" t="s">
        <v>58</v>
      </c>
      <c r="B561" s="21" t="s">
        <v>336</v>
      </c>
      <c r="C561" s="21" t="s">
        <v>336</v>
      </c>
      <c r="D561" s="21" t="s">
        <v>144</v>
      </c>
      <c r="E561" s="23">
        <v>45</v>
      </c>
      <c r="F561" s="9"/>
      <c r="G561" s="11">
        <v>0</v>
      </c>
      <c r="H561" s="9" t="s">
        <v>146</v>
      </c>
      <c r="I561" s="9" t="s">
        <v>147</v>
      </c>
      <c r="J561" s="9"/>
      <c r="K561" s="9" t="s">
        <v>340</v>
      </c>
      <c r="L561" s="9" t="s">
        <v>334</v>
      </c>
      <c r="M561" s="12">
        <f t="shared" si="36"/>
        <v>279</v>
      </c>
      <c r="N561" s="13">
        <f t="shared" si="37"/>
        <v>427.5</v>
      </c>
      <c r="O561" s="14">
        <f t="shared" si="38"/>
        <v>706.5</v>
      </c>
      <c r="P561" s="15">
        <f t="shared" si="39"/>
        <v>0.85120481927710845</v>
      </c>
    </row>
    <row r="562" spans="1:16" ht="15.75" hidden="1" customHeight="1" x14ac:dyDescent="0.3">
      <c r="A562" s="17" t="s">
        <v>58</v>
      </c>
      <c r="B562" s="21" t="s">
        <v>336</v>
      </c>
      <c r="C562" s="21" t="s">
        <v>336</v>
      </c>
      <c r="D562" s="21" t="s">
        <v>144</v>
      </c>
      <c r="E562" s="23">
        <v>30</v>
      </c>
      <c r="F562" s="9"/>
      <c r="G562" s="11">
        <v>0</v>
      </c>
      <c r="H562" s="9" t="s">
        <v>94</v>
      </c>
      <c r="I562" s="9" t="s">
        <v>95</v>
      </c>
      <c r="J562" s="9"/>
      <c r="K562" s="9" t="s">
        <v>337</v>
      </c>
      <c r="L562" s="9"/>
      <c r="M562" s="12">
        <f t="shared" si="36"/>
        <v>295.8</v>
      </c>
      <c r="N562" s="13">
        <f t="shared" si="37"/>
        <v>488</v>
      </c>
      <c r="O562" s="14">
        <f t="shared" si="38"/>
        <v>783.8</v>
      </c>
      <c r="P562" s="15">
        <f t="shared" si="39"/>
        <v>0.94433734939759029</v>
      </c>
    </row>
    <row r="563" spans="1:16" ht="15.75" hidden="1" customHeight="1" x14ac:dyDescent="0.3">
      <c r="A563" s="17" t="s">
        <v>58</v>
      </c>
      <c r="B563" s="21" t="s">
        <v>336</v>
      </c>
      <c r="C563" s="21" t="s">
        <v>336</v>
      </c>
      <c r="D563" s="21" t="s">
        <v>144</v>
      </c>
      <c r="E563" s="23">
        <v>30</v>
      </c>
      <c r="F563" s="9"/>
      <c r="G563" s="11">
        <v>0</v>
      </c>
      <c r="H563" s="9" t="s">
        <v>245</v>
      </c>
      <c r="I563" s="9" t="s">
        <v>246</v>
      </c>
      <c r="J563" s="9"/>
      <c r="K563" s="9" t="s">
        <v>337</v>
      </c>
      <c r="L563" s="9"/>
      <c r="M563" s="12">
        <f t="shared" si="36"/>
        <v>200</v>
      </c>
      <c r="N563" s="13">
        <f t="shared" si="37"/>
        <v>271</v>
      </c>
      <c r="O563" s="14">
        <f t="shared" si="38"/>
        <v>471</v>
      </c>
      <c r="P563" s="15">
        <f t="shared" si="39"/>
        <v>0.56746987951807226</v>
      </c>
    </row>
    <row r="564" spans="1:16" ht="15.75" hidden="1" customHeight="1" x14ac:dyDescent="0.3">
      <c r="A564" s="17" t="s">
        <v>58</v>
      </c>
      <c r="B564" s="21" t="s">
        <v>336</v>
      </c>
      <c r="C564" s="21" t="s">
        <v>336</v>
      </c>
      <c r="D564" s="21" t="s">
        <v>144</v>
      </c>
      <c r="E564" s="23">
        <v>30</v>
      </c>
      <c r="F564" s="9"/>
      <c r="G564" s="11">
        <v>0</v>
      </c>
      <c r="H564" s="9" t="s">
        <v>76</v>
      </c>
      <c r="I564" s="9" t="s">
        <v>77</v>
      </c>
      <c r="J564" s="9"/>
      <c r="K564" s="9" t="s">
        <v>337</v>
      </c>
      <c r="L564" s="9"/>
      <c r="M564" s="12">
        <f t="shared" si="36"/>
        <v>249</v>
      </c>
      <c r="N564" s="13">
        <f t="shared" si="37"/>
        <v>294</v>
      </c>
      <c r="O564" s="14">
        <f t="shared" si="38"/>
        <v>543</v>
      </c>
      <c r="P564" s="15">
        <f t="shared" si="39"/>
        <v>0.6542168674698795</v>
      </c>
    </row>
    <row r="565" spans="1:16" ht="15.75" hidden="1" customHeight="1" x14ac:dyDescent="0.3">
      <c r="A565" s="8" t="s">
        <v>58</v>
      </c>
      <c r="B565" s="9" t="s">
        <v>341</v>
      </c>
      <c r="C565" s="9" t="s">
        <v>341</v>
      </c>
      <c r="D565" s="9" t="s">
        <v>342</v>
      </c>
      <c r="E565" s="10">
        <v>50</v>
      </c>
      <c r="F565" s="9"/>
      <c r="G565" s="11">
        <v>0</v>
      </c>
      <c r="H565" s="9" t="s">
        <v>257</v>
      </c>
      <c r="I565" s="9" t="s">
        <v>258</v>
      </c>
      <c r="J565" s="9" t="s">
        <v>8</v>
      </c>
      <c r="K565" s="9"/>
      <c r="L565" s="9" t="s">
        <v>343</v>
      </c>
      <c r="M565" s="12">
        <f t="shared" si="36"/>
        <v>331</v>
      </c>
      <c r="N565" s="13">
        <f t="shared" si="37"/>
        <v>520</v>
      </c>
      <c r="O565" s="14">
        <f t="shared" si="38"/>
        <v>851</v>
      </c>
      <c r="P565" s="15">
        <f t="shared" si="39"/>
        <v>1.0253012048192771</v>
      </c>
    </row>
    <row r="566" spans="1:16" ht="15.75" hidden="1" customHeight="1" x14ac:dyDescent="0.3">
      <c r="A566" s="8" t="s">
        <v>58</v>
      </c>
      <c r="B566" s="9" t="s">
        <v>341</v>
      </c>
      <c r="C566" s="9" t="s">
        <v>341</v>
      </c>
      <c r="D566" s="9" t="s">
        <v>321</v>
      </c>
      <c r="E566" s="10">
        <v>25</v>
      </c>
      <c r="F566" s="9"/>
      <c r="G566" s="11">
        <v>0</v>
      </c>
      <c r="H566" s="9" t="s">
        <v>171</v>
      </c>
      <c r="I566" s="9" t="s">
        <v>172</v>
      </c>
      <c r="J566" s="9" t="s">
        <v>8</v>
      </c>
      <c r="K566" s="9"/>
      <c r="L566" s="9" t="s">
        <v>323</v>
      </c>
      <c r="M566" s="12">
        <f t="shared" si="36"/>
        <v>339</v>
      </c>
      <c r="N566" s="13">
        <f t="shared" si="37"/>
        <v>296</v>
      </c>
      <c r="O566" s="14">
        <f t="shared" si="38"/>
        <v>635</v>
      </c>
      <c r="P566" s="15">
        <f t="shared" si="39"/>
        <v>0.76506024096385539</v>
      </c>
    </row>
    <row r="567" spans="1:16" ht="15.75" hidden="1" customHeight="1" x14ac:dyDescent="0.3">
      <c r="A567" s="8" t="s">
        <v>58</v>
      </c>
      <c r="B567" s="9" t="s">
        <v>341</v>
      </c>
      <c r="C567" s="9" t="s">
        <v>341</v>
      </c>
      <c r="D567" s="9" t="s">
        <v>344</v>
      </c>
      <c r="E567" s="10">
        <v>50</v>
      </c>
      <c r="F567" s="9"/>
      <c r="G567" s="11">
        <v>0</v>
      </c>
      <c r="H567" s="9" t="s">
        <v>76</v>
      </c>
      <c r="I567" s="9" t="s">
        <v>77</v>
      </c>
      <c r="J567" s="9"/>
      <c r="K567" s="9"/>
      <c r="L567" s="9" t="s">
        <v>345</v>
      </c>
      <c r="M567" s="12">
        <f t="shared" si="36"/>
        <v>249</v>
      </c>
      <c r="N567" s="13">
        <f t="shared" si="37"/>
        <v>294</v>
      </c>
      <c r="O567" s="14">
        <f t="shared" si="38"/>
        <v>543</v>
      </c>
      <c r="P567" s="15">
        <f t="shared" si="39"/>
        <v>0.6542168674698795</v>
      </c>
    </row>
    <row r="568" spans="1:16" ht="15.75" hidden="1" customHeight="1" x14ac:dyDescent="0.3">
      <c r="A568" s="8" t="s">
        <v>58</v>
      </c>
      <c r="B568" s="9" t="s">
        <v>341</v>
      </c>
      <c r="C568" s="9" t="s">
        <v>341</v>
      </c>
      <c r="D568" s="9" t="s">
        <v>346</v>
      </c>
      <c r="E568" s="10">
        <v>25</v>
      </c>
      <c r="F568" s="9"/>
      <c r="G568" s="11">
        <v>0</v>
      </c>
      <c r="H568" s="9" t="s">
        <v>257</v>
      </c>
      <c r="I568" s="9" t="s">
        <v>258</v>
      </c>
      <c r="J568" s="9" t="s">
        <v>8</v>
      </c>
      <c r="K568" s="9"/>
      <c r="L568" s="9" t="s">
        <v>347</v>
      </c>
      <c r="M568" s="12">
        <f t="shared" si="36"/>
        <v>331</v>
      </c>
      <c r="N568" s="13">
        <f t="shared" si="37"/>
        <v>520</v>
      </c>
      <c r="O568" s="14">
        <f t="shared" si="38"/>
        <v>851</v>
      </c>
      <c r="P568" s="15">
        <f t="shared" si="39"/>
        <v>1.0253012048192771</v>
      </c>
    </row>
    <row r="569" spans="1:16" ht="15.75" hidden="1" customHeight="1" x14ac:dyDescent="0.3">
      <c r="A569" s="8" t="s">
        <v>58</v>
      </c>
      <c r="B569" s="9" t="s">
        <v>341</v>
      </c>
      <c r="C569" s="9" t="s">
        <v>341</v>
      </c>
      <c r="D569" s="9" t="s">
        <v>289</v>
      </c>
      <c r="E569" s="10">
        <v>25</v>
      </c>
      <c r="F569" s="9"/>
      <c r="G569" s="11">
        <v>0</v>
      </c>
      <c r="H569" s="9" t="s">
        <v>76</v>
      </c>
      <c r="I569" s="9" t="s">
        <v>77</v>
      </c>
      <c r="J569" s="9"/>
      <c r="K569" s="9"/>
      <c r="L569" s="9" t="s">
        <v>290</v>
      </c>
      <c r="M569" s="12">
        <f t="shared" si="36"/>
        <v>249</v>
      </c>
      <c r="N569" s="13">
        <f t="shared" si="37"/>
        <v>294</v>
      </c>
      <c r="O569" s="14">
        <f t="shared" si="38"/>
        <v>543</v>
      </c>
      <c r="P569" s="15">
        <f t="shared" si="39"/>
        <v>0.6542168674698795</v>
      </c>
    </row>
    <row r="570" spans="1:16" ht="15.75" hidden="1" customHeight="1" x14ac:dyDescent="0.3">
      <c r="A570" s="8" t="s">
        <v>58</v>
      </c>
      <c r="B570" s="9" t="s">
        <v>341</v>
      </c>
      <c r="C570" s="9" t="s">
        <v>341</v>
      </c>
      <c r="D570" s="9" t="s">
        <v>325</v>
      </c>
      <c r="E570" s="10">
        <v>75</v>
      </c>
      <c r="F570" s="9"/>
      <c r="G570" s="11">
        <v>0</v>
      </c>
      <c r="H570" s="9" t="s">
        <v>257</v>
      </c>
      <c r="I570" s="9" t="s">
        <v>258</v>
      </c>
      <c r="J570" s="9" t="s">
        <v>8</v>
      </c>
      <c r="K570" s="9"/>
      <c r="L570" s="9" t="s">
        <v>326</v>
      </c>
      <c r="M570" s="12">
        <f t="shared" si="36"/>
        <v>331</v>
      </c>
      <c r="N570" s="13">
        <f t="shared" si="37"/>
        <v>520</v>
      </c>
      <c r="O570" s="14">
        <f t="shared" si="38"/>
        <v>851</v>
      </c>
      <c r="P570" s="15">
        <f t="shared" si="39"/>
        <v>1.0253012048192771</v>
      </c>
    </row>
    <row r="571" spans="1:16" ht="15.75" hidden="1" customHeight="1" x14ac:dyDescent="0.3">
      <c r="A571" s="8" t="s">
        <v>58</v>
      </c>
      <c r="B571" s="9" t="s">
        <v>341</v>
      </c>
      <c r="C571" s="9" t="s">
        <v>341</v>
      </c>
      <c r="D571" s="9" t="s">
        <v>74</v>
      </c>
      <c r="E571" s="10">
        <v>25</v>
      </c>
      <c r="F571" s="9"/>
      <c r="G571" s="11">
        <v>0</v>
      </c>
      <c r="H571" s="9" t="s">
        <v>76</v>
      </c>
      <c r="I571" s="9" t="s">
        <v>77</v>
      </c>
      <c r="J571" s="9"/>
      <c r="K571" s="9"/>
      <c r="L571" s="9" t="s">
        <v>78</v>
      </c>
      <c r="M571" s="12">
        <f t="shared" si="36"/>
        <v>249</v>
      </c>
      <c r="N571" s="13">
        <f t="shared" si="37"/>
        <v>294</v>
      </c>
      <c r="O571" s="14">
        <f t="shared" si="38"/>
        <v>543</v>
      </c>
      <c r="P571" s="15">
        <f t="shared" si="39"/>
        <v>0.6542168674698795</v>
      </c>
    </row>
    <row r="572" spans="1:16" ht="15.75" hidden="1" customHeight="1" x14ac:dyDescent="0.3">
      <c r="A572" s="8" t="s">
        <v>58</v>
      </c>
      <c r="B572" s="9" t="s">
        <v>341</v>
      </c>
      <c r="C572" s="9" t="s">
        <v>341</v>
      </c>
      <c r="D572" s="9" t="s">
        <v>318</v>
      </c>
      <c r="E572" s="10">
        <v>25</v>
      </c>
      <c r="F572" s="9"/>
      <c r="G572" s="11">
        <v>0</v>
      </c>
      <c r="H572" s="9" t="s">
        <v>257</v>
      </c>
      <c r="I572" s="9" t="s">
        <v>258</v>
      </c>
      <c r="J572" s="9" t="s">
        <v>8</v>
      </c>
      <c r="K572" s="9"/>
      <c r="L572" s="9" t="s">
        <v>348</v>
      </c>
      <c r="M572" s="12">
        <f t="shared" si="36"/>
        <v>331</v>
      </c>
      <c r="N572" s="13">
        <f t="shared" si="37"/>
        <v>520</v>
      </c>
      <c r="O572" s="14">
        <f t="shared" si="38"/>
        <v>851</v>
      </c>
      <c r="P572" s="15">
        <f t="shared" si="39"/>
        <v>1.0253012048192771</v>
      </c>
    </row>
    <row r="573" spans="1:16" ht="15.75" hidden="1" customHeight="1" x14ac:dyDescent="0.3">
      <c r="A573" s="8" t="s">
        <v>58</v>
      </c>
      <c r="B573" s="9" t="s">
        <v>341</v>
      </c>
      <c r="C573" s="9" t="s">
        <v>341</v>
      </c>
      <c r="D573" s="9" t="s">
        <v>318</v>
      </c>
      <c r="E573" s="10">
        <v>50</v>
      </c>
      <c r="F573" s="9"/>
      <c r="G573" s="11">
        <v>0</v>
      </c>
      <c r="H573" s="9" t="s">
        <v>96</v>
      </c>
      <c r="I573" s="9" t="s">
        <v>97</v>
      </c>
      <c r="J573" s="9" t="s">
        <v>8</v>
      </c>
      <c r="K573" s="9"/>
      <c r="L573" s="9" t="s">
        <v>349</v>
      </c>
      <c r="M573" s="12">
        <f t="shared" si="36"/>
        <v>501</v>
      </c>
      <c r="N573" s="13">
        <f t="shared" si="37"/>
        <v>486.5</v>
      </c>
      <c r="O573" s="14">
        <f t="shared" si="38"/>
        <v>987.5</v>
      </c>
      <c r="P573" s="15">
        <f t="shared" si="39"/>
        <v>1.1897590361445782</v>
      </c>
    </row>
    <row r="574" spans="1:16" ht="15.75" hidden="1" customHeight="1" x14ac:dyDescent="0.3">
      <c r="A574" s="9" t="s">
        <v>59</v>
      </c>
      <c r="B574" s="9" t="s">
        <v>62</v>
      </c>
      <c r="C574" s="9" t="s">
        <v>62</v>
      </c>
      <c r="D574" s="9"/>
      <c r="E574" s="10">
        <v>75</v>
      </c>
      <c r="F574" s="9"/>
      <c r="G574" s="11">
        <v>0</v>
      </c>
      <c r="H574" s="9" t="s">
        <v>63</v>
      </c>
      <c r="I574" s="9" t="s">
        <v>64</v>
      </c>
      <c r="J574" s="9" t="s">
        <v>4</v>
      </c>
      <c r="K574" s="9"/>
      <c r="L574" s="9"/>
      <c r="M574" s="12">
        <f t="shared" si="36"/>
        <v>284</v>
      </c>
      <c r="N574" s="13">
        <f t="shared" si="37"/>
        <v>140</v>
      </c>
      <c r="O574" s="14">
        <f t="shared" si="38"/>
        <v>424</v>
      </c>
      <c r="P574" s="15">
        <f t="shared" si="39"/>
        <v>0.51084337349397591</v>
      </c>
    </row>
    <row r="575" spans="1:16" ht="15.75" hidden="1" customHeight="1" x14ac:dyDescent="0.3">
      <c r="A575" s="9" t="s">
        <v>59</v>
      </c>
      <c r="B575" s="9" t="s">
        <v>62</v>
      </c>
      <c r="C575" s="9" t="s">
        <v>62</v>
      </c>
      <c r="D575" s="9"/>
      <c r="E575" s="10">
        <v>25</v>
      </c>
      <c r="F575" s="9"/>
      <c r="G575" s="11">
        <v>0</v>
      </c>
      <c r="H575" s="9" t="s">
        <v>67</v>
      </c>
      <c r="I575" s="9" t="s">
        <v>68</v>
      </c>
      <c r="J575" s="9" t="s">
        <v>4</v>
      </c>
      <c r="K575" s="9"/>
      <c r="L575" s="9"/>
      <c r="M575" s="12">
        <f t="shared" si="36"/>
        <v>366</v>
      </c>
      <c r="N575" s="13">
        <f t="shared" si="37"/>
        <v>175</v>
      </c>
      <c r="O575" s="14">
        <f t="shared" si="38"/>
        <v>541</v>
      </c>
      <c r="P575" s="15">
        <f t="shared" si="39"/>
        <v>0.65180722891566267</v>
      </c>
    </row>
    <row r="576" spans="1:16" ht="15.75" hidden="1" customHeight="1" x14ac:dyDescent="0.3">
      <c r="A576" s="9" t="s">
        <v>59</v>
      </c>
      <c r="B576" s="9" t="s">
        <v>62</v>
      </c>
      <c r="C576" s="9" t="s">
        <v>62</v>
      </c>
      <c r="D576" s="9"/>
      <c r="E576" s="10">
        <v>50</v>
      </c>
      <c r="F576" s="9"/>
      <c r="G576" s="11">
        <v>0</v>
      </c>
      <c r="H576" s="9" t="s">
        <v>65</v>
      </c>
      <c r="I576" s="9" t="s">
        <v>66</v>
      </c>
      <c r="J576" s="9" t="s">
        <v>4</v>
      </c>
      <c r="K576" s="9"/>
      <c r="L576" s="9"/>
      <c r="M576" s="12">
        <f t="shared" si="36"/>
        <v>291</v>
      </c>
      <c r="N576" s="13">
        <f t="shared" si="37"/>
        <v>650.5</v>
      </c>
      <c r="O576" s="14">
        <f t="shared" si="38"/>
        <v>941.5</v>
      </c>
      <c r="P576" s="15">
        <f t="shared" si="39"/>
        <v>1.1343373493975903</v>
      </c>
    </row>
    <row r="577" spans="1:16" ht="15.75" hidden="1" customHeight="1" x14ac:dyDescent="0.3">
      <c r="A577" s="9" t="s">
        <v>59</v>
      </c>
      <c r="B577" s="9" t="s">
        <v>69</v>
      </c>
      <c r="C577" s="9" t="s">
        <v>69</v>
      </c>
      <c r="D577" s="9"/>
      <c r="E577" s="10">
        <v>30</v>
      </c>
      <c r="F577" s="9"/>
      <c r="G577" s="11">
        <v>0</v>
      </c>
      <c r="H577" s="9" t="s">
        <v>70</v>
      </c>
      <c r="I577" s="9" t="s">
        <v>71</v>
      </c>
      <c r="J577" s="9"/>
      <c r="K577" s="9"/>
      <c r="L577" s="9"/>
      <c r="M577" s="12">
        <f t="shared" si="36"/>
        <v>391</v>
      </c>
      <c r="N577" s="13">
        <f t="shared" si="37"/>
        <v>436.5</v>
      </c>
      <c r="O577" s="14">
        <f t="shared" si="38"/>
        <v>827.5</v>
      </c>
      <c r="P577" s="15">
        <f t="shared" si="39"/>
        <v>0.99698795180722888</v>
      </c>
    </row>
    <row r="578" spans="1:16" ht="15.75" hidden="1" customHeight="1" x14ac:dyDescent="0.3">
      <c r="A578" s="9" t="s">
        <v>59</v>
      </c>
      <c r="B578" s="9" t="s">
        <v>350</v>
      </c>
      <c r="C578" s="9" t="s">
        <v>73</v>
      </c>
      <c r="D578" s="9" t="s">
        <v>103</v>
      </c>
      <c r="E578" s="10">
        <v>24</v>
      </c>
      <c r="F578" s="9" t="s">
        <v>107</v>
      </c>
      <c r="G578" s="10">
        <v>24</v>
      </c>
      <c r="H578" s="9" t="s">
        <v>84</v>
      </c>
      <c r="I578" s="9" t="s">
        <v>85</v>
      </c>
      <c r="J578" s="9"/>
      <c r="K578" s="9"/>
      <c r="L578" s="9" t="s">
        <v>351</v>
      </c>
      <c r="M578" s="12">
        <f t="shared" si="36"/>
        <v>256</v>
      </c>
      <c r="N578" s="13">
        <f t="shared" si="37"/>
        <v>691.5</v>
      </c>
      <c r="O578" s="14">
        <f t="shared" si="38"/>
        <v>947.5</v>
      </c>
      <c r="P578" s="15">
        <f t="shared" si="39"/>
        <v>1.1415662650602409</v>
      </c>
    </row>
    <row r="579" spans="1:16" ht="15.75" hidden="1" customHeight="1" x14ac:dyDescent="0.3">
      <c r="A579" s="9" t="s">
        <v>59</v>
      </c>
      <c r="B579" s="9" t="s">
        <v>350</v>
      </c>
      <c r="C579" s="9" t="s">
        <v>100</v>
      </c>
      <c r="D579" s="9" t="s">
        <v>103</v>
      </c>
      <c r="E579" s="10">
        <v>80</v>
      </c>
      <c r="F579" s="9" t="s">
        <v>107</v>
      </c>
      <c r="G579" s="10">
        <v>40</v>
      </c>
      <c r="H579" s="9" t="s">
        <v>84</v>
      </c>
      <c r="I579" s="9" t="s">
        <v>85</v>
      </c>
      <c r="J579" s="9"/>
      <c r="K579" s="9"/>
      <c r="L579" s="9" t="s">
        <v>351</v>
      </c>
      <c r="M579" s="12">
        <f t="shared" si="36"/>
        <v>256</v>
      </c>
      <c r="N579" s="13">
        <f t="shared" si="37"/>
        <v>691.5</v>
      </c>
      <c r="O579" s="14">
        <f t="shared" si="38"/>
        <v>947.5</v>
      </c>
      <c r="P579" s="15">
        <f t="shared" si="39"/>
        <v>1.1415662650602409</v>
      </c>
    </row>
    <row r="580" spans="1:16" ht="15.75" hidden="1" customHeight="1" x14ac:dyDescent="0.3">
      <c r="A580" s="9" t="s">
        <v>59</v>
      </c>
      <c r="B580" s="9" t="s">
        <v>350</v>
      </c>
      <c r="C580" s="9" t="s">
        <v>142</v>
      </c>
      <c r="D580" s="9" t="s">
        <v>103</v>
      </c>
      <c r="E580" s="10">
        <v>6</v>
      </c>
      <c r="F580" s="9" t="s">
        <v>107</v>
      </c>
      <c r="G580" s="11">
        <v>0</v>
      </c>
      <c r="H580" s="9" t="s">
        <v>84</v>
      </c>
      <c r="I580" s="9" t="s">
        <v>85</v>
      </c>
      <c r="J580" s="9"/>
      <c r="K580" s="9"/>
      <c r="L580" s="9" t="s">
        <v>351</v>
      </c>
      <c r="M580" s="12">
        <f t="shared" si="36"/>
        <v>256</v>
      </c>
      <c r="N580" s="13">
        <f t="shared" si="37"/>
        <v>691.5</v>
      </c>
      <c r="O580" s="14">
        <f t="shared" si="38"/>
        <v>947.5</v>
      </c>
      <c r="P580" s="15">
        <f t="shared" si="39"/>
        <v>1.1415662650602409</v>
      </c>
    </row>
    <row r="581" spans="1:16" ht="15.75" hidden="1" customHeight="1" x14ac:dyDescent="0.3">
      <c r="A581" s="9" t="s">
        <v>59</v>
      </c>
      <c r="B581" s="9" t="s">
        <v>350</v>
      </c>
      <c r="C581" s="9" t="s">
        <v>80</v>
      </c>
      <c r="D581" s="9" t="s">
        <v>103</v>
      </c>
      <c r="E581" s="10">
        <v>1</v>
      </c>
      <c r="F581" s="9" t="s">
        <v>107</v>
      </c>
      <c r="G581" s="11">
        <v>0</v>
      </c>
      <c r="H581" s="9" t="s">
        <v>84</v>
      </c>
      <c r="I581" s="9" t="s">
        <v>85</v>
      </c>
      <c r="J581" s="9"/>
      <c r="K581" s="9"/>
      <c r="L581" s="9" t="s">
        <v>351</v>
      </c>
      <c r="M581" s="12">
        <f t="shared" si="36"/>
        <v>256</v>
      </c>
      <c r="N581" s="13">
        <f t="shared" si="37"/>
        <v>691.5</v>
      </c>
      <c r="O581" s="14">
        <f t="shared" si="38"/>
        <v>947.5</v>
      </c>
      <c r="P581" s="15">
        <f t="shared" si="39"/>
        <v>1.1415662650602409</v>
      </c>
    </row>
    <row r="582" spans="1:16" ht="15.75" hidden="1" customHeight="1" x14ac:dyDescent="0.3">
      <c r="A582" s="9" t="s">
        <v>59</v>
      </c>
      <c r="B582" s="9" t="s">
        <v>352</v>
      </c>
      <c r="C582" s="9" t="s">
        <v>73</v>
      </c>
      <c r="D582" s="9" t="s">
        <v>220</v>
      </c>
      <c r="E582" s="10">
        <v>22</v>
      </c>
      <c r="F582" s="9" t="s">
        <v>221</v>
      </c>
      <c r="G582" s="10">
        <v>22</v>
      </c>
      <c r="H582" s="9" t="s">
        <v>91</v>
      </c>
      <c r="I582" s="9" t="s">
        <v>92</v>
      </c>
      <c r="J582" s="9" t="s">
        <v>4</v>
      </c>
      <c r="K582" s="9"/>
      <c r="L582" s="9"/>
      <c r="M582" s="12">
        <f t="shared" si="36"/>
        <v>405</v>
      </c>
      <c r="N582" s="13">
        <f t="shared" si="37"/>
        <v>532</v>
      </c>
      <c r="O582" s="14">
        <f t="shared" si="38"/>
        <v>937</v>
      </c>
      <c r="P582" s="15">
        <f t="shared" si="39"/>
        <v>1.1289156626506025</v>
      </c>
    </row>
    <row r="583" spans="1:16" ht="15.75" hidden="1" customHeight="1" x14ac:dyDescent="0.3">
      <c r="A583" s="9" t="s">
        <v>59</v>
      </c>
      <c r="B583" s="9" t="s">
        <v>352</v>
      </c>
      <c r="C583" s="9" t="s">
        <v>79</v>
      </c>
      <c r="D583" s="9" t="s">
        <v>220</v>
      </c>
      <c r="E583" s="10">
        <v>28</v>
      </c>
      <c r="F583" s="9" t="s">
        <v>221</v>
      </c>
      <c r="G583" s="10">
        <v>28</v>
      </c>
      <c r="H583" s="9" t="s">
        <v>91</v>
      </c>
      <c r="I583" s="9" t="s">
        <v>92</v>
      </c>
      <c r="J583" s="9" t="s">
        <v>4</v>
      </c>
      <c r="K583" s="9"/>
      <c r="L583" s="9"/>
      <c r="M583" s="12">
        <f t="shared" si="36"/>
        <v>405</v>
      </c>
      <c r="N583" s="13">
        <f t="shared" si="37"/>
        <v>532</v>
      </c>
      <c r="O583" s="14">
        <f t="shared" si="38"/>
        <v>937</v>
      </c>
      <c r="P583" s="15">
        <f t="shared" si="39"/>
        <v>1.1289156626506025</v>
      </c>
    </row>
    <row r="584" spans="1:16" ht="15.75" hidden="1" customHeight="1" x14ac:dyDescent="0.3">
      <c r="A584" s="9" t="s">
        <v>59</v>
      </c>
      <c r="B584" s="9" t="s">
        <v>352</v>
      </c>
      <c r="C584" s="9" t="s">
        <v>142</v>
      </c>
      <c r="D584" s="9" t="s">
        <v>220</v>
      </c>
      <c r="E584" s="10">
        <v>4</v>
      </c>
      <c r="F584" s="9" t="s">
        <v>221</v>
      </c>
      <c r="G584" s="11">
        <v>0</v>
      </c>
      <c r="H584" s="9" t="s">
        <v>91</v>
      </c>
      <c r="I584" s="9" t="s">
        <v>92</v>
      </c>
      <c r="J584" s="9" t="s">
        <v>4</v>
      </c>
      <c r="K584" s="9"/>
      <c r="L584" s="9"/>
      <c r="M584" s="12">
        <f t="shared" si="36"/>
        <v>405</v>
      </c>
      <c r="N584" s="13">
        <f t="shared" si="37"/>
        <v>532</v>
      </c>
      <c r="O584" s="14">
        <f t="shared" si="38"/>
        <v>937</v>
      </c>
      <c r="P584" s="15">
        <f t="shared" si="39"/>
        <v>1.1289156626506025</v>
      </c>
    </row>
    <row r="585" spans="1:16" ht="15.75" hidden="1" customHeight="1" x14ac:dyDescent="0.3">
      <c r="A585" s="9" t="s">
        <v>59</v>
      </c>
      <c r="B585" s="9" t="s">
        <v>352</v>
      </c>
      <c r="C585" s="9" t="s">
        <v>80</v>
      </c>
      <c r="D585" s="9" t="s">
        <v>220</v>
      </c>
      <c r="E585" s="10">
        <v>2</v>
      </c>
      <c r="F585" s="9" t="s">
        <v>221</v>
      </c>
      <c r="G585" s="11">
        <v>0</v>
      </c>
      <c r="H585" s="9" t="s">
        <v>91</v>
      </c>
      <c r="I585" s="9" t="s">
        <v>92</v>
      </c>
      <c r="J585" s="9" t="s">
        <v>4</v>
      </c>
      <c r="K585" s="9"/>
      <c r="L585" s="9"/>
      <c r="M585" s="12">
        <f t="shared" si="36"/>
        <v>405</v>
      </c>
      <c r="N585" s="13">
        <f t="shared" si="37"/>
        <v>532</v>
      </c>
      <c r="O585" s="14">
        <f t="shared" si="38"/>
        <v>937</v>
      </c>
      <c r="P585" s="15">
        <f t="shared" si="39"/>
        <v>1.1289156626506025</v>
      </c>
    </row>
    <row r="586" spans="1:16" ht="15.75" hidden="1" customHeight="1" x14ac:dyDescent="0.3">
      <c r="A586" s="9" t="s">
        <v>59</v>
      </c>
      <c r="B586" s="9" t="s">
        <v>353</v>
      </c>
      <c r="C586" s="9" t="s">
        <v>73</v>
      </c>
      <c r="D586" s="9" t="s">
        <v>220</v>
      </c>
      <c r="E586" s="10">
        <v>22</v>
      </c>
      <c r="F586" s="9" t="s">
        <v>221</v>
      </c>
      <c r="G586" s="10">
        <v>22</v>
      </c>
      <c r="H586" s="9" t="s">
        <v>174</v>
      </c>
      <c r="I586" s="9" t="s">
        <v>175</v>
      </c>
      <c r="J586" s="9" t="s">
        <v>8</v>
      </c>
      <c r="K586" s="9"/>
      <c r="L586" s="9"/>
      <c r="M586" s="12">
        <f t="shared" si="36"/>
        <v>320</v>
      </c>
      <c r="N586" s="13">
        <f t="shared" si="37"/>
        <v>169</v>
      </c>
      <c r="O586" s="14">
        <f t="shared" si="38"/>
        <v>489</v>
      </c>
      <c r="P586" s="15">
        <f t="shared" si="39"/>
        <v>0.58915662650602407</v>
      </c>
    </row>
    <row r="587" spans="1:16" ht="15.75" hidden="1" customHeight="1" x14ac:dyDescent="0.3">
      <c r="A587" s="9" t="s">
        <v>59</v>
      </c>
      <c r="B587" s="9" t="s">
        <v>353</v>
      </c>
      <c r="C587" s="9" t="s">
        <v>79</v>
      </c>
      <c r="D587" s="9" t="s">
        <v>220</v>
      </c>
      <c r="E587" s="10">
        <v>28</v>
      </c>
      <c r="F587" s="9" t="s">
        <v>221</v>
      </c>
      <c r="G587" s="10">
        <v>28</v>
      </c>
      <c r="H587" s="9" t="s">
        <v>186</v>
      </c>
      <c r="I587" s="9" t="s">
        <v>187</v>
      </c>
      <c r="J587" s="9"/>
      <c r="K587" s="9"/>
      <c r="L587" s="9"/>
      <c r="M587" s="12">
        <f t="shared" si="36"/>
        <v>87</v>
      </c>
      <c r="N587" s="13">
        <f t="shared" si="37"/>
        <v>111.5</v>
      </c>
      <c r="O587" s="14">
        <f t="shared" si="38"/>
        <v>198.5</v>
      </c>
      <c r="P587" s="15">
        <f t="shared" si="39"/>
        <v>0.23915662650602409</v>
      </c>
    </row>
    <row r="588" spans="1:16" ht="15.75" hidden="1" customHeight="1" x14ac:dyDescent="0.3">
      <c r="A588" s="9" t="s">
        <v>59</v>
      </c>
      <c r="B588" s="9" t="s">
        <v>353</v>
      </c>
      <c r="C588" s="9" t="s">
        <v>111</v>
      </c>
      <c r="D588" s="9" t="s">
        <v>220</v>
      </c>
      <c r="E588" s="10">
        <v>6</v>
      </c>
      <c r="F588" s="9" t="s">
        <v>221</v>
      </c>
      <c r="G588" s="11">
        <v>0</v>
      </c>
      <c r="H588" s="9" t="s">
        <v>174</v>
      </c>
      <c r="I588" s="9" t="s">
        <v>175</v>
      </c>
      <c r="J588" s="9" t="s">
        <v>8</v>
      </c>
      <c r="K588" s="9"/>
      <c r="L588" s="9"/>
      <c r="M588" s="12">
        <f t="shared" si="36"/>
        <v>320</v>
      </c>
      <c r="N588" s="13">
        <f t="shared" si="37"/>
        <v>169</v>
      </c>
      <c r="O588" s="14">
        <f t="shared" si="38"/>
        <v>489</v>
      </c>
      <c r="P588" s="15">
        <f t="shared" si="39"/>
        <v>0.58915662650602407</v>
      </c>
    </row>
    <row r="589" spans="1:16" ht="15.75" hidden="1" customHeight="1" x14ac:dyDescent="0.3">
      <c r="A589" s="9" t="s">
        <v>59</v>
      </c>
      <c r="B589" s="9" t="s">
        <v>353</v>
      </c>
      <c r="C589" s="9" t="s">
        <v>80</v>
      </c>
      <c r="D589" s="9" t="s">
        <v>220</v>
      </c>
      <c r="E589" s="10">
        <v>4</v>
      </c>
      <c r="F589" s="9" t="s">
        <v>221</v>
      </c>
      <c r="G589" s="11">
        <v>0</v>
      </c>
      <c r="H589" s="9" t="s">
        <v>354</v>
      </c>
      <c r="I589" s="9" t="s">
        <v>187</v>
      </c>
      <c r="J589" s="9" t="s">
        <v>21</v>
      </c>
      <c r="K589" s="9"/>
      <c r="L589" s="9"/>
      <c r="M589" s="12">
        <f t="shared" si="36"/>
        <v>87</v>
      </c>
      <c r="N589" s="13">
        <f t="shared" si="37"/>
        <v>111.5</v>
      </c>
      <c r="O589" s="14">
        <f t="shared" si="38"/>
        <v>198.5</v>
      </c>
      <c r="P589" s="15">
        <f t="shared" si="39"/>
        <v>0.23915662650602409</v>
      </c>
    </row>
    <row r="590" spans="1:16" ht="15.75" hidden="1" customHeight="1" x14ac:dyDescent="0.3">
      <c r="A590" s="9" t="s">
        <v>59</v>
      </c>
      <c r="B590" s="9" t="s">
        <v>355</v>
      </c>
      <c r="C590" s="9" t="s">
        <v>73</v>
      </c>
      <c r="D590" s="9" t="s">
        <v>134</v>
      </c>
      <c r="E590" s="10">
        <v>12</v>
      </c>
      <c r="F590" s="9" t="s">
        <v>166</v>
      </c>
      <c r="G590" s="10">
        <v>12</v>
      </c>
      <c r="H590" s="9" t="s">
        <v>174</v>
      </c>
      <c r="I590" s="9" t="s">
        <v>175</v>
      </c>
      <c r="J590" s="9" t="s">
        <v>8</v>
      </c>
      <c r="K590" s="9"/>
      <c r="L590" s="9"/>
      <c r="M590" s="12">
        <f t="shared" si="36"/>
        <v>320</v>
      </c>
      <c r="N590" s="13">
        <f t="shared" si="37"/>
        <v>169</v>
      </c>
      <c r="O590" s="14">
        <f t="shared" si="38"/>
        <v>489</v>
      </c>
      <c r="P590" s="15">
        <f t="shared" si="39"/>
        <v>0.58915662650602407</v>
      </c>
    </row>
    <row r="591" spans="1:16" ht="15.75" hidden="1" customHeight="1" x14ac:dyDescent="0.3">
      <c r="A591" s="9" t="s">
        <v>59</v>
      </c>
      <c r="B591" s="9" t="s">
        <v>355</v>
      </c>
      <c r="C591" s="9" t="s">
        <v>79</v>
      </c>
      <c r="D591" s="9" t="s">
        <v>134</v>
      </c>
      <c r="E591" s="10">
        <v>22</v>
      </c>
      <c r="F591" s="9" t="s">
        <v>166</v>
      </c>
      <c r="G591" s="10">
        <v>22</v>
      </c>
      <c r="H591" s="9" t="s">
        <v>174</v>
      </c>
      <c r="I591" s="9" t="s">
        <v>175</v>
      </c>
      <c r="J591" s="9" t="s">
        <v>8</v>
      </c>
      <c r="K591" s="9"/>
      <c r="L591" s="9"/>
      <c r="M591" s="12">
        <f t="shared" si="36"/>
        <v>320</v>
      </c>
      <c r="N591" s="13">
        <f t="shared" si="37"/>
        <v>169</v>
      </c>
      <c r="O591" s="14">
        <f t="shared" si="38"/>
        <v>489</v>
      </c>
      <c r="P591" s="15">
        <f t="shared" si="39"/>
        <v>0.58915662650602407</v>
      </c>
    </row>
    <row r="592" spans="1:16" ht="15.75" hidden="1" customHeight="1" x14ac:dyDescent="0.3">
      <c r="A592" s="9" t="s">
        <v>59</v>
      </c>
      <c r="B592" s="9" t="s">
        <v>355</v>
      </c>
      <c r="C592" s="9" t="s">
        <v>142</v>
      </c>
      <c r="D592" s="9" t="s">
        <v>134</v>
      </c>
      <c r="E592" s="10">
        <v>2</v>
      </c>
      <c r="F592" s="9" t="s">
        <v>166</v>
      </c>
      <c r="G592" s="11">
        <v>0</v>
      </c>
      <c r="H592" s="9" t="s">
        <v>174</v>
      </c>
      <c r="I592" s="9" t="s">
        <v>175</v>
      </c>
      <c r="J592" s="9" t="s">
        <v>8</v>
      </c>
      <c r="K592" s="9"/>
      <c r="L592" s="9"/>
      <c r="M592" s="12">
        <f t="shared" si="36"/>
        <v>320</v>
      </c>
      <c r="N592" s="13">
        <f t="shared" si="37"/>
        <v>169</v>
      </c>
      <c r="O592" s="14">
        <f t="shared" si="38"/>
        <v>489</v>
      </c>
      <c r="P592" s="15">
        <f t="shared" si="39"/>
        <v>0.58915662650602407</v>
      </c>
    </row>
    <row r="593" spans="1:16" ht="15.75" hidden="1" customHeight="1" x14ac:dyDescent="0.3">
      <c r="A593" s="9" t="s">
        <v>59</v>
      </c>
      <c r="B593" s="9" t="s">
        <v>355</v>
      </c>
      <c r="C593" s="9" t="s">
        <v>80</v>
      </c>
      <c r="D593" s="9" t="s">
        <v>134</v>
      </c>
      <c r="E593" s="10">
        <v>1</v>
      </c>
      <c r="F593" s="9" t="s">
        <v>166</v>
      </c>
      <c r="G593" s="11">
        <v>0</v>
      </c>
      <c r="H593" s="9" t="s">
        <v>174</v>
      </c>
      <c r="I593" s="9" t="s">
        <v>175</v>
      </c>
      <c r="J593" s="9" t="s">
        <v>8</v>
      </c>
      <c r="K593" s="9"/>
      <c r="L593" s="9"/>
      <c r="M593" s="12">
        <f t="shared" si="36"/>
        <v>320</v>
      </c>
      <c r="N593" s="13">
        <f t="shared" si="37"/>
        <v>169</v>
      </c>
      <c r="O593" s="14">
        <f t="shared" si="38"/>
        <v>489</v>
      </c>
      <c r="P593" s="15">
        <f t="shared" si="39"/>
        <v>0.58915662650602407</v>
      </c>
    </row>
    <row r="594" spans="1:16" ht="15.75" hidden="1" customHeight="1" x14ac:dyDescent="0.3">
      <c r="A594" s="9" t="s">
        <v>59</v>
      </c>
      <c r="B594" s="9" t="s">
        <v>356</v>
      </c>
      <c r="C594" s="9" t="s">
        <v>73</v>
      </c>
      <c r="D594" s="9" t="s">
        <v>300</v>
      </c>
      <c r="E594" s="10">
        <v>16</v>
      </c>
      <c r="F594" s="9" t="s">
        <v>263</v>
      </c>
      <c r="G594" s="10">
        <v>16</v>
      </c>
      <c r="H594" s="9" t="s">
        <v>94</v>
      </c>
      <c r="I594" s="9" t="s">
        <v>95</v>
      </c>
      <c r="J594" s="9"/>
      <c r="K594" s="9"/>
      <c r="L594" s="9"/>
      <c r="M594" s="12">
        <f t="shared" si="36"/>
        <v>295.8</v>
      </c>
      <c r="N594" s="13">
        <f t="shared" si="37"/>
        <v>488</v>
      </c>
      <c r="O594" s="14">
        <f t="shared" si="38"/>
        <v>783.8</v>
      </c>
      <c r="P594" s="15">
        <f t="shared" si="39"/>
        <v>0.94433734939759029</v>
      </c>
    </row>
    <row r="595" spans="1:16" ht="15.75" hidden="1" customHeight="1" x14ac:dyDescent="0.3">
      <c r="A595" s="9" t="s">
        <v>59</v>
      </c>
      <c r="B595" s="9" t="s">
        <v>356</v>
      </c>
      <c r="C595" s="9" t="s">
        <v>123</v>
      </c>
      <c r="D595" s="9" t="s">
        <v>165</v>
      </c>
      <c r="E595" s="10">
        <v>21</v>
      </c>
      <c r="F595" s="9" t="s">
        <v>263</v>
      </c>
      <c r="G595" s="11">
        <v>0</v>
      </c>
      <c r="H595" s="9" t="s">
        <v>94</v>
      </c>
      <c r="I595" s="9" t="s">
        <v>95</v>
      </c>
      <c r="J595" s="9"/>
      <c r="K595" s="9"/>
      <c r="L595" s="9"/>
      <c r="M595" s="12">
        <f t="shared" si="36"/>
        <v>295.8</v>
      </c>
      <c r="N595" s="13">
        <f t="shared" si="37"/>
        <v>488</v>
      </c>
      <c r="O595" s="14">
        <f t="shared" si="38"/>
        <v>783.8</v>
      </c>
      <c r="P595" s="15">
        <f t="shared" si="39"/>
        <v>0.94433734939759029</v>
      </c>
    </row>
    <row r="596" spans="1:16" ht="15.75" hidden="1" customHeight="1" x14ac:dyDescent="0.3">
      <c r="A596" s="9" t="s">
        <v>59</v>
      </c>
      <c r="B596" s="9" t="s">
        <v>356</v>
      </c>
      <c r="C596" s="9" t="s">
        <v>123</v>
      </c>
      <c r="D596" s="9" t="s">
        <v>237</v>
      </c>
      <c r="E596" s="10">
        <v>18</v>
      </c>
      <c r="F596" s="9" t="s">
        <v>263</v>
      </c>
      <c r="G596" s="11">
        <v>0</v>
      </c>
      <c r="H596" s="9" t="s">
        <v>94</v>
      </c>
      <c r="I596" s="9" t="s">
        <v>95</v>
      </c>
      <c r="J596" s="9"/>
      <c r="K596" s="9"/>
      <c r="L596" s="9"/>
      <c r="M596" s="12">
        <f t="shared" si="36"/>
        <v>295.8</v>
      </c>
      <c r="N596" s="13">
        <f t="shared" si="37"/>
        <v>488</v>
      </c>
      <c r="O596" s="14">
        <f t="shared" si="38"/>
        <v>783.8</v>
      </c>
      <c r="P596" s="15">
        <f t="shared" si="39"/>
        <v>0.94433734939759029</v>
      </c>
    </row>
    <row r="597" spans="1:16" ht="15.75" hidden="1" customHeight="1" x14ac:dyDescent="0.3">
      <c r="A597" s="9" t="s">
        <v>59</v>
      </c>
      <c r="B597" s="9" t="s">
        <v>356</v>
      </c>
      <c r="C597" s="9" t="s">
        <v>123</v>
      </c>
      <c r="D597" s="9" t="s">
        <v>152</v>
      </c>
      <c r="E597" s="10">
        <v>21</v>
      </c>
      <c r="F597" s="9" t="s">
        <v>263</v>
      </c>
      <c r="G597" s="11">
        <v>0</v>
      </c>
      <c r="H597" s="9" t="s">
        <v>94</v>
      </c>
      <c r="I597" s="9" t="s">
        <v>95</v>
      </c>
      <c r="J597" s="9"/>
      <c r="K597" s="9"/>
      <c r="L597" s="9"/>
      <c r="M597" s="12">
        <f t="shared" si="36"/>
        <v>295.8</v>
      </c>
      <c r="N597" s="13">
        <f t="shared" si="37"/>
        <v>488</v>
      </c>
      <c r="O597" s="14">
        <f t="shared" si="38"/>
        <v>783.8</v>
      </c>
      <c r="P597" s="15">
        <f t="shared" si="39"/>
        <v>0.94433734939759029</v>
      </c>
    </row>
    <row r="598" spans="1:16" ht="15.75" hidden="1" customHeight="1" x14ac:dyDescent="0.3">
      <c r="A598" s="9" t="s">
        <v>59</v>
      </c>
      <c r="B598" s="9" t="s">
        <v>356</v>
      </c>
      <c r="C598" s="9" t="s">
        <v>123</v>
      </c>
      <c r="D598" s="9" t="s">
        <v>144</v>
      </c>
      <c r="E598" s="10">
        <v>27</v>
      </c>
      <c r="F598" s="9" t="s">
        <v>263</v>
      </c>
      <c r="G598" s="11">
        <v>0</v>
      </c>
      <c r="H598" s="9" t="s">
        <v>94</v>
      </c>
      <c r="I598" s="9" t="s">
        <v>95</v>
      </c>
      <c r="J598" s="9"/>
      <c r="K598" s="9"/>
      <c r="L598" s="9"/>
      <c r="M598" s="12">
        <f t="shared" si="36"/>
        <v>295.8</v>
      </c>
      <c r="N598" s="13">
        <f t="shared" si="37"/>
        <v>488</v>
      </c>
      <c r="O598" s="14">
        <f t="shared" si="38"/>
        <v>783.8</v>
      </c>
      <c r="P598" s="15">
        <f t="shared" si="39"/>
        <v>0.94433734939759029</v>
      </c>
    </row>
    <row r="599" spans="1:16" ht="15.75" hidden="1" customHeight="1" x14ac:dyDescent="0.3">
      <c r="A599" s="9" t="s">
        <v>59</v>
      </c>
      <c r="B599" s="9" t="s">
        <v>356</v>
      </c>
      <c r="C599" s="9" t="s">
        <v>79</v>
      </c>
      <c r="D599" s="9" t="s">
        <v>165</v>
      </c>
      <c r="E599" s="10">
        <v>44</v>
      </c>
      <c r="F599" s="9" t="s">
        <v>263</v>
      </c>
      <c r="G599" s="10">
        <v>44</v>
      </c>
      <c r="H599" s="9" t="s">
        <v>94</v>
      </c>
      <c r="I599" s="9" t="s">
        <v>95</v>
      </c>
      <c r="J599" s="9"/>
      <c r="K599" s="9"/>
      <c r="L599" s="9"/>
      <c r="M599" s="12">
        <f t="shared" si="36"/>
        <v>295.8</v>
      </c>
      <c r="N599" s="13">
        <f t="shared" si="37"/>
        <v>488</v>
      </c>
      <c r="O599" s="14">
        <f t="shared" si="38"/>
        <v>783.8</v>
      </c>
      <c r="P599" s="15">
        <f t="shared" si="39"/>
        <v>0.94433734939759029</v>
      </c>
    </row>
    <row r="600" spans="1:16" ht="15.75" hidden="1" customHeight="1" x14ac:dyDescent="0.3">
      <c r="A600" s="9" t="s">
        <v>59</v>
      </c>
      <c r="B600" s="9" t="s">
        <v>356</v>
      </c>
      <c r="C600" s="9" t="s">
        <v>79</v>
      </c>
      <c r="D600" s="9" t="s">
        <v>237</v>
      </c>
      <c r="E600" s="10">
        <v>44</v>
      </c>
      <c r="F600" s="9" t="s">
        <v>263</v>
      </c>
      <c r="G600" s="10">
        <v>44</v>
      </c>
      <c r="H600" s="9" t="s">
        <v>94</v>
      </c>
      <c r="I600" s="9" t="s">
        <v>95</v>
      </c>
      <c r="J600" s="9"/>
      <c r="K600" s="9"/>
      <c r="L600" s="9"/>
      <c r="M600" s="12">
        <f t="shared" si="36"/>
        <v>295.8</v>
      </c>
      <c r="N600" s="13">
        <f t="shared" si="37"/>
        <v>488</v>
      </c>
      <c r="O600" s="14">
        <f t="shared" si="38"/>
        <v>783.8</v>
      </c>
      <c r="P600" s="15">
        <f t="shared" si="39"/>
        <v>0.94433734939759029</v>
      </c>
    </row>
    <row r="601" spans="1:16" ht="15.75" hidden="1" customHeight="1" x14ac:dyDescent="0.3">
      <c r="A601" s="9" t="s">
        <v>59</v>
      </c>
      <c r="B601" s="9" t="s">
        <v>356</v>
      </c>
      <c r="C601" s="9" t="s">
        <v>79</v>
      </c>
      <c r="D601" s="9" t="s">
        <v>152</v>
      </c>
      <c r="E601" s="10">
        <v>44</v>
      </c>
      <c r="F601" s="9" t="s">
        <v>263</v>
      </c>
      <c r="G601" s="10">
        <v>44</v>
      </c>
      <c r="H601" s="9" t="s">
        <v>94</v>
      </c>
      <c r="I601" s="9" t="s">
        <v>95</v>
      </c>
      <c r="J601" s="9"/>
      <c r="K601" s="9"/>
      <c r="L601" s="9"/>
      <c r="M601" s="12">
        <f t="shared" si="36"/>
        <v>295.8</v>
      </c>
      <c r="N601" s="13">
        <f t="shared" si="37"/>
        <v>488</v>
      </c>
      <c r="O601" s="14">
        <f t="shared" si="38"/>
        <v>783.8</v>
      </c>
      <c r="P601" s="15">
        <f t="shared" si="39"/>
        <v>0.94433734939759029</v>
      </c>
    </row>
    <row r="602" spans="1:16" ht="15.75" hidden="1" customHeight="1" x14ac:dyDescent="0.3">
      <c r="A602" s="9" t="s">
        <v>59</v>
      </c>
      <c r="B602" s="9" t="s">
        <v>356</v>
      </c>
      <c r="C602" s="9" t="s">
        <v>79</v>
      </c>
      <c r="D602" s="9" t="s">
        <v>144</v>
      </c>
      <c r="E602" s="10">
        <v>44</v>
      </c>
      <c r="F602" s="9" t="s">
        <v>263</v>
      </c>
      <c r="G602" s="10">
        <v>44</v>
      </c>
      <c r="H602" s="9" t="s">
        <v>94</v>
      </c>
      <c r="I602" s="9" t="s">
        <v>95</v>
      </c>
      <c r="J602" s="9"/>
      <c r="K602" s="9"/>
      <c r="L602" s="9"/>
      <c r="M602" s="12">
        <f t="shared" si="36"/>
        <v>295.8</v>
      </c>
      <c r="N602" s="13">
        <f t="shared" si="37"/>
        <v>488</v>
      </c>
      <c r="O602" s="14">
        <f t="shared" si="38"/>
        <v>783.8</v>
      </c>
      <c r="P602" s="15">
        <f t="shared" si="39"/>
        <v>0.94433734939759029</v>
      </c>
    </row>
    <row r="603" spans="1:16" ht="15.75" hidden="1" customHeight="1" x14ac:dyDescent="0.3">
      <c r="A603" s="9" t="s">
        <v>59</v>
      </c>
      <c r="B603" s="9" t="s">
        <v>356</v>
      </c>
      <c r="C603" s="9" t="s">
        <v>111</v>
      </c>
      <c r="D603" s="9" t="s">
        <v>165</v>
      </c>
      <c r="E603" s="10">
        <v>4</v>
      </c>
      <c r="F603" s="9" t="s">
        <v>263</v>
      </c>
      <c r="G603" s="11">
        <v>0</v>
      </c>
      <c r="H603" s="9" t="s">
        <v>94</v>
      </c>
      <c r="I603" s="9" t="s">
        <v>95</v>
      </c>
      <c r="J603" s="9"/>
      <c r="K603" s="9"/>
      <c r="L603" s="9"/>
      <c r="M603" s="12">
        <f t="shared" si="36"/>
        <v>295.8</v>
      </c>
      <c r="N603" s="13">
        <f t="shared" si="37"/>
        <v>488</v>
      </c>
      <c r="O603" s="14">
        <f t="shared" si="38"/>
        <v>783.8</v>
      </c>
      <c r="P603" s="15">
        <f t="shared" si="39"/>
        <v>0.94433734939759029</v>
      </c>
    </row>
    <row r="604" spans="1:16" ht="15.75" hidden="1" customHeight="1" x14ac:dyDescent="0.3">
      <c r="A604" s="9" t="s">
        <v>59</v>
      </c>
      <c r="B604" s="9" t="s">
        <v>356</v>
      </c>
      <c r="C604" s="9" t="s">
        <v>111</v>
      </c>
      <c r="D604" s="9" t="s">
        <v>237</v>
      </c>
      <c r="E604" s="10">
        <v>3</v>
      </c>
      <c r="F604" s="9" t="s">
        <v>263</v>
      </c>
      <c r="G604" s="11">
        <v>0</v>
      </c>
      <c r="H604" s="9" t="s">
        <v>94</v>
      </c>
      <c r="I604" s="9" t="s">
        <v>95</v>
      </c>
      <c r="J604" s="9"/>
      <c r="K604" s="9"/>
      <c r="L604" s="9"/>
      <c r="M604" s="12">
        <f t="shared" si="36"/>
        <v>295.8</v>
      </c>
      <c r="N604" s="13">
        <f t="shared" si="37"/>
        <v>488</v>
      </c>
      <c r="O604" s="14">
        <f t="shared" si="38"/>
        <v>783.8</v>
      </c>
      <c r="P604" s="15">
        <f t="shared" si="39"/>
        <v>0.94433734939759029</v>
      </c>
    </row>
    <row r="605" spans="1:16" ht="15.75" hidden="1" customHeight="1" x14ac:dyDescent="0.3">
      <c r="A605" s="9" t="s">
        <v>59</v>
      </c>
      <c r="B605" s="9" t="s">
        <v>356</v>
      </c>
      <c r="C605" s="9" t="s">
        <v>111</v>
      </c>
      <c r="D605" s="9" t="s">
        <v>152</v>
      </c>
      <c r="E605" s="10">
        <v>4</v>
      </c>
      <c r="F605" s="9" t="s">
        <v>263</v>
      </c>
      <c r="G605" s="11">
        <v>0</v>
      </c>
      <c r="H605" s="9" t="s">
        <v>94</v>
      </c>
      <c r="I605" s="9" t="s">
        <v>95</v>
      </c>
      <c r="J605" s="9"/>
      <c r="K605" s="9"/>
      <c r="L605" s="9"/>
      <c r="M605" s="12">
        <f t="shared" si="36"/>
        <v>295.8</v>
      </c>
      <c r="N605" s="13">
        <f t="shared" si="37"/>
        <v>488</v>
      </c>
      <c r="O605" s="14">
        <f t="shared" si="38"/>
        <v>783.8</v>
      </c>
      <c r="P605" s="15">
        <f t="shared" si="39"/>
        <v>0.94433734939759029</v>
      </c>
    </row>
    <row r="606" spans="1:16" ht="15.75" hidden="1" customHeight="1" x14ac:dyDescent="0.3">
      <c r="A606" s="9" t="s">
        <v>59</v>
      </c>
      <c r="B606" s="9" t="s">
        <v>356</v>
      </c>
      <c r="C606" s="9" t="s">
        <v>111</v>
      </c>
      <c r="D606" s="9" t="s">
        <v>144</v>
      </c>
      <c r="E606" s="10">
        <v>5</v>
      </c>
      <c r="F606" s="9" t="s">
        <v>263</v>
      </c>
      <c r="G606" s="11">
        <v>0</v>
      </c>
      <c r="H606" s="9" t="s">
        <v>94</v>
      </c>
      <c r="I606" s="9" t="s">
        <v>95</v>
      </c>
      <c r="J606" s="9"/>
      <c r="K606" s="9"/>
      <c r="L606" s="9"/>
      <c r="M606" s="12">
        <f t="shared" si="36"/>
        <v>295.8</v>
      </c>
      <c r="N606" s="13">
        <f t="shared" si="37"/>
        <v>488</v>
      </c>
      <c r="O606" s="14">
        <f t="shared" si="38"/>
        <v>783.8</v>
      </c>
      <c r="P606" s="15">
        <f t="shared" si="39"/>
        <v>0.94433734939759029</v>
      </c>
    </row>
    <row r="607" spans="1:16" ht="15.75" hidden="1" customHeight="1" x14ac:dyDescent="0.3">
      <c r="A607" s="9" t="s">
        <v>59</v>
      </c>
      <c r="B607" s="9" t="s">
        <v>356</v>
      </c>
      <c r="C607" s="9" t="s">
        <v>80</v>
      </c>
      <c r="D607" s="9" t="s">
        <v>165</v>
      </c>
      <c r="E607" s="10">
        <v>3</v>
      </c>
      <c r="F607" s="9" t="s">
        <v>263</v>
      </c>
      <c r="G607" s="11">
        <v>0</v>
      </c>
      <c r="H607" s="9" t="s">
        <v>94</v>
      </c>
      <c r="I607" s="9" t="s">
        <v>95</v>
      </c>
      <c r="J607" s="9"/>
      <c r="K607" s="9"/>
      <c r="L607" s="9"/>
      <c r="M607" s="12">
        <f t="shared" si="36"/>
        <v>295.8</v>
      </c>
      <c r="N607" s="13">
        <f t="shared" si="37"/>
        <v>488</v>
      </c>
      <c r="O607" s="14">
        <f t="shared" si="38"/>
        <v>783.8</v>
      </c>
      <c r="P607" s="15">
        <f t="shared" si="39"/>
        <v>0.94433734939759029</v>
      </c>
    </row>
    <row r="608" spans="1:16" ht="15.75" hidden="1" customHeight="1" x14ac:dyDescent="0.3">
      <c r="A608" s="9" t="s">
        <v>59</v>
      </c>
      <c r="B608" s="9" t="s">
        <v>356</v>
      </c>
      <c r="C608" s="9" t="s">
        <v>80</v>
      </c>
      <c r="D608" s="9" t="s">
        <v>237</v>
      </c>
      <c r="E608" s="10">
        <v>3</v>
      </c>
      <c r="F608" s="9" t="s">
        <v>263</v>
      </c>
      <c r="G608" s="11">
        <v>0</v>
      </c>
      <c r="H608" s="9" t="s">
        <v>94</v>
      </c>
      <c r="I608" s="9" t="s">
        <v>95</v>
      </c>
      <c r="J608" s="9"/>
      <c r="K608" s="9"/>
      <c r="L608" s="9"/>
      <c r="M608" s="12">
        <f t="shared" si="36"/>
        <v>295.8</v>
      </c>
      <c r="N608" s="13">
        <f t="shared" si="37"/>
        <v>488</v>
      </c>
      <c r="O608" s="14">
        <f t="shared" si="38"/>
        <v>783.8</v>
      </c>
      <c r="P608" s="15">
        <f t="shared" si="39"/>
        <v>0.94433734939759029</v>
      </c>
    </row>
    <row r="609" spans="1:16" ht="15.75" hidden="1" customHeight="1" x14ac:dyDescent="0.3">
      <c r="A609" s="9" t="s">
        <v>59</v>
      </c>
      <c r="B609" s="9" t="s">
        <v>356</v>
      </c>
      <c r="C609" s="9" t="s">
        <v>80</v>
      </c>
      <c r="D609" s="9" t="s">
        <v>152</v>
      </c>
      <c r="E609" s="10">
        <v>3</v>
      </c>
      <c r="F609" s="9" t="s">
        <v>263</v>
      </c>
      <c r="G609" s="11">
        <v>0</v>
      </c>
      <c r="H609" s="9" t="s">
        <v>94</v>
      </c>
      <c r="I609" s="9" t="s">
        <v>95</v>
      </c>
      <c r="J609" s="9"/>
      <c r="K609" s="9"/>
      <c r="L609" s="9"/>
      <c r="M609" s="12">
        <f t="shared" si="36"/>
        <v>295.8</v>
      </c>
      <c r="N609" s="13">
        <f t="shared" si="37"/>
        <v>488</v>
      </c>
      <c r="O609" s="14">
        <f t="shared" si="38"/>
        <v>783.8</v>
      </c>
      <c r="P609" s="15">
        <f t="shared" si="39"/>
        <v>0.94433734939759029</v>
      </c>
    </row>
    <row r="610" spans="1:16" ht="15.75" hidden="1" customHeight="1" x14ac:dyDescent="0.3">
      <c r="A610" s="9" t="s">
        <v>59</v>
      </c>
      <c r="B610" s="9" t="s">
        <v>356</v>
      </c>
      <c r="C610" s="9" t="s">
        <v>80</v>
      </c>
      <c r="D610" s="9" t="s">
        <v>144</v>
      </c>
      <c r="E610" s="10">
        <v>3</v>
      </c>
      <c r="F610" s="9" t="s">
        <v>263</v>
      </c>
      <c r="G610" s="11">
        <v>0</v>
      </c>
      <c r="H610" s="9" t="s">
        <v>94</v>
      </c>
      <c r="I610" s="9" t="s">
        <v>95</v>
      </c>
      <c r="J610" s="9"/>
      <c r="K610" s="9"/>
      <c r="L610" s="9"/>
      <c r="M610" s="12">
        <f t="shared" ref="M610:M673" si="40">SUMIFS($E$2:$E$1130,$A$2:$A$1130,"осень",$I$2:$I$1130,I610)</f>
        <v>295.8</v>
      </c>
      <c r="N610" s="13">
        <f t="shared" ref="N610:N673" si="41">SUMIFS($E$2:$E$1130,$A$2:$A$1130,"весна",$I$2:$I$1130,I610)</f>
        <v>488</v>
      </c>
      <c r="O610" s="14">
        <f t="shared" ref="O610:O673" si="42">M610+N610</f>
        <v>783.8</v>
      </c>
      <c r="P610" s="15">
        <f t="shared" ref="P610:P673" si="43">O610/$P$1</f>
        <v>0.94433734939759029</v>
      </c>
    </row>
    <row r="611" spans="1:16" ht="15.75" hidden="1" customHeight="1" x14ac:dyDescent="0.3">
      <c r="A611" s="9" t="s">
        <v>59</v>
      </c>
      <c r="B611" s="9" t="s">
        <v>357</v>
      </c>
      <c r="C611" s="9" t="s">
        <v>73</v>
      </c>
      <c r="D611" s="9" t="s">
        <v>287</v>
      </c>
      <c r="E611" s="10">
        <v>18</v>
      </c>
      <c r="F611" s="9" t="s">
        <v>133</v>
      </c>
      <c r="G611" s="10">
        <v>18</v>
      </c>
      <c r="H611" s="9" t="s">
        <v>98</v>
      </c>
      <c r="I611" s="9" t="s">
        <v>99</v>
      </c>
      <c r="J611" s="9" t="s">
        <v>4</v>
      </c>
      <c r="K611" s="9"/>
      <c r="L611" s="9"/>
      <c r="M611" s="12">
        <f t="shared" si="40"/>
        <v>239</v>
      </c>
      <c r="N611" s="13">
        <f t="shared" si="41"/>
        <v>196.5</v>
      </c>
      <c r="O611" s="14">
        <f t="shared" si="42"/>
        <v>435.5</v>
      </c>
      <c r="P611" s="15">
        <f t="shared" si="43"/>
        <v>0.52469879518072293</v>
      </c>
    </row>
    <row r="612" spans="1:16" ht="15.75" hidden="1" customHeight="1" x14ac:dyDescent="0.3">
      <c r="A612" s="9" t="s">
        <v>59</v>
      </c>
      <c r="B612" s="9" t="s">
        <v>357</v>
      </c>
      <c r="C612" s="9" t="s">
        <v>79</v>
      </c>
      <c r="D612" s="9" t="s">
        <v>287</v>
      </c>
      <c r="E612" s="10">
        <v>46</v>
      </c>
      <c r="F612" s="9" t="s">
        <v>133</v>
      </c>
      <c r="G612" s="10">
        <v>46</v>
      </c>
      <c r="H612" s="21"/>
      <c r="I612" s="21" t="s">
        <v>358</v>
      </c>
      <c r="J612" s="21"/>
      <c r="K612" s="9"/>
      <c r="L612" s="9"/>
      <c r="M612" s="12">
        <f t="shared" si="40"/>
        <v>0</v>
      </c>
      <c r="N612" s="13">
        <f t="shared" si="41"/>
        <v>233</v>
      </c>
      <c r="O612" s="14">
        <f t="shared" si="42"/>
        <v>233</v>
      </c>
      <c r="P612" s="15">
        <f t="shared" si="43"/>
        <v>0.28072289156626506</v>
      </c>
    </row>
    <row r="613" spans="1:16" ht="15.75" hidden="1" customHeight="1" x14ac:dyDescent="0.3">
      <c r="A613" s="9" t="s">
        <v>59</v>
      </c>
      <c r="B613" s="9" t="s">
        <v>357</v>
      </c>
      <c r="C613" s="9" t="s">
        <v>111</v>
      </c>
      <c r="D613" s="9" t="s">
        <v>287</v>
      </c>
      <c r="E613" s="10">
        <v>4</v>
      </c>
      <c r="F613" s="9" t="s">
        <v>133</v>
      </c>
      <c r="G613" s="11">
        <v>0</v>
      </c>
      <c r="H613" s="9" t="s">
        <v>98</v>
      </c>
      <c r="I613" s="9" t="s">
        <v>99</v>
      </c>
      <c r="J613" s="9" t="s">
        <v>4</v>
      </c>
      <c r="K613" s="9"/>
      <c r="L613" s="9"/>
      <c r="M613" s="12">
        <f t="shared" si="40"/>
        <v>239</v>
      </c>
      <c r="N613" s="13">
        <f t="shared" si="41"/>
        <v>196.5</v>
      </c>
      <c r="O613" s="14">
        <f t="shared" si="42"/>
        <v>435.5</v>
      </c>
      <c r="P613" s="15">
        <f t="shared" si="43"/>
        <v>0.52469879518072293</v>
      </c>
    </row>
    <row r="614" spans="1:16" ht="15.75" hidden="1" customHeight="1" x14ac:dyDescent="0.3">
      <c r="A614" s="9" t="s">
        <v>59</v>
      </c>
      <c r="B614" s="9" t="s">
        <v>357</v>
      </c>
      <c r="C614" s="9" t="s">
        <v>80</v>
      </c>
      <c r="D614" s="9" t="s">
        <v>287</v>
      </c>
      <c r="E614" s="10">
        <v>3</v>
      </c>
      <c r="F614" s="9" t="s">
        <v>133</v>
      </c>
      <c r="G614" s="11">
        <v>0</v>
      </c>
      <c r="H614" s="9" t="s">
        <v>98</v>
      </c>
      <c r="I614" s="9" t="s">
        <v>99</v>
      </c>
      <c r="J614" s="9" t="s">
        <v>4</v>
      </c>
      <c r="K614" s="9"/>
      <c r="L614" s="9"/>
      <c r="M614" s="12">
        <f t="shared" si="40"/>
        <v>239</v>
      </c>
      <c r="N614" s="13">
        <f t="shared" si="41"/>
        <v>196.5</v>
      </c>
      <c r="O614" s="14">
        <f t="shared" si="42"/>
        <v>435.5</v>
      </c>
      <c r="P614" s="15">
        <f t="shared" si="43"/>
        <v>0.52469879518072293</v>
      </c>
    </row>
    <row r="615" spans="1:16" ht="15.75" hidden="1" customHeight="1" x14ac:dyDescent="0.3">
      <c r="A615" s="9" t="s">
        <v>59</v>
      </c>
      <c r="B615" s="9" t="s">
        <v>359</v>
      </c>
      <c r="C615" s="9" t="s">
        <v>73</v>
      </c>
      <c r="D615" s="9" t="s">
        <v>287</v>
      </c>
      <c r="E615" s="10">
        <v>18</v>
      </c>
      <c r="F615" s="9" t="s">
        <v>133</v>
      </c>
      <c r="G615" s="10">
        <v>18</v>
      </c>
      <c r="H615" s="9" t="s">
        <v>84</v>
      </c>
      <c r="I615" s="9" t="s">
        <v>85</v>
      </c>
      <c r="J615" s="9"/>
      <c r="K615" s="9"/>
      <c r="L615" s="9"/>
      <c r="M615" s="12">
        <f t="shared" si="40"/>
        <v>256</v>
      </c>
      <c r="N615" s="13">
        <f t="shared" si="41"/>
        <v>691.5</v>
      </c>
      <c r="O615" s="14">
        <f t="shared" si="42"/>
        <v>947.5</v>
      </c>
      <c r="P615" s="15">
        <f t="shared" si="43"/>
        <v>1.1415662650602409</v>
      </c>
    </row>
    <row r="616" spans="1:16" ht="15.75" hidden="1" customHeight="1" x14ac:dyDescent="0.3">
      <c r="A616" s="9" t="s">
        <v>59</v>
      </c>
      <c r="B616" s="9" t="s">
        <v>359</v>
      </c>
      <c r="C616" s="9" t="s">
        <v>79</v>
      </c>
      <c r="D616" s="9" t="s">
        <v>287</v>
      </c>
      <c r="E616" s="10">
        <v>46</v>
      </c>
      <c r="F616" s="9" t="s">
        <v>133</v>
      </c>
      <c r="G616" s="10">
        <v>46</v>
      </c>
      <c r="H616" s="9" t="s">
        <v>84</v>
      </c>
      <c r="I616" s="9" t="s">
        <v>85</v>
      </c>
      <c r="J616" s="9"/>
      <c r="K616" s="9"/>
      <c r="L616" s="9"/>
      <c r="M616" s="12">
        <f t="shared" si="40"/>
        <v>256</v>
      </c>
      <c r="N616" s="13">
        <f t="shared" si="41"/>
        <v>691.5</v>
      </c>
      <c r="O616" s="14">
        <f t="shared" si="42"/>
        <v>947.5</v>
      </c>
      <c r="P616" s="15">
        <f t="shared" si="43"/>
        <v>1.1415662650602409</v>
      </c>
    </row>
    <row r="617" spans="1:16" ht="15.75" hidden="1" customHeight="1" x14ac:dyDescent="0.3">
      <c r="A617" s="9" t="s">
        <v>59</v>
      </c>
      <c r="B617" s="9" t="s">
        <v>359</v>
      </c>
      <c r="C617" s="9" t="s">
        <v>111</v>
      </c>
      <c r="D617" s="9" t="s">
        <v>287</v>
      </c>
      <c r="E617" s="10">
        <v>4</v>
      </c>
      <c r="F617" s="9" t="s">
        <v>133</v>
      </c>
      <c r="G617" s="11">
        <v>0</v>
      </c>
      <c r="H617" s="9" t="s">
        <v>84</v>
      </c>
      <c r="I617" s="9" t="s">
        <v>85</v>
      </c>
      <c r="J617" s="9"/>
      <c r="K617" s="9"/>
      <c r="L617" s="9"/>
      <c r="M617" s="12">
        <f t="shared" si="40"/>
        <v>256</v>
      </c>
      <c r="N617" s="13">
        <f t="shared" si="41"/>
        <v>691.5</v>
      </c>
      <c r="O617" s="14">
        <f t="shared" si="42"/>
        <v>947.5</v>
      </c>
      <c r="P617" s="15">
        <f t="shared" si="43"/>
        <v>1.1415662650602409</v>
      </c>
    </row>
    <row r="618" spans="1:16" ht="15.75" hidden="1" customHeight="1" x14ac:dyDescent="0.3">
      <c r="A618" s="9" t="s">
        <v>59</v>
      </c>
      <c r="B618" s="9" t="s">
        <v>359</v>
      </c>
      <c r="C618" s="9" t="s">
        <v>80</v>
      </c>
      <c r="D618" s="9" t="s">
        <v>287</v>
      </c>
      <c r="E618" s="10">
        <v>3</v>
      </c>
      <c r="F618" s="9" t="s">
        <v>133</v>
      </c>
      <c r="G618" s="11">
        <v>0</v>
      </c>
      <c r="H618" s="9" t="s">
        <v>84</v>
      </c>
      <c r="I618" s="9" t="s">
        <v>85</v>
      </c>
      <c r="J618" s="9"/>
      <c r="K618" s="9"/>
      <c r="L618" s="9"/>
      <c r="M618" s="12">
        <f t="shared" si="40"/>
        <v>256</v>
      </c>
      <c r="N618" s="13">
        <f t="shared" si="41"/>
        <v>691.5</v>
      </c>
      <c r="O618" s="14">
        <f t="shared" si="42"/>
        <v>947.5</v>
      </c>
      <c r="P618" s="15">
        <f t="shared" si="43"/>
        <v>1.1415662650602409</v>
      </c>
    </row>
    <row r="619" spans="1:16" ht="15.75" hidden="1" customHeight="1" x14ac:dyDescent="0.3">
      <c r="A619" s="9" t="s">
        <v>59</v>
      </c>
      <c r="B619" s="9" t="s">
        <v>360</v>
      </c>
      <c r="C619" s="9" t="s">
        <v>73</v>
      </c>
      <c r="D619" s="9" t="s">
        <v>199</v>
      </c>
      <c r="E619" s="10">
        <v>16</v>
      </c>
      <c r="F619" s="9" t="s">
        <v>195</v>
      </c>
      <c r="G619" s="10">
        <v>16</v>
      </c>
      <c r="H619" s="9" t="s">
        <v>128</v>
      </c>
      <c r="I619" s="9" t="s">
        <v>129</v>
      </c>
      <c r="J619" s="9" t="s">
        <v>8</v>
      </c>
      <c r="K619" s="9"/>
      <c r="L619" s="9"/>
      <c r="M619" s="12">
        <f t="shared" si="40"/>
        <v>348</v>
      </c>
      <c r="N619" s="13">
        <f t="shared" si="41"/>
        <v>610</v>
      </c>
      <c r="O619" s="14">
        <f t="shared" si="42"/>
        <v>958</v>
      </c>
      <c r="P619" s="15">
        <f t="shared" si="43"/>
        <v>1.1542168674698796</v>
      </c>
    </row>
    <row r="620" spans="1:16" ht="15.75" hidden="1" customHeight="1" x14ac:dyDescent="0.3">
      <c r="A620" s="9" t="s">
        <v>59</v>
      </c>
      <c r="B620" s="9" t="s">
        <v>360</v>
      </c>
      <c r="C620" s="9" t="s">
        <v>79</v>
      </c>
      <c r="D620" s="9" t="s">
        <v>199</v>
      </c>
      <c r="E620" s="10">
        <v>16</v>
      </c>
      <c r="F620" s="9" t="s">
        <v>195</v>
      </c>
      <c r="G620" s="10">
        <v>16</v>
      </c>
      <c r="H620" s="9" t="s">
        <v>128</v>
      </c>
      <c r="I620" s="9" t="s">
        <v>129</v>
      </c>
      <c r="J620" s="9" t="s">
        <v>8</v>
      </c>
      <c r="K620" s="9"/>
      <c r="L620" s="9"/>
      <c r="M620" s="12">
        <f t="shared" si="40"/>
        <v>348</v>
      </c>
      <c r="N620" s="13">
        <f t="shared" si="41"/>
        <v>610</v>
      </c>
      <c r="O620" s="14">
        <f t="shared" si="42"/>
        <v>958</v>
      </c>
      <c r="P620" s="15">
        <f t="shared" si="43"/>
        <v>1.1542168674698796</v>
      </c>
    </row>
    <row r="621" spans="1:16" ht="15.75" hidden="1" customHeight="1" x14ac:dyDescent="0.3">
      <c r="A621" s="9" t="s">
        <v>59</v>
      </c>
      <c r="B621" s="9" t="s">
        <v>360</v>
      </c>
      <c r="C621" s="9" t="s">
        <v>142</v>
      </c>
      <c r="D621" s="9" t="s">
        <v>199</v>
      </c>
      <c r="E621" s="10">
        <v>8</v>
      </c>
      <c r="F621" s="9" t="s">
        <v>195</v>
      </c>
      <c r="G621" s="11">
        <v>0</v>
      </c>
      <c r="H621" s="9" t="s">
        <v>128</v>
      </c>
      <c r="I621" s="9" t="s">
        <v>129</v>
      </c>
      <c r="J621" s="9" t="s">
        <v>8</v>
      </c>
      <c r="K621" s="9"/>
      <c r="L621" s="9"/>
      <c r="M621" s="12">
        <f t="shared" si="40"/>
        <v>348</v>
      </c>
      <c r="N621" s="13">
        <f t="shared" si="41"/>
        <v>610</v>
      </c>
      <c r="O621" s="14">
        <f t="shared" si="42"/>
        <v>958</v>
      </c>
      <c r="P621" s="15">
        <f t="shared" si="43"/>
        <v>1.1542168674698796</v>
      </c>
    </row>
    <row r="622" spans="1:16" ht="15.75" hidden="1" customHeight="1" x14ac:dyDescent="0.3">
      <c r="A622" s="9" t="s">
        <v>59</v>
      </c>
      <c r="B622" s="9" t="s">
        <v>360</v>
      </c>
      <c r="C622" s="9" t="s">
        <v>80</v>
      </c>
      <c r="D622" s="9" t="s">
        <v>199</v>
      </c>
      <c r="E622" s="10">
        <v>1</v>
      </c>
      <c r="F622" s="9" t="s">
        <v>195</v>
      </c>
      <c r="G622" s="11">
        <v>0</v>
      </c>
      <c r="H622" s="9" t="s">
        <v>128</v>
      </c>
      <c r="I622" s="9" t="s">
        <v>129</v>
      </c>
      <c r="J622" s="9" t="s">
        <v>8</v>
      </c>
      <c r="K622" s="9"/>
      <c r="L622" s="9"/>
      <c r="M622" s="12">
        <f t="shared" si="40"/>
        <v>348</v>
      </c>
      <c r="N622" s="13">
        <f t="shared" si="41"/>
        <v>610</v>
      </c>
      <c r="O622" s="14">
        <f t="shared" si="42"/>
        <v>958</v>
      </c>
      <c r="P622" s="15">
        <f t="shared" si="43"/>
        <v>1.1542168674698796</v>
      </c>
    </row>
    <row r="623" spans="1:16" ht="15.75" hidden="1" customHeight="1" x14ac:dyDescent="0.3">
      <c r="A623" s="9" t="s">
        <v>59</v>
      </c>
      <c r="B623" s="9" t="s">
        <v>361</v>
      </c>
      <c r="C623" s="9" t="s">
        <v>73</v>
      </c>
      <c r="D623" s="9" t="s">
        <v>126</v>
      </c>
      <c r="E623" s="10">
        <v>14</v>
      </c>
      <c r="F623" s="9" t="s">
        <v>127</v>
      </c>
      <c r="G623" s="10">
        <v>14</v>
      </c>
      <c r="H623" s="9" t="s">
        <v>210</v>
      </c>
      <c r="I623" s="9" t="s">
        <v>211</v>
      </c>
      <c r="J623" s="9" t="s">
        <v>4</v>
      </c>
      <c r="K623" s="9"/>
      <c r="L623" s="9"/>
      <c r="M623" s="12">
        <f t="shared" si="40"/>
        <v>213</v>
      </c>
      <c r="N623" s="13">
        <f t="shared" si="41"/>
        <v>399</v>
      </c>
      <c r="O623" s="14">
        <f t="shared" si="42"/>
        <v>612</v>
      </c>
      <c r="P623" s="15">
        <f t="shared" si="43"/>
        <v>0.73734939759036144</v>
      </c>
    </row>
    <row r="624" spans="1:16" ht="15.75" hidden="1" customHeight="1" x14ac:dyDescent="0.3">
      <c r="A624" s="9" t="s">
        <v>59</v>
      </c>
      <c r="B624" s="9" t="s">
        <v>361</v>
      </c>
      <c r="C624" s="9" t="s">
        <v>79</v>
      </c>
      <c r="D624" s="9" t="s">
        <v>126</v>
      </c>
      <c r="E624" s="10">
        <v>16</v>
      </c>
      <c r="F624" s="9" t="s">
        <v>127</v>
      </c>
      <c r="G624" s="10">
        <v>16</v>
      </c>
      <c r="H624" s="9" t="s">
        <v>210</v>
      </c>
      <c r="I624" s="9" t="s">
        <v>211</v>
      </c>
      <c r="J624" s="9" t="s">
        <v>4</v>
      </c>
      <c r="K624" s="9"/>
      <c r="L624" s="9"/>
      <c r="M624" s="12">
        <f t="shared" si="40"/>
        <v>213</v>
      </c>
      <c r="N624" s="13">
        <f t="shared" si="41"/>
        <v>399</v>
      </c>
      <c r="O624" s="14">
        <f t="shared" si="42"/>
        <v>612</v>
      </c>
      <c r="P624" s="15">
        <f t="shared" si="43"/>
        <v>0.73734939759036144</v>
      </c>
    </row>
    <row r="625" spans="1:16" ht="15.75" hidden="1" customHeight="1" x14ac:dyDescent="0.3">
      <c r="A625" s="9" t="s">
        <v>59</v>
      </c>
      <c r="B625" s="9" t="s">
        <v>361</v>
      </c>
      <c r="C625" s="9" t="s">
        <v>142</v>
      </c>
      <c r="D625" s="9" t="s">
        <v>126</v>
      </c>
      <c r="E625" s="10">
        <v>5</v>
      </c>
      <c r="F625" s="9" t="s">
        <v>127</v>
      </c>
      <c r="G625" s="11">
        <v>0</v>
      </c>
      <c r="H625" s="9" t="s">
        <v>210</v>
      </c>
      <c r="I625" s="9" t="s">
        <v>211</v>
      </c>
      <c r="J625" s="9" t="s">
        <v>4</v>
      </c>
      <c r="K625" s="9"/>
      <c r="L625" s="9"/>
      <c r="M625" s="12">
        <f t="shared" si="40"/>
        <v>213</v>
      </c>
      <c r="N625" s="13">
        <f t="shared" si="41"/>
        <v>399</v>
      </c>
      <c r="O625" s="14">
        <f t="shared" si="42"/>
        <v>612</v>
      </c>
      <c r="P625" s="15">
        <f t="shared" si="43"/>
        <v>0.73734939759036144</v>
      </c>
    </row>
    <row r="626" spans="1:16" ht="15.75" hidden="1" customHeight="1" x14ac:dyDescent="0.3">
      <c r="A626" s="9" t="s">
        <v>59</v>
      </c>
      <c r="B626" s="9" t="s">
        <v>361</v>
      </c>
      <c r="C626" s="9" t="s">
        <v>80</v>
      </c>
      <c r="D626" s="9" t="s">
        <v>126</v>
      </c>
      <c r="E626" s="10">
        <v>1</v>
      </c>
      <c r="F626" s="9" t="s">
        <v>127</v>
      </c>
      <c r="G626" s="11">
        <v>0</v>
      </c>
      <c r="H626" s="9" t="s">
        <v>210</v>
      </c>
      <c r="I626" s="9" t="s">
        <v>211</v>
      </c>
      <c r="J626" s="9" t="s">
        <v>4</v>
      </c>
      <c r="K626" s="9"/>
      <c r="L626" s="9"/>
      <c r="M626" s="12">
        <f t="shared" si="40"/>
        <v>213</v>
      </c>
      <c r="N626" s="13">
        <f t="shared" si="41"/>
        <v>399</v>
      </c>
      <c r="O626" s="14">
        <f t="shared" si="42"/>
        <v>612</v>
      </c>
      <c r="P626" s="15">
        <f t="shared" si="43"/>
        <v>0.73734939759036144</v>
      </c>
    </row>
    <row r="627" spans="1:16" ht="15.75" hidden="1" customHeight="1" x14ac:dyDescent="0.3">
      <c r="A627" s="9" t="s">
        <v>59</v>
      </c>
      <c r="B627" s="9" t="s">
        <v>362</v>
      </c>
      <c r="C627" s="9" t="s">
        <v>73</v>
      </c>
      <c r="D627" s="9" t="s">
        <v>139</v>
      </c>
      <c r="E627" s="10">
        <v>18</v>
      </c>
      <c r="F627" s="9" t="s">
        <v>238</v>
      </c>
      <c r="G627" s="10">
        <v>18</v>
      </c>
      <c r="H627" s="9" t="s">
        <v>65</v>
      </c>
      <c r="I627" s="9" t="s">
        <v>66</v>
      </c>
      <c r="J627" s="9" t="s">
        <v>4</v>
      </c>
      <c r="K627" s="9"/>
      <c r="L627" s="9"/>
      <c r="M627" s="12">
        <f t="shared" si="40"/>
        <v>291</v>
      </c>
      <c r="N627" s="13">
        <f t="shared" si="41"/>
        <v>650.5</v>
      </c>
      <c r="O627" s="14">
        <f t="shared" si="42"/>
        <v>941.5</v>
      </c>
      <c r="P627" s="15">
        <f t="shared" si="43"/>
        <v>1.1343373493975903</v>
      </c>
    </row>
    <row r="628" spans="1:16" ht="15.75" hidden="1" customHeight="1" x14ac:dyDescent="0.3">
      <c r="A628" s="9" t="s">
        <v>59</v>
      </c>
      <c r="B628" s="9" t="s">
        <v>362</v>
      </c>
      <c r="C628" s="9" t="s">
        <v>87</v>
      </c>
      <c r="D628" s="9" t="s">
        <v>139</v>
      </c>
      <c r="E628" s="10">
        <v>2</v>
      </c>
      <c r="F628" s="9" t="s">
        <v>238</v>
      </c>
      <c r="G628" s="11">
        <v>0</v>
      </c>
      <c r="H628" s="9" t="s">
        <v>65</v>
      </c>
      <c r="I628" s="9" t="s">
        <v>66</v>
      </c>
      <c r="J628" s="9" t="s">
        <v>4</v>
      </c>
      <c r="K628" s="9"/>
      <c r="L628" s="9"/>
      <c r="M628" s="12">
        <f t="shared" si="40"/>
        <v>291</v>
      </c>
      <c r="N628" s="13">
        <f t="shared" si="41"/>
        <v>650.5</v>
      </c>
      <c r="O628" s="14">
        <f t="shared" si="42"/>
        <v>941.5</v>
      </c>
      <c r="P628" s="15">
        <f t="shared" si="43"/>
        <v>1.1343373493975903</v>
      </c>
    </row>
    <row r="629" spans="1:16" ht="15.75" hidden="1" customHeight="1" x14ac:dyDescent="0.3">
      <c r="A629" s="9" t="s">
        <v>59</v>
      </c>
      <c r="B629" s="9" t="s">
        <v>362</v>
      </c>
      <c r="C629" s="9" t="s">
        <v>79</v>
      </c>
      <c r="D629" s="9" t="s">
        <v>139</v>
      </c>
      <c r="E629" s="10">
        <v>34</v>
      </c>
      <c r="F629" s="9" t="s">
        <v>238</v>
      </c>
      <c r="G629" s="10">
        <v>34</v>
      </c>
      <c r="H629" s="9" t="s">
        <v>65</v>
      </c>
      <c r="I629" s="9" t="s">
        <v>66</v>
      </c>
      <c r="J629" s="9" t="s">
        <v>4</v>
      </c>
      <c r="K629" s="9"/>
      <c r="L629" s="9"/>
      <c r="M629" s="12">
        <f t="shared" si="40"/>
        <v>291</v>
      </c>
      <c r="N629" s="13">
        <f t="shared" si="41"/>
        <v>650.5</v>
      </c>
      <c r="O629" s="14">
        <f t="shared" si="42"/>
        <v>941.5</v>
      </c>
      <c r="P629" s="15">
        <f t="shared" si="43"/>
        <v>1.1343373493975903</v>
      </c>
    </row>
    <row r="630" spans="1:16" ht="15.75" hidden="1" customHeight="1" x14ac:dyDescent="0.3">
      <c r="A630" s="9" t="s">
        <v>59</v>
      </c>
      <c r="B630" s="9" t="s">
        <v>362</v>
      </c>
      <c r="C630" s="9" t="s">
        <v>100</v>
      </c>
      <c r="D630" s="9" t="s">
        <v>139</v>
      </c>
      <c r="E630" s="10">
        <v>16</v>
      </c>
      <c r="F630" s="9" t="s">
        <v>238</v>
      </c>
      <c r="G630" s="10">
        <v>16</v>
      </c>
      <c r="H630" s="9" t="s">
        <v>65</v>
      </c>
      <c r="I630" s="9" t="s">
        <v>66</v>
      </c>
      <c r="J630" s="9" t="s">
        <v>4</v>
      </c>
      <c r="K630" s="9"/>
      <c r="L630" s="9"/>
      <c r="M630" s="12">
        <f t="shared" si="40"/>
        <v>291</v>
      </c>
      <c r="N630" s="13">
        <f t="shared" si="41"/>
        <v>650.5</v>
      </c>
      <c r="O630" s="14">
        <f t="shared" si="42"/>
        <v>941.5</v>
      </c>
      <c r="P630" s="15">
        <f t="shared" si="43"/>
        <v>1.1343373493975903</v>
      </c>
    </row>
    <row r="631" spans="1:16" ht="15.75" hidden="1" customHeight="1" x14ac:dyDescent="0.3">
      <c r="A631" s="9" t="s">
        <v>59</v>
      </c>
      <c r="B631" s="9" t="s">
        <v>362</v>
      </c>
      <c r="C631" s="9" t="s">
        <v>80</v>
      </c>
      <c r="D631" s="9" t="s">
        <v>139</v>
      </c>
      <c r="E631" s="10">
        <v>1</v>
      </c>
      <c r="F631" s="9" t="s">
        <v>238</v>
      </c>
      <c r="G631" s="11">
        <v>0</v>
      </c>
      <c r="H631" s="9" t="s">
        <v>65</v>
      </c>
      <c r="I631" s="9" t="s">
        <v>66</v>
      </c>
      <c r="J631" s="9" t="s">
        <v>4</v>
      </c>
      <c r="K631" s="9"/>
      <c r="L631" s="9"/>
      <c r="M631" s="12">
        <f t="shared" si="40"/>
        <v>291</v>
      </c>
      <c r="N631" s="13">
        <f t="shared" si="41"/>
        <v>650.5</v>
      </c>
      <c r="O631" s="14">
        <f t="shared" si="42"/>
        <v>941.5</v>
      </c>
      <c r="P631" s="15">
        <f t="shared" si="43"/>
        <v>1.1343373493975903</v>
      </c>
    </row>
    <row r="632" spans="1:16" ht="15.75" hidden="1" customHeight="1" x14ac:dyDescent="0.3">
      <c r="A632" s="9" t="s">
        <v>59</v>
      </c>
      <c r="B632" s="9" t="s">
        <v>363</v>
      </c>
      <c r="C632" s="9" t="s">
        <v>73</v>
      </c>
      <c r="D632" s="9" t="s">
        <v>139</v>
      </c>
      <c r="E632" s="10">
        <v>12</v>
      </c>
      <c r="F632" s="9" t="s">
        <v>238</v>
      </c>
      <c r="G632" s="10">
        <v>12</v>
      </c>
      <c r="H632" s="9" t="s">
        <v>272</v>
      </c>
      <c r="I632" s="9" t="s">
        <v>273</v>
      </c>
      <c r="J632" s="9" t="s">
        <v>8</v>
      </c>
      <c r="K632" s="9"/>
      <c r="L632" s="9"/>
      <c r="M632" s="12">
        <f t="shared" si="40"/>
        <v>552</v>
      </c>
      <c r="N632" s="13">
        <f t="shared" si="41"/>
        <v>171</v>
      </c>
      <c r="O632" s="14">
        <f t="shared" si="42"/>
        <v>723</v>
      </c>
      <c r="P632" s="15">
        <f t="shared" si="43"/>
        <v>0.87108433734939761</v>
      </c>
    </row>
    <row r="633" spans="1:16" ht="15.75" hidden="1" customHeight="1" x14ac:dyDescent="0.3">
      <c r="A633" s="9" t="s">
        <v>59</v>
      </c>
      <c r="B633" s="9" t="s">
        <v>363</v>
      </c>
      <c r="C633" s="9" t="s">
        <v>123</v>
      </c>
      <c r="D633" s="9" t="s">
        <v>139</v>
      </c>
      <c r="E633" s="10">
        <v>15</v>
      </c>
      <c r="F633" s="9" t="s">
        <v>238</v>
      </c>
      <c r="G633" s="11">
        <v>0</v>
      </c>
      <c r="H633" s="9" t="s">
        <v>272</v>
      </c>
      <c r="I633" s="9" t="s">
        <v>273</v>
      </c>
      <c r="J633" s="9" t="s">
        <v>8</v>
      </c>
      <c r="K633" s="9"/>
      <c r="L633" s="9"/>
      <c r="M633" s="12">
        <f t="shared" si="40"/>
        <v>552</v>
      </c>
      <c r="N633" s="13">
        <f t="shared" si="41"/>
        <v>171</v>
      </c>
      <c r="O633" s="14">
        <f t="shared" si="42"/>
        <v>723</v>
      </c>
      <c r="P633" s="15">
        <f t="shared" si="43"/>
        <v>0.87108433734939761</v>
      </c>
    </row>
    <row r="634" spans="1:16" ht="15.75" hidden="1" customHeight="1" x14ac:dyDescent="0.3">
      <c r="A634" s="9" t="s">
        <v>59</v>
      </c>
      <c r="B634" s="9" t="s">
        <v>363</v>
      </c>
      <c r="C634" s="9" t="s">
        <v>87</v>
      </c>
      <c r="D634" s="9" t="s">
        <v>139</v>
      </c>
      <c r="E634" s="10">
        <v>2</v>
      </c>
      <c r="F634" s="9" t="s">
        <v>238</v>
      </c>
      <c r="G634" s="11">
        <v>0</v>
      </c>
      <c r="H634" s="9" t="s">
        <v>272</v>
      </c>
      <c r="I634" s="9" t="s">
        <v>273</v>
      </c>
      <c r="J634" s="9" t="s">
        <v>8</v>
      </c>
      <c r="K634" s="9"/>
      <c r="L634" s="9"/>
      <c r="M634" s="12">
        <f t="shared" si="40"/>
        <v>552</v>
      </c>
      <c r="N634" s="13">
        <f t="shared" si="41"/>
        <v>171</v>
      </c>
      <c r="O634" s="14">
        <f t="shared" si="42"/>
        <v>723</v>
      </c>
      <c r="P634" s="15">
        <f t="shared" si="43"/>
        <v>0.87108433734939761</v>
      </c>
    </row>
    <row r="635" spans="1:16" ht="15.75" hidden="1" customHeight="1" x14ac:dyDescent="0.3">
      <c r="A635" s="9" t="s">
        <v>59</v>
      </c>
      <c r="B635" s="9" t="s">
        <v>363</v>
      </c>
      <c r="C635" s="9" t="s">
        <v>79</v>
      </c>
      <c r="D635" s="9" t="s">
        <v>139</v>
      </c>
      <c r="E635" s="10">
        <v>14</v>
      </c>
      <c r="F635" s="9" t="s">
        <v>238</v>
      </c>
      <c r="G635" s="10">
        <v>14</v>
      </c>
      <c r="H635" s="9" t="s">
        <v>272</v>
      </c>
      <c r="I635" s="9" t="s">
        <v>273</v>
      </c>
      <c r="J635" s="9" t="s">
        <v>8</v>
      </c>
      <c r="K635" s="9"/>
      <c r="L635" s="9"/>
      <c r="M635" s="12">
        <f t="shared" si="40"/>
        <v>552</v>
      </c>
      <c r="N635" s="13">
        <f t="shared" si="41"/>
        <v>171</v>
      </c>
      <c r="O635" s="14">
        <f t="shared" si="42"/>
        <v>723</v>
      </c>
      <c r="P635" s="15">
        <f t="shared" si="43"/>
        <v>0.87108433734939761</v>
      </c>
    </row>
    <row r="636" spans="1:16" ht="15.75" hidden="1" customHeight="1" x14ac:dyDescent="0.3">
      <c r="A636" s="9" t="s">
        <v>59</v>
      </c>
      <c r="B636" s="9" t="s">
        <v>363</v>
      </c>
      <c r="C636" s="9" t="s">
        <v>100</v>
      </c>
      <c r="D636" s="9" t="s">
        <v>139</v>
      </c>
      <c r="E636" s="10">
        <v>24</v>
      </c>
      <c r="F636" s="9" t="s">
        <v>238</v>
      </c>
      <c r="G636" s="10">
        <v>24</v>
      </c>
      <c r="H636" s="9" t="s">
        <v>272</v>
      </c>
      <c r="I636" s="9" t="s">
        <v>273</v>
      </c>
      <c r="J636" s="9" t="s">
        <v>8</v>
      </c>
      <c r="K636" s="9"/>
      <c r="L636" s="9"/>
      <c r="M636" s="12">
        <f t="shared" si="40"/>
        <v>552</v>
      </c>
      <c r="N636" s="13">
        <f t="shared" si="41"/>
        <v>171</v>
      </c>
      <c r="O636" s="14">
        <f t="shared" si="42"/>
        <v>723</v>
      </c>
      <c r="P636" s="15">
        <f t="shared" si="43"/>
        <v>0.87108433734939761</v>
      </c>
    </row>
    <row r="637" spans="1:16" ht="15.75" hidden="1" customHeight="1" x14ac:dyDescent="0.3">
      <c r="A637" s="9" t="s">
        <v>59</v>
      </c>
      <c r="B637" s="9" t="s">
        <v>363</v>
      </c>
      <c r="C637" s="9" t="s">
        <v>80</v>
      </c>
      <c r="D637" s="9" t="s">
        <v>139</v>
      </c>
      <c r="E637" s="10">
        <v>1</v>
      </c>
      <c r="F637" s="9" t="s">
        <v>238</v>
      </c>
      <c r="G637" s="11">
        <v>0</v>
      </c>
      <c r="H637" s="9" t="s">
        <v>272</v>
      </c>
      <c r="I637" s="9" t="s">
        <v>273</v>
      </c>
      <c r="J637" s="9" t="s">
        <v>8</v>
      </c>
      <c r="K637" s="9"/>
      <c r="L637" s="9"/>
      <c r="M637" s="12">
        <f t="shared" si="40"/>
        <v>552</v>
      </c>
      <c r="N637" s="13">
        <f t="shared" si="41"/>
        <v>171</v>
      </c>
      <c r="O637" s="14">
        <f t="shared" si="42"/>
        <v>723</v>
      </c>
      <c r="P637" s="15">
        <f t="shared" si="43"/>
        <v>0.87108433734939761</v>
      </c>
    </row>
    <row r="638" spans="1:16" ht="15.75" hidden="1" customHeight="1" x14ac:dyDescent="0.3">
      <c r="A638" s="9" t="s">
        <v>59</v>
      </c>
      <c r="B638" s="9" t="s">
        <v>364</v>
      </c>
      <c r="C638" s="9" t="s">
        <v>73</v>
      </c>
      <c r="D638" s="9" t="s">
        <v>140</v>
      </c>
      <c r="E638" s="10">
        <v>18</v>
      </c>
      <c r="F638" s="9" t="s">
        <v>153</v>
      </c>
      <c r="G638" s="10">
        <v>18</v>
      </c>
      <c r="H638" s="9" t="s">
        <v>306</v>
      </c>
      <c r="I638" s="9" t="s">
        <v>307</v>
      </c>
      <c r="J638" s="9"/>
      <c r="K638" s="9"/>
      <c r="L638" s="9"/>
      <c r="M638" s="12">
        <f t="shared" si="40"/>
        <v>68</v>
      </c>
      <c r="N638" s="13">
        <f t="shared" si="41"/>
        <v>72</v>
      </c>
      <c r="O638" s="14">
        <f t="shared" si="42"/>
        <v>140</v>
      </c>
      <c r="P638" s="15">
        <f t="shared" si="43"/>
        <v>0.16867469879518071</v>
      </c>
    </row>
    <row r="639" spans="1:16" ht="15.75" hidden="1" customHeight="1" x14ac:dyDescent="0.3">
      <c r="A639" s="9" t="s">
        <v>59</v>
      </c>
      <c r="B639" s="9" t="s">
        <v>364</v>
      </c>
      <c r="C639" s="9" t="s">
        <v>123</v>
      </c>
      <c r="D639" s="9" t="s">
        <v>140</v>
      </c>
      <c r="E639" s="10">
        <v>15</v>
      </c>
      <c r="F639" s="9" t="s">
        <v>153</v>
      </c>
      <c r="G639" s="11">
        <v>0</v>
      </c>
      <c r="H639" s="9" t="s">
        <v>306</v>
      </c>
      <c r="I639" s="9" t="s">
        <v>307</v>
      </c>
      <c r="J639" s="9"/>
      <c r="K639" s="9"/>
      <c r="L639" s="9"/>
      <c r="M639" s="12">
        <f t="shared" si="40"/>
        <v>68</v>
      </c>
      <c r="N639" s="13">
        <f t="shared" si="41"/>
        <v>72</v>
      </c>
      <c r="O639" s="14">
        <f t="shared" si="42"/>
        <v>140</v>
      </c>
      <c r="P639" s="15">
        <f t="shared" si="43"/>
        <v>0.16867469879518071</v>
      </c>
    </row>
    <row r="640" spans="1:16" ht="15.75" hidden="1" customHeight="1" x14ac:dyDescent="0.3">
      <c r="A640" s="9" t="s">
        <v>59</v>
      </c>
      <c r="B640" s="9" t="s">
        <v>364</v>
      </c>
      <c r="C640" s="9" t="s">
        <v>87</v>
      </c>
      <c r="D640" s="9" t="s">
        <v>140</v>
      </c>
      <c r="E640" s="10">
        <v>2</v>
      </c>
      <c r="F640" s="9" t="s">
        <v>153</v>
      </c>
      <c r="G640" s="11">
        <v>0</v>
      </c>
      <c r="H640" s="9" t="s">
        <v>306</v>
      </c>
      <c r="I640" s="9" t="s">
        <v>307</v>
      </c>
      <c r="J640" s="9"/>
      <c r="K640" s="9"/>
      <c r="L640" s="9"/>
      <c r="M640" s="12">
        <f t="shared" si="40"/>
        <v>68</v>
      </c>
      <c r="N640" s="13">
        <f t="shared" si="41"/>
        <v>72</v>
      </c>
      <c r="O640" s="14">
        <f t="shared" si="42"/>
        <v>140</v>
      </c>
      <c r="P640" s="15">
        <f t="shared" si="43"/>
        <v>0.16867469879518071</v>
      </c>
    </row>
    <row r="641" spans="1:16" ht="15.75" hidden="1" customHeight="1" x14ac:dyDescent="0.3">
      <c r="A641" s="9" t="s">
        <v>59</v>
      </c>
      <c r="B641" s="9" t="s">
        <v>364</v>
      </c>
      <c r="C641" s="9" t="s">
        <v>79</v>
      </c>
      <c r="D641" s="9" t="s">
        <v>140</v>
      </c>
      <c r="E641" s="10">
        <v>36</v>
      </c>
      <c r="F641" s="9" t="s">
        <v>153</v>
      </c>
      <c r="G641" s="10">
        <v>36</v>
      </c>
      <c r="H641" s="9" t="s">
        <v>306</v>
      </c>
      <c r="I641" s="9" t="s">
        <v>307</v>
      </c>
      <c r="J641" s="9"/>
      <c r="K641" s="9"/>
      <c r="L641" s="9"/>
      <c r="M641" s="12">
        <f t="shared" si="40"/>
        <v>68</v>
      </c>
      <c r="N641" s="13">
        <f t="shared" si="41"/>
        <v>72</v>
      </c>
      <c r="O641" s="14">
        <f t="shared" si="42"/>
        <v>140</v>
      </c>
      <c r="P641" s="15">
        <f t="shared" si="43"/>
        <v>0.16867469879518071</v>
      </c>
    </row>
    <row r="642" spans="1:16" ht="15.75" hidden="1" customHeight="1" x14ac:dyDescent="0.3">
      <c r="A642" s="9" t="s">
        <v>59</v>
      </c>
      <c r="B642" s="9" t="s">
        <v>364</v>
      </c>
      <c r="C642" s="9" t="s">
        <v>100</v>
      </c>
      <c r="D642" s="9" t="s">
        <v>140</v>
      </c>
      <c r="E642" s="10">
        <v>12</v>
      </c>
      <c r="F642" s="9" t="s">
        <v>153</v>
      </c>
      <c r="G642" s="10">
        <v>12</v>
      </c>
      <c r="H642" s="9" t="s">
        <v>257</v>
      </c>
      <c r="I642" s="9" t="s">
        <v>258</v>
      </c>
      <c r="J642" s="9" t="s">
        <v>8</v>
      </c>
      <c r="K642" s="9"/>
      <c r="L642" s="9"/>
      <c r="M642" s="12">
        <f t="shared" si="40"/>
        <v>331</v>
      </c>
      <c r="N642" s="13">
        <f t="shared" si="41"/>
        <v>520</v>
      </c>
      <c r="O642" s="14">
        <f t="shared" si="42"/>
        <v>851</v>
      </c>
      <c r="P642" s="15">
        <f t="shared" si="43"/>
        <v>1.0253012048192771</v>
      </c>
    </row>
    <row r="643" spans="1:16" ht="15.75" hidden="1" customHeight="1" x14ac:dyDescent="0.3">
      <c r="A643" s="9" t="s">
        <v>59</v>
      </c>
      <c r="B643" s="9" t="s">
        <v>364</v>
      </c>
      <c r="C643" s="9" t="s">
        <v>80</v>
      </c>
      <c r="D643" s="9" t="s">
        <v>140</v>
      </c>
      <c r="E643" s="10">
        <v>1</v>
      </c>
      <c r="F643" s="9" t="s">
        <v>153</v>
      </c>
      <c r="G643" s="11">
        <v>0</v>
      </c>
      <c r="H643" s="9" t="s">
        <v>306</v>
      </c>
      <c r="I643" s="9" t="s">
        <v>307</v>
      </c>
      <c r="J643" s="9"/>
      <c r="K643" s="9"/>
      <c r="L643" s="9"/>
      <c r="M643" s="12">
        <f t="shared" si="40"/>
        <v>68</v>
      </c>
      <c r="N643" s="13">
        <f t="shared" si="41"/>
        <v>72</v>
      </c>
      <c r="O643" s="14">
        <f t="shared" si="42"/>
        <v>140</v>
      </c>
      <c r="P643" s="15">
        <f t="shared" si="43"/>
        <v>0.16867469879518071</v>
      </c>
    </row>
    <row r="644" spans="1:16" ht="15.75" hidden="1" customHeight="1" x14ac:dyDescent="0.3">
      <c r="A644" s="9" t="s">
        <v>59</v>
      </c>
      <c r="B644" s="9" t="s">
        <v>365</v>
      </c>
      <c r="C644" s="9" t="s">
        <v>73</v>
      </c>
      <c r="D644" s="9" t="s">
        <v>140</v>
      </c>
      <c r="E644" s="10">
        <v>24</v>
      </c>
      <c r="F644" s="9" t="s">
        <v>153</v>
      </c>
      <c r="G644" s="10">
        <v>24</v>
      </c>
      <c r="H644" s="9" t="s">
        <v>96</v>
      </c>
      <c r="I644" s="9" t="s">
        <v>97</v>
      </c>
      <c r="J644" s="9" t="s">
        <v>8</v>
      </c>
      <c r="K644" s="9"/>
      <c r="L644" s="9"/>
      <c r="M644" s="12">
        <f t="shared" si="40"/>
        <v>501</v>
      </c>
      <c r="N644" s="13">
        <f t="shared" si="41"/>
        <v>486.5</v>
      </c>
      <c r="O644" s="14">
        <f t="shared" si="42"/>
        <v>987.5</v>
      </c>
      <c r="P644" s="15">
        <f t="shared" si="43"/>
        <v>1.1897590361445782</v>
      </c>
    </row>
    <row r="645" spans="1:16" ht="15.75" hidden="1" customHeight="1" x14ac:dyDescent="0.3">
      <c r="A645" s="9" t="s">
        <v>59</v>
      </c>
      <c r="B645" s="9" t="s">
        <v>365</v>
      </c>
      <c r="C645" s="9" t="s">
        <v>73</v>
      </c>
      <c r="D645" s="9" t="s">
        <v>160</v>
      </c>
      <c r="E645" s="10">
        <v>32</v>
      </c>
      <c r="F645" s="9" t="s">
        <v>161</v>
      </c>
      <c r="G645" s="10">
        <v>32</v>
      </c>
      <c r="H645" s="9" t="s">
        <v>96</v>
      </c>
      <c r="I645" s="9" t="s">
        <v>97</v>
      </c>
      <c r="J645" s="9" t="s">
        <v>8</v>
      </c>
      <c r="K645" s="9"/>
      <c r="L645" s="9"/>
      <c r="M645" s="12">
        <f t="shared" si="40"/>
        <v>501</v>
      </c>
      <c r="N645" s="13">
        <f t="shared" si="41"/>
        <v>486.5</v>
      </c>
      <c r="O645" s="14">
        <f t="shared" si="42"/>
        <v>987.5</v>
      </c>
      <c r="P645" s="15">
        <f t="shared" si="43"/>
        <v>1.1897590361445782</v>
      </c>
    </row>
    <row r="646" spans="1:16" ht="15.75" hidden="1" customHeight="1" x14ac:dyDescent="0.3">
      <c r="A646" s="9" t="s">
        <v>59</v>
      </c>
      <c r="B646" s="9" t="s">
        <v>365</v>
      </c>
      <c r="C646" s="9" t="s">
        <v>123</v>
      </c>
      <c r="D646" s="9" t="s">
        <v>140</v>
      </c>
      <c r="E646" s="10">
        <v>15</v>
      </c>
      <c r="F646" s="9" t="s">
        <v>153</v>
      </c>
      <c r="G646" s="11">
        <v>0</v>
      </c>
      <c r="H646" s="9" t="s">
        <v>96</v>
      </c>
      <c r="I646" s="9" t="s">
        <v>97</v>
      </c>
      <c r="J646" s="9" t="s">
        <v>8</v>
      </c>
      <c r="K646" s="9"/>
      <c r="L646" s="9"/>
      <c r="M646" s="12">
        <f t="shared" si="40"/>
        <v>501</v>
      </c>
      <c r="N646" s="13">
        <f t="shared" si="41"/>
        <v>486.5</v>
      </c>
      <c r="O646" s="14">
        <f t="shared" si="42"/>
        <v>987.5</v>
      </c>
      <c r="P646" s="15">
        <f t="shared" si="43"/>
        <v>1.1897590361445782</v>
      </c>
    </row>
    <row r="647" spans="1:16" ht="15.75" hidden="1" customHeight="1" x14ac:dyDescent="0.3">
      <c r="A647" s="9" t="s">
        <v>59</v>
      </c>
      <c r="B647" s="9" t="s">
        <v>365</v>
      </c>
      <c r="C647" s="9" t="s">
        <v>79</v>
      </c>
      <c r="D647" s="9" t="s">
        <v>140</v>
      </c>
      <c r="E647" s="10">
        <v>32</v>
      </c>
      <c r="F647" s="9" t="s">
        <v>153</v>
      </c>
      <c r="G647" s="10">
        <v>32</v>
      </c>
      <c r="H647" s="9" t="s">
        <v>96</v>
      </c>
      <c r="I647" s="9" t="s">
        <v>97</v>
      </c>
      <c r="J647" s="9" t="s">
        <v>8</v>
      </c>
      <c r="K647" s="9"/>
      <c r="L647" s="9"/>
      <c r="M647" s="12">
        <f t="shared" si="40"/>
        <v>501</v>
      </c>
      <c r="N647" s="13">
        <f t="shared" si="41"/>
        <v>486.5</v>
      </c>
      <c r="O647" s="14">
        <f t="shared" si="42"/>
        <v>987.5</v>
      </c>
      <c r="P647" s="15">
        <f t="shared" si="43"/>
        <v>1.1897590361445782</v>
      </c>
    </row>
    <row r="648" spans="1:16" ht="15.75" hidden="1" customHeight="1" x14ac:dyDescent="0.3">
      <c r="A648" s="9" t="s">
        <v>59</v>
      </c>
      <c r="B648" s="9" t="s">
        <v>365</v>
      </c>
      <c r="C648" s="9" t="s">
        <v>79</v>
      </c>
      <c r="D648" s="9" t="s">
        <v>162</v>
      </c>
      <c r="E648" s="10">
        <v>20</v>
      </c>
      <c r="F648" s="9" t="s">
        <v>161</v>
      </c>
      <c r="G648" s="10">
        <v>20</v>
      </c>
      <c r="H648" s="9" t="s">
        <v>96</v>
      </c>
      <c r="I648" s="9" t="s">
        <v>97</v>
      </c>
      <c r="J648" s="9" t="s">
        <v>8</v>
      </c>
      <c r="K648" s="9"/>
      <c r="L648" s="9"/>
      <c r="M648" s="12">
        <f t="shared" si="40"/>
        <v>501</v>
      </c>
      <c r="N648" s="13">
        <f t="shared" si="41"/>
        <v>486.5</v>
      </c>
      <c r="O648" s="14">
        <f t="shared" si="42"/>
        <v>987.5</v>
      </c>
      <c r="P648" s="15">
        <f t="shared" si="43"/>
        <v>1.1897590361445782</v>
      </c>
    </row>
    <row r="649" spans="1:16" ht="15.75" hidden="1" customHeight="1" x14ac:dyDescent="0.3">
      <c r="A649" s="9" t="s">
        <v>59</v>
      </c>
      <c r="B649" s="9" t="s">
        <v>365</v>
      </c>
      <c r="C649" s="9" t="s">
        <v>79</v>
      </c>
      <c r="D649" s="9" t="s">
        <v>163</v>
      </c>
      <c r="E649" s="10">
        <v>20</v>
      </c>
      <c r="F649" s="9" t="s">
        <v>161</v>
      </c>
      <c r="G649" s="10">
        <v>20</v>
      </c>
      <c r="H649" s="9" t="s">
        <v>96</v>
      </c>
      <c r="I649" s="9" t="s">
        <v>97</v>
      </c>
      <c r="J649" s="9" t="s">
        <v>8</v>
      </c>
      <c r="K649" s="9"/>
      <c r="L649" s="9"/>
      <c r="M649" s="12">
        <f t="shared" si="40"/>
        <v>501</v>
      </c>
      <c r="N649" s="13">
        <f t="shared" si="41"/>
        <v>486.5</v>
      </c>
      <c r="O649" s="14">
        <f t="shared" si="42"/>
        <v>987.5</v>
      </c>
      <c r="P649" s="15">
        <f t="shared" si="43"/>
        <v>1.1897590361445782</v>
      </c>
    </row>
    <row r="650" spans="1:16" ht="15.75" hidden="1" customHeight="1" x14ac:dyDescent="0.3">
      <c r="A650" s="9" t="s">
        <v>59</v>
      </c>
      <c r="B650" s="9" t="s">
        <v>365</v>
      </c>
      <c r="C650" s="9" t="s">
        <v>100</v>
      </c>
      <c r="D650" s="9" t="s">
        <v>140</v>
      </c>
      <c r="E650" s="10">
        <v>8</v>
      </c>
      <c r="F650" s="9" t="s">
        <v>153</v>
      </c>
      <c r="G650" s="10">
        <v>8</v>
      </c>
      <c r="H650" s="9" t="s">
        <v>96</v>
      </c>
      <c r="I650" s="9" t="s">
        <v>97</v>
      </c>
      <c r="J650" s="9" t="s">
        <v>8</v>
      </c>
      <c r="K650" s="9"/>
      <c r="L650" s="9"/>
      <c r="M650" s="12">
        <f t="shared" si="40"/>
        <v>501</v>
      </c>
      <c r="N650" s="13">
        <f t="shared" si="41"/>
        <v>486.5</v>
      </c>
      <c r="O650" s="14">
        <f t="shared" si="42"/>
        <v>987.5</v>
      </c>
      <c r="P650" s="15">
        <f t="shared" si="43"/>
        <v>1.1897590361445782</v>
      </c>
    </row>
    <row r="651" spans="1:16" ht="15.75" hidden="1" customHeight="1" x14ac:dyDescent="0.3">
      <c r="A651" s="9" t="s">
        <v>59</v>
      </c>
      <c r="B651" s="9" t="s">
        <v>365</v>
      </c>
      <c r="C651" s="9" t="s">
        <v>100</v>
      </c>
      <c r="D651" s="9" t="s">
        <v>162</v>
      </c>
      <c r="E651" s="10">
        <v>32</v>
      </c>
      <c r="F651" s="9" t="s">
        <v>161</v>
      </c>
      <c r="G651" s="10">
        <v>16</v>
      </c>
      <c r="H651" s="9" t="s">
        <v>96</v>
      </c>
      <c r="I651" s="9" t="s">
        <v>97</v>
      </c>
      <c r="J651" s="9" t="s">
        <v>8</v>
      </c>
      <c r="K651" s="9"/>
      <c r="L651" s="9"/>
      <c r="M651" s="12">
        <f t="shared" si="40"/>
        <v>501</v>
      </c>
      <c r="N651" s="13">
        <f t="shared" si="41"/>
        <v>486.5</v>
      </c>
      <c r="O651" s="14">
        <f t="shared" si="42"/>
        <v>987.5</v>
      </c>
      <c r="P651" s="15">
        <f t="shared" si="43"/>
        <v>1.1897590361445782</v>
      </c>
    </row>
    <row r="652" spans="1:16" ht="15.75" hidden="1" customHeight="1" x14ac:dyDescent="0.3">
      <c r="A652" s="9" t="s">
        <v>59</v>
      </c>
      <c r="B652" s="9" t="s">
        <v>365</v>
      </c>
      <c r="C652" s="9" t="s">
        <v>100</v>
      </c>
      <c r="D652" s="9" t="s">
        <v>163</v>
      </c>
      <c r="E652" s="10">
        <v>16</v>
      </c>
      <c r="F652" s="9" t="s">
        <v>161</v>
      </c>
      <c r="G652" s="10">
        <v>16</v>
      </c>
      <c r="H652" s="9" t="s">
        <v>96</v>
      </c>
      <c r="I652" s="9" t="s">
        <v>97</v>
      </c>
      <c r="J652" s="9" t="s">
        <v>8</v>
      </c>
      <c r="K652" s="9"/>
      <c r="L652" s="9"/>
      <c r="M652" s="12">
        <f t="shared" si="40"/>
        <v>501</v>
      </c>
      <c r="N652" s="13">
        <f t="shared" si="41"/>
        <v>486.5</v>
      </c>
      <c r="O652" s="14">
        <f t="shared" si="42"/>
        <v>987.5</v>
      </c>
      <c r="P652" s="15">
        <f t="shared" si="43"/>
        <v>1.1897590361445782</v>
      </c>
    </row>
    <row r="653" spans="1:16" ht="15.75" hidden="1" customHeight="1" x14ac:dyDescent="0.3">
      <c r="A653" s="9" t="s">
        <v>59</v>
      </c>
      <c r="B653" s="9" t="s">
        <v>365</v>
      </c>
      <c r="C653" s="9" t="s">
        <v>111</v>
      </c>
      <c r="D653" s="9" t="s">
        <v>140</v>
      </c>
      <c r="E653" s="10">
        <v>3</v>
      </c>
      <c r="F653" s="9" t="s">
        <v>153</v>
      </c>
      <c r="G653" s="11">
        <v>0</v>
      </c>
      <c r="H653" s="9" t="s">
        <v>96</v>
      </c>
      <c r="I653" s="9" t="s">
        <v>97</v>
      </c>
      <c r="J653" s="9" t="s">
        <v>8</v>
      </c>
      <c r="K653" s="9"/>
      <c r="L653" s="9"/>
      <c r="M653" s="12">
        <f t="shared" si="40"/>
        <v>501</v>
      </c>
      <c r="N653" s="13">
        <f t="shared" si="41"/>
        <v>486.5</v>
      </c>
      <c r="O653" s="14">
        <f t="shared" si="42"/>
        <v>987.5</v>
      </c>
      <c r="P653" s="15">
        <f t="shared" si="43"/>
        <v>1.1897590361445782</v>
      </c>
    </row>
    <row r="654" spans="1:16" ht="15.75" hidden="1" customHeight="1" x14ac:dyDescent="0.3">
      <c r="A654" s="9" t="s">
        <v>59</v>
      </c>
      <c r="B654" s="9" t="s">
        <v>365</v>
      </c>
      <c r="C654" s="9" t="s">
        <v>111</v>
      </c>
      <c r="D654" s="9" t="s">
        <v>162</v>
      </c>
      <c r="E654" s="10">
        <v>9</v>
      </c>
      <c r="F654" s="9" t="s">
        <v>161</v>
      </c>
      <c r="G654" s="11">
        <v>0</v>
      </c>
      <c r="H654" s="9" t="s">
        <v>96</v>
      </c>
      <c r="I654" s="9" t="s">
        <v>97</v>
      </c>
      <c r="J654" s="9" t="s">
        <v>8</v>
      </c>
      <c r="K654" s="9"/>
      <c r="L654" s="9"/>
      <c r="M654" s="12">
        <f t="shared" si="40"/>
        <v>501</v>
      </c>
      <c r="N654" s="13">
        <f t="shared" si="41"/>
        <v>486.5</v>
      </c>
      <c r="O654" s="14">
        <f t="shared" si="42"/>
        <v>987.5</v>
      </c>
      <c r="P654" s="15">
        <f t="shared" si="43"/>
        <v>1.1897590361445782</v>
      </c>
    </row>
    <row r="655" spans="1:16" ht="15.75" hidden="1" customHeight="1" x14ac:dyDescent="0.3">
      <c r="A655" s="9" t="s">
        <v>59</v>
      </c>
      <c r="B655" s="9" t="s">
        <v>365</v>
      </c>
      <c r="C655" s="9" t="s">
        <v>111</v>
      </c>
      <c r="D655" s="9" t="s">
        <v>163</v>
      </c>
      <c r="E655" s="10">
        <v>7</v>
      </c>
      <c r="F655" s="9" t="s">
        <v>161</v>
      </c>
      <c r="G655" s="11">
        <v>0</v>
      </c>
      <c r="H655" s="9" t="s">
        <v>96</v>
      </c>
      <c r="I655" s="9" t="s">
        <v>97</v>
      </c>
      <c r="J655" s="9" t="s">
        <v>8</v>
      </c>
      <c r="K655" s="9"/>
      <c r="L655" s="9"/>
      <c r="M655" s="12">
        <f t="shared" si="40"/>
        <v>501</v>
      </c>
      <c r="N655" s="13">
        <f t="shared" si="41"/>
        <v>486.5</v>
      </c>
      <c r="O655" s="14">
        <f t="shared" si="42"/>
        <v>987.5</v>
      </c>
      <c r="P655" s="15">
        <f t="shared" si="43"/>
        <v>1.1897590361445782</v>
      </c>
    </row>
    <row r="656" spans="1:16" ht="15.75" hidden="1" customHeight="1" x14ac:dyDescent="0.3">
      <c r="A656" s="9" t="s">
        <v>59</v>
      </c>
      <c r="B656" s="9" t="s">
        <v>365</v>
      </c>
      <c r="C656" s="9" t="s">
        <v>80</v>
      </c>
      <c r="D656" s="9" t="s">
        <v>140</v>
      </c>
      <c r="E656" s="10">
        <v>3</v>
      </c>
      <c r="F656" s="9" t="s">
        <v>153</v>
      </c>
      <c r="G656" s="11">
        <v>0</v>
      </c>
      <c r="H656" s="9" t="s">
        <v>96</v>
      </c>
      <c r="I656" s="9" t="s">
        <v>97</v>
      </c>
      <c r="J656" s="9" t="s">
        <v>8</v>
      </c>
      <c r="K656" s="9"/>
      <c r="L656" s="9"/>
      <c r="M656" s="12">
        <f t="shared" si="40"/>
        <v>501</v>
      </c>
      <c r="N656" s="13">
        <f t="shared" si="41"/>
        <v>486.5</v>
      </c>
      <c r="O656" s="14">
        <f t="shared" si="42"/>
        <v>987.5</v>
      </c>
      <c r="P656" s="15">
        <f t="shared" si="43"/>
        <v>1.1897590361445782</v>
      </c>
    </row>
    <row r="657" spans="1:16" ht="15.75" hidden="1" customHeight="1" x14ac:dyDescent="0.3">
      <c r="A657" s="9" t="s">
        <v>59</v>
      </c>
      <c r="B657" s="9" t="s">
        <v>365</v>
      </c>
      <c r="C657" s="9" t="s">
        <v>80</v>
      </c>
      <c r="D657" s="9" t="s">
        <v>162</v>
      </c>
      <c r="E657" s="10">
        <v>4</v>
      </c>
      <c r="F657" s="9" t="s">
        <v>161</v>
      </c>
      <c r="G657" s="11">
        <v>0</v>
      </c>
      <c r="H657" s="9" t="s">
        <v>96</v>
      </c>
      <c r="I657" s="9" t="s">
        <v>97</v>
      </c>
      <c r="J657" s="9" t="s">
        <v>8</v>
      </c>
      <c r="K657" s="9"/>
      <c r="L657" s="9"/>
      <c r="M657" s="12">
        <f t="shared" si="40"/>
        <v>501</v>
      </c>
      <c r="N657" s="13">
        <f t="shared" si="41"/>
        <v>486.5</v>
      </c>
      <c r="O657" s="14">
        <f t="shared" si="42"/>
        <v>987.5</v>
      </c>
      <c r="P657" s="15">
        <f t="shared" si="43"/>
        <v>1.1897590361445782</v>
      </c>
    </row>
    <row r="658" spans="1:16" ht="15.75" hidden="1" customHeight="1" x14ac:dyDescent="0.3">
      <c r="A658" s="9" t="s">
        <v>59</v>
      </c>
      <c r="B658" s="9" t="s">
        <v>365</v>
      </c>
      <c r="C658" s="9" t="s">
        <v>80</v>
      </c>
      <c r="D658" s="9" t="s">
        <v>163</v>
      </c>
      <c r="E658" s="10">
        <v>4</v>
      </c>
      <c r="F658" s="9" t="s">
        <v>161</v>
      </c>
      <c r="G658" s="11">
        <v>0</v>
      </c>
      <c r="H658" s="9" t="s">
        <v>96</v>
      </c>
      <c r="I658" s="9" t="s">
        <v>97</v>
      </c>
      <c r="J658" s="9" t="s">
        <v>8</v>
      </c>
      <c r="K658" s="9"/>
      <c r="L658" s="9"/>
      <c r="M658" s="12">
        <f t="shared" si="40"/>
        <v>501</v>
      </c>
      <c r="N658" s="13">
        <f t="shared" si="41"/>
        <v>486.5</v>
      </c>
      <c r="O658" s="14">
        <f t="shared" si="42"/>
        <v>987.5</v>
      </c>
      <c r="P658" s="15">
        <f t="shared" si="43"/>
        <v>1.1897590361445782</v>
      </c>
    </row>
    <row r="659" spans="1:16" ht="15.75" hidden="1" customHeight="1" x14ac:dyDescent="0.3">
      <c r="A659" s="9" t="s">
        <v>59</v>
      </c>
      <c r="B659" s="9" t="s">
        <v>366</v>
      </c>
      <c r="C659" s="9" t="s">
        <v>73</v>
      </c>
      <c r="D659" s="9" t="s">
        <v>103</v>
      </c>
      <c r="E659" s="10">
        <v>24</v>
      </c>
      <c r="F659" s="9" t="s">
        <v>107</v>
      </c>
      <c r="G659" s="10">
        <v>24</v>
      </c>
      <c r="H659" s="9" t="s">
        <v>146</v>
      </c>
      <c r="I659" s="9" t="s">
        <v>147</v>
      </c>
      <c r="J659" s="9"/>
      <c r="K659" s="9"/>
      <c r="L659" s="9"/>
      <c r="M659" s="12">
        <f t="shared" si="40"/>
        <v>279</v>
      </c>
      <c r="N659" s="13">
        <f t="shared" si="41"/>
        <v>427.5</v>
      </c>
      <c r="O659" s="14">
        <f t="shared" si="42"/>
        <v>706.5</v>
      </c>
      <c r="P659" s="15">
        <f t="shared" si="43"/>
        <v>0.85120481927710845</v>
      </c>
    </row>
    <row r="660" spans="1:16" ht="15.75" hidden="1" customHeight="1" x14ac:dyDescent="0.3">
      <c r="A660" s="9" t="s">
        <v>59</v>
      </c>
      <c r="B660" s="9" t="s">
        <v>366</v>
      </c>
      <c r="C660" s="9" t="s">
        <v>79</v>
      </c>
      <c r="D660" s="9" t="s">
        <v>103</v>
      </c>
      <c r="E660" s="10">
        <v>12</v>
      </c>
      <c r="F660" s="9" t="s">
        <v>107</v>
      </c>
      <c r="G660" s="10">
        <v>12</v>
      </c>
      <c r="H660" s="9" t="s">
        <v>146</v>
      </c>
      <c r="I660" s="9" t="s">
        <v>147</v>
      </c>
      <c r="J660" s="9"/>
      <c r="K660" s="9"/>
      <c r="L660" s="9"/>
      <c r="M660" s="12">
        <f t="shared" si="40"/>
        <v>279</v>
      </c>
      <c r="N660" s="13">
        <f t="shared" si="41"/>
        <v>427.5</v>
      </c>
      <c r="O660" s="14">
        <f t="shared" si="42"/>
        <v>706.5</v>
      </c>
      <c r="P660" s="15">
        <f t="shared" si="43"/>
        <v>0.85120481927710845</v>
      </c>
    </row>
    <row r="661" spans="1:16" ht="15.75" hidden="1" customHeight="1" x14ac:dyDescent="0.3">
      <c r="A661" s="9" t="s">
        <v>59</v>
      </c>
      <c r="B661" s="9" t="s">
        <v>366</v>
      </c>
      <c r="C661" s="9" t="s">
        <v>100</v>
      </c>
      <c r="D661" s="9" t="s">
        <v>103</v>
      </c>
      <c r="E661" s="10">
        <v>56</v>
      </c>
      <c r="F661" s="9" t="s">
        <v>107</v>
      </c>
      <c r="G661" s="10">
        <v>28</v>
      </c>
      <c r="H661" s="9" t="s">
        <v>146</v>
      </c>
      <c r="I661" s="9" t="s">
        <v>147</v>
      </c>
      <c r="J661" s="9"/>
      <c r="K661" s="9"/>
      <c r="L661" s="9"/>
      <c r="M661" s="12">
        <f t="shared" si="40"/>
        <v>279</v>
      </c>
      <c r="N661" s="13">
        <f t="shared" si="41"/>
        <v>427.5</v>
      </c>
      <c r="O661" s="14">
        <f t="shared" si="42"/>
        <v>706.5</v>
      </c>
      <c r="P661" s="15">
        <f t="shared" si="43"/>
        <v>0.85120481927710845</v>
      </c>
    </row>
    <row r="662" spans="1:16" ht="15.75" hidden="1" customHeight="1" x14ac:dyDescent="0.3">
      <c r="A662" s="9" t="s">
        <v>59</v>
      </c>
      <c r="B662" s="9" t="s">
        <v>366</v>
      </c>
      <c r="C662" s="9" t="s">
        <v>111</v>
      </c>
      <c r="D662" s="9" t="s">
        <v>103</v>
      </c>
      <c r="E662" s="10">
        <v>8</v>
      </c>
      <c r="F662" s="9" t="s">
        <v>107</v>
      </c>
      <c r="G662" s="11">
        <v>0</v>
      </c>
      <c r="H662" s="9" t="s">
        <v>146</v>
      </c>
      <c r="I662" s="9" t="s">
        <v>147</v>
      </c>
      <c r="J662" s="9"/>
      <c r="K662" s="9"/>
      <c r="L662" s="9"/>
      <c r="M662" s="12">
        <f t="shared" si="40"/>
        <v>279</v>
      </c>
      <c r="N662" s="13">
        <f t="shared" si="41"/>
        <v>427.5</v>
      </c>
      <c r="O662" s="14">
        <f t="shared" si="42"/>
        <v>706.5</v>
      </c>
      <c r="P662" s="15">
        <f t="shared" si="43"/>
        <v>0.85120481927710845</v>
      </c>
    </row>
    <row r="663" spans="1:16" ht="15.75" hidden="1" customHeight="1" x14ac:dyDescent="0.3">
      <c r="A663" s="9" t="s">
        <v>59</v>
      </c>
      <c r="B663" s="9" t="s">
        <v>366</v>
      </c>
      <c r="C663" s="9" t="s">
        <v>80</v>
      </c>
      <c r="D663" s="9" t="s">
        <v>103</v>
      </c>
      <c r="E663" s="10">
        <v>3</v>
      </c>
      <c r="F663" s="9" t="s">
        <v>107</v>
      </c>
      <c r="G663" s="11">
        <v>0</v>
      </c>
      <c r="H663" s="9" t="s">
        <v>146</v>
      </c>
      <c r="I663" s="9" t="s">
        <v>147</v>
      </c>
      <c r="J663" s="9"/>
      <c r="K663" s="9"/>
      <c r="L663" s="9"/>
      <c r="M663" s="12">
        <f t="shared" si="40"/>
        <v>279</v>
      </c>
      <c r="N663" s="13">
        <f t="shared" si="41"/>
        <v>427.5</v>
      </c>
      <c r="O663" s="14">
        <f t="shared" si="42"/>
        <v>706.5</v>
      </c>
      <c r="P663" s="15">
        <f t="shared" si="43"/>
        <v>0.85120481927710845</v>
      </c>
    </row>
    <row r="664" spans="1:16" ht="15.75" hidden="1" customHeight="1" x14ac:dyDescent="0.3">
      <c r="A664" s="9" t="s">
        <v>59</v>
      </c>
      <c r="B664" s="9" t="s">
        <v>367</v>
      </c>
      <c r="C664" s="9" t="s">
        <v>73</v>
      </c>
      <c r="D664" s="9" t="s">
        <v>160</v>
      </c>
      <c r="E664" s="10">
        <v>32</v>
      </c>
      <c r="F664" s="9" t="s">
        <v>161</v>
      </c>
      <c r="G664" s="10">
        <v>32</v>
      </c>
      <c r="H664" s="9" t="s">
        <v>316</v>
      </c>
      <c r="I664" s="9" t="s">
        <v>358</v>
      </c>
      <c r="J664" s="9" t="s">
        <v>4</v>
      </c>
      <c r="K664" s="9"/>
      <c r="L664" s="9"/>
      <c r="M664" s="12">
        <f t="shared" si="40"/>
        <v>0</v>
      </c>
      <c r="N664" s="13">
        <f t="shared" si="41"/>
        <v>233</v>
      </c>
      <c r="O664" s="14">
        <f t="shared" si="42"/>
        <v>233</v>
      </c>
      <c r="P664" s="15">
        <f t="shared" si="43"/>
        <v>0.28072289156626506</v>
      </c>
    </row>
    <row r="665" spans="1:16" ht="15.75" hidden="1" customHeight="1" x14ac:dyDescent="0.3">
      <c r="A665" s="9" t="s">
        <v>59</v>
      </c>
      <c r="B665" s="9" t="s">
        <v>367</v>
      </c>
      <c r="C665" s="9" t="s">
        <v>87</v>
      </c>
      <c r="D665" s="9" t="s">
        <v>162</v>
      </c>
      <c r="E665" s="10">
        <v>6</v>
      </c>
      <c r="F665" s="9" t="s">
        <v>161</v>
      </c>
      <c r="G665" s="11">
        <v>0</v>
      </c>
      <c r="H665" s="9" t="s">
        <v>316</v>
      </c>
      <c r="I665" s="9" t="s">
        <v>358</v>
      </c>
      <c r="J665" s="9" t="s">
        <v>4</v>
      </c>
      <c r="K665" s="9"/>
      <c r="L665" s="9"/>
      <c r="M665" s="12">
        <f t="shared" si="40"/>
        <v>0</v>
      </c>
      <c r="N665" s="13">
        <f t="shared" si="41"/>
        <v>233</v>
      </c>
      <c r="O665" s="14">
        <f t="shared" si="42"/>
        <v>233</v>
      </c>
      <c r="P665" s="15">
        <f t="shared" si="43"/>
        <v>0.28072289156626506</v>
      </c>
    </row>
    <row r="666" spans="1:16" ht="15.75" hidden="1" customHeight="1" x14ac:dyDescent="0.3">
      <c r="A666" s="9" t="s">
        <v>59</v>
      </c>
      <c r="B666" s="9" t="s">
        <v>367</v>
      </c>
      <c r="C666" s="9" t="s">
        <v>87</v>
      </c>
      <c r="D666" s="9" t="s">
        <v>163</v>
      </c>
      <c r="E666" s="10">
        <v>5</v>
      </c>
      <c r="F666" s="9" t="s">
        <v>161</v>
      </c>
      <c r="G666" s="11">
        <v>0</v>
      </c>
      <c r="H666" s="9" t="s">
        <v>316</v>
      </c>
      <c r="I666" s="9" t="s">
        <v>358</v>
      </c>
      <c r="J666" s="9" t="s">
        <v>4</v>
      </c>
      <c r="K666" s="9"/>
      <c r="L666" s="9"/>
      <c r="M666" s="12">
        <f t="shared" si="40"/>
        <v>0</v>
      </c>
      <c r="N666" s="13">
        <f t="shared" si="41"/>
        <v>233</v>
      </c>
      <c r="O666" s="14">
        <f t="shared" si="42"/>
        <v>233</v>
      </c>
      <c r="P666" s="15">
        <f t="shared" si="43"/>
        <v>0.28072289156626506</v>
      </c>
    </row>
    <row r="667" spans="1:16" ht="15.75" hidden="1" customHeight="1" x14ac:dyDescent="0.3">
      <c r="A667" s="9" t="s">
        <v>59</v>
      </c>
      <c r="B667" s="9" t="s">
        <v>367</v>
      </c>
      <c r="C667" s="9" t="s">
        <v>79</v>
      </c>
      <c r="D667" s="9" t="s">
        <v>162</v>
      </c>
      <c r="E667" s="10">
        <v>16</v>
      </c>
      <c r="F667" s="9" t="s">
        <v>161</v>
      </c>
      <c r="G667" s="10">
        <v>16</v>
      </c>
      <c r="H667" s="9" t="s">
        <v>316</v>
      </c>
      <c r="I667" s="9" t="s">
        <v>358</v>
      </c>
      <c r="J667" s="9"/>
      <c r="K667" s="9"/>
      <c r="L667" s="9"/>
      <c r="M667" s="12">
        <f t="shared" si="40"/>
        <v>0</v>
      </c>
      <c r="N667" s="13">
        <f t="shared" si="41"/>
        <v>233</v>
      </c>
      <c r="O667" s="14">
        <f t="shared" si="42"/>
        <v>233</v>
      </c>
      <c r="P667" s="15">
        <f t="shared" si="43"/>
        <v>0.28072289156626506</v>
      </c>
    </row>
    <row r="668" spans="1:16" ht="15.75" hidden="1" customHeight="1" x14ac:dyDescent="0.3">
      <c r="A668" s="9" t="s">
        <v>59</v>
      </c>
      <c r="B668" s="9" t="s">
        <v>367</v>
      </c>
      <c r="C668" s="9" t="s">
        <v>79</v>
      </c>
      <c r="D668" s="9" t="s">
        <v>163</v>
      </c>
      <c r="E668" s="10">
        <v>16</v>
      </c>
      <c r="F668" s="9" t="s">
        <v>161</v>
      </c>
      <c r="G668" s="10">
        <v>16</v>
      </c>
      <c r="H668" s="9" t="s">
        <v>316</v>
      </c>
      <c r="I668" s="9" t="s">
        <v>358</v>
      </c>
      <c r="J668" s="9"/>
      <c r="K668" s="9"/>
      <c r="L668" s="9"/>
      <c r="M668" s="12">
        <f t="shared" si="40"/>
        <v>0</v>
      </c>
      <c r="N668" s="13">
        <f t="shared" si="41"/>
        <v>233</v>
      </c>
      <c r="O668" s="14">
        <f t="shared" si="42"/>
        <v>233</v>
      </c>
      <c r="P668" s="15">
        <f t="shared" si="43"/>
        <v>0.28072289156626506</v>
      </c>
    </row>
    <row r="669" spans="1:16" ht="15.75" hidden="1" customHeight="1" x14ac:dyDescent="0.3">
      <c r="A669" s="9" t="s">
        <v>59</v>
      </c>
      <c r="B669" s="9" t="s">
        <v>367</v>
      </c>
      <c r="C669" s="9" t="s">
        <v>100</v>
      </c>
      <c r="D669" s="9" t="s">
        <v>162</v>
      </c>
      <c r="E669" s="10">
        <v>32</v>
      </c>
      <c r="F669" s="9" t="s">
        <v>161</v>
      </c>
      <c r="G669" s="10">
        <v>16</v>
      </c>
      <c r="H669" s="9" t="s">
        <v>316</v>
      </c>
      <c r="I669" s="9" t="s">
        <v>358</v>
      </c>
      <c r="J669" s="9"/>
      <c r="K669" s="9"/>
      <c r="L669" s="9"/>
      <c r="M669" s="12">
        <f t="shared" si="40"/>
        <v>0</v>
      </c>
      <c r="N669" s="13">
        <f t="shared" si="41"/>
        <v>233</v>
      </c>
      <c r="O669" s="14">
        <f t="shared" si="42"/>
        <v>233</v>
      </c>
      <c r="P669" s="15">
        <f t="shared" si="43"/>
        <v>0.28072289156626506</v>
      </c>
    </row>
    <row r="670" spans="1:16" ht="15.75" hidden="1" customHeight="1" x14ac:dyDescent="0.3">
      <c r="A670" s="9" t="s">
        <v>59</v>
      </c>
      <c r="B670" s="9" t="s">
        <v>367</v>
      </c>
      <c r="C670" s="9" t="s">
        <v>100</v>
      </c>
      <c r="D670" s="9" t="s">
        <v>163</v>
      </c>
      <c r="E670" s="10">
        <v>16</v>
      </c>
      <c r="F670" s="9" t="s">
        <v>161</v>
      </c>
      <c r="G670" s="10">
        <v>16</v>
      </c>
      <c r="H670" s="9" t="s">
        <v>316</v>
      </c>
      <c r="I670" s="9" t="s">
        <v>358</v>
      </c>
      <c r="J670" s="9"/>
      <c r="K670" s="9"/>
      <c r="L670" s="9"/>
      <c r="M670" s="12">
        <f t="shared" si="40"/>
        <v>0</v>
      </c>
      <c r="N670" s="13">
        <f t="shared" si="41"/>
        <v>233</v>
      </c>
      <c r="O670" s="14">
        <f t="shared" si="42"/>
        <v>233</v>
      </c>
      <c r="P670" s="15">
        <f t="shared" si="43"/>
        <v>0.28072289156626506</v>
      </c>
    </row>
    <row r="671" spans="1:16" ht="15.75" hidden="1" customHeight="1" x14ac:dyDescent="0.3">
      <c r="A671" s="9" t="s">
        <v>59</v>
      </c>
      <c r="B671" s="9" t="s">
        <v>367</v>
      </c>
      <c r="C671" s="9" t="s">
        <v>80</v>
      </c>
      <c r="D671" s="9" t="s">
        <v>162</v>
      </c>
      <c r="E671" s="10">
        <v>2</v>
      </c>
      <c r="F671" s="9" t="s">
        <v>161</v>
      </c>
      <c r="G671" s="11">
        <v>0</v>
      </c>
      <c r="H671" s="9" t="s">
        <v>316</v>
      </c>
      <c r="I671" s="9" t="s">
        <v>358</v>
      </c>
      <c r="J671" s="9"/>
      <c r="K671" s="9"/>
      <c r="L671" s="9"/>
      <c r="M671" s="12">
        <f t="shared" si="40"/>
        <v>0</v>
      </c>
      <c r="N671" s="13">
        <f t="shared" si="41"/>
        <v>233</v>
      </c>
      <c r="O671" s="14">
        <f t="shared" si="42"/>
        <v>233</v>
      </c>
      <c r="P671" s="15">
        <f t="shared" si="43"/>
        <v>0.28072289156626506</v>
      </c>
    </row>
    <row r="672" spans="1:16" ht="15.75" hidden="1" customHeight="1" x14ac:dyDescent="0.3">
      <c r="A672" s="9" t="s">
        <v>59</v>
      </c>
      <c r="B672" s="9" t="s">
        <v>367</v>
      </c>
      <c r="C672" s="9" t="s">
        <v>80</v>
      </c>
      <c r="D672" s="9" t="s">
        <v>163</v>
      </c>
      <c r="E672" s="10">
        <v>2</v>
      </c>
      <c r="F672" s="9" t="s">
        <v>161</v>
      </c>
      <c r="G672" s="11">
        <v>0</v>
      </c>
      <c r="H672" s="9" t="s">
        <v>316</v>
      </c>
      <c r="I672" s="9" t="s">
        <v>358</v>
      </c>
      <c r="J672" s="9"/>
      <c r="K672" s="9"/>
      <c r="L672" s="9"/>
      <c r="M672" s="12">
        <f t="shared" si="40"/>
        <v>0</v>
      </c>
      <c r="N672" s="13">
        <f t="shared" si="41"/>
        <v>233</v>
      </c>
      <c r="O672" s="14">
        <f t="shared" si="42"/>
        <v>233</v>
      </c>
      <c r="P672" s="15">
        <f t="shared" si="43"/>
        <v>0.28072289156626506</v>
      </c>
    </row>
    <row r="673" spans="1:16" ht="15.75" hidden="1" customHeight="1" x14ac:dyDescent="0.3">
      <c r="A673" s="9" t="s">
        <v>59</v>
      </c>
      <c r="B673" s="9" t="s">
        <v>368</v>
      </c>
      <c r="C673" s="9" t="s">
        <v>73</v>
      </c>
      <c r="D673" s="9" t="s">
        <v>160</v>
      </c>
      <c r="E673" s="10">
        <v>32</v>
      </c>
      <c r="F673" s="9" t="s">
        <v>161</v>
      </c>
      <c r="G673" s="10">
        <v>32</v>
      </c>
      <c r="H673" s="9" t="s">
        <v>70</v>
      </c>
      <c r="I673" s="9" t="s">
        <v>71</v>
      </c>
      <c r="J673" s="9"/>
      <c r="K673" s="9"/>
      <c r="L673" s="9"/>
      <c r="M673" s="12">
        <f t="shared" si="40"/>
        <v>391</v>
      </c>
      <c r="N673" s="13">
        <f t="shared" si="41"/>
        <v>436.5</v>
      </c>
      <c r="O673" s="14">
        <f t="shared" si="42"/>
        <v>827.5</v>
      </c>
      <c r="P673" s="15">
        <f t="shared" si="43"/>
        <v>0.99698795180722888</v>
      </c>
    </row>
    <row r="674" spans="1:16" ht="15.75" hidden="1" customHeight="1" x14ac:dyDescent="0.3">
      <c r="A674" s="9" t="s">
        <v>59</v>
      </c>
      <c r="B674" s="9" t="s">
        <v>368</v>
      </c>
      <c r="C674" s="9" t="s">
        <v>79</v>
      </c>
      <c r="D674" s="9" t="s">
        <v>162</v>
      </c>
      <c r="E674" s="10">
        <v>20</v>
      </c>
      <c r="F674" s="9" t="s">
        <v>161</v>
      </c>
      <c r="G674" s="10">
        <v>20</v>
      </c>
      <c r="H674" s="9" t="s">
        <v>70</v>
      </c>
      <c r="I674" s="9" t="s">
        <v>71</v>
      </c>
      <c r="J674" s="9"/>
      <c r="K674" s="9"/>
      <c r="L674" s="9"/>
      <c r="M674" s="12">
        <f t="shared" ref="M674:M737" si="44">SUMIFS($E$2:$E$1130,$A$2:$A$1130,"осень",$I$2:$I$1130,I674)</f>
        <v>391</v>
      </c>
      <c r="N674" s="13">
        <f t="shared" ref="N674:N737" si="45">SUMIFS($E$2:$E$1130,$A$2:$A$1130,"весна",$I$2:$I$1130,I674)</f>
        <v>436.5</v>
      </c>
      <c r="O674" s="14">
        <f t="shared" ref="O674:O737" si="46">M674+N674</f>
        <v>827.5</v>
      </c>
      <c r="P674" s="15">
        <f t="shared" ref="P674:P737" si="47">O674/$P$1</f>
        <v>0.99698795180722888</v>
      </c>
    </row>
    <row r="675" spans="1:16" ht="15.75" hidden="1" customHeight="1" x14ac:dyDescent="0.3">
      <c r="A675" s="9" t="s">
        <v>59</v>
      </c>
      <c r="B675" s="9" t="s">
        <v>368</v>
      </c>
      <c r="C675" s="9" t="s">
        <v>79</v>
      </c>
      <c r="D675" s="9" t="s">
        <v>163</v>
      </c>
      <c r="E675" s="10">
        <v>20</v>
      </c>
      <c r="F675" s="9" t="s">
        <v>161</v>
      </c>
      <c r="G675" s="10">
        <v>20</v>
      </c>
      <c r="H675" s="9" t="s">
        <v>70</v>
      </c>
      <c r="I675" s="9" t="s">
        <v>71</v>
      </c>
      <c r="J675" s="9"/>
      <c r="K675" s="9"/>
      <c r="L675" s="9"/>
      <c r="M675" s="12">
        <f t="shared" si="44"/>
        <v>391</v>
      </c>
      <c r="N675" s="13">
        <f t="shared" si="45"/>
        <v>436.5</v>
      </c>
      <c r="O675" s="14">
        <f t="shared" si="46"/>
        <v>827.5</v>
      </c>
      <c r="P675" s="15">
        <f t="shared" si="47"/>
        <v>0.99698795180722888</v>
      </c>
    </row>
    <row r="676" spans="1:16" ht="15.75" hidden="1" customHeight="1" x14ac:dyDescent="0.3">
      <c r="A676" s="9" t="s">
        <v>59</v>
      </c>
      <c r="B676" s="21" t="s">
        <v>368</v>
      </c>
      <c r="C676" s="21" t="s">
        <v>100</v>
      </c>
      <c r="D676" s="21" t="s">
        <v>162</v>
      </c>
      <c r="E676" s="23">
        <v>16</v>
      </c>
      <c r="F676" s="9" t="s">
        <v>161</v>
      </c>
      <c r="G676" s="10">
        <v>16</v>
      </c>
      <c r="H676" s="9" t="s">
        <v>70</v>
      </c>
      <c r="I676" s="9" t="s">
        <v>71</v>
      </c>
      <c r="J676" s="9"/>
      <c r="K676" s="9"/>
      <c r="L676" s="9"/>
      <c r="M676" s="12">
        <f t="shared" si="44"/>
        <v>391</v>
      </c>
      <c r="N676" s="13">
        <f t="shared" si="45"/>
        <v>436.5</v>
      </c>
      <c r="O676" s="14">
        <f t="shared" si="46"/>
        <v>827.5</v>
      </c>
      <c r="P676" s="15">
        <f t="shared" si="47"/>
        <v>0.99698795180722888</v>
      </c>
    </row>
    <row r="677" spans="1:16" ht="15.75" hidden="1" customHeight="1" x14ac:dyDescent="0.3">
      <c r="A677" s="9" t="s">
        <v>59</v>
      </c>
      <c r="B677" s="21" t="s">
        <v>368</v>
      </c>
      <c r="C677" s="21" t="s">
        <v>100</v>
      </c>
      <c r="D677" s="21" t="s">
        <v>162</v>
      </c>
      <c r="E677" s="23">
        <v>16</v>
      </c>
      <c r="F677" s="9" t="s">
        <v>161</v>
      </c>
      <c r="G677" s="10">
        <v>16</v>
      </c>
      <c r="H677" s="9" t="s">
        <v>98</v>
      </c>
      <c r="I677" s="9" t="s">
        <v>99</v>
      </c>
      <c r="J677" s="9" t="s">
        <v>4</v>
      </c>
      <c r="K677" s="9"/>
      <c r="L677" s="9"/>
      <c r="M677" s="12">
        <f t="shared" si="44"/>
        <v>239</v>
      </c>
      <c r="N677" s="13">
        <f t="shared" si="45"/>
        <v>196.5</v>
      </c>
      <c r="O677" s="14">
        <f t="shared" si="46"/>
        <v>435.5</v>
      </c>
      <c r="P677" s="15">
        <f t="shared" si="47"/>
        <v>0.52469879518072293</v>
      </c>
    </row>
    <row r="678" spans="1:16" ht="15.75" hidden="1" customHeight="1" x14ac:dyDescent="0.3">
      <c r="A678" s="9" t="s">
        <v>59</v>
      </c>
      <c r="B678" s="9" t="s">
        <v>368</v>
      </c>
      <c r="C678" s="9" t="s">
        <v>100</v>
      </c>
      <c r="D678" s="9" t="s">
        <v>163</v>
      </c>
      <c r="E678" s="10">
        <v>16</v>
      </c>
      <c r="F678" s="9" t="s">
        <v>161</v>
      </c>
      <c r="G678" s="10">
        <v>16</v>
      </c>
      <c r="H678" s="9" t="s">
        <v>98</v>
      </c>
      <c r="I678" s="9" t="s">
        <v>99</v>
      </c>
      <c r="J678" s="9" t="s">
        <v>4</v>
      </c>
      <c r="K678" s="9"/>
      <c r="L678" s="9"/>
      <c r="M678" s="12">
        <f t="shared" si="44"/>
        <v>239</v>
      </c>
      <c r="N678" s="13">
        <f t="shared" si="45"/>
        <v>196.5</v>
      </c>
      <c r="O678" s="14">
        <f t="shared" si="46"/>
        <v>435.5</v>
      </c>
      <c r="P678" s="15">
        <f t="shared" si="47"/>
        <v>0.52469879518072293</v>
      </c>
    </row>
    <row r="679" spans="1:16" ht="15.75" hidden="1" customHeight="1" x14ac:dyDescent="0.3">
      <c r="A679" s="9" t="s">
        <v>59</v>
      </c>
      <c r="B679" s="9" t="s">
        <v>368</v>
      </c>
      <c r="C679" s="9" t="s">
        <v>111</v>
      </c>
      <c r="D679" s="9" t="s">
        <v>162</v>
      </c>
      <c r="E679" s="10">
        <v>9</v>
      </c>
      <c r="F679" s="9" t="s">
        <v>161</v>
      </c>
      <c r="G679" s="11">
        <v>0</v>
      </c>
      <c r="H679" s="9" t="s">
        <v>70</v>
      </c>
      <c r="I679" s="9" t="s">
        <v>71</v>
      </c>
      <c r="J679" s="9"/>
      <c r="K679" s="9"/>
      <c r="L679" s="9"/>
      <c r="M679" s="12">
        <f t="shared" si="44"/>
        <v>391</v>
      </c>
      <c r="N679" s="13">
        <f t="shared" si="45"/>
        <v>436.5</v>
      </c>
      <c r="O679" s="14">
        <f t="shared" si="46"/>
        <v>827.5</v>
      </c>
      <c r="P679" s="15">
        <f t="shared" si="47"/>
        <v>0.99698795180722888</v>
      </c>
    </row>
    <row r="680" spans="1:16" ht="15.75" hidden="1" customHeight="1" x14ac:dyDescent="0.3">
      <c r="A680" s="9" t="s">
        <v>59</v>
      </c>
      <c r="B680" s="9" t="s">
        <v>368</v>
      </c>
      <c r="C680" s="9" t="s">
        <v>111</v>
      </c>
      <c r="D680" s="9" t="s">
        <v>163</v>
      </c>
      <c r="E680" s="10">
        <v>7</v>
      </c>
      <c r="F680" s="9" t="s">
        <v>161</v>
      </c>
      <c r="G680" s="11">
        <v>0</v>
      </c>
      <c r="H680" s="9" t="s">
        <v>70</v>
      </c>
      <c r="I680" s="9" t="s">
        <v>71</v>
      </c>
      <c r="J680" s="9"/>
      <c r="K680" s="9"/>
      <c r="L680" s="9"/>
      <c r="M680" s="12">
        <f t="shared" si="44"/>
        <v>391</v>
      </c>
      <c r="N680" s="13">
        <f t="shared" si="45"/>
        <v>436.5</v>
      </c>
      <c r="O680" s="14">
        <f t="shared" si="46"/>
        <v>827.5</v>
      </c>
      <c r="P680" s="15">
        <f t="shared" si="47"/>
        <v>0.99698795180722888</v>
      </c>
    </row>
    <row r="681" spans="1:16" ht="15.75" hidden="1" customHeight="1" x14ac:dyDescent="0.3">
      <c r="A681" s="9" t="s">
        <v>59</v>
      </c>
      <c r="B681" s="9" t="s">
        <v>368</v>
      </c>
      <c r="C681" s="9" t="s">
        <v>80</v>
      </c>
      <c r="D681" s="9" t="s">
        <v>162</v>
      </c>
      <c r="E681" s="10">
        <v>4</v>
      </c>
      <c r="F681" s="9" t="s">
        <v>161</v>
      </c>
      <c r="G681" s="11">
        <v>0</v>
      </c>
      <c r="H681" s="9" t="s">
        <v>70</v>
      </c>
      <c r="I681" s="9" t="s">
        <v>71</v>
      </c>
      <c r="J681" s="9"/>
      <c r="K681" s="9"/>
      <c r="L681" s="9"/>
      <c r="M681" s="12">
        <f t="shared" si="44"/>
        <v>391</v>
      </c>
      <c r="N681" s="13">
        <f t="shared" si="45"/>
        <v>436.5</v>
      </c>
      <c r="O681" s="14">
        <f t="shared" si="46"/>
        <v>827.5</v>
      </c>
      <c r="P681" s="15">
        <f t="shared" si="47"/>
        <v>0.99698795180722888</v>
      </c>
    </row>
    <row r="682" spans="1:16" ht="15.75" hidden="1" customHeight="1" x14ac:dyDescent="0.3">
      <c r="A682" s="9" t="s">
        <v>59</v>
      </c>
      <c r="B682" s="9" t="s">
        <v>368</v>
      </c>
      <c r="C682" s="9" t="s">
        <v>80</v>
      </c>
      <c r="D682" s="9" t="s">
        <v>163</v>
      </c>
      <c r="E682" s="10">
        <v>4</v>
      </c>
      <c r="F682" s="9" t="s">
        <v>161</v>
      </c>
      <c r="G682" s="11">
        <v>0</v>
      </c>
      <c r="H682" s="9" t="s">
        <v>70</v>
      </c>
      <c r="I682" s="9" t="s">
        <v>71</v>
      </c>
      <c r="J682" s="9"/>
      <c r="K682" s="9"/>
      <c r="L682" s="9"/>
      <c r="M682" s="12">
        <f t="shared" si="44"/>
        <v>391</v>
      </c>
      <c r="N682" s="13">
        <f t="shared" si="45"/>
        <v>436.5</v>
      </c>
      <c r="O682" s="14">
        <f t="shared" si="46"/>
        <v>827.5</v>
      </c>
      <c r="P682" s="15">
        <f t="shared" si="47"/>
        <v>0.99698795180722888</v>
      </c>
    </row>
    <row r="683" spans="1:16" ht="15.75" hidden="1" customHeight="1" x14ac:dyDescent="0.3">
      <c r="A683" s="9" t="s">
        <v>59</v>
      </c>
      <c r="B683" s="9" t="s">
        <v>369</v>
      </c>
      <c r="C683" s="9" t="s">
        <v>73</v>
      </c>
      <c r="D683" s="9" t="s">
        <v>103</v>
      </c>
      <c r="E683" s="10">
        <v>24</v>
      </c>
      <c r="F683" s="9" t="s">
        <v>107</v>
      </c>
      <c r="G683" s="10">
        <v>24</v>
      </c>
      <c r="H683" s="9" t="s">
        <v>245</v>
      </c>
      <c r="I683" s="9" t="s">
        <v>246</v>
      </c>
      <c r="J683" s="9"/>
      <c r="K683" s="9"/>
      <c r="L683" s="9"/>
      <c r="M683" s="12">
        <f t="shared" si="44"/>
        <v>200</v>
      </c>
      <c r="N683" s="13">
        <f t="shared" si="45"/>
        <v>271</v>
      </c>
      <c r="O683" s="14">
        <f t="shared" si="46"/>
        <v>471</v>
      </c>
      <c r="P683" s="15">
        <f t="shared" si="47"/>
        <v>0.56746987951807226</v>
      </c>
    </row>
    <row r="684" spans="1:16" ht="15.75" hidden="1" customHeight="1" x14ac:dyDescent="0.3">
      <c r="A684" s="9" t="s">
        <v>59</v>
      </c>
      <c r="B684" s="9" t="s">
        <v>369</v>
      </c>
      <c r="C684" s="9" t="s">
        <v>79</v>
      </c>
      <c r="D684" s="9" t="s">
        <v>103</v>
      </c>
      <c r="E684" s="10">
        <v>12</v>
      </c>
      <c r="F684" s="9" t="s">
        <v>107</v>
      </c>
      <c r="G684" s="10">
        <v>12</v>
      </c>
      <c r="H684" s="9" t="s">
        <v>245</v>
      </c>
      <c r="I684" s="9" t="s">
        <v>246</v>
      </c>
      <c r="J684" s="9"/>
      <c r="K684" s="9"/>
      <c r="L684" s="9"/>
      <c r="M684" s="12">
        <f t="shared" si="44"/>
        <v>200</v>
      </c>
      <c r="N684" s="13">
        <f t="shared" si="45"/>
        <v>271</v>
      </c>
      <c r="O684" s="14">
        <f t="shared" si="46"/>
        <v>471</v>
      </c>
      <c r="P684" s="15">
        <f t="shared" si="47"/>
        <v>0.56746987951807226</v>
      </c>
    </row>
    <row r="685" spans="1:16" ht="15.75" hidden="1" customHeight="1" x14ac:dyDescent="0.3">
      <c r="A685" s="9" t="s">
        <v>59</v>
      </c>
      <c r="B685" s="9" t="s">
        <v>369</v>
      </c>
      <c r="C685" s="9" t="s">
        <v>100</v>
      </c>
      <c r="D685" s="9" t="s">
        <v>103</v>
      </c>
      <c r="E685" s="10">
        <v>56</v>
      </c>
      <c r="F685" s="9" t="s">
        <v>107</v>
      </c>
      <c r="G685" s="10">
        <v>28</v>
      </c>
      <c r="H685" s="9" t="s">
        <v>245</v>
      </c>
      <c r="I685" s="9" t="s">
        <v>246</v>
      </c>
      <c r="J685" s="9"/>
      <c r="K685" s="9"/>
      <c r="L685" s="9"/>
      <c r="M685" s="12">
        <f t="shared" si="44"/>
        <v>200</v>
      </c>
      <c r="N685" s="13">
        <f t="shared" si="45"/>
        <v>271</v>
      </c>
      <c r="O685" s="14">
        <f t="shared" si="46"/>
        <v>471</v>
      </c>
      <c r="P685" s="15">
        <f t="shared" si="47"/>
        <v>0.56746987951807226</v>
      </c>
    </row>
    <row r="686" spans="1:16" ht="15.75" hidden="1" customHeight="1" x14ac:dyDescent="0.3">
      <c r="A686" s="9" t="s">
        <v>59</v>
      </c>
      <c r="B686" s="9" t="s">
        <v>369</v>
      </c>
      <c r="C686" s="9" t="s">
        <v>111</v>
      </c>
      <c r="D686" s="9" t="s">
        <v>103</v>
      </c>
      <c r="E686" s="10">
        <v>8</v>
      </c>
      <c r="F686" s="9" t="s">
        <v>107</v>
      </c>
      <c r="G686" s="11">
        <v>0</v>
      </c>
      <c r="H686" s="9" t="s">
        <v>245</v>
      </c>
      <c r="I686" s="9" t="s">
        <v>246</v>
      </c>
      <c r="J686" s="9"/>
      <c r="K686" s="9"/>
      <c r="L686" s="9"/>
      <c r="M686" s="12">
        <f t="shared" si="44"/>
        <v>200</v>
      </c>
      <c r="N686" s="13">
        <f t="shared" si="45"/>
        <v>271</v>
      </c>
      <c r="O686" s="14">
        <f t="shared" si="46"/>
        <v>471</v>
      </c>
      <c r="P686" s="15">
        <f t="shared" si="47"/>
        <v>0.56746987951807226</v>
      </c>
    </row>
    <row r="687" spans="1:16" ht="15.75" hidden="1" customHeight="1" x14ac:dyDescent="0.3">
      <c r="A687" s="9" t="s">
        <v>59</v>
      </c>
      <c r="B687" s="9" t="s">
        <v>369</v>
      </c>
      <c r="C687" s="9" t="s">
        <v>80</v>
      </c>
      <c r="D687" s="9" t="s">
        <v>103</v>
      </c>
      <c r="E687" s="10">
        <v>3</v>
      </c>
      <c r="F687" s="9" t="s">
        <v>107</v>
      </c>
      <c r="G687" s="11">
        <v>0</v>
      </c>
      <c r="H687" s="9" t="s">
        <v>245</v>
      </c>
      <c r="I687" s="9" t="s">
        <v>246</v>
      </c>
      <c r="J687" s="9"/>
      <c r="K687" s="9"/>
      <c r="L687" s="9"/>
      <c r="M687" s="12">
        <f t="shared" si="44"/>
        <v>200</v>
      </c>
      <c r="N687" s="13">
        <f t="shared" si="45"/>
        <v>271</v>
      </c>
      <c r="O687" s="14">
        <f t="shared" si="46"/>
        <v>471</v>
      </c>
      <c r="P687" s="15">
        <f t="shared" si="47"/>
        <v>0.56746987951807226</v>
      </c>
    </row>
    <row r="688" spans="1:16" ht="15.75" hidden="1" customHeight="1" x14ac:dyDescent="0.3">
      <c r="A688" s="22" t="s">
        <v>59</v>
      </c>
      <c r="B688" s="9" t="s">
        <v>370</v>
      </c>
      <c r="C688" s="9" t="s">
        <v>73</v>
      </c>
      <c r="D688" s="9" t="s">
        <v>199</v>
      </c>
      <c r="E688" s="10">
        <v>24</v>
      </c>
      <c r="F688" s="9" t="s">
        <v>195</v>
      </c>
      <c r="G688" s="10">
        <v>24</v>
      </c>
      <c r="H688" s="9" t="s">
        <v>222</v>
      </c>
      <c r="I688" s="9" t="s">
        <v>223</v>
      </c>
      <c r="J688" s="9" t="s">
        <v>4</v>
      </c>
      <c r="K688" s="9"/>
      <c r="L688" s="9"/>
      <c r="M688" s="12">
        <f t="shared" si="44"/>
        <v>41</v>
      </c>
      <c r="N688" s="13">
        <f t="shared" si="45"/>
        <v>124</v>
      </c>
      <c r="O688" s="14">
        <f t="shared" si="46"/>
        <v>165</v>
      </c>
      <c r="P688" s="15">
        <f t="shared" si="47"/>
        <v>0.19879518072289157</v>
      </c>
    </row>
    <row r="689" spans="1:16" ht="15.75" hidden="1" customHeight="1" x14ac:dyDescent="0.3">
      <c r="A689" s="22" t="s">
        <v>59</v>
      </c>
      <c r="B689" s="9" t="s">
        <v>370</v>
      </c>
      <c r="C689" s="9" t="s">
        <v>87</v>
      </c>
      <c r="D689" s="9" t="s">
        <v>199</v>
      </c>
      <c r="E689" s="10">
        <v>8</v>
      </c>
      <c r="F689" s="9" t="s">
        <v>195</v>
      </c>
      <c r="G689" s="11">
        <v>0</v>
      </c>
      <c r="H689" s="9" t="s">
        <v>222</v>
      </c>
      <c r="I689" s="9" t="s">
        <v>223</v>
      </c>
      <c r="J689" s="9" t="s">
        <v>4</v>
      </c>
      <c r="K689" s="9"/>
      <c r="L689" s="9"/>
      <c r="M689" s="12">
        <f t="shared" si="44"/>
        <v>41</v>
      </c>
      <c r="N689" s="13">
        <f t="shared" si="45"/>
        <v>124</v>
      </c>
      <c r="O689" s="14">
        <f t="shared" si="46"/>
        <v>165</v>
      </c>
      <c r="P689" s="15">
        <f t="shared" si="47"/>
        <v>0.19879518072289157</v>
      </c>
    </row>
    <row r="690" spans="1:16" ht="15.75" hidden="1" customHeight="1" x14ac:dyDescent="0.3">
      <c r="A690" s="22" t="s">
        <v>59</v>
      </c>
      <c r="B690" s="9" t="s">
        <v>370</v>
      </c>
      <c r="C690" s="9" t="s">
        <v>79</v>
      </c>
      <c r="D690" s="9" t="s">
        <v>199</v>
      </c>
      <c r="E690" s="10">
        <v>16</v>
      </c>
      <c r="F690" s="9" t="s">
        <v>195</v>
      </c>
      <c r="G690" s="10">
        <v>16</v>
      </c>
      <c r="H690" s="9" t="s">
        <v>222</v>
      </c>
      <c r="I690" s="9" t="s">
        <v>223</v>
      </c>
      <c r="J690" s="9" t="s">
        <v>4</v>
      </c>
      <c r="K690" s="9"/>
      <c r="L690" s="9"/>
      <c r="M690" s="12">
        <f t="shared" si="44"/>
        <v>41</v>
      </c>
      <c r="N690" s="13">
        <f t="shared" si="45"/>
        <v>124</v>
      </c>
      <c r="O690" s="14">
        <f t="shared" si="46"/>
        <v>165</v>
      </c>
      <c r="P690" s="15">
        <f t="shared" si="47"/>
        <v>0.19879518072289157</v>
      </c>
    </row>
    <row r="691" spans="1:16" ht="15.75" hidden="1" customHeight="1" x14ac:dyDescent="0.3">
      <c r="A691" s="22" t="s">
        <v>59</v>
      </c>
      <c r="B691" s="9" t="s">
        <v>370</v>
      </c>
      <c r="C691" s="9" t="s">
        <v>100</v>
      </c>
      <c r="D691" s="9" t="s">
        <v>199</v>
      </c>
      <c r="E691" s="10">
        <v>32</v>
      </c>
      <c r="F691" s="9" t="s">
        <v>195</v>
      </c>
      <c r="G691" s="10">
        <v>16</v>
      </c>
      <c r="H691" s="9" t="s">
        <v>222</v>
      </c>
      <c r="I691" s="9" t="s">
        <v>223</v>
      </c>
      <c r="J691" s="9" t="s">
        <v>4</v>
      </c>
      <c r="K691" s="9"/>
      <c r="L691" s="9"/>
      <c r="M691" s="12">
        <f t="shared" si="44"/>
        <v>41</v>
      </c>
      <c r="N691" s="13">
        <f t="shared" si="45"/>
        <v>124</v>
      </c>
      <c r="O691" s="14">
        <f t="shared" si="46"/>
        <v>165</v>
      </c>
      <c r="P691" s="15">
        <f t="shared" si="47"/>
        <v>0.19879518072289157</v>
      </c>
    </row>
    <row r="692" spans="1:16" ht="15.75" hidden="1" customHeight="1" x14ac:dyDescent="0.3">
      <c r="A692" s="22" t="s">
        <v>59</v>
      </c>
      <c r="B692" s="9" t="s">
        <v>370</v>
      </c>
      <c r="C692" s="9" t="s">
        <v>80</v>
      </c>
      <c r="D692" s="9" t="s">
        <v>199</v>
      </c>
      <c r="E692" s="10">
        <v>1</v>
      </c>
      <c r="F692" s="9" t="s">
        <v>195</v>
      </c>
      <c r="G692" s="11">
        <v>0</v>
      </c>
      <c r="H692" s="9" t="s">
        <v>222</v>
      </c>
      <c r="I692" s="9" t="s">
        <v>223</v>
      </c>
      <c r="J692" s="9" t="s">
        <v>4</v>
      </c>
      <c r="K692" s="9"/>
      <c r="L692" s="9"/>
      <c r="M692" s="12">
        <f t="shared" si="44"/>
        <v>41</v>
      </c>
      <c r="N692" s="13">
        <f t="shared" si="45"/>
        <v>124</v>
      </c>
      <c r="O692" s="14">
        <f t="shared" si="46"/>
        <v>165</v>
      </c>
      <c r="P692" s="15">
        <f t="shared" si="47"/>
        <v>0.19879518072289157</v>
      </c>
    </row>
    <row r="693" spans="1:16" ht="15.75" hidden="1" customHeight="1" x14ac:dyDescent="0.3">
      <c r="A693" s="22" t="s">
        <v>59</v>
      </c>
      <c r="B693" s="9" t="s">
        <v>371</v>
      </c>
      <c r="C693" s="9" t="s">
        <v>73</v>
      </c>
      <c r="D693" s="9" t="s">
        <v>139</v>
      </c>
      <c r="E693" s="10">
        <v>18</v>
      </c>
      <c r="F693" s="9" t="s">
        <v>238</v>
      </c>
      <c r="G693" s="10">
        <v>18</v>
      </c>
      <c r="H693" s="9" t="s">
        <v>115</v>
      </c>
      <c r="I693" s="9" t="s">
        <v>116</v>
      </c>
      <c r="J693" s="9" t="s">
        <v>4</v>
      </c>
      <c r="K693" s="9"/>
      <c r="L693" s="9"/>
      <c r="M693" s="12">
        <f t="shared" si="44"/>
        <v>381</v>
      </c>
      <c r="N693" s="13">
        <f t="shared" si="45"/>
        <v>367</v>
      </c>
      <c r="O693" s="14">
        <f t="shared" si="46"/>
        <v>748</v>
      </c>
      <c r="P693" s="15">
        <f t="shared" si="47"/>
        <v>0.90120481927710838</v>
      </c>
    </row>
    <row r="694" spans="1:16" ht="15.75" hidden="1" customHeight="1" x14ac:dyDescent="0.3">
      <c r="A694" s="22" t="s">
        <v>59</v>
      </c>
      <c r="B694" s="9" t="s">
        <v>371</v>
      </c>
      <c r="C694" s="9" t="s">
        <v>123</v>
      </c>
      <c r="D694" s="9" t="s">
        <v>139</v>
      </c>
      <c r="E694" s="10">
        <v>15</v>
      </c>
      <c r="F694" s="9" t="s">
        <v>238</v>
      </c>
      <c r="G694" s="11">
        <v>0</v>
      </c>
      <c r="H694" s="9" t="s">
        <v>115</v>
      </c>
      <c r="I694" s="9" t="s">
        <v>116</v>
      </c>
      <c r="J694" s="9" t="s">
        <v>4</v>
      </c>
      <c r="K694" s="9"/>
      <c r="L694" s="9"/>
      <c r="M694" s="12">
        <f t="shared" si="44"/>
        <v>381</v>
      </c>
      <c r="N694" s="13">
        <f t="shared" si="45"/>
        <v>367</v>
      </c>
      <c r="O694" s="14">
        <f t="shared" si="46"/>
        <v>748</v>
      </c>
      <c r="P694" s="15">
        <f t="shared" si="47"/>
        <v>0.90120481927710838</v>
      </c>
    </row>
    <row r="695" spans="1:16" ht="15.75" hidden="1" customHeight="1" x14ac:dyDescent="0.3">
      <c r="A695" s="22" t="s">
        <v>59</v>
      </c>
      <c r="B695" s="9" t="s">
        <v>371</v>
      </c>
      <c r="C695" s="9" t="s">
        <v>87</v>
      </c>
      <c r="D695" s="9" t="s">
        <v>139</v>
      </c>
      <c r="E695" s="10">
        <v>2</v>
      </c>
      <c r="F695" s="9" t="s">
        <v>238</v>
      </c>
      <c r="G695" s="11">
        <v>0</v>
      </c>
      <c r="H695" s="9" t="s">
        <v>115</v>
      </c>
      <c r="I695" s="9" t="s">
        <v>116</v>
      </c>
      <c r="J695" s="9" t="s">
        <v>4</v>
      </c>
      <c r="K695" s="9"/>
      <c r="L695" s="9"/>
      <c r="M695" s="12">
        <f t="shared" si="44"/>
        <v>381</v>
      </c>
      <c r="N695" s="13">
        <f t="shared" si="45"/>
        <v>367</v>
      </c>
      <c r="O695" s="14">
        <f t="shared" si="46"/>
        <v>748</v>
      </c>
      <c r="P695" s="15">
        <f t="shared" si="47"/>
        <v>0.90120481927710838</v>
      </c>
    </row>
    <row r="696" spans="1:16" ht="15.75" hidden="1" customHeight="1" x14ac:dyDescent="0.3">
      <c r="A696" s="22" t="s">
        <v>59</v>
      </c>
      <c r="B696" s="9" t="s">
        <v>371</v>
      </c>
      <c r="C696" s="9" t="s">
        <v>79</v>
      </c>
      <c r="D696" s="9" t="s">
        <v>139</v>
      </c>
      <c r="E696" s="10">
        <v>44</v>
      </c>
      <c r="F696" s="9" t="s">
        <v>238</v>
      </c>
      <c r="G696" s="10">
        <v>44</v>
      </c>
      <c r="H696" s="9" t="s">
        <v>115</v>
      </c>
      <c r="I696" s="9" t="s">
        <v>116</v>
      </c>
      <c r="J696" s="9" t="s">
        <v>4</v>
      </c>
      <c r="K696" s="9"/>
      <c r="L696" s="9"/>
      <c r="M696" s="12">
        <f t="shared" si="44"/>
        <v>381</v>
      </c>
      <c r="N696" s="13">
        <f t="shared" si="45"/>
        <v>367</v>
      </c>
      <c r="O696" s="14">
        <f t="shared" si="46"/>
        <v>748</v>
      </c>
      <c r="P696" s="15">
        <f t="shared" si="47"/>
        <v>0.90120481927710838</v>
      </c>
    </row>
    <row r="697" spans="1:16" ht="15.75" hidden="1" customHeight="1" x14ac:dyDescent="0.3">
      <c r="A697" s="22" t="s">
        <v>59</v>
      </c>
      <c r="B697" s="9" t="s">
        <v>371</v>
      </c>
      <c r="C697" s="9" t="s">
        <v>80</v>
      </c>
      <c r="D697" s="9" t="s">
        <v>139</v>
      </c>
      <c r="E697" s="10">
        <v>1</v>
      </c>
      <c r="F697" s="9" t="s">
        <v>238</v>
      </c>
      <c r="G697" s="11">
        <v>0</v>
      </c>
      <c r="H697" s="9" t="s">
        <v>115</v>
      </c>
      <c r="I697" s="9" t="s">
        <v>116</v>
      </c>
      <c r="J697" s="9" t="s">
        <v>4</v>
      </c>
      <c r="K697" s="9"/>
      <c r="L697" s="9"/>
      <c r="M697" s="12">
        <f t="shared" si="44"/>
        <v>381</v>
      </c>
      <c r="N697" s="13">
        <f t="shared" si="45"/>
        <v>367</v>
      </c>
      <c r="O697" s="14">
        <f t="shared" si="46"/>
        <v>748</v>
      </c>
      <c r="P697" s="15">
        <f t="shared" si="47"/>
        <v>0.90120481927710838</v>
      </c>
    </row>
    <row r="698" spans="1:16" ht="15.75" hidden="1" customHeight="1" x14ac:dyDescent="0.3">
      <c r="A698" s="9" t="s">
        <v>59</v>
      </c>
      <c r="B698" s="9" t="s">
        <v>143</v>
      </c>
      <c r="C698" s="9" t="s">
        <v>73</v>
      </c>
      <c r="D698" s="9" t="s">
        <v>141</v>
      </c>
      <c r="E698" s="10">
        <v>12</v>
      </c>
      <c r="F698" s="9" t="s">
        <v>145</v>
      </c>
      <c r="G698" s="10">
        <v>12</v>
      </c>
      <c r="H698" s="9" t="s">
        <v>108</v>
      </c>
      <c r="I698" s="9" t="s">
        <v>109</v>
      </c>
      <c r="J698" s="9"/>
      <c r="K698" s="9"/>
      <c r="L698" s="9"/>
      <c r="M698" s="12">
        <f t="shared" si="44"/>
        <v>232.8</v>
      </c>
      <c r="N698" s="13">
        <f t="shared" si="45"/>
        <v>220</v>
      </c>
      <c r="O698" s="14">
        <f t="shared" si="46"/>
        <v>452.8</v>
      </c>
      <c r="P698" s="15">
        <f t="shared" si="47"/>
        <v>0.54554216867469885</v>
      </c>
    </row>
    <row r="699" spans="1:16" ht="15.75" hidden="1" customHeight="1" x14ac:dyDescent="0.3">
      <c r="A699" s="9" t="s">
        <v>59</v>
      </c>
      <c r="B699" s="9" t="s">
        <v>143</v>
      </c>
      <c r="C699" s="9" t="s">
        <v>79</v>
      </c>
      <c r="D699" s="9" t="s">
        <v>141</v>
      </c>
      <c r="E699" s="10">
        <v>36</v>
      </c>
      <c r="F699" s="9" t="s">
        <v>145</v>
      </c>
      <c r="G699" s="10">
        <v>36</v>
      </c>
      <c r="H699" s="9" t="s">
        <v>108</v>
      </c>
      <c r="I699" s="9" t="s">
        <v>109</v>
      </c>
      <c r="J699" s="9"/>
      <c r="K699" s="9"/>
      <c r="L699" s="9"/>
      <c r="M699" s="12">
        <f t="shared" si="44"/>
        <v>232.8</v>
      </c>
      <c r="N699" s="13">
        <f t="shared" si="45"/>
        <v>220</v>
      </c>
      <c r="O699" s="14">
        <f t="shared" si="46"/>
        <v>452.8</v>
      </c>
      <c r="P699" s="15">
        <f t="shared" si="47"/>
        <v>0.54554216867469885</v>
      </c>
    </row>
    <row r="700" spans="1:16" ht="15.75" hidden="1" customHeight="1" x14ac:dyDescent="0.3">
      <c r="A700" s="9" t="s">
        <v>59</v>
      </c>
      <c r="B700" s="9" t="s">
        <v>143</v>
      </c>
      <c r="C700" s="9" t="s">
        <v>111</v>
      </c>
      <c r="D700" s="9" t="s">
        <v>141</v>
      </c>
      <c r="E700" s="10">
        <v>3</v>
      </c>
      <c r="F700" s="9" t="s">
        <v>145</v>
      </c>
      <c r="G700" s="11">
        <v>0</v>
      </c>
      <c r="H700" s="9" t="s">
        <v>108</v>
      </c>
      <c r="I700" s="9" t="s">
        <v>109</v>
      </c>
      <c r="J700" s="9"/>
      <c r="K700" s="9"/>
      <c r="L700" s="9"/>
      <c r="M700" s="12">
        <f t="shared" si="44"/>
        <v>232.8</v>
      </c>
      <c r="N700" s="13">
        <f t="shared" si="45"/>
        <v>220</v>
      </c>
      <c r="O700" s="14">
        <f t="shared" si="46"/>
        <v>452.8</v>
      </c>
      <c r="P700" s="15">
        <f t="shared" si="47"/>
        <v>0.54554216867469885</v>
      </c>
    </row>
    <row r="701" spans="1:16" ht="15.75" hidden="1" customHeight="1" x14ac:dyDescent="0.3">
      <c r="A701" s="9" t="s">
        <v>59</v>
      </c>
      <c r="B701" s="9" t="s">
        <v>143</v>
      </c>
      <c r="C701" s="9" t="s">
        <v>80</v>
      </c>
      <c r="D701" s="9" t="s">
        <v>141</v>
      </c>
      <c r="E701" s="10">
        <v>3</v>
      </c>
      <c r="F701" s="9" t="s">
        <v>145</v>
      </c>
      <c r="G701" s="11">
        <v>0</v>
      </c>
      <c r="H701" s="9" t="s">
        <v>108</v>
      </c>
      <c r="I701" s="9" t="s">
        <v>109</v>
      </c>
      <c r="J701" s="9"/>
      <c r="K701" s="9"/>
      <c r="L701" s="9"/>
      <c r="M701" s="12">
        <f t="shared" si="44"/>
        <v>232.8</v>
      </c>
      <c r="N701" s="13">
        <f t="shared" si="45"/>
        <v>220</v>
      </c>
      <c r="O701" s="14">
        <f t="shared" si="46"/>
        <v>452.8</v>
      </c>
      <c r="P701" s="15">
        <f t="shared" si="47"/>
        <v>0.54554216867469885</v>
      </c>
    </row>
    <row r="702" spans="1:16" ht="15.75" hidden="1" customHeight="1" x14ac:dyDescent="0.3">
      <c r="A702" s="9" t="s">
        <v>59</v>
      </c>
      <c r="B702" s="9" t="s">
        <v>149</v>
      </c>
      <c r="C702" s="9" t="s">
        <v>73</v>
      </c>
      <c r="D702" s="9" t="s">
        <v>141</v>
      </c>
      <c r="E702" s="10">
        <v>8</v>
      </c>
      <c r="F702" s="9" t="s">
        <v>145</v>
      </c>
      <c r="G702" s="10">
        <v>8</v>
      </c>
      <c r="H702" s="9" t="s">
        <v>291</v>
      </c>
      <c r="I702" s="9" t="s">
        <v>292</v>
      </c>
      <c r="J702" s="9"/>
      <c r="K702" s="9"/>
      <c r="L702" s="9"/>
      <c r="M702" s="12">
        <f t="shared" si="44"/>
        <v>44</v>
      </c>
      <c r="N702" s="13">
        <f t="shared" si="45"/>
        <v>61</v>
      </c>
      <c r="O702" s="14">
        <f t="shared" si="46"/>
        <v>105</v>
      </c>
      <c r="P702" s="15">
        <f t="shared" si="47"/>
        <v>0.12650602409638553</v>
      </c>
    </row>
    <row r="703" spans="1:16" ht="15.75" hidden="1" customHeight="1" x14ac:dyDescent="0.3">
      <c r="A703" s="9" t="s">
        <v>59</v>
      </c>
      <c r="B703" s="9" t="s">
        <v>149</v>
      </c>
      <c r="C703" s="9" t="s">
        <v>79</v>
      </c>
      <c r="D703" s="9" t="s">
        <v>141</v>
      </c>
      <c r="E703" s="10">
        <v>28</v>
      </c>
      <c r="F703" s="9" t="s">
        <v>145</v>
      </c>
      <c r="G703" s="10">
        <v>28</v>
      </c>
      <c r="H703" s="9" t="s">
        <v>291</v>
      </c>
      <c r="I703" s="9" t="s">
        <v>292</v>
      </c>
      <c r="J703" s="9"/>
      <c r="K703" s="9"/>
      <c r="L703" s="9"/>
      <c r="M703" s="12">
        <f t="shared" si="44"/>
        <v>44</v>
      </c>
      <c r="N703" s="13">
        <f t="shared" si="45"/>
        <v>61</v>
      </c>
      <c r="O703" s="14">
        <f t="shared" si="46"/>
        <v>105</v>
      </c>
      <c r="P703" s="15">
        <f t="shared" si="47"/>
        <v>0.12650602409638553</v>
      </c>
    </row>
    <row r="704" spans="1:16" ht="15.75" hidden="1" customHeight="1" x14ac:dyDescent="0.3">
      <c r="A704" s="9" t="s">
        <v>59</v>
      </c>
      <c r="B704" s="9" t="s">
        <v>149</v>
      </c>
      <c r="C704" s="9" t="s">
        <v>111</v>
      </c>
      <c r="D704" s="9" t="s">
        <v>141</v>
      </c>
      <c r="E704" s="10">
        <v>3</v>
      </c>
      <c r="F704" s="9" t="s">
        <v>145</v>
      </c>
      <c r="G704" s="11">
        <v>0</v>
      </c>
      <c r="H704" s="9" t="s">
        <v>291</v>
      </c>
      <c r="I704" s="9" t="s">
        <v>292</v>
      </c>
      <c r="J704" s="9"/>
      <c r="K704" s="9"/>
      <c r="L704" s="9"/>
      <c r="M704" s="12">
        <f t="shared" si="44"/>
        <v>44</v>
      </c>
      <c r="N704" s="13">
        <f t="shared" si="45"/>
        <v>61</v>
      </c>
      <c r="O704" s="14">
        <f t="shared" si="46"/>
        <v>105</v>
      </c>
      <c r="P704" s="15">
        <f t="shared" si="47"/>
        <v>0.12650602409638553</v>
      </c>
    </row>
    <row r="705" spans="1:16" ht="15.75" hidden="1" customHeight="1" x14ac:dyDescent="0.3">
      <c r="A705" s="9" t="s">
        <v>59</v>
      </c>
      <c r="B705" s="9" t="s">
        <v>149</v>
      </c>
      <c r="C705" s="9" t="s">
        <v>80</v>
      </c>
      <c r="D705" s="9" t="s">
        <v>141</v>
      </c>
      <c r="E705" s="10">
        <v>2</v>
      </c>
      <c r="F705" s="9" t="s">
        <v>145</v>
      </c>
      <c r="G705" s="11">
        <v>0</v>
      </c>
      <c r="H705" s="9" t="s">
        <v>291</v>
      </c>
      <c r="I705" s="9" t="s">
        <v>292</v>
      </c>
      <c r="J705" s="9"/>
      <c r="K705" s="9"/>
      <c r="L705" s="9"/>
      <c r="M705" s="12">
        <f t="shared" si="44"/>
        <v>44</v>
      </c>
      <c r="N705" s="13">
        <f t="shared" si="45"/>
        <v>61</v>
      </c>
      <c r="O705" s="14">
        <f t="shared" si="46"/>
        <v>105</v>
      </c>
      <c r="P705" s="15">
        <f t="shared" si="47"/>
        <v>0.12650602409638553</v>
      </c>
    </row>
    <row r="706" spans="1:16" ht="15.75" hidden="1" customHeight="1" x14ac:dyDescent="0.3">
      <c r="A706" s="9" t="s">
        <v>59</v>
      </c>
      <c r="B706" s="9" t="s">
        <v>150</v>
      </c>
      <c r="C706" s="9" t="s">
        <v>73</v>
      </c>
      <c r="D706" s="9" t="s">
        <v>141</v>
      </c>
      <c r="E706" s="10">
        <v>8</v>
      </c>
      <c r="F706" s="9" t="s">
        <v>145</v>
      </c>
      <c r="G706" s="10">
        <v>8</v>
      </c>
      <c r="H706" s="9" t="s">
        <v>76</v>
      </c>
      <c r="I706" s="9" t="s">
        <v>77</v>
      </c>
      <c r="J706" s="9"/>
      <c r="K706" s="9"/>
      <c r="L706" s="9"/>
      <c r="M706" s="12">
        <f t="shared" si="44"/>
        <v>249</v>
      </c>
      <c r="N706" s="13">
        <f t="shared" si="45"/>
        <v>294</v>
      </c>
      <c r="O706" s="14">
        <f t="shared" si="46"/>
        <v>543</v>
      </c>
      <c r="P706" s="15">
        <f t="shared" si="47"/>
        <v>0.6542168674698795</v>
      </c>
    </row>
    <row r="707" spans="1:16" ht="15.75" hidden="1" customHeight="1" x14ac:dyDescent="0.3">
      <c r="A707" s="9" t="s">
        <v>59</v>
      </c>
      <c r="B707" s="9" t="s">
        <v>150</v>
      </c>
      <c r="C707" s="9" t="s">
        <v>123</v>
      </c>
      <c r="D707" s="9" t="s">
        <v>141</v>
      </c>
      <c r="E707" s="10">
        <v>18</v>
      </c>
      <c r="F707" s="9" t="s">
        <v>145</v>
      </c>
      <c r="G707" s="11">
        <v>0</v>
      </c>
      <c r="H707" s="9" t="s">
        <v>76</v>
      </c>
      <c r="I707" s="9" t="s">
        <v>77</v>
      </c>
      <c r="J707" s="9"/>
      <c r="K707" s="9"/>
      <c r="L707" s="9"/>
      <c r="M707" s="12">
        <f t="shared" si="44"/>
        <v>249</v>
      </c>
      <c r="N707" s="13">
        <f t="shared" si="45"/>
        <v>294</v>
      </c>
      <c r="O707" s="14">
        <f t="shared" si="46"/>
        <v>543</v>
      </c>
      <c r="P707" s="15">
        <f t="shared" si="47"/>
        <v>0.6542168674698795</v>
      </c>
    </row>
    <row r="708" spans="1:16" ht="15.75" hidden="1" customHeight="1" x14ac:dyDescent="0.3">
      <c r="A708" s="9" t="s">
        <v>59</v>
      </c>
      <c r="B708" s="9" t="s">
        <v>150</v>
      </c>
      <c r="C708" s="9" t="s">
        <v>87</v>
      </c>
      <c r="D708" s="9" t="s">
        <v>141</v>
      </c>
      <c r="E708" s="10">
        <v>2</v>
      </c>
      <c r="F708" s="9" t="s">
        <v>145</v>
      </c>
      <c r="G708" s="11">
        <v>0</v>
      </c>
      <c r="H708" s="9" t="s">
        <v>76</v>
      </c>
      <c r="I708" s="9" t="s">
        <v>77</v>
      </c>
      <c r="J708" s="9"/>
      <c r="K708" s="9"/>
      <c r="L708" s="9"/>
      <c r="M708" s="12">
        <f t="shared" si="44"/>
        <v>249</v>
      </c>
      <c r="N708" s="13">
        <f t="shared" si="45"/>
        <v>294</v>
      </c>
      <c r="O708" s="14">
        <f t="shared" si="46"/>
        <v>543</v>
      </c>
      <c r="P708" s="15">
        <f t="shared" si="47"/>
        <v>0.6542168674698795</v>
      </c>
    </row>
    <row r="709" spans="1:16" ht="15.75" hidden="1" customHeight="1" x14ac:dyDescent="0.3">
      <c r="A709" s="9" t="s">
        <v>59</v>
      </c>
      <c r="B709" s="9" t="s">
        <v>150</v>
      </c>
      <c r="C709" s="9" t="s">
        <v>79</v>
      </c>
      <c r="D709" s="9" t="s">
        <v>141</v>
      </c>
      <c r="E709" s="10">
        <v>28</v>
      </c>
      <c r="F709" s="9" t="s">
        <v>145</v>
      </c>
      <c r="G709" s="10">
        <v>28</v>
      </c>
      <c r="H709" s="9" t="s">
        <v>76</v>
      </c>
      <c r="I709" s="9" t="s">
        <v>77</v>
      </c>
      <c r="J709" s="9"/>
      <c r="K709" s="9"/>
      <c r="L709" s="9"/>
      <c r="M709" s="12">
        <f t="shared" si="44"/>
        <v>249</v>
      </c>
      <c r="N709" s="13">
        <f t="shared" si="45"/>
        <v>294</v>
      </c>
      <c r="O709" s="14">
        <f t="shared" si="46"/>
        <v>543</v>
      </c>
      <c r="P709" s="15">
        <f t="shared" si="47"/>
        <v>0.6542168674698795</v>
      </c>
    </row>
    <row r="710" spans="1:16" ht="15.75" hidden="1" customHeight="1" x14ac:dyDescent="0.3">
      <c r="A710" s="9" t="s">
        <v>59</v>
      </c>
      <c r="B710" s="9" t="s">
        <v>157</v>
      </c>
      <c r="C710" s="9" t="s">
        <v>73</v>
      </c>
      <c r="D710" s="9" t="s">
        <v>140</v>
      </c>
      <c r="E710" s="10">
        <v>12</v>
      </c>
      <c r="F710" s="9" t="s">
        <v>153</v>
      </c>
      <c r="G710" s="10">
        <v>12</v>
      </c>
      <c r="H710" s="9" t="s">
        <v>154</v>
      </c>
      <c r="I710" s="9" t="s">
        <v>155</v>
      </c>
      <c r="J710" s="9"/>
      <c r="K710" s="9"/>
      <c r="L710" s="9"/>
      <c r="M710" s="12">
        <f t="shared" si="44"/>
        <v>302</v>
      </c>
      <c r="N710" s="13">
        <f t="shared" si="45"/>
        <v>124.5</v>
      </c>
      <c r="O710" s="14">
        <f t="shared" si="46"/>
        <v>426.5</v>
      </c>
      <c r="P710" s="15">
        <f t="shared" si="47"/>
        <v>0.51385542168674703</v>
      </c>
    </row>
    <row r="711" spans="1:16" ht="15.75" hidden="1" customHeight="1" x14ac:dyDescent="0.3">
      <c r="A711" s="9" t="s">
        <v>59</v>
      </c>
      <c r="B711" s="9" t="s">
        <v>157</v>
      </c>
      <c r="C711" s="9" t="s">
        <v>87</v>
      </c>
      <c r="D711" s="9" t="s">
        <v>140</v>
      </c>
      <c r="E711" s="10">
        <v>2</v>
      </c>
      <c r="F711" s="9" t="s">
        <v>153</v>
      </c>
      <c r="G711" s="11">
        <v>0</v>
      </c>
      <c r="H711" s="9" t="s">
        <v>154</v>
      </c>
      <c r="I711" s="9" t="s">
        <v>155</v>
      </c>
      <c r="J711" s="9"/>
      <c r="K711" s="9"/>
      <c r="L711" s="9"/>
      <c r="M711" s="12">
        <f t="shared" si="44"/>
        <v>302</v>
      </c>
      <c r="N711" s="13">
        <f t="shared" si="45"/>
        <v>124.5</v>
      </c>
      <c r="O711" s="14">
        <f t="shared" si="46"/>
        <v>426.5</v>
      </c>
      <c r="P711" s="15">
        <f t="shared" si="47"/>
        <v>0.51385542168674703</v>
      </c>
    </row>
    <row r="712" spans="1:16" ht="15.75" hidden="1" customHeight="1" x14ac:dyDescent="0.3">
      <c r="A712" s="9" t="s">
        <v>59</v>
      </c>
      <c r="B712" s="9" t="s">
        <v>157</v>
      </c>
      <c r="C712" s="9" t="s">
        <v>79</v>
      </c>
      <c r="D712" s="9" t="s">
        <v>140</v>
      </c>
      <c r="E712" s="10">
        <v>24</v>
      </c>
      <c r="F712" s="9" t="s">
        <v>153</v>
      </c>
      <c r="G712" s="10">
        <v>24</v>
      </c>
      <c r="H712" s="9" t="s">
        <v>154</v>
      </c>
      <c r="I712" s="9" t="s">
        <v>155</v>
      </c>
      <c r="J712" s="9"/>
      <c r="K712" s="9"/>
      <c r="L712" s="9"/>
      <c r="M712" s="12">
        <f t="shared" si="44"/>
        <v>302</v>
      </c>
      <c r="N712" s="13">
        <f t="shared" si="45"/>
        <v>124.5</v>
      </c>
      <c r="O712" s="14">
        <f t="shared" si="46"/>
        <v>426.5</v>
      </c>
      <c r="P712" s="15">
        <f t="shared" si="47"/>
        <v>0.51385542168674703</v>
      </c>
    </row>
    <row r="713" spans="1:16" ht="15.75" hidden="1" customHeight="1" x14ac:dyDescent="0.3">
      <c r="A713" s="9" t="s">
        <v>59</v>
      </c>
      <c r="B713" s="9" t="s">
        <v>157</v>
      </c>
      <c r="C713" s="9" t="s">
        <v>80</v>
      </c>
      <c r="D713" s="9" t="s">
        <v>140</v>
      </c>
      <c r="E713" s="10">
        <v>1</v>
      </c>
      <c r="F713" s="9" t="s">
        <v>153</v>
      </c>
      <c r="G713" s="11">
        <v>0</v>
      </c>
      <c r="H713" s="9" t="s">
        <v>154</v>
      </c>
      <c r="I713" s="9" t="s">
        <v>155</v>
      </c>
      <c r="J713" s="9"/>
      <c r="K713" s="9"/>
      <c r="L713" s="9"/>
      <c r="M713" s="12">
        <f t="shared" si="44"/>
        <v>302</v>
      </c>
      <c r="N713" s="13">
        <f t="shared" si="45"/>
        <v>124.5</v>
      </c>
      <c r="O713" s="14">
        <f t="shared" si="46"/>
        <v>426.5</v>
      </c>
      <c r="P713" s="15">
        <f t="shared" si="47"/>
        <v>0.51385542168674703</v>
      </c>
    </row>
    <row r="714" spans="1:16" ht="15.75" hidden="1" customHeight="1" x14ac:dyDescent="0.3">
      <c r="A714" s="9" t="s">
        <v>59</v>
      </c>
      <c r="B714" s="9" t="s">
        <v>372</v>
      </c>
      <c r="C714" s="9" t="s">
        <v>73</v>
      </c>
      <c r="D714" s="9" t="s">
        <v>82</v>
      </c>
      <c r="E714" s="10">
        <v>24</v>
      </c>
      <c r="F714" s="9" t="s">
        <v>83</v>
      </c>
      <c r="G714" s="10">
        <v>24</v>
      </c>
      <c r="H714" s="9" t="s">
        <v>328</v>
      </c>
      <c r="I714" s="9" t="s">
        <v>329</v>
      </c>
      <c r="J714" s="9"/>
      <c r="K714" s="9"/>
      <c r="L714" s="9"/>
      <c r="M714" s="12">
        <f t="shared" si="44"/>
        <v>39</v>
      </c>
      <c r="N714" s="13">
        <f t="shared" si="45"/>
        <v>194</v>
      </c>
      <c r="O714" s="14">
        <f t="shared" si="46"/>
        <v>233</v>
      </c>
      <c r="P714" s="15">
        <f t="shared" si="47"/>
        <v>0.28072289156626506</v>
      </c>
    </row>
    <row r="715" spans="1:16" ht="15.75" hidden="1" customHeight="1" x14ac:dyDescent="0.3">
      <c r="A715" s="9" t="s">
        <v>59</v>
      </c>
      <c r="B715" s="9" t="s">
        <v>372</v>
      </c>
      <c r="C715" s="9" t="s">
        <v>73</v>
      </c>
      <c r="D715" s="9" t="s">
        <v>294</v>
      </c>
      <c r="E715" s="10">
        <v>24</v>
      </c>
      <c r="F715" s="9" t="s">
        <v>161</v>
      </c>
      <c r="G715" s="10">
        <v>24</v>
      </c>
      <c r="H715" s="9" t="s">
        <v>328</v>
      </c>
      <c r="I715" s="9" t="s">
        <v>329</v>
      </c>
      <c r="J715" s="9"/>
      <c r="K715" s="9"/>
      <c r="L715" s="9"/>
      <c r="M715" s="12">
        <f t="shared" si="44"/>
        <v>39</v>
      </c>
      <c r="N715" s="13">
        <f t="shared" si="45"/>
        <v>194</v>
      </c>
      <c r="O715" s="14">
        <f t="shared" si="46"/>
        <v>233</v>
      </c>
      <c r="P715" s="15">
        <f t="shared" si="47"/>
        <v>0.28072289156626506</v>
      </c>
    </row>
    <row r="716" spans="1:16" ht="15.75" hidden="1" customHeight="1" x14ac:dyDescent="0.3">
      <c r="A716" s="9" t="s">
        <v>59</v>
      </c>
      <c r="B716" s="9" t="s">
        <v>372</v>
      </c>
      <c r="C716" s="9" t="s">
        <v>87</v>
      </c>
      <c r="D716" s="9" t="s">
        <v>295</v>
      </c>
      <c r="E716" s="10">
        <v>6</v>
      </c>
      <c r="F716" s="9" t="s">
        <v>161</v>
      </c>
      <c r="G716" s="11">
        <v>0</v>
      </c>
      <c r="H716" s="9" t="s">
        <v>328</v>
      </c>
      <c r="I716" s="9" t="s">
        <v>329</v>
      </c>
      <c r="J716" s="9"/>
      <c r="K716" s="9"/>
      <c r="L716" s="9"/>
      <c r="M716" s="12">
        <f t="shared" si="44"/>
        <v>39</v>
      </c>
      <c r="N716" s="13">
        <f t="shared" si="45"/>
        <v>194</v>
      </c>
      <c r="O716" s="14">
        <f t="shared" si="46"/>
        <v>233</v>
      </c>
      <c r="P716" s="15">
        <f t="shared" si="47"/>
        <v>0.28072289156626506</v>
      </c>
    </row>
    <row r="717" spans="1:16" ht="15.75" hidden="1" customHeight="1" x14ac:dyDescent="0.3">
      <c r="A717" s="9" t="s">
        <v>59</v>
      </c>
      <c r="B717" s="9" t="s">
        <v>372</v>
      </c>
      <c r="C717" s="9" t="s">
        <v>87</v>
      </c>
      <c r="D717" s="9" t="s">
        <v>296</v>
      </c>
      <c r="E717" s="10">
        <v>8</v>
      </c>
      <c r="F717" s="9" t="s">
        <v>161</v>
      </c>
      <c r="G717" s="11">
        <v>0</v>
      </c>
      <c r="H717" s="9" t="s">
        <v>328</v>
      </c>
      <c r="I717" s="9" t="s">
        <v>329</v>
      </c>
      <c r="J717" s="9"/>
      <c r="K717" s="9"/>
      <c r="L717" s="9"/>
      <c r="M717" s="12">
        <f t="shared" si="44"/>
        <v>39</v>
      </c>
      <c r="N717" s="13">
        <f t="shared" si="45"/>
        <v>194</v>
      </c>
      <c r="O717" s="14">
        <f t="shared" si="46"/>
        <v>233</v>
      </c>
      <c r="P717" s="15">
        <f t="shared" si="47"/>
        <v>0.28072289156626506</v>
      </c>
    </row>
    <row r="718" spans="1:16" ht="15.75" hidden="1" customHeight="1" x14ac:dyDescent="0.3">
      <c r="A718" s="9" t="s">
        <v>59</v>
      </c>
      <c r="B718" s="9" t="s">
        <v>372</v>
      </c>
      <c r="C718" s="9" t="s">
        <v>79</v>
      </c>
      <c r="D718" s="9" t="s">
        <v>88</v>
      </c>
      <c r="E718" s="10">
        <v>26</v>
      </c>
      <c r="F718" s="9" t="s">
        <v>83</v>
      </c>
      <c r="G718" s="10">
        <v>26</v>
      </c>
      <c r="H718" s="9" t="s">
        <v>328</v>
      </c>
      <c r="I718" s="9" t="s">
        <v>329</v>
      </c>
      <c r="J718" s="9"/>
      <c r="K718" s="9"/>
      <c r="L718" s="9"/>
      <c r="M718" s="12">
        <f t="shared" si="44"/>
        <v>39</v>
      </c>
      <c r="N718" s="13">
        <f t="shared" si="45"/>
        <v>194</v>
      </c>
      <c r="O718" s="14">
        <f t="shared" si="46"/>
        <v>233</v>
      </c>
      <c r="P718" s="15">
        <f t="shared" si="47"/>
        <v>0.28072289156626506</v>
      </c>
    </row>
    <row r="719" spans="1:16" ht="15.75" hidden="1" customHeight="1" x14ac:dyDescent="0.3">
      <c r="A719" s="9" t="s">
        <v>59</v>
      </c>
      <c r="B719" s="9" t="s">
        <v>372</v>
      </c>
      <c r="C719" s="9" t="s">
        <v>79</v>
      </c>
      <c r="D719" s="9" t="s">
        <v>90</v>
      </c>
      <c r="E719" s="10">
        <v>26</v>
      </c>
      <c r="F719" s="9" t="s">
        <v>83</v>
      </c>
      <c r="G719" s="10">
        <v>26</v>
      </c>
      <c r="H719" s="9" t="s">
        <v>328</v>
      </c>
      <c r="I719" s="9" t="s">
        <v>329</v>
      </c>
      <c r="J719" s="9"/>
      <c r="K719" s="9"/>
      <c r="L719" s="9"/>
      <c r="M719" s="12">
        <f t="shared" si="44"/>
        <v>39</v>
      </c>
      <c r="N719" s="13">
        <f t="shared" si="45"/>
        <v>194</v>
      </c>
      <c r="O719" s="14">
        <f t="shared" si="46"/>
        <v>233</v>
      </c>
      <c r="P719" s="15">
        <f t="shared" si="47"/>
        <v>0.28072289156626506</v>
      </c>
    </row>
    <row r="720" spans="1:16" ht="15.75" hidden="1" customHeight="1" x14ac:dyDescent="0.3">
      <c r="A720" s="9" t="s">
        <v>59</v>
      </c>
      <c r="B720" s="9" t="s">
        <v>372</v>
      </c>
      <c r="C720" s="9" t="s">
        <v>79</v>
      </c>
      <c r="D720" s="9" t="s">
        <v>295</v>
      </c>
      <c r="E720" s="10">
        <v>26</v>
      </c>
      <c r="F720" s="9" t="s">
        <v>161</v>
      </c>
      <c r="G720" s="10">
        <v>26</v>
      </c>
      <c r="H720" s="9" t="s">
        <v>328</v>
      </c>
      <c r="I720" s="9" t="s">
        <v>329</v>
      </c>
      <c r="J720" s="9"/>
      <c r="K720" s="9"/>
      <c r="L720" s="9"/>
      <c r="M720" s="12">
        <f t="shared" si="44"/>
        <v>39</v>
      </c>
      <c r="N720" s="13">
        <f t="shared" si="45"/>
        <v>194</v>
      </c>
      <c r="O720" s="14">
        <f t="shared" si="46"/>
        <v>233</v>
      </c>
      <c r="P720" s="15">
        <f t="shared" si="47"/>
        <v>0.28072289156626506</v>
      </c>
    </row>
    <row r="721" spans="1:16" ht="15.75" hidden="1" customHeight="1" x14ac:dyDescent="0.3">
      <c r="A721" s="9" t="s">
        <v>59</v>
      </c>
      <c r="B721" s="9" t="s">
        <v>372</v>
      </c>
      <c r="C721" s="9" t="s">
        <v>79</v>
      </c>
      <c r="D721" s="9" t="s">
        <v>296</v>
      </c>
      <c r="E721" s="10">
        <v>26</v>
      </c>
      <c r="F721" s="9" t="s">
        <v>161</v>
      </c>
      <c r="G721" s="10">
        <v>26</v>
      </c>
      <c r="H721" s="9" t="s">
        <v>328</v>
      </c>
      <c r="I721" s="9" t="s">
        <v>329</v>
      </c>
      <c r="J721" s="9"/>
      <c r="K721" s="9"/>
      <c r="L721" s="9"/>
      <c r="M721" s="12">
        <f t="shared" si="44"/>
        <v>39</v>
      </c>
      <c r="N721" s="13">
        <f t="shared" si="45"/>
        <v>194</v>
      </c>
      <c r="O721" s="14">
        <f t="shared" si="46"/>
        <v>233</v>
      </c>
      <c r="P721" s="15">
        <f t="shared" si="47"/>
        <v>0.28072289156626506</v>
      </c>
    </row>
    <row r="722" spans="1:16" ht="15.75" hidden="1" customHeight="1" x14ac:dyDescent="0.3">
      <c r="A722" s="9" t="s">
        <v>59</v>
      </c>
      <c r="B722" s="9" t="s">
        <v>372</v>
      </c>
      <c r="C722" s="9" t="s">
        <v>111</v>
      </c>
      <c r="D722" s="9" t="s">
        <v>88</v>
      </c>
      <c r="E722" s="10">
        <v>10</v>
      </c>
      <c r="F722" s="9" t="s">
        <v>83</v>
      </c>
      <c r="G722" s="11">
        <v>0</v>
      </c>
      <c r="H722" s="9" t="s">
        <v>328</v>
      </c>
      <c r="I722" s="9" t="s">
        <v>329</v>
      </c>
      <c r="J722" s="9"/>
      <c r="K722" s="9"/>
      <c r="L722" s="9"/>
      <c r="M722" s="12">
        <f t="shared" si="44"/>
        <v>39</v>
      </c>
      <c r="N722" s="13">
        <f t="shared" si="45"/>
        <v>194</v>
      </c>
      <c r="O722" s="14">
        <f t="shared" si="46"/>
        <v>233</v>
      </c>
      <c r="P722" s="15">
        <f t="shared" si="47"/>
        <v>0.28072289156626506</v>
      </c>
    </row>
    <row r="723" spans="1:16" ht="15.75" hidden="1" customHeight="1" x14ac:dyDescent="0.3">
      <c r="A723" s="9" t="s">
        <v>59</v>
      </c>
      <c r="B723" s="9" t="s">
        <v>372</v>
      </c>
      <c r="C723" s="9" t="s">
        <v>111</v>
      </c>
      <c r="D723" s="9" t="s">
        <v>90</v>
      </c>
      <c r="E723" s="10">
        <v>10</v>
      </c>
      <c r="F723" s="9" t="s">
        <v>83</v>
      </c>
      <c r="G723" s="11">
        <v>0</v>
      </c>
      <c r="H723" s="9" t="s">
        <v>328</v>
      </c>
      <c r="I723" s="9" t="s">
        <v>329</v>
      </c>
      <c r="J723" s="9"/>
      <c r="K723" s="9"/>
      <c r="L723" s="9"/>
      <c r="M723" s="12">
        <f t="shared" si="44"/>
        <v>39</v>
      </c>
      <c r="N723" s="13">
        <f t="shared" si="45"/>
        <v>194</v>
      </c>
      <c r="O723" s="14">
        <f t="shared" si="46"/>
        <v>233</v>
      </c>
      <c r="P723" s="15">
        <f t="shared" si="47"/>
        <v>0.28072289156626506</v>
      </c>
    </row>
    <row r="724" spans="1:16" ht="15.75" hidden="1" customHeight="1" x14ac:dyDescent="0.3">
      <c r="A724" s="9" t="s">
        <v>59</v>
      </c>
      <c r="B724" s="9" t="s">
        <v>372</v>
      </c>
      <c r="C724" s="9" t="s">
        <v>80</v>
      </c>
      <c r="D724" s="9" t="s">
        <v>88</v>
      </c>
      <c r="E724" s="10">
        <v>3</v>
      </c>
      <c r="F724" s="9" t="s">
        <v>83</v>
      </c>
      <c r="G724" s="11">
        <v>0</v>
      </c>
      <c r="H724" s="9" t="s">
        <v>328</v>
      </c>
      <c r="I724" s="9" t="s">
        <v>329</v>
      </c>
      <c r="J724" s="9"/>
      <c r="K724" s="9"/>
      <c r="L724" s="9"/>
      <c r="M724" s="12">
        <f t="shared" si="44"/>
        <v>39</v>
      </c>
      <c r="N724" s="13">
        <f t="shared" si="45"/>
        <v>194</v>
      </c>
      <c r="O724" s="14">
        <f t="shared" si="46"/>
        <v>233</v>
      </c>
      <c r="P724" s="15">
        <f t="shared" si="47"/>
        <v>0.28072289156626506</v>
      </c>
    </row>
    <row r="725" spans="1:16" ht="15.75" hidden="1" customHeight="1" x14ac:dyDescent="0.3">
      <c r="A725" s="9" t="s">
        <v>59</v>
      </c>
      <c r="B725" s="9" t="s">
        <v>372</v>
      </c>
      <c r="C725" s="9" t="s">
        <v>80</v>
      </c>
      <c r="D725" s="9" t="s">
        <v>90</v>
      </c>
      <c r="E725" s="10">
        <v>3</v>
      </c>
      <c r="F725" s="9" t="s">
        <v>83</v>
      </c>
      <c r="G725" s="11">
        <v>0</v>
      </c>
      <c r="H725" s="9" t="s">
        <v>328</v>
      </c>
      <c r="I725" s="9" t="s">
        <v>329</v>
      </c>
      <c r="J725" s="9"/>
      <c r="K725" s="9"/>
      <c r="L725" s="9"/>
      <c r="M725" s="12">
        <f t="shared" si="44"/>
        <v>39</v>
      </c>
      <c r="N725" s="13">
        <f t="shared" si="45"/>
        <v>194</v>
      </c>
      <c r="O725" s="14">
        <f t="shared" si="46"/>
        <v>233</v>
      </c>
      <c r="P725" s="15">
        <f t="shared" si="47"/>
        <v>0.28072289156626506</v>
      </c>
    </row>
    <row r="726" spans="1:16" ht="15.75" hidden="1" customHeight="1" x14ac:dyDescent="0.3">
      <c r="A726" s="9" t="s">
        <v>59</v>
      </c>
      <c r="B726" s="9" t="s">
        <v>372</v>
      </c>
      <c r="C726" s="9" t="s">
        <v>80</v>
      </c>
      <c r="D726" s="9" t="s">
        <v>295</v>
      </c>
      <c r="E726" s="10">
        <v>1</v>
      </c>
      <c r="F726" s="9" t="s">
        <v>161</v>
      </c>
      <c r="G726" s="11">
        <v>0</v>
      </c>
      <c r="H726" s="9" t="s">
        <v>328</v>
      </c>
      <c r="I726" s="9" t="s">
        <v>329</v>
      </c>
      <c r="J726" s="9"/>
      <c r="K726" s="9"/>
      <c r="L726" s="9"/>
      <c r="M726" s="12">
        <f t="shared" si="44"/>
        <v>39</v>
      </c>
      <c r="N726" s="13">
        <f t="shared" si="45"/>
        <v>194</v>
      </c>
      <c r="O726" s="14">
        <f t="shared" si="46"/>
        <v>233</v>
      </c>
      <c r="P726" s="15">
        <f t="shared" si="47"/>
        <v>0.28072289156626506</v>
      </c>
    </row>
    <row r="727" spans="1:16" ht="15.75" hidden="1" customHeight="1" x14ac:dyDescent="0.3">
      <c r="A727" s="9" t="s">
        <v>59</v>
      </c>
      <c r="B727" s="9" t="s">
        <v>372</v>
      </c>
      <c r="C727" s="9" t="s">
        <v>80</v>
      </c>
      <c r="D727" s="9" t="s">
        <v>296</v>
      </c>
      <c r="E727" s="10">
        <v>1</v>
      </c>
      <c r="F727" s="9" t="s">
        <v>161</v>
      </c>
      <c r="G727" s="11">
        <v>0</v>
      </c>
      <c r="H727" s="9" t="s">
        <v>328</v>
      </c>
      <c r="I727" s="9" t="s">
        <v>329</v>
      </c>
      <c r="J727" s="9"/>
      <c r="K727" s="9"/>
      <c r="L727" s="9"/>
      <c r="M727" s="12">
        <f t="shared" si="44"/>
        <v>39</v>
      </c>
      <c r="N727" s="13">
        <f t="shared" si="45"/>
        <v>194</v>
      </c>
      <c r="O727" s="14">
        <f t="shared" si="46"/>
        <v>233</v>
      </c>
      <c r="P727" s="15">
        <f t="shared" si="47"/>
        <v>0.28072289156626506</v>
      </c>
    </row>
    <row r="728" spans="1:16" ht="15.75" hidden="1" customHeight="1" x14ac:dyDescent="0.3">
      <c r="A728" s="22" t="s">
        <v>59</v>
      </c>
      <c r="B728" s="9" t="s">
        <v>373</v>
      </c>
      <c r="C728" s="9" t="s">
        <v>73</v>
      </c>
      <c r="D728" s="9" t="s">
        <v>119</v>
      </c>
      <c r="E728" s="10">
        <v>16</v>
      </c>
      <c r="F728" s="9" t="s">
        <v>121</v>
      </c>
      <c r="G728" s="10">
        <v>16</v>
      </c>
      <c r="H728" s="9" t="s">
        <v>115</v>
      </c>
      <c r="I728" s="9" t="s">
        <v>116</v>
      </c>
      <c r="J728" s="9" t="s">
        <v>4</v>
      </c>
      <c r="K728" s="9"/>
      <c r="L728" s="9"/>
      <c r="M728" s="12">
        <f t="shared" si="44"/>
        <v>381</v>
      </c>
      <c r="N728" s="13">
        <f t="shared" si="45"/>
        <v>367</v>
      </c>
      <c r="O728" s="14">
        <f t="shared" si="46"/>
        <v>748</v>
      </c>
      <c r="P728" s="15">
        <f t="shared" si="47"/>
        <v>0.90120481927710838</v>
      </c>
    </row>
    <row r="729" spans="1:16" ht="15.75" hidden="1" customHeight="1" x14ac:dyDescent="0.3">
      <c r="A729" s="22" t="s">
        <v>59</v>
      </c>
      <c r="B729" s="9" t="s">
        <v>373</v>
      </c>
      <c r="C729" s="9" t="s">
        <v>87</v>
      </c>
      <c r="D729" s="9" t="s">
        <v>119</v>
      </c>
      <c r="E729" s="10">
        <v>6</v>
      </c>
      <c r="F729" s="9" t="s">
        <v>121</v>
      </c>
      <c r="G729" s="11">
        <v>0</v>
      </c>
      <c r="H729" s="9" t="s">
        <v>115</v>
      </c>
      <c r="I729" s="9" t="s">
        <v>116</v>
      </c>
      <c r="J729" s="9" t="s">
        <v>4</v>
      </c>
      <c r="K729" s="9"/>
      <c r="L729" s="9"/>
      <c r="M729" s="12">
        <f t="shared" si="44"/>
        <v>381</v>
      </c>
      <c r="N729" s="13">
        <f t="shared" si="45"/>
        <v>367</v>
      </c>
      <c r="O729" s="14">
        <f t="shared" si="46"/>
        <v>748</v>
      </c>
      <c r="P729" s="15">
        <f t="shared" si="47"/>
        <v>0.90120481927710838</v>
      </c>
    </row>
    <row r="730" spans="1:16" ht="15.75" hidden="1" customHeight="1" x14ac:dyDescent="0.3">
      <c r="A730" s="22" t="s">
        <v>59</v>
      </c>
      <c r="B730" s="9" t="s">
        <v>373</v>
      </c>
      <c r="C730" s="9" t="s">
        <v>79</v>
      </c>
      <c r="D730" s="9" t="s">
        <v>119</v>
      </c>
      <c r="E730" s="10">
        <v>40</v>
      </c>
      <c r="F730" s="9" t="s">
        <v>121</v>
      </c>
      <c r="G730" s="10">
        <v>40</v>
      </c>
      <c r="H730" s="9" t="s">
        <v>115</v>
      </c>
      <c r="I730" s="9" t="s">
        <v>116</v>
      </c>
      <c r="J730" s="9" t="s">
        <v>4</v>
      </c>
      <c r="K730" s="9"/>
      <c r="L730" s="9"/>
      <c r="M730" s="12">
        <f t="shared" si="44"/>
        <v>381</v>
      </c>
      <c r="N730" s="13">
        <f t="shared" si="45"/>
        <v>367</v>
      </c>
      <c r="O730" s="14">
        <f t="shared" si="46"/>
        <v>748</v>
      </c>
      <c r="P730" s="15">
        <f t="shared" si="47"/>
        <v>0.90120481927710838</v>
      </c>
    </row>
    <row r="731" spans="1:16" ht="15.75" hidden="1" customHeight="1" x14ac:dyDescent="0.3">
      <c r="A731" s="22" t="s">
        <v>59</v>
      </c>
      <c r="B731" s="9" t="s">
        <v>373</v>
      </c>
      <c r="C731" s="9" t="s">
        <v>80</v>
      </c>
      <c r="D731" s="9" t="s">
        <v>119</v>
      </c>
      <c r="E731" s="10">
        <v>1</v>
      </c>
      <c r="F731" s="9" t="s">
        <v>121</v>
      </c>
      <c r="G731" s="11">
        <v>0</v>
      </c>
      <c r="H731" s="9" t="s">
        <v>115</v>
      </c>
      <c r="I731" s="9" t="s">
        <v>116</v>
      </c>
      <c r="J731" s="9" t="s">
        <v>4</v>
      </c>
      <c r="K731" s="9"/>
      <c r="L731" s="9"/>
      <c r="M731" s="12">
        <f t="shared" si="44"/>
        <v>381</v>
      </c>
      <c r="N731" s="13">
        <f t="shared" si="45"/>
        <v>367</v>
      </c>
      <c r="O731" s="14">
        <f t="shared" si="46"/>
        <v>748</v>
      </c>
      <c r="P731" s="15">
        <f t="shared" si="47"/>
        <v>0.90120481927710838</v>
      </c>
    </row>
    <row r="732" spans="1:16" ht="15.75" hidden="1" customHeight="1" x14ac:dyDescent="0.3">
      <c r="A732" s="9" t="s">
        <v>59</v>
      </c>
      <c r="B732" s="9" t="s">
        <v>374</v>
      </c>
      <c r="C732" s="9" t="s">
        <v>73</v>
      </c>
      <c r="D732" s="9" t="s">
        <v>103</v>
      </c>
      <c r="E732" s="10">
        <v>24</v>
      </c>
      <c r="F732" s="9" t="s">
        <v>107</v>
      </c>
      <c r="G732" s="10">
        <v>24</v>
      </c>
      <c r="H732" s="9" t="s">
        <v>108</v>
      </c>
      <c r="I732" s="9" t="s">
        <v>109</v>
      </c>
      <c r="J732" s="9"/>
      <c r="K732" s="9"/>
      <c r="L732" s="9"/>
      <c r="M732" s="12">
        <f t="shared" si="44"/>
        <v>232.8</v>
      </c>
      <c r="N732" s="13">
        <f t="shared" si="45"/>
        <v>220</v>
      </c>
      <c r="O732" s="14">
        <f t="shared" si="46"/>
        <v>452.8</v>
      </c>
      <c r="P732" s="15">
        <f t="shared" si="47"/>
        <v>0.54554216867469885</v>
      </c>
    </row>
    <row r="733" spans="1:16" ht="15.75" hidden="1" customHeight="1" x14ac:dyDescent="0.3">
      <c r="A733" s="9" t="s">
        <v>59</v>
      </c>
      <c r="B733" s="9" t="s">
        <v>374</v>
      </c>
      <c r="C733" s="9" t="s">
        <v>123</v>
      </c>
      <c r="D733" s="9" t="s">
        <v>103</v>
      </c>
      <c r="E733" s="10">
        <v>48</v>
      </c>
      <c r="F733" s="9" t="s">
        <v>107</v>
      </c>
      <c r="G733" s="11">
        <v>0</v>
      </c>
      <c r="H733" s="9" t="s">
        <v>108</v>
      </c>
      <c r="I733" s="9" t="s">
        <v>109</v>
      </c>
      <c r="J733" s="9"/>
      <c r="K733" s="9"/>
      <c r="L733" s="9"/>
      <c r="M733" s="12">
        <f t="shared" si="44"/>
        <v>232.8</v>
      </c>
      <c r="N733" s="13">
        <f t="shared" si="45"/>
        <v>220</v>
      </c>
      <c r="O733" s="14">
        <f t="shared" si="46"/>
        <v>452.8</v>
      </c>
      <c r="P733" s="15">
        <f t="shared" si="47"/>
        <v>0.54554216867469885</v>
      </c>
    </row>
    <row r="734" spans="1:16" ht="15.75" hidden="1" customHeight="1" x14ac:dyDescent="0.3">
      <c r="A734" s="9" t="s">
        <v>59</v>
      </c>
      <c r="B734" s="9" t="s">
        <v>374</v>
      </c>
      <c r="C734" s="9" t="s">
        <v>87</v>
      </c>
      <c r="D734" s="9" t="s">
        <v>103</v>
      </c>
      <c r="E734" s="10">
        <v>6</v>
      </c>
      <c r="F734" s="9" t="s">
        <v>107</v>
      </c>
      <c r="G734" s="11">
        <v>0</v>
      </c>
      <c r="H734" s="9" t="s">
        <v>108</v>
      </c>
      <c r="I734" s="9" t="s">
        <v>109</v>
      </c>
      <c r="J734" s="9"/>
      <c r="K734" s="9"/>
      <c r="L734" s="9"/>
      <c r="M734" s="12">
        <f t="shared" si="44"/>
        <v>232.8</v>
      </c>
      <c r="N734" s="13">
        <f t="shared" si="45"/>
        <v>220</v>
      </c>
      <c r="O734" s="14">
        <f t="shared" si="46"/>
        <v>452.8</v>
      </c>
      <c r="P734" s="15">
        <f t="shared" si="47"/>
        <v>0.54554216867469885</v>
      </c>
    </row>
    <row r="735" spans="1:16" ht="15.75" hidden="1" customHeight="1" x14ac:dyDescent="0.3">
      <c r="A735" s="9" t="s">
        <v>59</v>
      </c>
      <c r="B735" s="9" t="s">
        <v>374</v>
      </c>
      <c r="C735" s="9" t="s">
        <v>79</v>
      </c>
      <c r="D735" s="9" t="s">
        <v>103</v>
      </c>
      <c r="E735" s="10">
        <v>40</v>
      </c>
      <c r="F735" s="9" t="s">
        <v>107</v>
      </c>
      <c r="G735" s="10">
        <v>40</v>
      </c>
      <c r="H735" s="9" t="s">
        <v>108</v>
      </c>
      <c r="I735" s="9" t="s">
        <v>109</v>
      </c>
      <c r="J735" s="9"/>
      <c r="K735" s="9"/>
      <c r="L735" s="9"/>
      <c r="M735" s="12">
        <f t="shared" si="44"/>
        <v>232.8</v>
      </c>
      <c r="N735" s="13">
        <f t="shared" si="45"/>
        <v>220</v>
      </c>
      <c r="O735" s="14">
        <f t="shared" si="46"/>
        <v>452.8</v>
      </c>
      <c r="P735" s="15">
        <f t="shared" si="47"/>
        <v>0.54554216867469885</v>
      </c>
    </row>
    <row r="736" spans="1:16" ht="15.75" hidden="1" customHeight="1" x14ac:dyDescent="0.3">
      <c r="A736" s="9" t="s">
        <v>59</v>
      </c>
      <c r="B736" s="9" t="s">
        <v>374</v>
      </c>
      <c r="C736" s="9" t="s">
        <v>80</v>
      </c>
      <c r="D736" s="9" t="s">
        <v>103</v>
      </c>
      <c r="E736" s="10">
        <v>1</v>
      </c>
      <c r="F736" s="9" t="s">
        <v>107</v>
      </c>
      <c r="G736" s="11">
        <v>0</v>
      </c>
      <c r="H736" s="9" t="s">
        <v>108</v>
      </c>
      <c r="I736" s="9" t="s">
        <v>109</v>
      </c>
      <c r="J736" s="9"/>
      <c r="K736" s="9"/>
      <c r="L736" s="9"/>
      <c r="M736" s="12">
        <f t="shared" si="44"/>
        <v>232.8</v>
      </c>
      <c r="N736" s="13">
        <f t="shared" si="45"/>
        <v>220</v>
      </c>
      <c r="O736" s="14">
        <f t="shared" si="46"/>
        <v>452.8</v>
      </c>
      <c r="P736" s="15">
        <f t="shared" si="47"/>
        <v>0.54554216867469885</v>
      </c>
    </row>
    <row r="737" spans="1:16" ht="15.75" hidden="1" customHeight="1" x14ac:dyDescent="0.3">
      <c r="A737" s="9" t="s">
        <v>59</v>
      </c>
      <c r="B737" s="9" t="s">
        <v>375</v>
      </c>
      <c r="C737" s="9" t="s">
        <v>73</v>
      </c>
      <c r="D737" s="9" t="s">
        <v>119</v>
      </c>
      <c r="E737" s="10">
        <v>34</v>
      </c>
      <c r="F737" s="9" t="s">
        <v>121</v>
      </c>
      <c r="G737" s="10">
        <v>34</v>
      </c>
      <c r="H737" s="9" t="s">
        <v>259</v>
      </c>
      <c r="I737" s="9" t="s">
        <v>260</v>
      </c>
      <c r="J737" s="9"/>
      <c r="K737" s="9"/>
      <c r="L737" s="9"/>
      <c r="M737" s="12">
        <f t="shared" si="44"/>
        <v>144</v>
      </c>
      <c r="N737" s="13">
        <f t="shared" si="45"/>
        <v>88.5</v>
      </c>
      <c r="O737" s="14">
        <f t="shared" si="46"/>
        <v>232.5</v>
      </c>
      <c r="P737" s="15">
        <f t="shared" si="47"/>
        <v>0.28012048192771083</v>
      </c>
    </row>
    <row r="738" spans="1:16" ht="15.75" hidden="1" customHeight="1" x14ac:dyDescent="0.3">
      <c r="A738" s="9" t="s">
        <v>59</v>
      </c>
      <c r="B738" s="9" t="s">
        <v>375</v>
      </c>
      <c r="C738" s="9" t="s">
        <v>79</v>
      </c>
      <c r="D738" s="9" t="s">
        <v>119</v>
      </c>
      <c r="E738" s="10">
        <v>22</v>
      </c>
      <c r="F738" s="9" t="s">
        <v>121</v>
      </c>
      <c r="G738" s="10">
        <v>22</v>
      </c>
      <c r="H738" s="9" t="s">
        <v>259</v>
      </c>
      <c r="I738" s="9" t="s">
        <v>260</v>
      </c>
      <c r="J738" s="9"/>
      <c r="K738" s="9"/>
      <c r="L738" s="9"/>
      <c r="M738" s="12">
        <f t="shared" ref="M738:M801" si="48">SUMIFS($E$2:$E$1130,$A$2:$A$1130,"осень",$I$2:$I$1130,I738)</f>
        <v>144</v>
      </c>
      <c r="N738" s="13">
        <f t="shared" ref="N738:N801" si="49">SUMIFS($E$2:$E$1130,$A$2:$A$1130,"весна",$I$2:$I$1130,I738)</f>
        <v>88.5</v>
      </c>
      <c r="O738" s="14">
        <f t="shared" ref="O738:O801" si="50">M738+N738</f>
        <v>232.5</v>
      </c>
      <c r="P738" s="15">
        <f t="shared" ref="P738:P801" si="51">O738/$P$1</f>
        <v>0.28012048192771083</v>
      </c>
    </row>
    <row r="739" spans="1:16" ht="15.75" hidden="1" customHeight="1" x14ac:dyDescent="0.3">
      <c r="A739" s="9" t="s">
        <v>59</v>
      </c>
      <c r="B739" s="9" t="s">
        <v>375</v>
      </c>
      <c r="C739" s="9" t="s">
        <v>111</v>
      </c>
      <c r="D739" s="9" t="s">
        <v>119</v>
      </c>
      <c r="E739" s="10">
        <v>9</v>
      </c>
      <c r="F739" s="9" t="s">
        <v>121</v>
      </c>
      <c r="G739" s="11">
        <v>0</v>
      </c>
      <c r="H739" s="9" t="s">
        <v>259</v>
      </c>
      <c r="I739" s="9" t="s">
        <v>260</v>
      </c>
      <c r="J739" s="9"/>
      <c r="K739" s="9"/>
      <c r="L739" s="9"/>
      <c r="M739" s="12">
        <f t="shared" si="48"/>
        <v>144</v>
      </c>
      <c r="N739" s="13">
        <f t="shared" si="49"/>
        <v>88.5</v>
      </c>
      <c r="O739" s="14">
        <f t="shared" si="50"/>
        <v>232.5</v>
      </c>
      <c r="P739" s="15">
        <f t="shared" si="51"/>
        <v>0.28012048192771083</v>
      </c>
    </row>
    <row r="740" spans="1:16" ht="15.75" hidden="1" customHeight="1" x14ac:dyDescent="0.3">
      <c r="A740" s="9" t="s">
        <v>59</v>
      </c>
      <c r="B740" s="9" t="s">
        <v>375</v>
      </c>
      <c r="C740" s="9" t="s">
        <v>80</v>
      </c>
      <c r="D740" s="9" t="s">
        <v>119</v>
      </c>
      <c r="E740" s="10">
        <v>4</v>
      </c>
      <c r="F740" s="9" t="s">
        <v>121</v>
      </c>
      <c r="G740" s="11">
        <v>0</v>
      </c>
      <c r="H740" s="9" t="s">
        <v>259</v>
      </c>
      <c r="I740" s="9" t="s">
        <v>260</v>
      </c>
      <c r="J740" s="9"/>
      <c r="K740" s="9"/>
      <c r="L740" s="9"/>
      <c r="M740" s="12">
        <f t="shared" si="48"/>
        <v>144</v>
      </c>
      <c r="N740" s="13">
        <f t="shared" si="49"/>
        <v>88.5</v>
      </c>
      <c r="O740" s="14">
        <f t="shared" si="50"/>
        <v>232.5</v>
      </c>
      <c r="P740" s="15">
        <f t="shared" si="51"/>
        <v>0.28012048192771083</v>
      </c>
    </row>
    <row r="741" spans="1:16" ht="15.75" hidden="1" customHeight="1" x14ac:dyDescent="0.3">
      <c r="A741" s="9" t="s">
        <v>59</v>
      </c>
      <c r="B741" s="9" t="s">
        <v>376</v>
      </c>
      <c r="C741" s="9" t="s">
        <v>73</v>
      </c>
      <c r="D741" s="9" t="s">
        <v>262</v>
      </c>
      <c r="E741" s="10">
        <v>12</v>
      </c>
      <c r="F741" s="9" t="s">
        <v>263</v>
      </c>
      <c r="G741" s="10">
        <v>12</v>
      </c>
      <c r="H741" s="9" t="s">
        <v>128</v>
      </c>
      <c r="I741" s="9" t="s">
        <v>129</v>
      </c>
      <c r="J741" s="9" t="s">
        <v>8</v>
      </c>
      <c r="K741" s="9"/>
      <c r="L741" s="9"/>
      <c r="M741" s="12">
        <f t="shared" si="48"/>
        <v>348</v>
      </c>
      <c r="N741" s="13">
        <f t="shared" si="49"/>
        <v>610</v>
      </c>
      <c r="O741" s="14">
        <f t="shared" si="50"/>
        <v>958</v>
      </c>
      <c r="P741" s="15">
        <f t="shared" si="51"/>
        <v>1.1542168674698796</v>
      </c>
    </row>
    <row r="742" spans="1:16" ht="15.75" hidden="1" customHeight="1" x14ac:dyDescent="0.3">
      <c r="A742" s="9" t="s">
        <v>59</v>
      </c>
      <c r="B742" s="9" t="s">
        <v>376</v>
      </c>
      <c r="C742" s="9" t="s">
        <v>73</v>
      </c>
      <c r="D742" s="9" t="s">
        <v>132</v>
      </c>
      <c r="E742" s="10">
        <v>12</v>
      </c>
      <c r="F742" s="9" t="s">
        <v>133</v>
      </c>
      <c r="G742" s="10">
        <v>12</v>
      </c>
      <c r="H742" s="9" t="s">
        <v>128</v>
      </c>
      <c r="I742" s="9" t="s">
        <v>129</v>
      </c>
      <c r="J742" s="9" t="s">
        <v>8</v>
      </c>
      <c r="K742" s="9"/>
      <c r="L742" s="9"/>
      <c r="M742" s="12">
        <f t="shared" si="48"/>
        <v>348</v>
      </c>
      <c r="N742" s="13">
        <f t="shared" si="49"/>
        <v>610</v>
      </c>
      <c r="O742" s="14">
        <f t="shared" si="50"/>
        <v>958</v>
      </c>
      <c r="P742" s="15">
        <f t="shared" si="51"/>
        <v>1.1542168674698796</v>
      </c>
    </row>
    <row r="743" spans="1:16" ht="15.75" hidden="1" customHeight="1" x14ac:dyDescent="0.3">
      <c r="A743" s="9" t="s">
        <v>59</v>
      </c>
      <c r="B743" s="9" t="s">
        <v>376</v>
      </c>
      <c r="C743" s="9" t="s">
        <v>79</v>
      </c>
      <c r="D743" s="9" t="s">
        <v>134</v>
      </c>
      <c r="E743" s="10">
        <v>40</v>
      </c>
      <c r="F743" s="9" t="s">
        <v>263</v>
      </c>
      <c r="G743" s="10">
        <v>40</v>
      </c>
      <c r="H743" s="9" t="s">
        <v>128</v>
      </c>
      <c r="I743" s="9" t="s">
        <v>129</v>
      </c>
      <c r="J743" s="9" t="s">
        <v>8</v>
      </c>
      <c r="K743" s="9"/>
      <c r="L743" s="9"/>
      <c r="M743" s="12">
        <f t="shared" si="48"/>
        <v>348</v>
      </c>
      <c r="N743" s="13">
        <f t="shared" si="49"/>
        <v>610</v>
      </c>
      <c r="O743" s="14">
        <f t="shared" si="50"/>
        <v>958</v>
      </c>
      <c r="P743" s="15">
        <f t="shared" si="51"/>
        <v>1.1542168674698796</v>
      </c>
    </row>
    <row r="744" spans="1:16" ht="15.75" hidden="1" customHeight="1" x14ac:dyDescent="0.3">
      <c r="A744" s="9" t="s">
        <v>59</v>
      </c>
      <c r="B744" s="9" t="s">
        <v>376</v>
      </c>
      <c r="C744" s="9" t="s">
        <v>79</v>
      </c>
      <c r="D744" s="9" t="s">
        <v>139</v>
      </c>
      <c r="E744" s="10">
        <v>40</v>
      </c>
      <c r="F744" s="9" t="s">
        <v>263</v>
      </c>
      <c r="G744" s="10">
        <v>40</v>
      </c>
      <c r="H744" s="9" t="s">
        <v>128</v>
      </c>
      <c r="I744" s="9" t="s">
        <v>129</v>
      </c>
      <c r="J744" s="9" t="s">
        <v>8</v>
      </c>
      <c r="K744" s="9"/>
      <c r="L744" s="9"/>
      <c r="M744" s="12">
        <f t="shared" si="48"/>
        <v>348</v>
      </c>
      <c r="N744" s="13">
        <f t="shared" si="49"/>
        <v>610</v>
      </c>
      <c r="O744" s="14">
        <f t="shared" si="50"/>
        <v>958</v>
      </c>
      <c r="P744" s="15">
        <f t="shared" si="51"/>
        <v>1.1542168674698796</v>
      </c>
    </row>
    <row r="745" spans="1:16" ht="15.75" hidden="1" customHeight="1" x14ac:dyDescent="0.3">
      <c r="A745" s="9" t="s">
        <v>59</v>
      </c>
      <c r="B745" s="9" t="s">
        <v>376</v>
      </c>
      <c r="C745" s="9" t="s">
        <v>79</v>
      </c>
      <c r="D745" s="9" t="s">
        <v>140</v>
      </c>
      <c r="E745" s="10">
        <v>40</v>
      </c>
      <c r="F745" s="9" t="s">
        <v>263</v>
      </c>
      <c r="G745" s="10">
        <v>40</v>
      </c>
      <c r="H745" s="9" t="s">
        <v>128</v>
      </c>
      <c r="I745" s="9" t="s">
        <v>129</v>
      </c>
      <c r="J745" s="9" t="s">
        <v>8</v>
      </c>
      <c r="K745" s="9"/>
      <c r="L745" s="9"/>
      <c r="M745" s="12">
        <f t="shared" si="48"/>
        <v>348</v>
      </c>
      <c r="N745" s="13">
        <f t="shared" si="49"/>
        <v>610</v>
      </c>
      <c r="O745" s="14">
        <f t="shared" si="50"/>
        <v>958</v>
      </c>
      <c r="P745" s="15">
        <f t="shared" si="51"/>
        <v>1.1542168674698796</v>
      </c>
    </row>
    <row r="746" spans="1:16" ht="15.75" hidden="1" customHeight="1" x14ac:dyDescent="0.3">
      <c r="A746" s="9" t="s">
        <v>59</v>
      </c>
      <c r="B746" s="9" t="s">
        <v>376</v>
      </c>
      <c r="C746" s="9" t="s">
        <v>79</v>
      </c>
      <c r="D746" s="9" t="s">
        <v>141</v>
      </c>
      <c r="E746" s="10">
        <v>40</v>
      </c>
      <c r="F746" s="9" t="s">
        <v>263</v>
      </c>
      <c r="G746" s="10">
        <v>40</v>
      </c>
      <c r="H746" s="9" t="s">
        <v>128</v>
      </c>
      <c r="I746" s="9" t="s">
        <v>129</v>
      </c>
      <c r="J746" s="9" t="s">
        <v>8</v>
      </c>
      <c r="K746" s="9"/>
      <c r="L746" s="9"/>
      <c r="M746" s="12">
        <f t="shared" si="48"/>
        <v>348</v>
      </c>
      <c r="N746" s="13">
        <f t="shared" si="49"/>
        <v>610</v>
      </c>
      <c r="O746" s="14">
        <f t="shared" si="50"/>
        <v>958</v>
      </c>
      <c r="P746" s="15">
        <f t="shared" si="51"/>
        <v>1.1542168674698796</v>
      </c>
    </row>
    <row r="747" spans="1:16" ht="15.75" hidden="1" customHeight="1" x14ac:dyDescent="0.3">
      <c r="A747" s="9" t="s">
        <v>59</v>
      </c>
      <c r="B747" s="9" t="s">
        <v>376</v>
      </c>
      <c r="C747" s="9" t="s">
        <v>79</v>
      </c>
      <c r="D747" s="9" t="s">
        <v>132</v>
      </c>
      <c r="E747" s="10">
        <v>40</v>
      </c>
      <c r="F747" s="9" t="s">
        <v>133</v>
      </c>
      <c r="G747" s="10">
        <v>40</v>
      </c>
      <c r="H747" s="9" t="s">
        <v>128</v>
      </c>
      <c r="I747" s="9" t="s">
        <v>129</v>
      </c>
      <c r="J747" s="9" t="s">
        <v>8</v>
      </c>
      <c r="K747" s="9"/>
      <c r="L747" s="9"/>
      <c r="M747" s="12">
        <f t="shared" si="48"/>
        <v>348</v>
      </c>
      <c r="N747" s="13">
        <f t="shared" si="49"/>
        <v>610</v>
      </c>
      <c r="O747" s="14">
        <f t="shared" si="50"/>
        <v>958</v>
      </c>
      <c r="P747" s="15">
        <f t="shared" si="51"/>
        <v>1.1542168674698796</v>
      </c>
    </row>
    <row r="748" spans="1:16" ht="15.75" hidden="1" customHeight="1" x14ac:dyDescent="0.3">
      <c r="A748" s="9" t="s">
        <v>59</v>
      </c>
      <c r="B748" s="9" t="s">
        <v>376</v>
      </c>
      <c r="C748" s="9" t="s">
        <v>111</v>
      </c>
      <c r="D748" s="9" t="s">
        <v>134</v>
      </c>
      <c r="E748" s="10">
        <v>3</v>
      </c>
      <c r="F748" s="9" t="s">
        <v>263</v>
      </c>
      <c r="G748" s="11">
        <v>0</v>
      </c>
      <c r="H748" s="9" t="s">
        <v>128</v>
      </c>
      <c r="I748" s="9" t="s">
        <v>129</v>
      </c>
      <c r="J748" s="9" t="s">
        <v>8</v>
      </c>
      <c r="K748" s="9"/>
      <c r="L748" s="9"/>
      <c r="M748" s="12">
        <f t="shared" si="48"/>
        <v>348</v>
      </c>
      <c r="N748" s="13">
        <f t="shared" si="49"/>
        <v>610</v>
      </c>
      <c r="O748" s="14">
        <f t="shared" si="50"/>
        <v>958</v>
      </c>
      <c r="P748" s="15">
        <f t="shared" si="51"/>
        <v>1.1542168674698796</v>
      </c>
    </row>
    <row r="749" spans="1:16" ht="15.75" hidden="1" customHeight="1" x14ac:dyDescent="0.3">
      <c r="A749" s="9" t="s">
        <v>59</v>
      </c>
      <c r="B749" s="9" t="s">
        <v>376</v>
      </c>
      <c r="C749" s="9" t="s">
        <v>111</v>
      </c>
      <c r="D749" s="9" t="s">
        <v>139</v>
      </c>
      <c r="E749" s="10">
        <v>3</v>
      </c>
      <c r="F749" s="9" t="s">
        <v>263</v>
      </c>
      <c r="G749" s="11">
        <v>0</v>
      </c>
      <c r="H749" s="9" t="s">
        <v>128</v>
      </c>
      <c r="I749" s="9" t="s">
        <v>129</v>
      </c>
      <c r="J749" s="9" t="s">
        <v>8</v>
      </c>
      <c r="K749" s="9"/>
      <c r="L749" s="9"/>
      <c r="M749" s="12">
        <f t="shared" si="48"/>
        <v>348</v>
      </c>
      <c r="N749" s="13">
        <f t="shared" si="49"/>
        <v>610</v>
      </c>
      <c r="O749" s="14">
        <f t="shared" si="50"/>
        <v>958</v>
      </c>
      <c r="P749" s="15">
        <f t="shared" si="51"/>
        <v>1.1542168674698796</v>
      </c>
    </row>
    <row r="750" spans="1:16" ht="15.75" hidden="1" customHeight="1" x14ac:dyDescent="0.3">
      <c r="A750" s="9" t="s">
        <v>59</v>
      </c>
      <c r="B750" s="9" t="s">
        <v>376</v>
      </c>
      <c r="C750" s="9" t="s">
        <v>111</v>
      </c>
      <c r="D750" s="9" t="s">
        <v>140</v>
      </c>
      <c r="E750" s="10">
        <v>3</v>
      </c>
      <c r="F750" s="9" t="s">
        <v>263</v>
      </c>
      <c r="G750" s="11">
        <v>0</v>
      </c>
      <c r="H750" s="9" t="s">
        <v>128</v>
      </c>
      <c r="I750" s="9" t="s">
        <v>129</v>
      </c>
      <c r="J750" s="9" t="s">
        <v>8</v>
      </c>
      <c r="K750" s="9"/>
      <c r="L750" s="9"/>
      <c r="M750" s="12">
        <f t="shared" si="48"/>
        <v>348</v>
      </c>
      <c r="N750" s="13">
        <f t="shared" si="49"/>
        <v>610</v>
      </c>
      <c r="O750" s="14">
        <f t="shared" si="50"/>
        <v>958</v>
      </c>
      <c r="P750" s="15">
        <f t="shared" si="51"/>
        <v>1.1542168674698796</v>
      </c>
    </row>
    <row r="751" spans="1:16" ht="15.75" hidden="1" customHeight="1" x14ac:dyDescent="0.3">
      <c r="A751" s="9" t="s">
        <v>59</v>
      </c>
      <c r="B751" s="9" t="s">
        <v>376</v>
      </c>
      <c r="C751" s="9" t="s">
        <v>111</v>
      </c>
      <c r="D751" s="9" t="s">
        <v>141</v>
      </c>
      <c r="E751" s="10">
        <v>3</v>
      </c>
      <c r="F751" s="9" t="s">
        <v>263</v>
      </c>
      <c r="G751" s="11">
        <v>0</v>
      </c>
      <c r="H751" s="9" t="s">
        <v>128</v>
      </c>
      <c r="I751" s="9" t="s">
        <v>129</v>
      </c>
      <c r="J751" s="9" t="s">
        <v>8</v>
      </c>
      <c r="K751" s="9"/>
      <c r="L751" s="9"/>
      <c r="M751" s="12">
        <f t="shared" si="48"/>
        <v>348</v>
      </c>
      <c r="N751" s="13">
        <f t="shared" si="49"/>
        <v>610</v>
      </c>
      <c r="O751" s="14">
        <f t="shared" si="50"/>
        <v>958</v>
      </c>
      <c r="P751" s="15">
        <f t="shared" si="51"/>
        <v>1.1542168674698796</v>
      </c>
    </row>
    <row r="752" spans="1:16" ht="15.75" hidden="1" customHeight="1" x14ac:dyDescent="0.3">
      <c r="A752" s="9" t="s">
        <v>59</v>
      </c>
      <c r="B752" s="9" t="s">
        <v>376</v>
      </c>
      <c r="C752" s="9" t="s">
        <v>111</v>
      </c>
      <c r="D752" s="9" t="s">
        <v>132</v>
      </c>
      <c r="E752" s="10">
        <v>3</v>
      </c>
      <c r="F752" s="9" t="s">
        <v>133</v>
      </c>
      <c r="G752" s="11">
        <v>0</v>
      </c>
      <c r="H752" s="9" t="s">
        <v>128</v>
      </c>
      <c r="I752" s="9" t="s">
        <v>129</v>
      </c>
      <c r="J752" s="9" t="s">
        <v>8</v>
      </c>
      <c r="K752" s="9"/>
      <c r="L752" s="9"/>
      <c r="M752" s="12">
        <f t="shared" si="48"/>
        <v>348</v>
      </c>
      <c r="N752" s="13">
        <f t="shared" si="49"/>
        <v>610</v>
      </c>
      <c r="O752" s="14">
        <f t="shared" si="50"/>
        <v>958</v>
      </c>
      <c r="P752" s="15">
        <f t="shared" si="51"/>
        <v>1.1542168674698796</v>
      </c>
    </row>
    <row r="753" spans="1:16" ht="15.75" hidden="1" customHeight="1" x14ac:dyDescent="0.3">
      <c r="A753" s="9" t="s">
        <v>59</v>
      </c>
      <c r="B753" s="9" t="s">
        <v>376</v>
      </c>
      <c r="C753" s="9" t="s">
        <v>80</v>
      </c>
      <c r="D753" s="9" t="s">
        <v>134</v>
      </c>
      <c r="E753" s="10">
        <v>3</v>
      </c>
      <c r="F753" s="9" t="s">
        <v>263</v>
      </c>
      <c r="G753" s="11">
        <v>0</v>
      </c>
      <c r="H753" s="9" t="s">
        <v>128</v>
      </c>
      <c r="I753" s="9" t="s">
        <v>129</v>
      </c>
      <c r="J753" s="9" t="s">
        <v>8</v>
      </c>
      <c r="K753" s="9"/>
      <c r="L753" s="9"/>
      <c r="M753" s="12">
        <f t="shared" si="48"/>
        <v>348</v>
      </c>
      <c r="N753" s="13">
        <f t="shared" si="49"/>
        <v>610</v>
      </c>
      <c r="O753" s="14">
        <f t="shared" si="50"/>
        <v>958</v>
      </c>
      <c r="P753" s="15">
        <f t="shared" si="51"/>
        <v>1.1542168674698796</v>
      </c>
    </row>
    <row r="754" spans="1:16" ht="15.75" hidden="1" customHeight="1" x14ac:dyDescent="0.3">
      <c r="A754" s="9" t="s">
        <v>59</v>
      </c>
      <c r="B754" s="9" t="s">
        <v>376</v>
      </c>
      <c r="C754" s="9" t="s">
        <v>80</v>
      </c>
      <c r="D754" s="9" t="s">
        <v>139</v>
      </c>
      <c r="E754" s="10">
        <v>3</v>
      </c>
      <c r="F754" s="9" t="s">
        <v>263</v>
      </c>
      <c r="G754" s="11">
        <v>0</v>
      </c>
      <c r="H754" s="9" t="s">
        <v>128</v>
      </c>
      <c r="I754" s="9" t="s">
        <v>129</v>
      </c>
      <c r="J754" s="9" t="s">
        <v>8</v>
      </c>
      <c r="K754" s="9"/>
      <c r="L754" s="9"/>
      <c r="M754" s="12">
        <f t="shared" si="48"/>
        <v>348</v>
      </c>
      <c r="N754" s="13">
        <f t="shared" si="49"/>
        <v>610</v>
      </c>
      <c r="O754" s="14">
        <f t="shared" si="50"/>
        <v>958</v>
      </c>
      <c r="P754" s="15">
        <f t="shared" si="51"/>
        <v>1.1542168674698796</v>
      </c>
    </row>
    <row r="755" spans="1:16" ht="15.75" hidden="1" customHeight="1" x14ac:dyDescent="0.3">
      <c r="A755" s="9" t="s">
        <v>59</v>
      </c>
      <c r="B755" s="9" t="s">
        <v>376</v>
      </c>
      <c r="C755" s="9" t="s">
        <v>80</v>
      </c>
      <c r="D755" s="9" t="s">
        <v>140</v>
      </c>
      <c r="E755" s="10">
        <v>3</v>
      </c>
      <c r="F755" s="9" t="s">
        <v>263</v>
      </c>
      <c r="G755" s="11">
        <v>0</v>
      </c>
      <c r="H755" s="9" t="s">
        <v>128</v>
      </c>
      <c r="I755" s="9" t="s">
        <v>129</v>
      </c>
      <c r="J755" s="9" t="s">
        <v>8</v>
      </c>
      <c r="K755" s="9"/>
      <c r="L755" s="9"/>
      <c r="M755" s="12">
        <f t="shared" si="48"/>
        <v>348</v>
      </c>
      <c r="N755" s="13">
        <f t="shared" si="49"/>
        <v>610</v>
      </c>
      <c r="O755" s="14">
        <f t="shared" si="50"/>
        <v>958</v>
      </c>
      <c r="P755" s="15">
        <f t="shared" si="51"/>
        <v>1.1542168674698796</v>
      </c>
    </row>
    <row r="756" spans="1:16" ht="15.75" hidden="1" customHeight="1" x14ac:dyDescent="0.3">
      <c r="A756" s="9" t="s">
        <v>59</v>
      </c>
      <c r="B756" s="9" t="s">
        <v>376</v>
      </c>
      <c r="C756" s="9" t="s">
        <v>80</v>
      </c>
      <c r="D756" s="9" t="s">
        <v>141</v>
      </c>
      <c r="E756" s="10">
        <v>3</v>
      </c>
      <c r="F756" s="9" t="s">
        <v>263</v>
      </c>
      <c r="G756" s="11">
        <v>0</v>
      </c>
      <c r="H756" s="9" t="s">
        <v>128</v>
      </c>
      <c r="I756" s="9" t="s">
        <v>129</v>
      </c>
      <c r="J756" s="9" t="s">
        <v>8</v>
      </c>
      <c r="K756" s="9"/>
      <c r="L756" s="9"/>
      <c r="M756" s="12">
        <f t="shared" si="48"/>
        <v>348</v>
      </c>
      <c r="N756" s="13">
        <f t="shared" si="49"/>
        <v>610</v>
      </c>
      <c r="O756" s="14">
        <f t="shared" si="50"/>
        <v>958</v>
      </c>
      <c r="P756" s="15">
        <f t="shared" si="51"/>
        <v>1.1542168674698796</v>
      </c>
    </row>
    <row r="757" spans="1:16" ht="15.75" hidden="1" customHeight="1" x14ac:dyDescent="0.3">
      <c r="A757" s="9" t="s">
        <v>59</v>
      </c>
      <c r="B757" s="9" t="s">
        <v>376</v>
      </c>
      <c r="C757" s="9" t="s">
        <v>80</v>
      </c>
      <c r="D757" s="9" t="s">
        <v>132</v>
      </c>
      <c r="E757" s="10">
        <v>3</v>
      </c>
      <c r="F757" s="9" t="s">
        <v>133</v>
      </c>
      <c r="G757" s="11">
        <v>0</v>
      </c>
      <c r="H757" s="9" t="s">
        <v>128</v>
      </c>
      <c r="I757" s="9" t="s">
        <v>129</v>
      </c>
      <c r="J757" s="9" t="s">
        <v>8</v>
      </c>
      <c r="K757" s="9"/>
      <c r="L757" s="9"/>
      <c r="M757" s="12">
        <f t="shared" si="48"/>
        <v>348</v>
      </c>
      <c r="N757" s="13">
        <f t="shared" si="49"/>
        <v>610</v>
      </c>
      <c r="O757" s="14">
        <f t="shared" si="50"/>
        <v>958</v>
      </c>
      <c r="P757" s="15">
        <f t="shared" si="51"/>
        <v>1.1542168674698796</v>
      </c>
    </row>
    <row r="758" spans="1:16" ht="15.75" hidden="1" customHeight="1" x14ac:dyDescent="0.3">
      <c r="A758" s="9" t="s">
        <v>59</v>
      </c>
      <c r="B758" s="9" t="s">
        <v>377</v>
      </c>
      <c r="C758" s="9" t="s">
        <v>102</v>
      </c>
      <c r="D758" s="9" t="s">
        <v>134</v>
      </c>
      <c r="E758" s="10">
        <v>24</v>
      </c>
      <c r="F758" s="9" t="s">
        <v>166</v>
      </c>
      <c r="G758" s="11">
        <v>0</v>
      </c>
      <c r="H758" s="9" t="s">
        <v>91</v>
      </c>
      <c r="I758" s="9" t="s">
        <v>92</v>
      </c>
      <c r="J758" s="9" t="s">
        <v>4</v>
      </c>
      <c r="K758" s="9"/>
      <c r="L758" s="9"/>
      <c r="M758" s="12">
        <f t="shared" si="48"/>
        <v>405</v>
      </c>
      <c r="N758" s="13">
        <f t="shared" si="49"/>
        <v>532</v>
      </c>
      <c r="O758" s="14">
        <f t="shared" si="50"/>
        <v>937</v>
      </c>
      <c r="P758" s="15">
        <f t="shared" si="51"/>
        <v>1.1289156626506025</v>
      </c>
    </row>
    <row r="759" spans="1:16" ht="15.75" hidden="1" customHeight="1" x14ac:dyDescent="0.3">
      <c r="A759" s="9" t="s">
        <v>59</v>
      </c>
      <c r="B759" s="9" t="s">
        <v>377</v>
      </c>
      <c r="C759" s="9" t="s">
        <v>73</v>
      </c>
      <c r="D759" s="9" t="s">
        <v>134</v>
      </c>
      <c r="E759" s="10">
        <v>12</v>
      </c>
      <c r="F759" s="9" t="s">
        <v>166</v>
      </c>
      <c r="G759" s="10">
        <v>12</v>
      </c>
      <c r="H759" s="9" t="s">
        <v>91</v>
      </c>
      <c r="I759" s="9" t="s">
        <v>92</v>
      </c>
      <c r="J759" s="9" t="s">
        <v>4</v>
      </c>
      <c r="K759" s="9"/>
      <c r="L759" s="9"/>
      <c r="M759" s="12">
        <f t="shared" si="48"/>
        <v>405</v>
      </c>
      <c r="N759" s="13">
        <f t="shared" si="49"/>
        <v>532</v>
      </c>
      <c r="O759" s="14">
        <f t="shared" si="50"/>
        <v>937</v>
      </c>
      <c r="P759" s="15">
        <f t="shared" si="51"/>
        <v>1.1289156626506025</v>
      </c>
    </row>
    <row r="760" spans="1:16" ht="15.75" hidden="1" customHeight="1" x14ac:dyDescent="0.3">
      <c r="A760" s="9" t="s">
        <v>59</v>
      </c>
      <c r="B760" s="9" t="s">
        <v>377</v>
      </c>
      <c r="C760" s="9" t="s">
        <v>87</v>
      </c>
      <c r="D760" s="9" t="s">
        <v>134</v>
      </c>
      <c r="E760" s="10">
        <v>2</v>
      </c>
      <c r="F760" s="9" t="s">
        <v>166</v>
      </c>
      <c r="G760" s="11">
        <v>0</v>
      </c>
      <c r="H760" s="9" t="s">
        <v>91</v>
      </c>
      <c r="I760" s="9" t="s">
        <v>92</v>
      </c>
      <c r="J760" s="9" t="s">
        <v>4</v>
      </c>
      <c r="K760" s="9"/>
      <c r="L760" s="9"/>
      <c r="M760" s="12">
        <f t="shared" si="48"/>
        <v>405</v>
      </c>
      <c r="N760" s="13">
        <f t="shared" si="49"/>
        <v>532</v>
      </c>
      <c r="O760" s="14">
        <f t="shared" si="50"/>
        <v>937</v>
      </c>
      <c r="P760" s="15">
        <f t="shared" si="51"/>
        <v>1.1289156626506025</v>
      </c>
    </row>
    <row r="761" spans="1:16" ht="15.75" hidden="1" customHeight="1" x14ac:dyDescent="0.3">
      <c r="A761" s="9" t="s">
        <v>59</v>
      </c>
      <c r="B761" s="9" t="s">
        <v>377</v>
      </c>
      <c r="C761" s="9" t="s">
        <v>79</v>
      </c>
      <c r="D761" s="9" t="s">
        <v>134</v>
      </c>
      <c r="E761" s="10">
        <v>38</v>
      </c>
      <c r="F761" s="9" t="s">
        <v>166</v>
      </c>
      <c r="G761" s="10">
        <v>38</v>
      </c>
      <c r="H761" s="9" t="s">
        <v>91</v>
      </c>
      <c r="I761" s="9" t="s">
        <v>92</v>
      </c>
      <c r="J761" s="9" t="s">
        <v>4</v>
      </c>
      <c r="K761" s="9"/>
      <c r="L761" s="9"/>
      <c r="M761" s="12">
        <f t="shared" si="48"/>
        <v>405</v>
      </c>
      <c r="N761" s="13">
        <f t="shared" si="49"/>
        <v>532</v>
      </c>
      <c r="O761" s="14">
        <f t="shared" si="50"/>
        <v>937</v>
      </c>
      <c r="P761" s="15">
        <f t="shared" si="51"/>
        <v>1.1289156626506025</v>
      </c>
    </row>
    <row r="762" spans="1:16" ht="15.75" hidden="1" customHeight="1" x14ac:dyDescent="0.3">
      <c r="A762" s="9" t="s">
        <v>59</v>
      </c>
      <c r="B762" s="9" t="s">
        <v>377</v>
      </c>
      <c r="C762" s="9" t="s">
        <v>80</v>
      </c>
      <c r="D762" s="9" t="s">
        <v>134</v>
      </c>
      <c r="E762" s="10">
        <v>1</v>
      </c>
      <c r="F762" s="9" t="s">
        <v>166</v>
      </c>
      <c r="G762" s="11">
        <v>0</v>
      </c>
      <c r="H762" s="9" t="s">
        <v>91</v>
      </c>
      <c r="I762" s="9" t="s">
        <v>92</v>
      </c>
      <c r="J762" s="9" t="s">
        <v>4</v>
      </c>
      <c r="K762" s="9"/>
      <c r="L762" s="9"/>
      <c r="M762" s="12">
        <f t="shared" si="48"/>
        <v>405</v>
      </c>
      <c r="N762" s="13">
        <f t="shared" si="49"/>
        <v>532</v>
      </c>
      <c r="O762" s="14">
        <f t="shared" si="50"/>
        <v>937</v>
      </c>
      <c r="P762" s="15">
        <f t="shared" si="51"/>
        <v>1.1289156626506025</v>
      </c>
    </row>
    <row r="763" spans="1:16" ht="15.75" hidden="1" customHeight="1" x14ac:dyDescent="0.3">
      <c r="A763" s="9" t="s">
        <v>59</v>
      </c>
      <c r="B763" s="9" t="s">
        <v>176</v>
      </c>
      <c r="C763" s="9" t="s">
        <v>73</v>
      </c>
      <c r="D763" s="9" t="s">
        <v>220</v>
      </c>
      <c r="E763" s="10">
        <v>20</v>
      </c>
      <c r="F763" s="9" t="s">
        <v>221</v>
      </c>
      <c r="G763" s="10">
        <v>20</v>
      </c>
      <c r="H763" s="9" t="s">
        <v>179</v>
      </c>
      <c r="I763" s="9" t="s">
        <v>180</v>
      </c>
      <c r="J763" s="9" t="s">
        <v>4</v>
      </c>
      <c r="K763" s="9"/>
      <c r="L763" s="9"/>
      <c r="M763" s="12">
        <f t="shared" si="48"/>
        <v>703</v>
      </c>
      <c r="N763" s="13">
        <f t="shared" si="49"/>
        <v>201.5</v>
      </c>
      <c r="O763" s="14">
        <f t="shared" si="50"/>
        <v>904.5</v>
      </c>
      <c r="P763" s="15">
        <f t="shared" si="51"/>
        <v>1.0897590361445784</v>
      </c>
    </row>
    <row r="764" spans="1:16" ht="15.75" hidden="1" customHeight="1" x14ac:dyDescent="0.3">
      <c r="A764" s="9" t="s">
        <v>59</v>
      </c>
      <c r="B764" s="9" t="s">
        <v>176</v>
      </c>
      <c r="C764" s="9" t="s">
        <v>87</v>
      </c>
      <c r="D764" s="9" t="s">
        <v>220</v>
      </c>
      <c r="E764" s="10">
        <v>4</v>
      </c>
      <c r="F764" s="9" t="s">
        <v>221</v>
      </c>
      <c r="G764" s="11">
        <v>0</v>
      </c>
      <c r="H764" s="9" t="s">
        <v>179</v>
      </c>
      <c r="I764" s="9" t="s">
        <v>180</v>
      </c>
      <c r="J764" s="9" t="s">
        <v>4</v>
      </c>
      <c r="K764" s="9"/>
      <c r="L764" s="9"/>
      <c r="M764" s="12">
        <f t="shared" si="48"/>
        <v>703</v>
      </c>
      <c r="N764" s="13">
        <f t="shared" si="49"/>
        <v>201.5</v>
      </c>
      <c r="O764" s="14">
        <f t="shared" si="50"/>
        <v>904.5</v>
      </c>
      <c r="P764" s="15">
        <f t="shared" si="51"/>
        <v>1.0897590361445784</v>
      </c>
    </row>
    <row r="765" spans="1:16" ht="15.75" hidden="1" customHeight="1" x14ac:dyDescent="0.3">
      <c r="A765" s="9" t="s">
        <v>59</v>
      </c>
      <c r="B765" s="9" t="s">
        <v>176</v>
      </c>
      <c r="C765" s="9" t="s">
        <v>79</v>
      </c>
      <c r="D765" s="9" t="s">
        <v>220</v>
      </c>
      <c r="E765" s="10">
        <v>22</v>
      </c>
      <c r="F765" s="9" t="s">
        <v>221</v>
      </c>
      <c r="G765" s="10">
        <v>22</v>
      </c>
      <c r="H765" s="9" t="s">
        <v>179</v>
      </c>
      <c r="I765" s="9" t="s">
        <v>180</v>
      </c>
      <c r="J765" s="9" t="s">
        <v>4</v>
      </c>
      <c r="K765" s="9"/>
      <c r="L765" s="9"/>
      <c r="M765" s="12">
        <f t="shared" si="48"/>
        <v>703</v>
      </c>
      <c r="N765" s="13">
        <f t="shared" si="49"/>
        <v>201.5</v>
      </c>
      <c r="O765" s="14">
        <f t="shared" si="50"/>
        <v>904.5</v>
      </c>
      <c r="P765" s="15">
        <f t="shared" si="51"/>
        <v>1.0897590361445784</v>
      </c>
    </row>
    <row r="766" spans="1:16" ht="15.75" hidden="1" customHeight="1" x14ac:dyDescent="0.3">
      <c r="A766" s="9" t="s">
        <v>59</v>
      </c>
      <c r="B766" s="9" t="s">
        <v>176</v>
      </c>
      <c r="C766" s="9" t="s">
        <v>80</v>
      </c>
      <c r="D766" s="9" t="s">
        <v>220</v>
      </c>
      <c r="E766" s="10">
        <v>2</v>
      </c>
      <c r="F766" s="9" t="s">
        <v>221</v>
      </c>
      <c r="G766" s="11">
        <v>0</v>
      </c>
      <c r="H766" s="9" t="s">
        <v>179</v>
      </c>
      <c r="I766" s="9" t="s">
        <v>180</v>
      </c>
      <c r="J766" s="9" t="s">
        <v>4</v>
      </c>
      <c r="K766" s="9"/>
      <c r="L766" s="9"/>
      <c r="M766" s="12">
        <f t="shared" si="48"/>
        <v>703</v>
      </c>
      <c r="N766" s="13">
        <f t="shared" si="49"/>
        <v>201.5</v>
      </c>
      <c r="O766" s="14">
        <f t="shared" si="50"/>
        <v>904.5</v>
      </c>
      <c r="P766" s="15">
        <f t="shared" si="51"/>
        <v>1.0897590361445784</v>
      </c>
    </row>
    <row r="767" spans="1:16" ht="15.75" hidden="1" customHeight="1" x14ac:dyDescent="0.3">
      <c r="A767" s="9" t="s">
        <v>59</v>
      </c>
      <c r="B767" s="9" t="s">
        <v>193</v>
      </c>
      <c r="C767" s="9" t="s">
        <v>73</v>
      </c>
      <c r="D767" s="9" t="s">
        <v>194</v>
      </c>
      <c r="E767" s="10">
        <v>16</v>
      </c>
      <c r="F767" s="9" t="s">
        <v>195</v>
      </c>
      <c r="G767" s="10">
        <v>16</v>
      </c>
      <c r="H767" s="9" t="s">
        <v>128</v>
      </c>
      <c r="I767" s="9" t="s">
        <v>129</v>
      </c>
      <c r="J767" s="9" t="s">
        <v>8</v>
      </c>
      <c r="K767" s="9"/>
      <c r="L767" s="9"/>
      <c r="M767" s="12">
        <f t="shared" si="48"/>
        <v>348</v>
      </c>
      <c r="N767" s="13">
        <f t="shared" si="49"/>
        <v>610</v>
      </c>
      <c r="O767" s="14">
        <f t="shared" si="50"/>
        <v>958</v>
      </c>
      <c r="P767" s="15">
        <f t="shared" si="51"/>
        <v>1.1542168674698796</v>
      </c>
    </row>
    <row r="768" spans="1:16" ht="15.75" hidden="1" customHeight="1" x14ac:dyDescent="0.3">
      <c r="A768" s="9" t="s">
        <v>59</v>
      </c>
      <c r="B768" s="9" t="s">
        <v>193</v>
      </c>
      <c r="C768" s="9" t="s">
        <v>79</v>
      </c>
      <c r="D768" s="9" t="s">
        <v>194</v>
      </c>
      <c r="E768" s="10">
        <v>24</v>
      </c>
      <c r="F768" s="9" t="s">
        <v>195</v>
      </c>
      <c r="G768" s="10">
        <v>24</v>
      </c>
      <c r="H768" s="9" t="s">
        <v>128</v>
      </c>
      <c r="I768" s="9" t="s">
        <v>129</v>
      </c>
      <c r="J768" s="9" t="s">
        <v>8</v>
      </c>
      <c r="K768" s="9"/>
      <c r="L768" s="9"/>
      <c r="M768" s="12">
        <f t="shared" si="48"/>
        <v>348</v>
      </c>
      <c r="N768" s="13">
        <f t="shared" si="49"/>
        <v>610</v>
      </c>
      <c r="O768" s="14">
        <f t="shared" si="50"/>
        <v>958</v>
      </c>
      <c r="P768" s="15">
        <f t="shared" si="51"/>
        <v>1.1542168674698796</v>
      </c>
    </row>
    <row r="769" spans="1:16" ht="15.75" hidden="1" customHeight="1" x14ac:dyDescent="0.3">
      <c r="A769" s="9" t="s">
        <v>59</v>
      </c>
      <c r="B769" s="9" t="s">
        <v>193</v>
      </c>
      <c r="C769" s="9" t="s">
        <v>111</v>
      </c>
      <c r="D769" s="9" t="s">
        <v>194</v>
      </c>
      <c r="E769" s="10">
        <v>9</v>
      </c>
      <c r="F769" s="9" t="s">
        <v>195</v>
      </c>
      <c r="G769" s="11">
        <v>0</v>
      </c>
      <c r="H769" s="9" t="s">
        <v>128</v>
      </c>
      <c r="I769" s="9" t="s">
        <v>129</v>
      </c>
      <c r="J769" s="9" t="s">
        <v>8</v>
      </c>
      <c r="K769" s="9"/>
      <c r="L769" s="9"/>
      <c r="M769" s="12">
        <f t="shared" si="48"/>
        <v>348</v>
      </c>
      <c r="N769" s="13">
        <f t="shared" si="49"/>
        <v>610</v>
      </c>
      <c r="O769" s="14">
        <f t="shared" si="50"/>
        <v>958</v>
      </c>
      <c r="P769" s="15">
        <f t="shared" si="51"/>
        <v>1.1542168674698796</v>
      </c>
    </row>
    <row r="770" spans="1:16" ht="15.75" hidden="1" customHeight="1" x14ac:dyDescent="0.3">
      <c r="A770" s="9" t="s">
        <v>59</v>
      </c>
      <c r="B770" s="9" t="s">
        <v>193</v>
      </c>
      <c r="C770" s="9" t="s">
        <v>80</v>
      </c>
      <c r="D770" s="9" t="s">
        <v>194</v>
      </c>
      <c r="E770" s="10">
        <v>3</v>
      </c>
      <c r="F770" s="9" t="s">
        <v>195</v>
      </c>
      <c r="G770" s="11">
        <v>0</v>
      </c>
      <c r="H770" s="9" t="s">
        <v>128</v>
      </c>
      <c r="I770" s="9" t="s">
        <v>129</v>
      </c>
      <c r="J770" s="9" t="s">
        <v>8</v>
      </c>
      <c r="K770" s="9"/>
      <c r="L770" s="9"/>
      <c r="M770" s="12">
        <f t="shared" si="48"/>
        <v>348</v>
      </c>
      <c r="N770" s="13">
        <f t="shared" si="49"/>
        <v>610</v>
      </c>
      <c r="O770" s="14">
        <f t="shared" si="50"/>
        <v>958</v>
      </c>
      <c r="P770" s="15">
        <f t="shared" si="51"/>
        <v>1.1542168674698796</v>
      </c>
    </row>
    <row r="771" spans="1:16" ht="15.75" hidden="1" customHeight="1" x14ac:dyDescent="0.3">
      <c r="A771" s="9" t="s">
        <v>59</v>
      </c>
      <c r="B771" s="9" t="s">
        <v>378</v>
      </c>
      <c r="C771" s="9" t="s">
        <v>73</v>
      </c>
      <c r="D771" s="9" t="s">
        <v>194</v>
      </c>
      <c r="E771" s="10">
        <v>16</v>
      </c>
      <c r="F771" s="9" t="s">
        <v>195</v>
      </c>
      <c r="G771" s="10">
        <v>16</v>
      </c>
      <c r="H771" s="9" t="s">
        <v>200</v>
      </c>
      <c r="I771" s="9" t="s">
        <v>201</v>
      </c>
      <c r="J771" s="9" t="s">
        <v>4</v>
      </c>
      <c r="K771" s="9"/>
      <c r="L771" s="9"/>
      <c r="M771" s="12">
        <f t="shared" si="48"/>
        <v>687</v>
      </c>
      <c r="N771" s="13">
        <f t="shared" si="49"/>
        <v>461.5</v>
      </c>
      <c r="O771" s="14">
        <f t="shared" si="50"/>
        <v>1148.5</v>
      </c>
      <c r="P771" s="15">
        <f t="shared" si="51"/>
        <v>1.3837349397590362</v>
      </c>
    </row>
    <row r="772" spans="1:16" ht="15.75" hidden="1" customHeight="1" x14ac:dyDescent="0.3">
      <c r="A772" s="9" t="s">
        <v>59</v>
      </c>
      <c r="B772" s="9" t="s">
        <v>378</v>
      </c>
      <c r="C772" s="9" t="s">
        <v>87</v>
      </c>
      <c r="D772" s="9" t="s">
        <v>194</v>
      </c>
      <c r="E772" s="10">
        <v>6</v>
      </c>
      <c r="F772" s="9" t="s">
        <v>195</v>
      </c>
      <c r="G772" s="11">
        <v>0</v>
      </c>
      <c r="H772" s="9" t="s">
        <v>200</v>
      </c>
      <c r="I772" s="9" t="s">
        <v>201</v>
      </c>
      <c r="J772" s="9" t="s">
        <v>4</v>
      </c>
      <c r="K772" s="9"/>
      <c r="L772" s="9"/>
      <c r="M772" s="12">
        <f t="shared" si="48"/>
        <v>687</v>
      </c>
      <c r="N772" s="13">
        <f t="shared" si="49"/>
        <v>461.5</v>
      </c>
      <c r="O772" s="14">
        <f t="shared" si="50"/>
        <v>1148.5</v>
      </c>
      <c r="P772" s="15">
        <f t="shared" si="51"/>
        <v>1.3837349397590362</v>
      </c>
    </row>
    <row r="773" spans="1:16" ht="15.75" hidden="1" customHeight="1" x14ac:dyDescent="0.3">
      <c r="A773" s="9" t="s">
        <v>59</v>
      </c>
      <c r="B773" s="9" t="s">
        <v>378</v>
      </c>
      <c r="C773" s="9" t="s">
        <v>79</v>
      </c>
      <c r="D773" s="9" t="s">
        <v>194</v>
      </c>
      <c r="E773" s="10">
        <v>24</v>
      </c>
      <c r="F773" s="9" t="s">
        <v>195</v>
      </c>
      <c r="G773" s="10">
        <v>24</v>
      </c>
      <c r="H773" s="9" t="s">
        <v>200</v>
      </c>
      <c r="I773" s="9" t="s">
        <v>201</v>
      </c>
      <c r="J773" s="9" t="s">
        <v>4</v>
      </c>
      <c r="K773" s="9"/>
      <c r="L773" s="9"/>
      <c r="M773" s="12">
        <f t="shared" si="48"/>
        <v>687</v>
      </c>
      <c r="N773" s="13">
        <f t="shared" si="49"/>
        <v>461.5</v>
      </c>
      <c r="O773" s="14">
        <f t="shared" si="50"/>
        <v>1148.5</v>
      </c>
      <c r="P773" s="15">
        <f t="shared" si="51"/>
        <v>1.3837349397590362</v>
      </c>
    </row>
    <row r="774" spans="1:16" ht="15.75" hidden="1" customHeight="1" x14ac:dyDescent="0.3">
      <c r="A774" s="9" t="s">
        <v>59</v>
      </c>
      <c r="B774" s="9" t="s">
        <v>378</v>
      </c>
      <c r="C774" s="9" t="s">
        <v>80</v>
      </c>
      <c r="D774" s="9" t="s">
        <v>194</v>
      </c>
      <c r="E774" s="10">
        <v>1</v>
      </c>
      <c r="F774" s="9" t="s">
        <v>195</v>
      </c>
      <c r="G774" s="11">
        <v>0</v>
      </c>
      <c r="H774" s="9" t="s">
        <v>200</v>
      </c>
      <c r="I774" s="9" t="s">
        <v>201</v>
      </c>
      <c r="J774" s="9" t="s">
        <v>4</v>
      </c>
      <c r="K774" s="9"/>
      <c r="L774" s="9"/>
      <c r="M774" s="12">
        <f t="shared" si="48"/>
        <v>687</v>
      </c>
      <c r="N774" s="13">
        <f t="shared" si="49"/>
        <v>461.5</v>
      </c>
      <c r="O774" s="14">
        <f t="shared" si="50"/>
        <v>1148.5</v>
      </c>
      <c r="P774" s="15">
        <f t="shared" si="51"/>
        <v>1.3837349397590362</v>
      </c>
    </row>
    <row r="775" spans="1:16" ht="15.75" hidden="1" customHeight="1" x14ac:dyDescent="0.3">
      <c r="A775" s="9" t="s">
        <v>59</v>
      </c>
      <c r="B775" s="9" t="s">
        <v>379</v>
      </c>
      <c r="C775" s="9" t="s">
        <v>73</v>
      </c>
      <c r="D775" s="9" t="s">
        <v>194</v>
      </c>
      <c r="E775" s="10">
        <v>12</v>
      </c>
      <c r="F775" s="9" t="s">
        <v>195</v>
      </c>
      <c r="G775" s="10">
        <v>12</v>
      </c>
      <c r="H775" s="9" t="s">
        <v>200</v>
      </c>
      <c r="I775" s="9" t="s">
        <v>201</v>
      </c>
      <c r="J775" s="9" t="s">
        <v>4</v>
      </c>
      <c r="K775" s="9"/>
      <c r="L775" s="9"/>
      <c r="M775" s="12">
        <f t="shared" si="48"/>
        <v>687</v>
      </c>
      <c r="N775" s="13">
        <f t="shared" si="49"/>
        <v>461.5</v>
      </c>
      <c r="O775" s="14">
        <f t="shared" si="50"/>
        <v>1148.5</v>
      </c>
      <c r="P775" s="15">
        <f t="shared" si="51"/>
        <v>1.3837349397590362</v>
      </c>
    </row>
    <row r="776" spans="1:16" ht="15.75" hidden="1" customHeight="1" x14ac:dyDescent="0.3">
      <c r="A776" s="9" t="s">
        <v>59</v>
      </c>
      <c r="B776" s="9" t="s">
        <v>379</v>
      </c>
      <c r="C776" s="9" t="s">
        <v>100</v>
      </c>
      <c r="D776" s="9" t="s">
        <v>194</v>
      </c>
      <c r="E776" s="10">
        <v>40</v>
      </c>
      <c r="F776" s="9" t="s">
        <v>195</v>
      </c>
      <c r="G776" s="10">
        <v>20</v>
      </c>
      <c r="H776" s="9" t="s">
        <v>200</v>
      </c>
      <c r="I776" s="9" t="s">
        <v>201</v>
      </c>
      <c r="J776" s="9" t="s">
        <v>4</v>
      </c>
      <c r="K776" s="9"/>
      <c r="L776" s="9"/>
      <c r="M776" s="12">
        <f t="shared" si="48"/>
        <v>687</v>
      </c>
      <c r="N776" s="13">
        <f t="shared" si="49"/>
        <v>461.5</v>
      </c>
      <c r="O776" s="14">
        <f t="shared" si="50"/>
        <v>1148.5</v>
      </c>
      <c r="P776" s="15">
        <f t="shared" si="51"/>
        <v>1.3837349397590362</v>
      </c>
    </row>
    <row r="777" spans="1:16" ht="15.75" hidden="1" customHeight="1" x14ac:dyDescent="0.3">
      <c r="A777" s="9" t="s">
        <v>59</v>
      </c>
      <c r="B777" s="9" t="s">
        <v>379</v>
      </c>
      <c r="C777" s="9" t="s">
        <v>142</v>
      </c>
      <c r="D777" s="9" t="s">
        <v>194</v>
      </c>
      <c r="E777" s="10">
        <v>6</v>
      </c>
      <c r="F777" s="9" t="s">
        <v>195</v>
      </c>
      <c r="G777" s="11">
        <v>0</v>
      </c>
      <c r="H777" s="9" t="s">
        <v>200</v>
      </c>
      <c r="I777" s="9" t="s">
        <v>201</v>
      </c>
      <c r="J777" s="9" t="s">
        <v>4</v>
      </c>
      <c r="K777" s="9"/>
      <c r="L777" s="9"/>
      <c r="M777" s="12">
        <f t="shared" si="48"/>
        <v>687</v>
      </c>
      <c r="N777" s="13">
        <f t="shared" si="49"/>
        <v>461.5</v>
      </c>
      <c r="O777" s="14">
        <f t="shared" si="50"/>
        <v>1148.5</v>
      </c>
      <c r="P777" s="15">
        <f t="shared" si="51"/>
        <v>1.3837349397590362</v>
      </c>
    </row>
    <row r="778" spans="1:16" ht="15.75" hidden="1" customHeight="1" x14ac:dyDescent="0.3">
      <c r="A778" s="9" t="s">
        <v>59</v>
      </c>
      <c r="B778" s="9" t="s">
        <v>379</v>
      </c>
      <c r="C778" s="9" t="s">
        <v>80</v>
      </c>
      <c r="D778" s="9" t="s">
        <v>194</v>
      </c>
      <c r="E778" s="10">
        <v>1</v>
      </c>
      <c r="F778" s="9" t="s">
        <v>195</v>
      </c>
      <c r="G778" s="11">
        <v>0</v>
      </c>
      <c r="H778" s="9" t="s">
        <v>200</v>
      </c>
      <c r="I778" s="9" t="s">
        <v>201</v>
      </c>
      <c r="J778" s="9" t="s">
        <v>4</v>
      </c>
      <c r="K778" s="9"/>
      <c r="L778" s="9"/>
      <c r="M778" s="12">
        <f t="shared" si="48"/>
        <v>687</v>
      </c>
      <c r="N778" s="13">
        <f t="shared" si="49"/>
        <v>461.5</v>
      </c>
      <c r="O778" s="14">
        <f t="shared" si="50"/>
        <v>1148.5</v>
      </c>
      <c r="P778" s="15">
        <f t="shared" si="51"/>
        <v>1.3837349397590362</v>
      </c>
    </row>
    <row r="779" spans="1:16" ht="15.75" hidden="1" customHeight="1" x14ac:dyDescent="0.3">
      <c r="A779" s="22" t="s">
        <v>59</v>
      </c>
      <c r="B779" s="9" t="s">
        <v>380</v>
      </c>
      <c r="C779" s="9" t="s">
        <v>73</v>
      </c>
      <c r="D779" s="9" t="s">
        <v>199</v>
      </c>
      <c r="E779" s="10">
        <v>16</v>
      </c>
      <c r="F779" s="9" t="s">
        <v>195</v>
      </c>
      <c r="G779" s="10">
        <v>16</v>
      </c>
      <c r="H779" s="9" t="s">
        <v>179</v>
      </c>
      <c r="I779" s="9" t="s">
        <v>180</v>
      </c>
      <c r="J779" s="9" t="s">
        <v>4</v>
      </c>
      <c r="K779" s="9"/>
      <c r="L779" s="9"/>
      <c r="M779" s="12">
        <f t="shared" si="48"/>
        <v>703</v>
      </c>
      <c r="N779" s="13">
        <f t="shared" si="49"/>
        <v>201.5</v>
      </c>
      <c r="O779" s="14">
        <f t="shared" si="50"/>
        <v>904.5</v>
      </c>
      <c r="P779" s="15">
        <f t="shared" si="51"/>
        <v>1.0897590361445784</v>
      </c>
    </row>
    <row r="780" spans="1:16" ht="15.75" hidden="1" customHeight="1" x14ac:dyDescent="0.3">
      <c r="A780" s="22" t="s">
        <v>59</v>
      </c>
      <c r="B780" s="9" t="s">
        <v>380</v>
      </c>
      <c r="C780" s="9" t="s">
        <v>79</v>
      </c>
      <c r="D780" s="9" t="s">
        <v>199</v>
      </c>
      <c r="E780" s="10">
        <v>8</v>
      </c>
      <c r="F780" s="9" t="s">
        <v>195</v>
      </c>
      <c r="G780" s="10">
        <v>8</v>
      </c>
      <c r="H780" s="9" t="s">
        <v>179</v>
      </c>
      <c r="I780" s="9" t="s">
        <v>180</v>
      </c>
      <c r="J780" s="9" t="s">
        <v>4</v>
      </c>
      <c r="K780" s="9"/>
      <c r="L780" s="9"/>
      <c r="M780" s="12">
        <f t="shared" si="48"/>
        <v>703</v>
      </c>
      <c r="N780" s="13">
        <f t="shared" si="49"/>
        <v>201.5</v>
      </c>
      <c r="O780" s="14">
        <f t="shared" si="50"/>
        <v>904.5</v>
      </c>
      <c r="P780" s="15">
        <f t="shared" si="51"/>
        <v>1.0897590361445784</v>
      </c>
    </row>
    <row r="781" spans="1:16" ht="15.75" hidden="1" customHeight="1" x14ac:dyDescent="0.3">
      <c r="A781" s="22" t="s">
        <v>59</v>
      </c>
      <c r="B781" s="9" t="s">
        <v>380</v>
      </c>
      <c r="C781" s="9" t="s">
        <v>142</v>
      </c>
      <c r="D781" s="9" t="s">
        <v>199</v>
      </c>
      <c r="E781" s="10">
        <v>8</v>
      </c>
      <c r="F781" s="9" t="s">
        <v>195</v>
      </c>
      <c r="G781" s="11">
        <v>0</v>
      </c>
      <c r="H781" s="9" t="s">
        <v>179</v>
      </c>
      <c r="I781" s="9" t="s">
        <v>180</v>
      </c>
      <c r="J781" s="9" t="s">
        <v>4</v>
      </c>
      <c r="K781" s="9"/>
      <c r="L781" s="9"/>
      <c r="M781" s="12">
        <f t="shared" si="48"/>
        <v>703</v>
      </c>
      <c r="N781" s="13">
        <f t="shared" si="49"/>
        <v>201.5</v>
      </c>
      <c r="O781" s="14">
        <f t="shared" si="50"/>
        <v>904.5</v>
      </c>
      <c r="P781" s="15">
        <f t="shared" si="51"/>
        <v>1.0897590361445784</v>
      </c>
    </row>
    <row r="782" spans="1:16" ht="15.75" hidden="1" customHeight="1" x14ac:dyDescent="0.3">
      <c r="A782" s="22" t="s">
        <v>59</v>
      </c>
      <c r="B782" s="9" t="s">
        <v>380</v>
      </c>
      <c r="C782" s="9" t="s">
        <v>80</v>
      </c>
      <c r="D782" s="9" t="s">
        <v>199</v>
      </c>
      <c r="E782" s="10">
        <v>1</v>
      </c>
      <c r="F782" s="9" t="s">
        <v>195</v>
      </c>
      <c r="G782" s="11">
        <v>0</v>
      </c>
      <c r="H782" s="9" t="s">
        <v>179</v>
      </c>
      <c r="I782" s="9" t="s">
        <v>180</v>
      </c>
      <c r="J782" s="9" t="s">
        <v>4</v>
      </c>
      <c r="K782" s="9"/>
      <c r="L782" s="9"/>
      <c r="M782" s="12">
        <f t="shared" si="48"/>
        <v>703</v>
      </c>
      <c r="N782" s="13">
        <f t="shared" si="49"/>
        <v>201.5</v>
      </c>
      <c r="O782" s="14">
        <f t="shared" si="50"/>
        <v>904.5</v>
      </c>
      <c r="P782" s="15">
        <f t="shared" si="51"/>
        <v>1.0897590361445784</v>
      </c>
    </row>
    <row r="783" spans="1:16" ht="15.75" hidden="1" customHeight="1" x14ac:dyDescent="0.3">
      <c r="A783" s="9" t="s">
        <v>59</v>
      </c>
      <c r="B783" s="9" t="s">
        <v>198</v>
      </c>
      <c r="C783" s="9" t="s">
        <v>73</v>
      </c>
      <c r="D783" s="9" t="s">
        <v>199</v>
      </c>
      <c r="E783" s="10">
        <v>24</v>
      </c>
      <c r="F783" s="9" t="s">
        <v>195</v>
      </c>
      <c r="G783" s="10">
        <v>24</v>
      </c>
      <c r="H783" s="9" t="s">
        <v>200</v>
      </c>
      <c r="I783" s="9" t="s">
        <v>201</v>
      </c>
      <c r="J783" s="9" t="s">
        <v>4</v>
      </c>
      <c r="K783" s="9"/>
      <c r="L783" s="9"/>
      <c r="M783" s="12">
        <f t="shared" si="48"/>
        <v>687</v>
      </c>
      <c r="N783" s="13">
        <f t="shared" si="49"/>
        <v>461.5</v>
      </c>
      <c r="O783" s="14">
        <f t="shared" si="50"/>
        <v>1148.5</v>
      </c>
      <c r="P783" s="15">
        <f t="shared" si="51"/>
        <v>1.3837349397590362</v>
      </c>
    </row>
    <row r="784" spans="1:16" ht="15.75" hidden="1" customHeight="1" x14ac:dyDescent="0.3">
      <c r="A784" s="9" t="s">
        <v>59</v>
      </c>
      <c r="B784" s="9" t="s">
        <v>198</v>
      </c>
      <c r="C784" s="9" t="s">
        <v>79</v>
      </c>
      <c r="D784" s="9" t="s">
        <v>199</v>
      </c>
      <c r="E784" s="10">
        <v>32</v>
      </c>
      <c r="F784" s="9" t="s">
        <v>195</v>
      </c>
      <c r="G784" s="10">
        <v>32</v>
      </c>
      <c r="H784" s="9" t="s">
        <v>200</v>
      </c>
      <c r="I784" s="9" t="s">
        <v>201</v>
      </c>
      <c r="J784" s="9" t="s">
        <v>4</v>
      </c>
      <c r="K784" s="9"/>
      <c r="L784" s="9"/>
      <c r="M784" s="12">
        <f t="shared" si="48"/>
        <v>687</v>
      </c>
      <c r="N784" s="13">
        <f t="shared" si="49"/>
        <v>461.5</v>
      </c>
      <c r="O784" s="14">
        <f t="shared" si="50"/>
        <v>1148.5</v>
      </c>
      <c r="P784" s="15">
        <f t="shared" si="51"/>
        <v>1.3837349397590362</v>
      </c>
    </row>
    <row r="785" spans="1:16" ht="15.75" hidden="1" customHeight="1" x14ac:dyDescent="0.3">
      <c r="A785" s="9" t="s">
        <v>59</v>
      </c>
      <c r="B785" s="9" t="s">
        <v>198</v>
      </c>
      <c r="C785" s="9" t="s">
        <v>111</v>
      </c>
      <c r="D785" s="9" t="s">
        <v>199</v>
      </c>
      <c r="E785" s="10">
        <v>12</v>
      </c>
      <c r="F785" s="9" t="s">
        <v>195</v>
      </c>
      <c r="G785" s="11">
        <v>0</v>
      </c>
      <c r="H785" s="9" t="s">
        <v>200</v>
      </c>
      <c r="I785" s="9" t="s">
        <v>201</v>
      </c>
      <c r="J785" s="9" t="s">
        <v>4</v>
      </c>
      <c r="K785" s="9"/>
      <c r="L785" s="9"/>
      <c r="M785" s="12">
        <f t="shared" si="48"/>
        <v>687</v>
      </c>
      <c r="N785" s="13">
        <f t="shared" si="49"/>
        <v>461.5</v>
      </c>
      <c r="O785" s="14">
        <f t="shared" si="50"/>
        <v>1148.5</v>
      </c>
      <c r="P785" s="15">
        <f t="shared" si="51"/>
        <v>1.3837349397590362</v>
      </c>
    </row>
    <row r="786" spans="1:16" ht="15.75" hidden="1" customHeight="1" x14ac:dyDescent="0.3">
      <c r="A786" s="9" t="s">
        <v>59</v>
      </c>
      <c r="B786" s="9" t="s">
        <v>198</v>
      </c>
      <c r="C786" s="9" t="s">
        <v>80</v>
      </c>
      <c r="D786" s="9" t="s">
        <v>199</v>
      </c>
      <c r="E786" s="10">
        <v>3</v>
      </c>
      <c r="F786" s="9" t="s">
        <v>195</v>
      </c>
      <c r="G786" s="11">
        <v>0</v>
      </c>
      <c r="H786" s="9" t="s">
        <v>200</v>
      </c>
      <c r="I786" s="9" t="s">
        <v>201</v>
      </c>
      <c r="J786" s="9" t="s">
        <v>4</v>
      </c>
      <c r="K786" s="9"/>
      <c r="L786" s="9"/>
      <c r="M786" s="12">
        <f t="shared" si="48"/>
        <v>687</v>
      </c>
      <c r="N786" s="13">
        <f t="shared" si="49"/>
        <v>461.5</v>
      </c>
      <c r="O786" s="14">
        <f t="shared" si="50"/>
        <v>1148.5</v>
      </c>
      <c r="P786" s="15">
        <f t="shared" si="51"/>
        <v>1.3837349397590362</v>
      </c>
    </row>
    <row r="787" spans="1:16" ht="15.75" hidden="1" customHeight="1" x14ac:dyDescent="0.3">
      <c r="A787" s="9" t="s">
        <v>59</v>
      </c>
      <c r="B787" s="9" t="s">
        <v>381</v>
      </c>
      <c r="C787" s="9" t="s">
        <v>73</v>
      </c>
      <c r="D787" s="9" t="s">
        <v>199</v>
      </c>
      <c r="E787" s="10">
        <v>16</v>
      </c>
      <c r="F787" s="9" t="s">
        <v>195</v>
      </c>
      <c r="G787" s="10">
        <v>16</v>
      </c>
      <c r="H787" s="9" t="s">
        <v>179</v>
      </c>
      <c r="I787" s="9" t="s">
        <v>180</v>
      </c>
      <c r="J787" s="9" t="s">
        <v>4</v>
      </c>
      <c r="K787" s="9"/>
      <c r="L787" s="9"/>
      <c r="M787" s="12">
        <f t="shared" si="48"/>
        <v>703</v>
      </c>
      <c r="N787" s="13">
        <f t="shared" si="49"/>
        <v>201.5</v>
      </c>
      <c r="O787" s="14">
        <f t="shared" si="50"/>
        <v>904.5</v>
      </c>
      <c r="P787" s="15">
        <f t="shared" si="51"/>
        <v>1.0897590361445784</v>
      </c>
    </row>
    <row r="788" spans="1:16" ht="15.75" hidden="1" customHeight="1" x14ac:dyDescent="0.3">
      <c r="A788" s="9" t="s">
        <v>59</v>
      </c>
      <c r="B788" s="9" t="s">
        <v>381</v>
      </c>
      <c r="C788" s="9" t="s">
        <v>79</v>
      </c>
      <c r="D788" s="9" t="s">
        <v>199</v>
      </c>
      <c r="E788" s="10">
        <v>24</v>
      </c>
      <c r="F788" s="9" t="s">
        <v>195</v>
      </c>
      <c r="G788" s="10">
        <v>24</v>
      </c>
      <c r="H788" s="9" t="s">
        <v>179</v>
      </c>
      <c r="I788" s="9" t="s">
        <v>180</v>
      </c>
      <c r="J788" s="9" t="s">
        <v>4</v>
      </c>
      <c r="K788" s="9"/>
      <c r="L788" s="9"/>
      <c r="M788" s="12">
        <f t="shared" si="48"/>
        <v>703</v>
      </c>
      <c r="N788" s="13">
        <f t="shared" si="49"/>
        <v>201.5</v>
      </c>
      <c r="O788" s="14">
        <f t="shared" si="50"/>
        <v>904.5</v>
      </c>
      <c r="P788" s="15">
        <f t="shared" si="51"/>
        <v>1.0897590361445784</v>
      </c>
    </row>
    <row r="789" spans="1:16" ht="15.75" hidden="1" customHeight="1" x14ac:dyDescent="0.3">
      <c r="A789" s="9" t="s">
        <v>59</v>
      </c>
      <c r="B789" s="9" t="s">
        <v>381</v>
      </c>
      <c r="C789" s="9" t="s">
        <v>142</v>
      </c>
      <c r="D789" s="9" t="s">
        <v>199</v>
      </c>
      <c r="E789" s="10">
        <v>8</v>
      </c>
      <c r="F789" s="9" t="s">
        <v>195</v>
      </c>
      <c r="G789" s="11">
        <v>0</v>
      </c>
      <c r="H789" s="9" t="s">
        <v>179</v>
      </c>
      <c r="I789" s="9" t="s">
        <v>180</v>
      </c>
      <c r="J789" s="9" t="s">
        <v>4</v>
      </c>
      <c r="K789" s="9"/>
      <c r="L789" s="9"/>
      <c r="M789" s="12">
        <f t="shared" si="48"/>
        <v>703</v>
      </c>
      <c r="N789" s="13">
        <f t="shared" si="49"/>
        <v>201.5</v>
      </c>
      <c r="O789" s="14">
        <f t="shared" si="50"/>
        <v>904.5</v>
      </c>
      <c r="P789" s="15">
        <f t="shared" si="51"/>
        <v>1.0897590361445784</v>
      </c>
    </row>
    <row r="790" spans="1:16" ht="15.75" hidden="1" customHeight="1" x14ac:dyDescent="0.3">
      <c r="A790" s="9" t="s">
        <v>59</v>
      </c>
      <c r="B790" s="9" t="s">
        <v>381</v>
      </c>
      <c r="C790" s="9" t="s">
        <v>80</v>
      </c>
      <c r="D790" s="9" t="s">
        <v>199</v>
      </c>
      <c r="E790" s="10">
        <v>1</v>
      </c>
      <c r="F790" s="9" t="s">
        <v>195</v>
      </c>
      <c r="G790" s="11">
        <v>0</v>
      </c>
      <c r="H790" s="9" t="s">
        <v>179</v>
      </c>
      <c r="I790" s="9" t="s">
        <v>180</v>
      </c>
      <c r="J790" s="9" t="s">
        <v>4</v>
      </c>
      <c r="K790" s="9"/>
      <c r="L790" s="9"/>
      <c r="M790" s="12">
        <f t="shared" si="48"/>
        <v>703</v>
      </c>
      <c r="N790" s="13">
        <f t="shared" si="49"/>
        <v>201.5</v>
      </c>
      <c r="O790" s="14">
        <f t="shared" si="50"/>
        <v>904.5</v>
      </c>
      <c r="P790" s="15">
        <f t="shared" si="51"/>
        <v>1.0897590361445784</v>
      </c>
    </row>
    <row r="791" spans="1:16" ht="15.75" hidden="1" customHeight="1" x14ac:dyDescent="0.3">
      <c r="A791" s="9" t="s">
        <v>59</v>
      </c>
      <c r="B791" s="9" t="s">
        <v>204</v>
      </c>
      <c r="C791" s="9" t="s">
        <v>73</v>
      </c>
      <c r="D791" s="9" t="s">
        <v>220</v>
      </c>
      <c r="E791" s="10">
        <v>26</v>
      </c>
      <c r="F791" s="9" t="s">
        <v>221</v>
      </c>
      <c r="G791" s="10">
        <v>26</v>
      </c>
      <c r="H791" s="9" t="s">
        <v>167</v>
      </c>
      <c r="I791" s="9" t="s">
        <v>168</v>
      </c>
      <c r="J791" s="9" t="s">
        <v>4</v>
      </c>
      <c r="K791" s="9"/>
      <c r="L791" s="9"/>
      <c r="M791" s="12">
        <f t="shared" si="48"/>
        <v>456</v>
      </c>
      <c r="N791" s="13">
        <f t="shared" si="49"/>
        <v>362</v>
      </c>
      <c r="O791" s="14">
        <f t="shared" si="50"/>
        <v>818</v>
      </c>
      <c r="P791" s="15">
        <f t="shared" si="51"/>
        <v>0.98554216867469879</v>
      </c>
    </row>
    <row r="792" spans="1:16" ht="15.75" hidden="1" customHeight="1" x14ac:dyDescent="0.3">
      <c r="A792" s="9" t="s">
        <v>59</v>
      </c>
      <c r="B792" s="9" t="s">
        <v>204</v>
      </c>
      <c r="C792" s="9" t="s">
        <v>123</v>
      </c>
      <c r="D792" s="9" t="s">
        <v>220</v>
      </c>
      <c r="E792" s="10">
        <v>33</v>
      </c>
      <c r="F792" s="9" t="s">
        <v>221</v>
      </c>
      <c r="G792" s="11">
        <v>0</v>
      </c>
      <c r="H792" s="9" t="s">
        <v>167</v>
      </c>
      <c r="I792" s="9" t="s">
        <v>168</v>
      </c>
      <c r="J792" s="9" t="s">
        <v>4</v>
      </c>
      <c r="K792" s="9"/>
      <c r="L792" s="9"/>
      <c r="M792" s="12">
        <f t="shared" si="48"/>
        <v>456</v>
      </c>
      <c r="N792" s="13">
        <f t="shared" si="49"/>
        <v>362</v>
      </c>
      <c r="O792" s="14">
        <f t="shared" si="50"/>
        <v>818</v>
      </c>
      <c r="P792" s="15">
        <f t="shared" si="51"/>
        <v>0.98554216867469879</v>
      </c>
    </row>
    <row r="793" spans="1:16" ht="15.75" hidden="1" customHeight="1" x14ac:dyDescent="0.3">
      <c r="A793" s="9" t="s">
        <v>59</v>
      </c>
      <c r="B793" s="9" t="s">
        <v>204</v>
      </c>
      <c r="C793" s="9" t="s">
        <v>79</v>
      </c>
      <c r="D793" s="9" t="s">
        <v>220</v>
      </c>
      <c r="E793" s="10">
        <v>42</v>
      </c>
      <c r="F793" s="9" t="s">
        <v>221</v>
      </c>
      <c r="G793" s="10">
        <v>42</v>
      </c>
      <c r="H793" s="9" t="s">
        <v>167</v>
      </c>
      <c r="I793" s="9" t="s">
        <v>168</v>
      </c>
      <c r="J793" s="9" t="s">
        <v>4</v>
      </c>
      <c r="K793" s="9"/>
      <c r="L793" s="9"/>
      <c r="M793" s="12">
        <f t="shared" si="48"/>
        <v>456</v>
      </c>
      <c r="N793" s="13">
        <f t="shared" si="49"/>
        <v>362</v>
      </c>
      <c r="O793" s="14">
        <f t="shared" si="50"/>
        <v>818</v>
      </c>
      <c r="P793" s="15">
        <f t="shared" si="51"/>
        <v>0.98554216867469879</v>
      </c>
    </row>
    <row r="794" spans="1:16" ht="15.75" hidden="1" customHeight="1" x14ac:dyDescent="0.3">
      <c r="A794" s="9" t="s">
        <v>59</v>
      </c>
      <c r="B794" s="9" t="s">
        <v>204</v>
      </c>
      <c r="C794" s="9" t="s">
        <v>111</v>
      </c>
      <c r="D794" s="9" t="s">
        <v>220</v>
      </c>
      <c r="E794" s="10">
        <v>6</v>
      </c>
      <c r="F794" s="9" t="s">
        <v>221</v>
      </c>
      <c r="G794" s="11">
        <v>0</v>
      </c>
      <c r="H794" s="9" t="s">
        <v>167</v>
      </c>
      <c r="I794" s="9" t="s">
        <v>168</v>
      </c>
      <c r="J794" s="9" t="s">
        <v>4</v>
      </c>
      <c r="K794" s="9"/>
      <c r="L794" s="9"/>
      <c r="M794" s="12">
        <f t="shared" si="48"/>
        <v>456</v>
      </c>
      <c r="N794" s="13">
        <f t="shared" si="49"/>
        <v>362</v>
      </c>
      <c r="O794" s="14">
        <f t="shared" si="50"/>
        <v>818</v>
      </c>
      <c r="P794" s="15">
        <f t="shared" si="51"/>
        <v>0.98554216867469879</v>
      </c>
    </row>
    <row r="795" spans="1:16" ht="15.75" hidden="1" customHeight="1" x14ac:dyDescent="0.3">
      <c r="A795" s="9" t="s">
        <v>59</v>
      </c>
      <c r="B795" s="9" t="s">
        <v>204</v>
      </c>
      <c r="C795" s="9" t="s">
        <v>80</v>
      </c>
      <c r="D795" s="9" t="s">
        <v>220</v>
      </c>
      <c r="E795" s="10">
        <v>5</v>
      </c>
      <c r="F795" s="9" t="s">
        <v>221</v>
      </c>
      <c r="G795" s="11">
        <v>0</v>
      </c>
      <c r="H795" s="9" t="s">
        <v>167</v>
      </c>
      <c r="I795" s="9" t="s">
        <v>168</v>
      </c>
      <c r="J795" s="9" t="s">
        <v>4</v>
      </c>
      <c r="K795" s="9"/>
      <c r="L795" s="9"/>
      <c r="M795" s="12">
        <f t="shared" si="48"/>
        <v>456</v>
      </c>
      <c r="N795" s="13">
        <f t="shared" si="49"/>
        <v>362</v>
      </c>
      <c r="O795" s="14">
        <f t="shared" si="50"/>
        <v>818</v>
      </c>
      <c r="P795" s="15">
        <f t="shared" si="51"/>
        <v>0.98554216867469879</v>
      </c>
    </row>
    <row r="796" spans="1:16" ht="15.75" hidden="1" customHeight="1" x14ac:dyDescent="0.3">
      <c r="A796" s="9" t="s">
        <v>59</v>
      </c>
      <c r="B796" s="9" t="s">
        <v>382</v>
      </c>
      <c r="C796" s="9" t="s">
        <v>73</v>
      </c>
      <c r="D796" s="9" t="s">
        <v>126</v>
      </c>
      <c r="E796" s="10">
        <v>12</v>
      </c>
      <c r="F796" s="9" t="s">
        <v>127</v>
      </c>
      <c r="G796" s="10">
        <v>12</v>
      </c>
      <c r="H796" s="9" t="s">
        <v>210</v>
      </c>
      <c r="I796" s="9" t="s">
        <v>211</v>
      </c>
      <c r="J796" s="9" t="s">
        <v>4</v>
      </c>
      <c r="K796" s="9"/>
      <c r="L796" s="9"/>
      <c r="M796" s="12">
        <f t="shared" si="48"/>
        <v>213</v>
      </c>
      <c r="N796" s="13">
        <f t="shared" si="49"/>
        <v>399</v>
      </c>
      <c r="O796" s="14">
        <f t="shared" si="50"/>
        <v>612</v>
      </c>
      <c r="P796" s="15">
        <f t="shared" si="51"/>
        <v>0.73734939759036144</v>
      </c>
    </row>
    <row r="797" spans="1:16" ht="15.75" hidden="1" customHeight="1" x14ac:dyDescent="0.3">
      <c r="A797" s="9" t="s">
        <v>59</v>
      </c>
      <c r="B797" s="9" t="s">
        <v>382</v>
      </c>
      <c r="C797" s="9" t="s">
        <v>79</v>
      </c>
      <c r="D797" s="9" t="s">
        <v>126</v>
      </c>
      <c r="E797" s="10">
        <v>18</v>
      </c>
      <c r="F797" s="9" t="s">
        <v>127</v>
      </c>
      <c r="G797" s="10">
        <v>18</v>
      </c>
      <c r="H797" s="9" t="s">
        <v>210</v>
      </c>
      <c r="I797" s="9" t="s">
        <v>211</v>
      </c>
      <c r="J797" s="9" t="s">
        <v>4</v>
      </c>
      <c r="K797" s="9"/>
      <c r="L797" s="9"/>
      <c r="M797" s="12">
        <f t="shared" si="48"/>
        <v>213</v>
      </c>
      <c r="N797" s="13">
        <f t="shared" si="49"/>
        <v>399</v>
      </c>
      <c r="O797" s="14">
        <f t="shared" si="50"/>
        <v>612</v>
      </c>
      <c r="P797" s="15">
        <f t="shared" si="51"/>
        <v>0.73734939759036144</v>
      </c>
    </row>
    <row r="798" spans="1:16" ht="15.75" hidden="1" customHeight="1" x14ac:dyDescent="0.3">
      <c r="A798" s="9" t="s">
        <v>59</v>
      </c>
      <c r="B798" s="9" t="s">
        <v>382</v>
      </c>
      <c r="C798" s="9" t="s">
        <v>142</v>
      </c>
      <c r="D798" s="9" t="s">
        <v>126</v>
      </c>
      <c r="E798" s="10">
        <v>5</v>
      </c>
      <c r="F798" s="9" t="s">
        <v>127</v>
      </c>
      <c r="G798" s="11">
        <v>0</v>
      </c>
      <c r="H798" s="9" t="s">
        <v>210</v>
      </c>
      <c r="I798" s="9" t="s">
        <v>211</v>
      </c>
      <c r="J798" s="9" t="s">
        <v>4</v>
      </c>
      <c r="K798" s="9"/>
      <c r="L798" s="9"/>
      <c r="M798" s="12">
        <f t="shared" si="48"/>
        <v>213</v>
      </c>
      <c r="N798" s="13">
        <f t="shared" si="49"/>
        <v>399</v>
      </c>
      <c r="O798" s="14">
        <f t="shared" si="50"/>
        <v>612</v>
      </c>
      <c r="P798" s="15">
        <f t="shared" si="51"/>
        <v>0.73734939759036144</v>
      </c>
    </row>
    <row r="799" spans="1:16" ht="15.75" hidden="1" customHeight="1" x14ac:dyDescent="0.3">
      <c r="A799" s="9" t="s">
        <v>59</v>
      </c>
      <c r="B799" s="9" t="s">
        <v>382</v>
      </c>
      <c r="C799" s="9" t="s">
        <v>80</v>
      </c>
      <c r="D799" s="9" t="s">
        <v>126</v>
      </c>
      <c r="E799" s="10">
        <v>1</v>
      </c>
      <c r="F799" s="9" t="s">
        <v>127</v>
      </c>
      <c r="G799" s="11">
        <v>0</v>
      </c>
      <c r="H799" s="9" t="s">
        <v>210</v>
      </c>
      <c r="I799" s="9" t="s">
        <v>211</v>
      </c>
      <c r="J799" s="9" t="s">
        <v>4</v>
      </c>
      <c r="K799" s="9"/>
      <c r="L799" s="9"/>
      <c r="M799" s="12">
        <f t="shared" si="48"/>
        <v>213</v>
      </c>
      <c r="N799" s="13">
        <f t="shared" si="49"/>
        <v>399</v>
      </c>
      <c r="O799" s="14">
        <f t="shared" si="50"/>
        <v>612</v>
      </c>
      <c r="P799" s="15">
        <f t="shared" si="51"/>
        <v>0.73734939759036144</v>
      </c>
    </row>
    <row r="800" spans="1:16" ht="15.75" hidden="1" customHeight="1" x14ac:dyDescent="0.3">
      <c r="A800" s="22" t="s">
        <v>59</v>
      </c>
      <c r="B800" s="9" t="s">
        <v>383</v>
      </c>
      <c r="C800" s="9" t="s">
        <v>73</v>
      </c>
      <c r="D800" s="9" t="s">
        <v>189</v>
      </c>
      <c r="E800" s="10">
        <v>4</v>
      </c>
      <c r="F800" s="9" t="s">
        <v>190</v>
      </c>
      <c r="G800" s="10">
        <v>4</v>
      </c>
      <c r="H800" s="9" t="s">
        <v>167</v>
      </c>
      <c r="I800" s="9" t="s">
        <v>168</v>
      </c>
      <c r="J800" s="9" t="s">
        <v>4</v>
      </c>
      <c r="K800" s="9"/>
      <c r="L800" s="9"/>
      <c r="M800" s="12">
        <f t="shared" si="48"/>
        <v>456</v>
      </c>
      <c r="N800" s="13">
        <f t="shared" si="49"/>
        <v>362</v>
      </c>
      <c r="O800" s="14">
        <f t="shared" si="50"/>
        <v>818</v>
      </c>
      <c r="P800" s="15">
        <f t="shared" si="51"/>
        <v>0.98554216867469879</v>
      </c>
    </row>
    <row r="801" spans="1:16" ht="15.75" hidden="1" customHeight="1" x14ac:dyDescent="0.3">
      <c r="A801" s="22" t="s">
        <v>59</v>
      </c>
      <c r="B801" s="9" t="s">
        <v>383</v>
      </c>
      <c r="C801" s="9" t="s">
        <v>79</v>
      </c>
      <c r="D801" s="9" t="s">
        <v>189</v>
      </c>
      <c r="E801" s="10">
        <v>8</v>
      </c>
      <c r="F801" s="9" t="s">
        <v>190</v>
      </c>
      <c r="G801" s="10">
        <v>8</v>
      </c>
      <c r="H801" s="9" t="s">
        <v>167</v>
      </c>
      <c r="I801" s="9" t="s">
        <v>168</v>
      </c>
      <c r="J801" s="9" t="s">
        <v>4</v>
      </c>
      <c r="K801" s="9"/>
      <c r="L801" s="9"/>
      <c r="M801" s="12">
        <f t="shared" si="48"/>
        <v>456</v>
      </c>
      <c r="N801" s="13">
        <f t="shared" si="49"/>
        <v>362</v>
      </c>
      <c r="O801" s="14">
        <f t="shared" si="50"/>
        <v>818</v>
      </c>
      <c r="P801" s="15">
        <f t="shared" si="51"/>
        <v>0.98554216867469879</v>
      </c>
    </row>
    <row r="802" spans="1:16" ht="15.75" hidden="1" customHeight="1" x14ac:dyDescent="0.3">
      <c r="A802" s="22" t="s">
        <v>59</v>
      </c>
      <c r="B802" s="9" t="s">
        <v>383</v>
      </c>
      <c r="C802" s="9" t="s">
        <v>192</v>
      </c>
      <c r="D802" s="9" t="s">
        <v>189</v>
      </c>
      <c r="E802" s="10">
        <v>4</v>
      </c>
      <c r="F802" s="9" t="s">
        <v>190</v>
      </c>
      <c r="G802" s="10">
        <v>4</v>
      </c>
      <c r="H802" s="9" t="s">
        <v>167</v>
      </c>
      <c r="I802" s="9" t="s">
        <v>168</v>
      </c>
      <c r="J802" s="9" t="s">
        <v>4</v>
      </c>
      <c r="K802" s="9"/>
      <c r="L802" s="9"/>
      <c r="M802" s="12">
        <f t="shared" ref="M802:M865" si="52">SUMIFS($E$2:$E$1130,$A$2:$A$1130,"осень",$I$2:$I$1130,I802)</f>
        <v>456</v>
      </c>
      <c r="N802" s="13">
        <f t="shared" ref="N802:N865" si="53">SUMIFS($E$2:$E$1130,$A$2:$A$1130,"весна",$I$2:$I$1130,I802)</f>
        <v>362</v>
      </c>
      <c r="O802" s="14">
        <f t="shared" ref="O802:O865" si="54">M802+N802</f>
        <v>818</v>
      </c>
      <c r="P802" s="15">
        <f t="shared" ref="P802:P865" si="55">O802/$P$1</f>
        <v>0.98554216867469879</v>
      </c>
    </row>
    <row r="803" spans="1:16" ht="15.75" hidden="1" customHeight="1" x14ac:dyDescent="0.3">
      <c r="A803" s="22" t="s">
        <v>59</v>
      </c>
      <c r="B803" s="9" t="s">
        <v>383</v>
      </c>
      <c r="C803" s="9" t="s">
        <v>142</v>
      </c>
      <c r="D803" s="9" t="s">
        <v>189</v>
      </c>
      <c r="E803" s="10">
        <v>2</v>
      </c>
      <c r="F803" s="9" t="s">
        <v>190</v>
      </c>
      <c r="G803" s="11">
        <v>0</v>
      </c>
      <c r="H803" s="9" t="s">
        <v>167</v>
      </c>
      <c r="I803" s="9" t="s">
        <v>168</v>
      </c>
      <c r="J803" s="9" t="s">
        <v>4</v>
      </c>
      <c r="K803" s="9"/>
      <c r="L803" s="9"/>
      <c r="M803" s="12">
        <f t="shared" si="52"/>
        <v>456</v>
      </c>
      <c r="N803" s="13">
        <f t="shared" si="53"/>
        <v>362</v>
      </c>
      <c r="O803" s="14">
        <f t="shared" si="54"/>
        <v>818</v>
      </c>
      <c r="P803" s="15">
        <f t="shared" si="55"/>
        <v>0.98554216867469879</v>
      </c>
    </row>
    <row r="804" spans="1:16" ht="15.75" hidden="1" customHeight="1" x14ac:dyDescent="0.3">
      <c r="A804" s="9" t="s">
        <v>59</v>
      </c>
      <c r="B804" s="9" t="s">
        <v>384</v>
      </c>
      <c r="C804" s="9" t="s">
        <v>73</v>
      </c>
      <c r="D804" s="9" t="s">
        <v>160</v>
      </c>
      <c r="E804" s="10">
        <v>32</v>
      </c>
      <c r="F804" s="9" t="s">
        <v>161</v>
      </c>
      <c r="G804" s="10">
        <v>32</v>
      </c>
      <c r="H804" s="9" t="s">
        <v>84</v>
      </c>
      <c r="I804" s="9" t="s">
        <v>85</v>
      </c>
      <c r="J804" s="9"/>
      <c r="K804" s="9"/>
      <c r="L804" s="9" t="s">
        <v>351</v>
      </c>
      <c r="M804" s="12">
        <f t="shared" si="52"/>
        <v>256</v>
      </c>
      <c r="N804" s="13">
        <f t="shared" si="53"/>
        <v>691.5</v>
      </c>
      <c r="O804" s="14">
        <f t="shared" si="54"/>
        <v>947.5</v>
      </c>
      <c r="P804" s="15">
        <f t="shared" si="55"/>
        <v>1.1415662650602409</v>
      </c>
    </row>
    <row r="805" spans="1:16" ht="15.75" hidden="1" customHeight="1" x14ac:dyDescent="0.3">
      <c r="A805" s="9" t="s">
        <v>59</v>
      </c>
      <c r="B805" s="9" t="s">
        <v>384</v>
      </c>
      <c r="C805" s="9" t="s">
        <v>79</v>
      </c>
      <c r="D805" s="9" t="s">
        <v>162</v>
      </c>
      <c r="E805" s="10">
        <v>20</v>
      </c>
      <c r="F805" s="9" t="s">
        <v>161</v>
      </c>
      <c r="G805" s="10">
        <v>20</v>
      </c>
      <c r="H805" s="9" t="s">
        <v>84</v>
      </c>
      <c r="I805" s="9" t="s">
        <v>85</v>
      </c>
      <c r="J805" s="9"/>
      <c r="K805" s="9"/>
      <c r="L805" s="9" t="s">
        <v>351</v>
      </c>
      <c r="M805" s="12">
        <f t="shared" si="52"/>
        <v>256</v>
      </c>
      <c r="N805" s="13">
        <f t="shared" si="53"/>
        <v>691.5</v>
      </c>
      <c r="O805" s="14">
        <f t="shared" si="54"/>
        <v>947.5</v>
      </c>
      <c r="P805" s="15">
        <f t="shared" si="55"/>
        <v>1.1415662650602409</v>
      </c>
    </row>
    <row r="806" spans="1:16" ht="15.75" hidden="1" customHeight="1" x14ac:dyDescent="0.3">
      <c r="A806" s="9" t="s">
        <v>59</v>
      </c>
      <c r="B806" s="9" t="s">
        <v>384</v>
      </c>
      <c r="C806" s="9" t="s">
        <v>79</v>
      </c>
      <c r="D806" s="9" t="s">
        <v>163</v>
      </c>
      <c r="E806" s="10">
        <v>20</v>
      </c>
      <c r="F806" s="9" t="s">
        <v>161</v>
      </c>
      <c r="G806" s="10">
        <v>20</v>
      </c>
      <c r="H806" s="9" t="s">
        <v>84</v>
      </c>
      <c r="I806" s="9" t="s">
        <v>85</v>
      </c>
      <c r="J806" s="9"/>
      <c r="K806" s="9"/>
      <c r="L806" s="9" t="s">
        <v>351</v>
      </c>
      <c r="M806" s="12">
        <f t="shared" si="52"/>
        <v>256</v>
      </c>
      <c r="N806" s="13">
        <f t="shared" si="53"/>
        <v>691.5</v>
      </c>
      <c r="O806" s="14">
        <f t="shared" si="54"/>
        <v>947.5</v>
      </c>
      <c r="P806" s="15">
        <f t="shared" si="55"/>
        <v>1.1415662650602409</v>
      </c>
    </row>
    <row r="807" spans="1:16" ht="15.75" hidden="1" customHeight="1" x14ac:dyDescent="0.3">
      <c r="A807" s="9" t="s">
        <v>59</v>
      </c>
      <c r="B807" s="9" t="s">
        <v>384</v>
      </c>
      <c r="C807" s="9" t="s">
        <v>100</v>
      </c>
      <c r="D807" s="9" t="s">
        <v>162</v>
      </c>
      <c r="E807" s="10">
        <v>32</v>
      </c>
      <c r="F807" s="9" t="s">
        <v>161</v>
      </c>
      <c r="G807" s="10">
        <v>16</v>
      </c>
      <c r="H807" s="9" t="s">
        <v>84</v>
      </c>
      <c r="I807" s="9" t="s">
        <v>85</v>
      </c>
      <c r="J807" s="9"/>
      <c r="K807" s="9"/>
      <c r="L807" s="9" t="s">
        <v>351</v>
      </c>
      <c r="M807" s="12">
        <f t="shared" si="52"/>
        <v>256</v>
      </c>
      <c r="N807" s="13">
        <f t="shared" si="53"/>
        <v>691.5</v>
      </c>
      <c r="O807" s="14">
        <f t="shared" si="54"/>
        <v>947.5</v>
      </c>
      <c r="P807" s="15">
        <f t="shared" si="55"/>
        <v>1.1415662650602409</v>
      </c>
    </row>
    <row r="808" spans="1:16" ht="15.75" hidden="1" customHeight="1" x14ac:dyDescent="0.3">
      <c r="A808" s="9" t="s">
        <v>59</v>
      </c>
      <c r="B808" s="9" t="s">
        <v>384</v>
      </c>
      <c r="C808" s="9" t="s">
        <v>100</v>
      </c>
      <c r="D808" s="9" t="s">
        <v>163</v>
      </c>
      <c r="E808" s="10">
        <v>16</v>
      </c>
      <c r="F808" s="9" t="s">
        <v>161</v>
      </c>
      <c r="G808" s="10">
        <v>16</v>
      </c>
      <c r="H808" s="9" t="s">
        <v>84</v>
      </c>
      <c r="I808" s="9" t="s">
        <v>85</v>
      </c>
      <c r="J808" s="9"/>
      <c r="K808" s="9"/>
      <c r="L808" s="9" t="s">
        <v>351</v>
      </c>
      <c r="M808" s="12">
        <f t="shared" si="52"/>
        <v>256</v>
      </c>
      <c r="N808" s="13">
        <f t="shared" si="53"/>
        <v>691.5</v>
      </c>
      <c r="O808" s="14">
        <f t="shared" si="54"/>
        <v>947.5</v>
      </c>
      <c r="P808" s="15">
        <f t="shared" si="55"/>
        <v>1.1415662650602409</v>
      </c>
    </row>
    <row r="809" spans="1:16" ht="15.75" hidden="1" customHeight="1" x14ac:dyDescent="0.3">
      <c r="A809" s="9" t="s">
        <v>59</v>
      </c>
      <c r="B809" s="9" t="s">
        <v>384</v>
      </c>
      <c r="C809" s="9" t="s">
        <v>111</v>
      </c>
      <c r="D809" s="9" t="s">
        <v>162</v>
      </c>
      <c r="E809" s="10">
        <v>9</v>
      </c>
      <c r="F809" s="9" t="s">
        <v>161</v>
      </c>
      <c r="G809" s="11">
        <v>0</v>
      </c>
      <c r="H809" s="9" t="s">
        <v>84</v>
      </c>
      <c r="I809" s="9" t="s">
        <v>85</v>
      </c>
      <c r="J809" s="9"/>
      <c r="K809" s="9"/>
      <c r="L809" s="9" t="s">
        <v>351</v>
      </c>
      <c r="M809" s="12">
        <f t="shared" si="52"/>
        <v>256</v>
      </c>
      <c r="N809" s="13">
        <f t="shared" si="53"/>
        <v>691.5</v>
      </c>
      <c r="O809" s="14">
        <f t="shared" si="54"/>
        <v>947.5</v>
      </c>
      <c r="P809" s="15">
        <f t="shared" si="55"/>
        <v>1.1415662650602409</v>
      </c>
    </row>
    <row r="810" spans="1:16" ht="15.75" hidden="1" customHeight="1" x14ac:dyDescent="0.3">
      <c r="A810" s="9" t="s">
        <v>59</v>
      </c>
      <c r="B810" s="9" t="s">
        <v>384</v>
      </c>
      <c r="C810" s="9" t="s">
        <v>111</v>
      </c>
      <c r="D810" s="9" t="s">
        <v>163</v>
      </c>
      <c r="E810" s="10">
        <v>7</v>
      </c>
      <c r="F810" s="9" t="s">
        <v>161</v>
      </c>
      <c r="G810" s="11">
        <v>0</v>
      </c>
      <c r="H810" s="9" t="s">
        <v>84</v>
      </c>
      <c r="I810" s="9" t="s">
        <v>85</v>
      </c>
      <c r="J810" s="9"/>
      <c r="K810" s="9"/>
      <c r="L810" s="9" t="s">
        <v>351</v>
      </c>
      <c r="M810" s="12">
        <f t="shared" si="52"/>
        <v>256</v>
      </c>
      <c r="N810" s="13">
        <f t="shared" si="53"/>
        <v>691.5</v>
      </c>
      <c r="O810" s="14">
        <f t="shared" si="54"/>
        <v>947.5</v>
      </c>
      <c r="P810" s="15">
        <f t="shared" si="55"/>
        <v>1.1415662650602409</v>
      </c>
    </row>
    <row r="811" spans="1:16" ht="15.75" hidden="1" customHeight="1" x14ac:dyDescent="0.3">
      <c r="A811" s="9" t="s">
        <v>59</v>
      </c>
      <c r="B811" s="9" t="s">
        <v>384</v>
      </c>
      <c r="C811" s="9" t="s">
        <v>80</v>
      </c>
      <c r="D811" s="9" t="s">
        <v>162</v>
      </c>
      <c r="E811" s="10">
        <v>4</v>
      </c>
      <c r="F811" s="9" t="s">
        <v>161</v>
      </c>
      <c r="G811" s="11">
        <v>0</v>
      </c>
      <c r="H811" s="9" t="s">
        <v>84</v>
      </c>
      <c r="I811" s="9" t="s">
        <v>85</v>
      </c>
      <c r="J811" s="9"/>
      <c r="K811" s="9"/>
      <c r="L811" s="9" t="s">
        <v>351</v>
      </c>
      <c r="M811" s="12">
        <f t="shared" si="52"/>
        <v>256</v>
      </c>
      <c r="N811" s="13">
        <f t="shared" si="53"/>
        <v>691.5</v>
      </c>
      <c r="O811" s="14">
        <f t="shared" si="54"/>
        <v>947.5</v>
      </c>
      <c r="P811" s="15">
        <f t="shared" si="55"/>
        <v>1.1415662650602409</v>
      </c>
    </row>
    <row r="812" spans="1:16" ht="15.75" hidden="1" customHeight="1" x14ac:dyDescent="0.3">
      <c r="A812" s="9" t="s">
        <v>59</v>
      </c>
      <c r="B812" s="9" t="s">
        <v>384</v>
      </c>
      <c r="C812" s="9" t="s">
        <v>80</v>
      </c>
      <c r="D812" s="9" t="s">
        <v>163</v>
      </c>
      <c r="E812" s="10">
        <v>4</v>
      </c>
      <c r="F812" s="9" t="s">
        <v>161</v>
      </c>
      <c r="G812" s="11">
        <v>0</v>
      </c>
      <c r="H812" s="9" t="s">
        <v>84</v>
      </c>
      <c r="I812" s="9" t="s">
        <v>85</v>
      </c>
      <c r="J812" s="9"/>
      <c r="K812" s="9"/>
      <c r="L812" s="9" t="s">
        <v>351</v>
      </c>
      <c r="M812" s="12">
        <f t="shared" si="52"/>
        <v>256</v>
      </c>
      <c r="N812" s="13">
        <f t="shared" si="53"/>
        <v>691.5</v>
      </c>
      <c r="O812" s="14">
        <f t="shared" si="54"/>
        <v>947.5</v>
      </c>
      <c r="P812" s="15">
        <f t="shared" si="55"/>
        <v>1.1415662650602409</v>
      </c>
    </row>
    <row r="813" spans="1:16" ht="15.75" hidden="1" customHeight="1" x14ac:dyDescent="0.3">
      <c r="A813" s="9" t="s">
        <v>59</v>
      </c>
      <c r="B813" s="9" t="s">
        <v>224</v>
      </c>
      <c r="C813" s="9" t="s">
        <v>102</v>
      </c>
      <c r="D813" s="9" t="s">
        <v>189</v>
      </c>
      <c r="E813" s="10">
        <v>24</v>
      </c>
      <c r="F813" s="9" t="s">
        <v>190</v>
      </c>
      <c r="G813" s="11">
        <v>0</v>
      </c>
      <c r="H813" s="9" t="s">
        <v>91</v>
      </c>
      <c r="I813" s="9" t="s">
        <v>92</v>
      </c>
      <c r="J813" s="9" t="s">
        <v>4</v>
      </c>
      <c r="K813" s="9"/>
      <c r="L813" s="9"/>
      <c r="M813" s="12">
        <f t="shared" si="52"/>
        <v>405</v>
      </c>
      <c r="N813" s="13">
        <f t="shared" si="53"/>
        <v>532</v>
      </c>
      <c r="O813" s="14">
        <f t="shared" si="54"/>
        <v>937</v>
      </c>
      <c r="P813" s="15">
        <f t="shared" si="55"/>
        <v>1.1289156626506025</v>
      </c>
    </row>
    <row r="814" spans="1:16" ht="15.75" hidden="1" customHeight="1" x14ac:dyDescent="0.3">
      <c r="A814" s="9" t="s">
        <v>59</v>
      </c>
      <c r="B814" s="9" t="s">
        <v>224</v>
      </c>
      <c r="C814" s="9" t="s">
        <v>102</v>
      </c>
      <c r="D814" s="9" t="s">
        <v>103</v>
      </c>
      <c r="E814" s="10">
        <v>64</v>
      </c>
      <c r="F814" s="9" t="s">
        <v>107</v>
      </c>
      <c r="G814" s="11">
        <v>0</v>
      </c>
      <c r="H814" s="9" t="s">
        <v>91</v>
      </c>
      <c r="I814" s="9" t="s">
        <v>92</v>
      </c>
      <c r="J814" s="9" t="s">
        <v>4</v>
      </c>
      <c r="K814" s="9"/>
      <c r="L814" s="9"/>
      <c r="M814" s="12">
        <f t="shared" si="52"/>
        <v>405</v>
      </c>
      <c r="N814" s="13">
        <f t="shared" si="53"/>
        <v>532</v>
      </c>
      <c r="O814" s="14">
        <f t="shared" si="54"/>
        <v>937</v>
      </c>
      <c r="P814" s="15">
        <f t="shared" si="55"/>
        <v>1.1289156626506025</v>
      </c>
    </row>
    <row r="815" spans="1:16" ht="15.75" hidden="1" customHeight="1" x14ac:dyDescent="0.3">
      <c r="A815" s="9" t="s">
        <v>59</v>
      </c>
      <c r="B815" s="9" t="s">
        <v>224</v>
      </c>
      <c r="C815" s="9" t="s">
        <v>73</v>
      </c>
      <c r="D815" s="9" t="s">
        <v>189</v>
      </c>
      <c r="E815" s="10">
        <v>8</v>
      </c>
      <c r="F815" s="9" t="s">
        <v>190</v>
      </c>
      <c r="G815" s="11">
        <v>0</v>
      </c>
      <c r="H815" s="9" t="s">
        <v>91</v>
      </c>
      <c r="I815" s="9" t="s">
        <v>92</v>
      </c>
      <c r="J815" s="9" t="s">
        <v>4</v>
      </c>
      <c r="K815" s="9"/>
      <c r="L815" s="9"/>
      <c r="M815" s="12">
        <f t="shared" si="52"/>
        <v>405</v>
      </c>
      <c r="N815" s="13">
        <f t="shared" si="53"/>
        <v>532</v>
      </c>
      <c r="O815" s="14">
        <f t="shared" si="54"/>
        <v>937</v>
      </c>
      <c r="P815" s="15">
        <f t="shared" si="55"/>
        <v>1.1289156626506025</v>
      </c>
    </row>
    <row r="816" spans="1:16" ht="15.75" hidden="1" customHeight="1" x14ac:dyDescent="0.3">
      <c r="A816" s="9" t="s">
        <v>59</v>
      </c>
      <c r="B816" s="9" t="s">
        <v>224</v>
      </c>
      <c r="C816" s="9" t="s">
        <v>73</v>
      </c>
      <c r="D816" s="9" t="s">
        <v>103</v>
      </c>
      <c r="E816" s="10">
        <v>20</v>
      </c>
      <c r="F816" s="9" t="s">
        <v>107</v>
      </c>
      <c r="G816" s="10">
        <v>20</v>
      </c>
      <c r="H816" s="9" t="s">
        <v>91</v>
      </c>
      <c r="I816" s="9" t="s">
        <v>92</v>
      </c>
      <c r="J816" s="9" t="s">
        <v>4</v>
      </c>
      <c r="K816" s="9"/>
      <c r="L816" s="9"/>
      <c r="M816" s="12">
        <f t="shared" si="52"/>
        <v>405</v>
      </c>
      <c r="N816" s="13">
        <f t="shared" si="53"/>
        <v>532</v>
      </c>
      <c r="O816" s="14">
        <f t="shared" si="54"/>
        <v>937</v>
      </c>
      <c r="P816" s="15">
        <f t="shared" si="55"/>
        <v>1.1289156626506025</v>
      </c>
    </row>
    <row r="817" spans="1:16" ht="15.75" hidden="1" customHeight="1" x14ac:dyDescent="0.3">
      <c r="A817" s="9" t="s">
        <v>59</v>
      </c>
      <c r="B817" s="9" t="s">
        <v>224</v>
      </c>
      <c r="C817" s="9" t="s">
        <v>79</v>
      </c>
      <c r="D817" s="9" t="s">
        <v>189</v>
      </c>
      <c r="E817" s="10">
        <v>12</v>
      </c>
      <c r="F817" s="9" t="s">
        <v>190</v>
      </c>
      <c r="G817" s="11">
        <v>0</v>
      </c>
      <c r="H817" s="9" t="s">
        <v>91</v>
      </c>
      <c r="I817" s="9" t="s">
        <v>92</v>
      </c>
      <c r="J817" s="9" t="s">
        <v>4</v>
      </c>
      <c r="K817" s="9"/>
      <c r="L817" s="9"/>
      <c r="M817" s="12">
        <f t="shared" si="52"/>
        <v>405</v>
      </c>
      <c r="N817" s="13">
        <f t="shared" si="53"/>
        <v>532</v>
      </c>
      <c r="O817" s="14">
        <f t="shared" si="54"/>
        <v>937</v>
      </c>
      <c r="P817" s="15">
        <f t="shared" si="55"/>
        <v>1.1289156626506025</v>
      </c>
    </row>
    <row r="818" spans="1:16" ht="15.75" hidden="1" customHeight="1" x14ac:dyDescent="0.3">
      <c r="A818" s="9" t="s">
        <v>59</v>
      </c>
      <c r="B818" s="9" t="s">
        <v>224</v>
      </c>
      <c r="C818" s="9" t="s">
        <v>79</v>
      </c>
      <c r="D818" s="9" t="s">
        <v>103</v>
      </c>
      <c r="E818" s="10">
        <v>32</v>
      </c>
      <c r="F818" s="9" t="s">
        <v>107</v>
      </c>
      <c r="G818" s="10">
        <v>32</v>
      </c>
      <c r="H818" s="9" t="s">
        <v>91</v>
      </c>
      <c r="I818" s="9" t="s">
        <v>92</v>
      </c>
      <c r="J818" s="9" t="s">
        <v>4</v>
      </c>
      <c r="K818" s="9"/>
      <c r="L818" s="9"/>
      <c r="M818" s="12">
        <f t="shared" si="52"/>
        <v>405</v>
      </c>
      <c r="N818" s="13">
        <f t="shared" si="53"/>
        <v>532</v>
      </c>
      <c r="O818" s="14">
        <f t="shared" si="54"/>
        <v>937</v>
      </c>
      <c r="P818" s="15">
        <f t="shared" si="55"/>
        <v>1.1289156626506025</v>
      </c>
    </row>
    <row r="819" spans="1:16" ht="15.75" hidden="1" customHeight="1" x14ac:dyDescent="0.3">
      <c r="A819" s="9" t="s">
        <v>59</v>
      </c>
      <c r="B819" s="9" t="s">
        <v>224</v>
      </c>
      <c r="C819" s="9" t="s">
        <v>111</v>
      </c>
      <c r="D819" s="9" t="s">
        <v>103</v>
      </c>
      <c r="E819" s="10">
        <v>8</v>
      </c>
      <c r="F819" s="9" t="s">
        <v>107</v>
      </c>
      <c r="G819" s="11">
        <v>0</v>
      </c>
      <c r="H819" s="9" t="s">
        <v>91</v>
      </c>
      <c r="I819" s="9" t="s">
        <v>92</v>
      </c>
      <c r="J819" s="9" t="s">
        <v>4</v>
      </c>
      <c r="K819" s="9"/>
      <c r="L819" s="9"/>
      <c r="M819" s="12">
        <f t="shared" si="52"/>
        <v>405</v>
      </c>
      <c r="N819" s="13">
        <f t="shared" si="53"/>
        <v>532</v>
      </c>
      <c r="O819" s="14">
        <f t="shared" si="54"/>
        <v>937</v>
      </c>
      <c r="P819" s="15">
        <f t="shared" si="55"/>
        <v>1.1289156626506025</v>
      </c>
    </row>
    <row r="820" spans="1:16" ht="15.75" hidden="1" customHeight="1" x14ac:dyDescent="0.3">
      <c r="A820" s="9" t="s">
        <v>59</v>
      </c>
      <c r="B820" s="9" t="s">
        <v>224</v>
      </c>
      <c r="C820" s="9" t="s">
        <v>192</v>
      </c>
      <c r="D820" s="9" t="s">
        <v>189</v>
      </c>
      <c r="E820" s="10">
        <v>6</v>
      </c>
      <c r="F820" s="9" t="s">
        <v>190</v>
      </c>
      <c r="G820" s="11">
        <v>0</v>
      </c>
      <c r="H820" s="9" t="s">
        <v>91</v>
      </c>
      <c r="I820" s="9" t="s">
        <v>92</v>
      </c>
      <c r="J820" s="9" t="s">
        <v>4</v>
      </c>
      <c r="K820" s="9"/>
      <c r="L820" s="9"/>
      <c r="M820" s="12">
        <f t="shared" si="52"/>
        <v>405</v>
      </c>
      <c r="N820" s="13">
        <f t="shared" si="53"/>
        <v>532</v>
      </c>
      <c r="O820" s="14">
        <f t="shared" si="54"/>
        <v>937</v>
      </c>
      <c r="P820" s="15">
        <f t="shared" si="55"/>
        <v>1.1289156626506025</v>
      </c>
    </row>
    <row r="821" spans="1:16" ht="15.75" hidden="1" customHeight="1" x14ac:dyDescent="0.3">
      <c r="A821" s="9" t="s">
        <v>59</v>
      </c>
      <c r="B821" s="9" t="s">
        <v>224</v>
      </c>
      <c r="C821" s="9" t="s">
        <v>80</v>
      </c>
      <c r="D821" s="9" t="s">
        <v>189</v>
      </c>
      <c r="E821" s="10">
        <v>1</v>
      </c>
      <c r="F821" s="9" t="s">
        <v>190</v>
      </c>
      <c r="G821" s="11">
        <v>0</v>
      </c>
      <c r="H821" s="9" t="s">
        <v>91</v>
      </c>
      <c r="I821" s="9" t="s">
        <v>92</v>
      </c>
      <c r="J821" s="9" t="s">
        <v>4</v>
      </c>
      <c r="K821" s="9"/>
      <c r="L821" s="9"/>
      <c r="M821" s="12">
        <f t="shared" si="52"/>
        <v>405</v>
      </c>
      <c r="N821" s="13">
        <f t="shared" si="53"/>
        <v>532</v>
      </c>
      <c r="O821" s="14">
        <f t="shared" si="54"/>
        <v>937</v>
      </c>
      <c r="P821" s="15">
        <f t="shared" si="55"/>
        <v>1.1289156626506025</v>
      </c>
    </row>
    <row r="822" spans="1:16" ht="15.75" hidden="1" customHeight="1" x14ac:dyDescent="0.3">
      <c r="A822" s="9" t="s">
        <v>59</v>
      </c>
      <c r="B822" s="9" t="s">
        <v>224</v>
      </c>
      <c r="C822" s="9" t="s">
        <v>80</v>
      </c>
      <c r="D822" s="9" t="s">
        <v>103</v>
      </c>
      <c r="E822" s="10">
        <v>3</v>
      </c>
      <c r="F822" s="9" t="s">
        <v>107</v>
      </c>
      <c r="G822" s="11">
        <v>0</v>
      </c>
      <c r="H822" s="9" t="s">
        <v>91</v>
      </c>
      <c r="I822" s="9" t="s">
        <v>92</v>
      </c>
      <c r="J822" s="9" t="s">
        <v>4</v>
      </c>
      <c r="K822" s="9"/>
      <c r="L822" s="9"/>
      <c r="M822" s="12">
        <f t="shared" si="52"/>
        <v>405</v>
      </c>
      <c r="N822" s="13">
        <f t="shared" si="53"/>
        <v>532</v>
      </c>
      <c r="O822" s="14">
        <f t="shared" si="54"/>
        <v>937</v>
      </c>
      <c r="P822" s="15">
        <f t="shared" si="55"/>
        <v>1.1289156626506025</v>
      </c>
    </row>
    <row r="823" spans="1:16" ht="15.75" hidden="1" customHeight="1" x14ac:dyDescent="0.3">
      <c r="A823" s="9" t="s">
        <v>59</v>
      </c>
      <c r="B823" s="9" t="s">
        <v>385</v>
      </c>
      <c r="C823" s="9" t="s">
        <v>73</v>
      </c>
      <c r="D823" s="9" t="s">
        <v>134</v>
      </c>
      <c r="E823" s="10">
        <v>8</v>
      </c>
      <c r="F823" s="9" t="s">
        <v>166</v>
      </c>
      <c r="G823" s="10">
        <v>8</v>
      </c>
      <c r="H823" s="9" t="s">
        <v>200</v>
      </c>
      <c r="I823" s="9" t="s">
        <v>201</v>
      </c>
      <c r="J823" s="9" t="s">
        <v>4</v>
      </c>
      <c r="K823" s="9"/>
      <c r="L823" s="9"/>
      <c r="M823" s="12">
        <f t="shared" si="52"/>
        <v>687</v>
      </c>
      <c r="N823" s="13">
        <f t="shared" si="53"/>
        <v>461.5</v>
      </c>
      <c r="O823" s="14">
        <f t="shared" si="54"/>
        <v>1148.5</v>
      </c>
      <c r="P823" s="15">
        <f t="shared" si="55"/>
        <v>1.3837349397590362</v>
      </c>
    </row>
    <row r="824" spans="1:16" ht="15.75" hidden="1" customHeight="1" x14ac:dyDescent="0.3">
      <c r="A824" s="9" t="s">
        <v>59</v>
      </c>
      <c r="B824" s="9" t="s">
        <v>385</v>
      </c>
      <c r="C824" s="9" t="s">
        <v>123</v>
      </c>
      <c r="D824" s="9" t="s">
        <v>134</v>
      </c>
      <c r="E824" s="10">
        <v>18</v>
      </c>
      <c r="F824" s="9" t="s">
        <v>166</v>
      </c>
      <c r="G824" s="11">
        <v>0</v>
      </c>
      <c r="H824" s="9" t="s">
        <v>200</v>
      </c>
      <c r="I824" s="9" t="s">
        <v>201</v>
      </c>
      <c r="J824" s="9" t="s">
        <v>4</v>
      </c>
      <c r="K824" s="9"/>
      <c r="L824" s="9"/>
      <c r="M824" s="12">
        <f t="shared" si="52"/>
        <v>687</v>
      </c>
      <c r="N824" s="13">
        <f t="shared" si="53"/>
        <v>461.5</v>
      </c>
      <c r="O824" s="14">
        <f t="shared" si="54"/>
        <v>1148.5</v>
      </c>
      <c r="P824" s="15">
        <f t="shared" si="55"/>
        <v>1.3837349397590362</v>
      </c>
    </row>
    <row r="825" spans="1:16" ht="15.75" hidden="1" customHeight="1" x14ac:dyDescent="0.3">
      <c r="A825" s="9" t="s">
        <v>59</v>
      </c>
      <c r="B825" s="9" t="s">
        <v>385</v>
      </c>
      <c r="C825" s="9" t="s">
        <v>79</v>
      </c>
      <c r="D825" s="9" t="s">
        <v>134</v>
      </c>
      <c r="E825" s="10">
        <v>18</v>
      </c>
      <c r="F825" s="9" t="s">
        <v>166</v>
      </c>
      <c r="G825" s="10">
        <v>18</v>
      </c>
      <c r="H825" s="9" t="s">
        <v>200</v>
      </c>
      <c r="I825" s="9" t="s">
        <v>201</v>
      </c>
      <c r="J825" s="9" t="s">
        <v>4</v>
      </c>
      <c r="K825" s="9"/>
      <c r="L825" s="9"/>
      <c r="M825" s="12">
        <f t="shared" si="52"/>
        <v>687</v>
      </c>
      <c r="N825" s="13">
        <f t="shared" si="53"/>
        <v>461.5</v>
      </c>
      <c r="O825" s="14">
        <f t="shared" si="54"/>
        <v>1148.5</v>
      </c>
      <c r="P825" s="15">
        <f t="shared" si="55"/>
        <v>1.3837349397590362</v>
      </c>
    </row>
    <row r="826" spans="1:16" ht="15.75" hidden="1" customHeight="1" x14ac:dyDescent="0.3">
      <c r="A826" s="9" t="s">
        <v>59</v>
      </c>
      <c r="B826" s="9" t="s">
        <v>385</v>
      </c>
      <c r="C826" s="9" t="s">
        <v>111</v>
      </c>
      <c r="D826" s="9" t="s">
        <v>134</v>
      </c>
      <c r="E826" s="10">
        <v>3</v>
      </c>
      <c r="F826" s="9" t="s">
        <v>166</v>
      </c>
      <c r="G826" s="11">
        <v>0</v>
      </c>
      <c r="H826" s="9" t="s">
        <v>200</v>
      </c>
      <c r="I826" s="9" t="s">
        <v>201</v>
      </c>
      <c r="J826" s="9" t="s">
        <v>4</v>
      </c>
      <c r="K826" s="9"/>
      <c r="L826" s="9"/>
      <c r="M826" s="12">
        <f t="shared" si="52"/>
        <v>687</v>
      </c>
      <c r="N826" s="13">
        <f t="shared" si="53"/>
        <v>461.5</v>
      </c>
      <c r="O826" s="14">
        <f t="shared" si="54"/>
        <v>1148.5</v>
      </c>
      <c r="P826" s="15">
        <f t="shared" si="55"/>
        <v>1.3837349397590362</v>
      </c>
    </row>
    <row r="827" spans="1:16" ht="15.75" hidden="1" customHeight="1" x14ac:dyDescent="0.3">
      <c r="A827" s="9" t="s">
        <v>59</v>
      </c>
      <c r="B827" s="9" t="s">
        <v>385</v>
      </c>
      <c r="C827" s="9" t="s">
        <v>80</v>
      </c>
      <c r="D827" s="9" t="s">
        <v>134</v>
      </c>
      <c r="E827" s="10">
        <v>2</v>
      </c>
      <c r="F827" s="9" t="s">
        <v>166</v>
      </c>
      <c r="G827" s="11">
        <v>0</v>
      </c>
      <c r="H827" s="9" t="s">
        <v>200</v>
      </c>
      <c r="I827" s="9" t="s">
        <v>201</v>
      </c>
      <c r="J827" s="9" t="s">
        <v>4</v>
      </c>
      <c r="K827" s="9"/>
      <c r="L827" s="9"/>
      <c r="M827" s="12">
        <f t="shared" si="52"/>
        <v>687</v>
      </c>
      <c r="N827" s="13">
        <f t="shared" si="53"/>
        <v>461.5</v>
      </c>
      <c r="O827" s="14">
        <f t="shared" si="54"/>
        <v>1148.5</v>
      </c>
      <c r="P827" s="15">
        <f t="shared" si="55"/>
        <v>1.3837349397590362</v>
      </c>
    </row>
    <row r="828" spans="1:16" ht="15.75" hidden="1" customHeight="1" x14ac:dyDescent="0.3">
      <c r="A828" s="22" t="s">
        <v>59</v>
      </c>
      <c r="B828" s="9" t="s">
        <v>386</v>
      </c>
      <c r="C828" s="9" t="s">
        <v>73</v>
      </c>
      <c r="D828" s="9" t="s">
        <v>134</v>
      </c>
      <c r="E828" s="10">
        <v>12</v>
      </c>
      <c r="F828" s="9" t="s">
        <v>166</v>
      </c>
      <c r="G828" s="10">
        <v>12</v>
      </c>
      <c r="H828" s="9" t="s">
        <v>167</v>
      </c>
      <c r="I828" s="9" t="s">
        <v>168</v>
      </c>
      <c r="J828" s="9" t="s">
        <v>4</v>
      </c>
      <c r="K828" s="9"/>
      <c r="L828" s="9"/>
      <c r="M828" s="12">
        <f t="shared" si="52"/>
        <v>456</v>
      </c>
      <c r="N828" s="13">
        <f t="shared" si="53"/>
        <v>362</v>
      </c>
      <c r="O828" s="14">
        <f t="shared" si="54"/>
        <v>818</v>
      </c>
      <c r="P828" s="15">
        <f t="shared" si="55"/>
        <v>0.98554216867469879</v>
      </c>
    </row>
    <row r="829" spans="1:16" ht="15.75" hidden="1" customHeight="1" x14ac:dyDescent="0.3">
      <c r="A829" s="22" t="s">
        <v>59</v>
      </c>
      <c r="B829" s="9" t="s">
        <v>386</v>
      </c>
      <c r="C829" s="9" t="s">
        <v>79</v>
      </c>
      <c r="D829" s="9" t="s">
        <v>134</v>
      </c>
      <c r="E829" s="10">
        <v>30</v>
      </c>
      <c r="F829" s="9" t="s">
        <v>166</v>
      </c>
      <c r="G829" s="10">
        <v>30</v>
      </c>
      <c r="H829" s="9" t="s">
        <v>186</v>
      </c>
      <c r="I829" s="9" t="s">
        <v>187</v>
      </c>
      <c r="J829" s="9"/>
      <c r="K829" s="9"/>
      <c r="L829" s="9"/>
      <c r="M829" s="12">
        <f t="shared" si="52"/>
        <v>87</v>
      </c>
      <c r="N829" s="13">
        <f t="shared" si="53"/>
        <v>111.5</v>
      </c>
      <c r="O829" s="14">
        <f t="shared" si="54"/>
        <v>198.5</v>
      </c>
      <c r="P829" s="15">
        <f t="shared" si="55"/>
        <v>0.23915662650602409</v>
      </c>
    </row>
    <row r="830" spans="1:16" ht="15.75" hidden="1" customHeight="1" x14ac:dyDescent="0.3">
      <c r="A830" s="22" t="s">
        <v>59</v>
      </c>
      <c r="B830" s="9" t="s">
        <v>386</v>
      </c>
      <c r="C830" s="9" t="s">
        <v>142</v>
      </c>
      <c r="D830" s="9" t="s">
        <v>134</v>
      </c>
      <c r="E830" s="10">
        <v>2</v>
      </c>
      <c r="F830" s="9" t="s">
        <v>166</v>
      </c>
      <c r="G830" s="11">
        <v>0</v>
      </c>
      <c r="H830" s="9" t="s">
        <v>167</v>
      </c>
      <c r="I830" s="9" t="s">
        <v>168</v>
      </c>
      <c r="J830" s="9" t="s">
        <v>4</v>
      </c>
      <c r="K830" s="9"/>
      <c r="L830" s="9"/>
      <c r="M830" s="12">
        <f t="shared" si="52"/>
        <v>456</v>
      </c>
      <c r="N830" s="13">
        <f t="shared" si="53"/>
        <v>362</v>
      </c>
      <c r="O830" s="14">
        <f t="shared" si="54"/>
        <v>818</v>
      </c>
      <c r="P830" s="15">
        <f t="shared" si="55"/>
        <v>0.98554216867469879</v>
      </c>
    </row>
    <row r="831" spans="1:16" ht="15.75" hidden="1" customHeight="1" x14ac:dyDescent="0.3">
      <c r="A831" s="22" t="s">
        <v>59</v>
      </c>
      <c r="B831" s="9" t="s">
        <v>386</v>
      </c>
      <c r="C831" s="9" t="s">
        <v>80</v>
      </c>
      <c r="D831" s="9" t="s">
        <v>134</v>
      </c>
      <c r="E831" s="10">
        <v>1</v>
      </c>
      <c r="F831" s="9" t="s">
        <v>166</v>
      </c>
      <c r="G831" s="11">
        <v>0</v>
      </c>
      <c r="H831" s="9" t="s">
        <v>167</v>
      </c>
      <c r="I831" s="9" t="s">
        <v>168</v>
      </c>
      <c r="J831" s="9" t="s">
        <v>4</v>
      </c>
      <c r="K831" s="9"/>
      <c r="L831" s="9"/>
      <c r="M831" s="12">
        <f t="shared" si="52"/>
        <v>456</v>
      </c>
      <c r="N831" s="13">
        <f t="shared" si="53"/>
        <v>362</v>
      </c>
      <c r="O831" s="14">
        <f t="shared" si="54"/>
        <v>818</v>
      </c>
      <c r="P831" s="15">
        <f t="shared" si="55"/>
        <v>0.98554216867469879</v>
      </c>
    </row>
    <row r="832" spans="1:16" ht="15.75" hidden="1" customHeight="1" x14ac:dyDescent="0.3">
      <c r="A832" s="9" t="s">
        <v>59</v>
      </c>
      <c r="B832" s="9" t="s">
        <v>387</v>
      </c>
      <c r="C832" s="9" t="s">
        <v>73</v>
      </c>
      <c r="D832" s="9" t="s">
        <v>141</v>
      </c>
      <c r="E832" s="10">
        <v>4</v>
      </c>
      <c r="F832" s="9" t="s">
        <v>145</v>
      </c>
      <c r="G832" s="10">
        <v>4</v>
      </c>
      <c r="H832" s="9" t="s">
        <v>245</v>
      </c>
      <c r="I832" s="9" t="s">
        <v>246</v>
      </c>
      <c r="J832" s="9"/>
      <c r="K832" s="9"/>
      <c r="L832" s="9"/>
      <c r="M832" s="12">
        <f t="shared" si="52"/>
        <v>200</v>
      </c>
      <c r="N832" s="13">
        <f t="shared" si="53"/>
        <v>271</v>
      </c>
      <c r="O832" s="14">
        <f t="shared" si="54"/>
        <v>471</v>
      </c>
      <c r="P832" s="15">
        <f t="shared" si="55"/>
        <v>0.56746987951807226</v>
      </c>
    </row>
    <row r="833" spans="1:16" ht="15.75" hidden="1" customHeight="1" x14ac:dyDescent="0.3">
      <c r="A833" s="9" t="s">
        <v>59</v>
      </c>
      <c r="B833" s="9" t="s">
        <v>387</v>
      </c>
      <c r="C833" s="9" t="s">
        <v>87</v>
      </c>
      <c r="D833" s="9" t="s">
        <v>141</v>
      </c>
      <c r="E833" s="10">
        <v>2</v>
      </c>
      <c r="F833" s="9" t="s">
        <v>145</v>
      </c>
      <c r="G833" s="11">
        <v>0</v>
      </c>
      <c r="H833" s="9" t="s">
        <v>245</v>
      </c>
      <c r="I833" s="9" t="s">
        <v>246</v>
      </c>
      <c r="J833" s="9"/>
      <c r="K833" s="9"/>
      <c r="L833" s="9"/>
      <c r="M833" s="12">
        <f t="shared" si="52"/>
        <v>200</v>
      </c>
      <c r="N833" s="13">
        <f t="shared" si="53"/>
        <v>271</v>
      </c>
      <c r="O833" s="14">
        <f t="shared" si="54"/>
        <v>471</v>
      </c>
      <c r="P833" s="15">
        <f t="shared" si="55"/>
        <v>0.56746987951807226</v>
      </c>
    </row>
    <row r="834" spans="1:16" ht="15.75" hidden="1" customHeight="1" x14ac:dyDescent="0.3">
      <c r="A834" s="9" t="s">
        <v>59</v>
      </c>
      <c r="B834" s="9" t="s">
        <v>387</v>
      </c>
      <c r="C834" s="9" t="s">
        <v>79</v>
      </c>
      <c r="D834" s="9" t="s">
        <v>141</v>
      </c>
      <c r="E834" s="10">
        <v>28</v>
      </c>
      <c r="F834" s="9" t="s">
        <v>145</v>
      </c>
      <c r="G834" s="10">
        <v>28</v>
      </c>
      <c r="H834" s="9" t="s">
        <v>245</v>
      </c>
      <c r="I834" s="9" t="s">
        <v>246</v>
      </c>
      <c r="J834" s="9"/>
      <c r="K834" s="9"/>
      <c r="L834" s="9"/>
      <c r="M834" s="12">
        <f t="shared" si="52"/>
        <v>200</v>
      </c>
      <c r="N834" s="13">
        <f t="shared" si="53"/>
        <v>271</v>
      </c>
      <c r="O834" s="14">
        <f t="shared" si="54"/>
        <v>471</v>
      </c>
      <c r="P834" s="15">
        <f t="shared" si="55"/>
        <v>0.56746987951807226</v>
      </c>
    </row>
    <row r="835" spans="1:16" ht="15.75" hidden="1" customHeight="1" x14ac:dyDescent="0.3">
      <c r="A835" s="9" t="s">
        <v>59</v>
      </c>
      <c r="B835" s="9" t="s">
        <v>266</v>
      </c>
      <c r="C835" s="9" t="s">
        <v>73</v>
      </c>
      <c r="D835" s="9" t="s">
        <v>294</v>
      </c>
      <c r="E835" s="10">
        <v>32</v>
      </c>
      <c r="F835" s="9" t="s">
        <v>279</v>
      </c>
      <c r="G835" s="10">
        <v>32</v>
      </c>
      <c r="H835" s="9" t="s">
        <v>84</v>
      </c>
      <c r="I835" s="9" t="s">
        <v>85</v>
      </c>
      <c r="J835" s="9"/>
      <c r="K835" s="9"/>
      <c r="L835" s="9" t="s">
        <v>351</v>
      </c>
      <c r="M835" s="12">
        <f t="shared" si="52"/>
        <v>256</v>
      </c>
      <c r="N835" s="13">
        <f t="shared" si="53"/>
        <v>691.5</v>
      </c>
      <c r="O835" s="14">
        <f t="shared" si="54"/>
        <v>947.5</v>
      </c>
      <c r="P835" s="15">
        <f t="shared" si="55"/>
        <v>1.1415662650602409</v>
      </c>
    </row>
    <row r="836" spans="1:16" ht="15.75" hidden="1" customHeight="1" x14ac:dyDescent="0.3">
      <c r="A836" s="9" t="s">
        <v>59</v>
      </c>
      <c r="B836" s="9" t="s">
        <v>266</v>
      </c>
      <c r="C836" s="9" t="s">
        <v>87</v>
      </c>
      <c r="D836" s="9" t="s">
        <v>295</v>
      </c>
      <c r="E836" s="10">
        <v>6</v>
      </c>
      <c r="F836" s="9" t="s">
        <v>279</v>
      </c>
      <c r="G836" s="11">
        <v>0</v>
      </c>
      <c r="H836" s="9" t="s">
        <v>84</v>
      </c>
      <c r="I836" s="9" t="s">
        <v>85</v>
      </c>
      <c r="J836" s="9"/>
      <c r="K836" s="9"/>
      <c r="L836" s="9" t="s">
        <v>351</v>
      </c>
      <c r="M836" s="12">
        <f t="shared" si="52"/>
        <v>256</v>
      </c>
      <c r="N836" s="13">
        <f t="shared" si="53"/>
        <v>691.5</v>
      </c>
      <c r="O836" s="14">
        <f t="shared" si="54"/>
        <v>947.5</v>
      </c>
      <c r="P836" s="15">
        <f t="shared" si="55"/>
        <v>1.1415662650602409</v>
      </c>
    </row>
    <row r="837" spans="1:16" ht="15.75" hidden="1" customHeight="1" x14ac:dyDescent="0.3">
      <c r="A837" s="9" t="s">
        <v>59</v>
      </c>
      <c r="B837" s="9" t="s">
        <v>266</v>
      </c>
      <c r="C837" s="9" t="s">
        <v>87</v>
      </c>
      <c r="D837" s="9" t="s">
        <v>296</v>
      </c>
      <c r="E837" s="10">
        <v>8</v>
      </c>
      <c r="F837" s="9" t="s">
        <v>279</v>
      </c>
      <c r="G837" s="11">
        <v>0</v>
      </c>
      <c r="H837" s="9" t="s">
        <v>84</v>
      </c>
      <c r="I837" s="9" t="s">
        <v>85</v>
      </c>
      <c r="J837" s="9"/>
      <c r="K837" s="9"/>
      <c r="L837" s="9" t="s">
        <v>351</v>
      </c>
      <c r="M837" s="12">
        <f t="shared" si="52"/>
        <v>256</v>
      </c>
      <c r="N837" s="13">
        <f t="shared" si="53"/>
        <v>691.5</v>
      </c>
      <c r="O837" s="14">
        <f t="shared" si="54"/>
        <v>947.5</v>
      </c>
      <c r="P837" s="15">
        <f t="shared" si="55"/>
        <v>1.1415662650602409</v>
      </c>
    </row>
    <row r="838" spans="1:16" ht="15.75" hidden="1" customHeight="1" x14ac:dyDescent="0.3">
      <c r="A838" s="9" t="s">
        <v>59</v>
      </c>
      <c r="B838" s="9" t="s">
        <v>266</v>
      </c>
      <c r="C838" s="9" t="s">
        <v>79</v>
      </c>
      <c r="D838" s="9" t="s">
        <v>295</v>
      </c>
      <c r="E838" s="10">
        <v>52</v>
      </c>
      <c r="F838" s="9" t="s">
        <v>279</v>
      </c>
      <c r="G838" s="10">
        <v>52</v>
      </c>
      <c r="H838" s="9" t="s">
        <v>84</v>
      </c>
      <c r="I838" s="9" t="s">
        <v>85</v>
      </c>
      <c r="J838" s="9"/>
      <c r="K838" s="9"/>
      <c r="L838" s="9" t="s">
        <v>351</v>
      </c>
      <c r="M838" s="12">
        <f t="shared" si="52"/>
        <v>256</v>
      </c>
      <c r="N838" s="13">
        <f t="shared" si="53"/>
        <v>691.5</v>
      </c>
      <c r="O838" s="14">
        <f t="shared" si="54"/>
        <v>947.5</v>
      </c>
      <c r="P838" s="15">
        <f t="shared" si="55"/>
        <v>1.1415662650602409</v>
      </c>
    </row>
    <row r="839" spans="1:16" ht="15.75" hidden="1" customHeight="1" x14ac:dyDescent="0.3">
      <c r="A839" s="22" t="s">
        <v>59</v>
      </c>
      <c r="B839" s="9" t="s">
        <v>266</v>
      </c>
      <c r="C839" s="9" t="s">
        <v>79</v>
      </c>
      <c r="D839" s="9" t="s">
        <v>296</v>
      </c>
      <c r="E839" s="10">
        <v>52</v>
      </c>
      <c r="F839" s="9" t="s">
        <v>279</v>
      </c>
      <c r="G839" s="10">
        <v>52</v>
      </c>
      <c r="H839" s="9" t="s">
        <v>311</v>
      </c>
      <c r="I839" s="9" t="s">
        <v>268</v>
      </c>
      <c r="J839" s="9"/>
      <c r="K839" s="9"/>
      <c r="L839" s="9" t="s">
        <v>388</v>
      </c>
      <c r="M839" s="12">
        <f t="shared" si="52"/>
        <v>9</v>
      </c>
      <c r="N839" s="13">
        <f t="shared" si="53"/>
        <v>77</v>
      </c>
      <c r="O839" s="14">
        <f t="shared" si="54"/>
        <v>86</v>
      </c>
      <c r="P839" s="15">
        <f t="shared" si="55"/>
        <v>0.10361445783132531</v>
      </c>
    </row>
    <row r="840" spans="1:16" ht="15.75" hidden="1" customHeight="1" x14ac:dyDescent="0.3">
      <c r="A840" s="9" t="s">
        <v>59</v>
      </c>
      <c r="B840" s="9" t="s">
        <v>266</v>
      </c>
      <c r="C840" s="9" t="s">
        <v>80</v>
      </c>
      <c r="D840" s="9" t="s">
        <v>295</v>
      </c>
      <c r="E840" s="10">
        <v>2</v>
      </c>
      <c r="F840" s="9" t="s">
        <v>279</v>
      </c>
      <c r="G840" s="11">
        <v>0</v>
      </c>
      <c r="H840" s="9" t="s">
        <v>84</v>
      </c>
      <c r="I840" s="9" t="s">
        <v>85</v>
      </c>
      <c r="J840" s="9"/>
      <c r="K840" s="9"/>
      <c r="L840" s="9" t="s">
        <v>351</v>
      </c>
      <c r="M840" s="12">
        <f t="shared" si="52"/>
        <v>256</v>
      </c>
      <c r="N840" s="13">
        <f t="shared" si="53"/>
        <v>691.5</v>
      </c>
      <c r="O840" s="14">
        <f t="shared" si="54"/>
        <v>947.5</v>
      </c>
      <c r="P840" s="15">
        <f t="shared" si="55"/>
        <v>1.1415662650602409</v>
      </c>
    </row>
    <row r="841" spans="1:16" ht="15.75" hidden="1" customHeight="1" x14ac:dyDescent="0.3">
      <c r="A841" s="22" t="s">
        <v>59</v>
      </c>
      <c r="B841" s="9" t="s">
        <v>266</v>
      </c>
      <c r="C841" s="9" t="s">
        <v>80</v>
      </c>
      <c r="D841" s="9" t="s">
        <v>296</v>
      </c>
      <c r="E841" s="10">
        <v>2</v>
      </c>
      <c r="F841" s="9" t="s">
        <v>279</v>
      </c>
      <c r="G841" s="11">
        <v>0</v>
      </c>
      <c r="H841" s="9" t="s">
        <v>311</v>
      </c>
      <c r="I841" s="9" t="s">
        <v>268</v>
      </c>
      <c r="J841" s="9"/>
      <c r="K841" s="9"/>
      <c r="L841" s="9" t="s">
        <v>388</v>
      </c>
      <c r="M841" s="12">
        <f t="shared" si="52"/>
        <v>9</v>
      </c>
      <c r="N841" s="13">
        <f t="shared" si="53"/>
        <v>77</v>
      </c>
      <c r="O841" s="14">
        <f t="shared" si="54"/>
        <v>86</v>
      </c>
      <c r="P841" s="15">
        <f t="shared" si="55"/>
        <v>0.10361445783132531</v>
      </c>
    </row>
    <row r="842" spans="1:16" ht="15.75" hidden="1" customHeight="1" x14ac:dyDescent="0.3">
      <c r="A842" s="9" t="s">
        <v>59</v>
      </c>
      <c r="B842" s="9" t="s">
        <v>389</v>
      </c>
      <c r="C842" s="9" t="s">
        <v>73</v>
      </c>
      <c r="D842" s="9" t="s">
        <v>119</v>
      </c>
      <c r="E842" s="10">
        <v>34</v>
      </c>
      <c r="F842" s="9" t="s">
        <v>121</v>
      </c>
      <c r="G842" s="10">
        <v>34</v>
      </c>
      <c r="H842" s="9" t="s">
        <v>257</v>
      </c>
      <c r="I842" s="9" t="s">
        <v>258</v>
      </c>
      <c r="J842" s="9" t="s">
        <v>8</v>
      </c>
      <c r="K842" s="9"/>
      <c r="L842" s="9"/>
      <c r="M842" s="12">
        <f t="shared" si="52"/>
        <v>331</v>
      </c>
      <c r="N842" s="13">
        <f t="shared" si="53"/>
        <v>520</v>
      </c>
      <c r="O842" s="14">
        <f t="shared" si="54"/>
        <v>851</v>
      </c>
      <c r="P842" s="15">
        <f t="shared" si="55"/>
        <v>1.0253012048192771</v>
      </c>
    </row>
    <row r="843" spans="1:16" ht="15.75" hidden="1" customHeight="1" x14ac:dyDescent="0.3">
      <c r="A843" s="9" t="s">
        <v>59</v>
      </c>
      <c r="B843" s="9" t="s">
        <v>389</v>
      </c>
      <c r="C843" s="9" t="s">
        <v>123</v>
      </c>
      <c r="D843" s="9" t="s">
        <v>119</v>
      </c>
      <c r="E843" s="10">
        <v>51</v>
      </c>
      <c r="F843" s="9" t="s">
        <v>121</v>
      </c>
      <c r="G843" s="11">
        <v>0</v>
      </c>
      <c r="H843" s="9" t="s">
        <v>257</v>
      </c>
      <c r="I843" s="9" t="s">
        <v>258</v>
      </c>
      <c r="J843" s="9" t="s">
        <v>8</v>
      </c>
      <c r="K843" s="9"/>
      <c r="L843" s="9"/>
      <c r="M843" s="12">
        <f t="shared" si="52"/>
        <v>331</v>
      </c>
      <c r="N843" s="13">
        <f t="shared" si="53"/>
        <v>520</v>
      </c>
      <c r="O843" s="14">
        <f t="shared" si="54"/>
        <v>851</v>
      </c>
      <c r="P843" s="15">
        <f t="shared" si="55"/>
        <v>1.0253012048192771</v>
      </c>
    </row>
    <row r="844" spans="1:16" ht="15.75" hidden="1" customHeight="1" x14ac:dyDescent="0.3">
      <c r="A844" s="9" t="s">
        <v>59</v>
      </c>
      <c r="B844" s="9" t="s">
        <v>389</v>
      </c>
      <c r="C844" s="9" t="s">
        <v>87</v>
      </c>
      <c r="D844" s="9" t="s">
        <v>119</v>
      </c>
      <c r="E844" s="10">
        <v>6</v>
      </c>
      <c r="F844" s="9" t="s">
        <v>121</v>
      </c>
      <c r="G844" s="11">
        <v>0</v>
      </c>
      <c r="H844" s="9" t="s">
        <v>257</v>
      </c>
      <c r="I844" s="9" t="s">
        <v>258</v>
      </c>
      <c r="J844" s="9" t="s">
        <v>8</v>
      </c>
      <c r="K844" s="9"/>
      <c r="L844" s="9"/>
      <c r="M844" s="12">
        <f t="shared" si="52"/>
        <v>331</v>
      </c>
      <c r="N844" s="13">
        <f t="shared" si="53"/>
        <v>520</v>
      </c>
      <c r="O844" s="14">
        <f t="shared" si="54"/>
        <v>851</v>
      </c>
      <c r="P844" s="15">
        <f t="shared" si="55"/>
        <v>1.0253012048192771</v>
      </c>
    </row>
    <row r="845" spans="1:16" ht="15.75" hidden="1" customHeight="1" x14ac:dyDescent="0.3">
      <c r="A845" s="9" t="s">
        <v>59</v>
      </c>
      <c r="B845" s="9" t="s">
        <v>389</v>
      </c>
      <c r="C845" s="9" t="s">
        <v>79</v>
      </c>
      <c r="D845" s="9" t="s">
        <v>119</v>
      </c>
      <c r="E845" s="10">
        <v>14</v>
      </c>
      <c r="F845" s="9" t="s">
        <v>121</v>
      </c>
      <c r="G845" s="10">
        <v>14</v>
      </c>
      <c r="H845" s="9" t="s">
        <v>259</v>
      </c>
      <c r="I845" s="9" t="s">
        <v>260</v>
      </c>
      <c r="J845" s="9"/>
      <c r="K845" s="9"/>
      <c r="L845" s="9"/>
      <c r="M845" s="12">
        <f t="shared" si="52"/>
        <v>144</v>
      </c>
      <c r="N845" s="13">
        <f t="shared" si="53"/>
        <v>88.5</v>
      </c>
      <c r="O845" s="14">
        <f t="shared" si="54"/>
        <v>232.5</v>
      </c>
      <c r="P845" s="15">
        <f t="shared" si="55"/>
        <v>0.28012048192771083</v>
      </c>
    </row>
    <row r="846" spans="1:16" ht="15.75" hidden="1" customHeight="1" x14ac:dyDescent="0.3">
      <c r="A846" s="9" t="s">
        <v>59</v>
      </c>
      <c r="B846" s="9" t="s">
        <v>389</v>
      </c>
      <c r="C846" s="9" t="s">
        <v>100</v>
      </c>
      <c r="D846" s="9" t="s">
        <v>119</v>
      </c>
      <c r="E846" s="10">
        <v>16</v>
      </c>
      <c r="F846" s="9" t="s">
        <v>121</v>
      </c>
      <c r="G846" s="10">
        <v>8</v>
      </c>
      <c r="H846" s="9" t="s">
        <v>257</v>
      </c>
      <c r="I846" s="9" t="s">
        <v>258</v>
      </c>
      <c r="J846" s="9" t="s">
        <v>8</v>
      </c>
      <c r="K846" s="9"/>
      <c r="L846" s="9"/>
      <c r="M846" s="12">
        <f t="shared" si="52"/>
        <v>331</v>
      </c>
      <c r="N846" s="13">
        <f t="shared" si="53"/>
        <v>520</v>
      </c>
      <c r="O846" s="14">
        <f t="shared" si="54"/>
        <v>851</v>
      </c>
      <c r="P846" s="15">
        <f t="shared" si="55"/>
        <v>1.0253012048192771</v>
      </c>
    </row>
    <row r="847" spans="1:16" ht="15.75" hidden="1" customHeight="1" x14ac:dyDescent="0.3">
      <c r="A847" s="9" t="s">
        <v>59</v>
      </c>
      <c r="B847" s="9" t="s">
        <v>389</v>
      </c>
      <c r="C847" s="9" t="s">
        <v>80</v>
      </c>
      <c r="D847" s="9" t="s">
        <v>119</v>
      </c>
      <c r="E847" s="10">
        <v>2</v>
      </c>
      <c r="F847" s="9" t="s">
        <v>121</v>
      </c>
      <c r="G847" s="11">
        <v>0</v>
      </c>
      <c r="H847" s="9" t="s">
        <v>257</v>
      </c>
      <c r="I847" s="9" t="s">
        <v>258</v>
      </c>
      <c r="J847" s="9" t="s">
        <v>8</v>
      </c>
      <c r="K847" s="9"/>
      <c r="L847" s="9"/>
      <c r="M847" s="12">
        <f t="shared" si="52"/>
        <v>331</v>
      </c>
      <c r="N847" s="13">
        <f t="shared" si="53"/>
        <v>520</v>
      </c>
      <c r="O847" s="14">
        <f t="shared" si="54"/>
        <v>851</v>
      </c>
      <c r="P847" s="15">
        <f t="shared" si="55"/>
        <v>1.0253012048192771</v>
      </c>
    </row>
    <row r="848" spans="1:16" ht="15.75" hidden="1" customHeight="1" x14ac:dyDescent="0.3">
      <c r="A848" s="9" t="s">
        <v>59</v>
      </c>
      <c r="B848" s="9" t="s">
        <v>390</v>
      </c>
      <c r="C848" s="9" t="s">
        <v>73</v>
      </c>
      <c r="D848" s="9" t="s">
        <v>119</v>
      </c>
      <c r="E848" s="10">
        <v>24</v>
      </c>
      <c r="F848" s="9" t="s">
        <v>121</v>
      </c>
      <c r="G848" s="10">
        <v>24</v>
      </c>
      <c r="H848" s="9" t="s">
        <v>391</v>
      </c>
      <c r="I848" s="9" t="s">
        <v>392</v>
      </c>
      <c r="J848" s="9"/>
      <c r="K848" s="9"/>
      <c r="L848" s="9"/>
      <c r="M848" s="12">
        <f t="shared" si="52"/>
        <v>0</v>
      </c>
      <c r="N848" s="13">
        <f t="shared" si="53"/>
        <v>251</v>
      </c>
      <c r="O848" s="14">
        <f t="shared" si="54"/>
        <v>251</v>
      </c>
      <c r="P848" s="15">
        <f t="shared" si="55"/>
        <v>0.30240963855421688</v>
      </c>
    </row>
    <row r="849" spans="1:16" ht="15.75" hidden="1" customHeight="1" x14ac:dyDescent="0.3">
      <c r="A849" s="9" t="s">
        <v>59</v>
      </c>
      <c r="B849" s="9" t="s">
        <v>390</v>
      </c>
      <c r="C849" s="9" t="s">
        <v>123</v>
      </c>
      <c r="D849" s="9" t="s">
        <v>119</v>
      </c>
      <c r="E849" s="10">
        <v>51</v>
      </c>
      <c r="F849" s="9" t="s">
        <v>121</v>
      </c>
      <c r="G849" s="11">
        <v>0</v>
      </c>
      <c r="H849" s="9" t="s">
        <v>391</v>
      </c>
      <c r="I849" s="9" t="s">
        <v>392</v>
      </c>
      <c r="J849" s="9"/>
      <c r="K849" s="9"/>
      <c r="L849" s="9"/>
      <c r="M849" s="12">
        <f t="shared" si="52"/>
        <v>0</v>
      </c>
      <c r="N849" s="13">
        <f t="shared" si="53"/>
        <v>251</v>
      </c>
      <c r="O849" s="14">
        <f t="shared" si="54"/>
        <v>251</v>
      </c>
      <c r="P849" s="15">
        <f t="shared" si="55"/>
        <v>0.30240963855421688</v>
      </c>
    </row>
    <row r="850" spans="1:16" ht="15.75" hidden="1" customHeight="1" x14ac:dyDescent="0.3">
      <c r="A850" s="9" t="s">
        <v>59</v>
      </c>
      <c r="B850" s="9" t="s">
        <v>390</v>
      </c>
      <c r="C850" s="9" t="s">
        <v>87</v>
      </c>
      <c r="D850" s="9" t="s">
        <v>119</v>
      </c>
      <c r="E850" s="10">
        <v>6</v>
      </c>
      <c r="F850" s="9" t="s">
        <v>121</v>
      </c>
      <c r="G850" s="11">
        <v>0</v>
      </c>
      <c r="H850" s="9" t="s">
        <v>391</v>
      </c>
      <c r="I850" s="9" t="s">
        <v>392</v>
      </c>
      <c r="J850" s="9"/>
      <c r="K850" s="9"/>
      <c r="L850" s="9"/>
      <c r="M850" s="12">
        <f t="shared" si="52"/>
        <v>0</v>
      </c>
      <c r="N850" s="13">
        <f t="shared" si="53"/>
        <v>251</v>
      </c>
      <c r="O850" s="14">
        <f t="shared" si="54"/>
        <v>251</v>
      </c>
      <c r="P850" s="15">
        <f t="shared" si="55"/>
        <v>0.30240963855421688</v>
      </c>
    </row>
    <row r="851" spans="1:16" ht="15.75" hidden="1" customHeight="1" x14ac:dyDescent="0.3">
      <c r="A851" s="9" t="s">
        <v>59</v>
      </c>
      <c r="B851" s="9" t="s">
        <v>390</v>
      </c>
      <c r="C851" s="9" t="s">
        <v>100</v>
      </c>
      <c r="D851" s="9" t="s">
        <v>119</v>
      </c>
      <c r="E851" s="10">
        <v>64</v>
      </c>
      <c r="F851" s="9" t="s">
        <v>121</v>
      </c>
      <c r="G851" s="10">
        <v>32</v>
      </c>
      <c r="H851" s="9" t="s">
        <v>391</v>
      </c>
      <c r="I851" s="9" t="s">
        <v>392</v>
      </c>
      <c r="J851" s="9"/>
      <c r="K851" s="9"/>
      <c r="L851" s="9"/>
      <c r="M851" s="12">
        <f t="shared" si="52"/>
        <v>0</v>
      </c>
      <c r="N851" s="13">
        <f t="shared" si="53"/>
        <v>251</v>
      </c>
      <c r="O851" s="14">
        <f t="shared" si="54"/>
        <v>251</v>
      </c>
      <c r="P851" s="15">
        <f t="shared" si="55"/>
        <v>0.30240963855421688</v>
      </c>
    </row>
    <row r="852" spans="1:16" ht="15.75" hidden="1" customHeight="1" x14ac:dyDescent="0.3">
      <c r="A852" s="9" t="s">
        <v>59</v>
      </c>
      <c r="B852" s="9" t="s">
        <v>390</v>
      </c>
      <c r="C852" s="9" t="s">
        <v>80</v>
      </c>
      <c r="D852" s="9" t="s">
        <v>119</v>
      </c>
      <c r="E852" s="10">
        <v>1</v>
      </c>
      <c r="F852" s="9" t="s">
        <v>121</v>
      </c>
      <c r="G852" s="11">
        <v>0</v>
      </c>
      <c r="H852" s="9" t="s">
        <v>391</v>
      </c>
      <c r="I852" s="9" t="s">
        <v>392</v>
      </c>
      <c r="J852" s="9"/>
      <c r="K852" s="9"/>
      <c r="L852" s="9"/>
      <c r="M852" s="12">
        <f t="shared" si="52"/>
        <v>0</v>
      </c>
      <c r="N852" s="13">
        <f t="shared" si="53"/>
        <v>251</v>
      </c>
      <c r="O852" s="14">
        <f t="shared" si="54"/>
        <v>251</v>
      </c>
      <c r="P852" s="15">
        <f t="shared" si="55"/>
        <v>0.30240963855421688</v>
      </c>
    </row>
    <row r="853" spans="1:16" ht="15.75" hidden="1" customHeight="1" x14ac:dyDescent="0.3">
      <c r="A853" s="9" t="s">
        <v>59</v>
      </c>
      <c r="B853" s="9" t="s">
        <v>393</v>
      </c>
      <c r="C853" s="9" t="s">
        <v>73</v>
      </c>
      <c r="D853" s="9" t="s">
        <v>119</v>
      </c>
      <c r="E853" s="10">
        <v>24</v>
      </c>
      <c r="F853" s="9" t="s">
        <v>121</v>
      </c>
      <c r="G853" s="10">
        <v>24</v>
      </c>
      <c r="H853" s="9" t="s">
        <v>98</v>
      </c>
      <c r="I853" s="9" t="s">
        <v>99</v>
      </c>
      <c r="J853" s="9" t="s">
        <v>4</v>
      </c>
      <c r="K853" s="9"/>
      <c r="L853" s="9"/>
      <c r="M853" s="12">
        <f t="shared" si="52"/>
        <v>239</v>
      </c>
      <c r="N853" s="13">
        <f t="shared" si="53"/>
        <v>196.5</v>
      </c>
      <c r="O853" s="14">
        <f t="shared" si="54"/>
        <v>435.5</v>
      </c>
      <c r="P853" s="15">
        <f t="shared" si="55"/>
        <v>0.52469879518072293</v>
      </c>
    </row>
    <row r="854" spans="1:16" ht="15.75" hidden="1" customHeight="1" x14ac:dyDescent="0.3">
      <c r="A854" s="9" t="s">
        <v>59</v>
      </c>
      <c r="B854" s="9" t="s">
        <v>393</v>
      </c>
      <c r="C854" s="9" t="s">
        <v>100</v>
      </c>
      <c r="D854" s="9" t="s">
        <v>119</v>
      </c>
      <c r="E854" s="10">
        <v>64</v>
      </c>
      <c r="F854" s="9" t="s">
        <v>121</v>
      </c>
      <c r="G854" s="10">
        <v>32</v>
      </c>
      <c r="H854" s="9" t="s">
        <v>98</v>
      </c>
      <c r="I854" s="9" t="s">
        <v>99</v>
      </c>
      <c r="J854" s="9" t="s">
        <v>4</v>
      </c>
      <c r="K854" s="9"/>
      <c r="L854" s="9"/>
      <c r="M854" s="12">
        <f t="shared" si="52"/>
        <v>239</v>
      </c>
      <c r="N854" s="13">
        <f t="shared" si="53"/>
        <v>196.5</v>
      </c>
      <c r="O854" s="14">
        <f t="shared" si="54"/>
        <v>435.5</v>
      </c>
      <c r="P854" s="15">
        <f t="shared" si="55"/>
        <v>0.52469879518072293</v>
      </c>
    </row>
    <row r="855" spans="1:16" ht="15.75" hidden="1" customHeight="1" x14ac:dyDescent="0.3">
      <c r="A855" s="9" t="s">
        <v>59</v>
      </c>
      <c r="B855" s="9" t="s">
        <v>393</v>
      </c>
      <c r="C855" s="9" t="s">
        <v>111</v>
      </c>
      <c r="D855" s="9" t="s">
        <v>119</v>
      </c>
      <c r="E855" s="10">
        <v>9</v>
      </c>
      <c r="F855" s="9" t="s">
        <v>121</v>
      </c>
      <c r="G855" s="11">
        <v>0</v>
      </c>
      <c r="H855" s="9" t="s">
        <v>98</v>
      </c>
      <c r="I855" s="9" t="s">
        <v>99</v>
      </c>
      <c r="J855" s="9" t="s">
        <v>4</v>
      </c>
      <c r="K855" s="9"/>
      <c r="L855" s="9"/>
      <c r="M855" s="12">
        <f t="shared" si="52"/>
        <v>239</v>
      </c>
      <c r="N855" s="13">
        <f t="shared" si="53"/>
        <v>196.5</v>
      </c>
      <c r="O855" s="14">
        <f t="shared" si="54"/>
        <v>435.5</v>
      </c>
      <c r="P855" s="15">
        <f t="shared" si="55"/>
        <v>0.52469879518072293</v>
      </c>
    </row>
    <row r="856" spans="1:16" ht="15.75" hidden="1" customHeight="1" x14ac:dyDescent="0.3">
      <c r="A856" s="9" t="s">
        <v>59</v>
      </c>
      <c r="B856" s="9" t="s">
        <v>393</v>
      </c>
      <c r="C856" s="9" t="s">
        <v>80</v>
      </c>
      <c r="D856" s="9" t="s">
        <v>119</v>
      </c>
      <c r="E856" s="10">
        <v>3</v>
      </c>
      <c r="F856" s="9" t="s">
        <v>121</v>
      </c>
      <c r="G856" s="11">
        <v>0</v>
      </c>
      <c r="H856" s="9" t="s">
        <v>98</v>
      </c>
      <c r="I856" s="9" t="s">
        <v>99</v>
      </c>
      <c r="J856" s="9" t="s">
        <v>4</v>
      </c>
      <c r="K856" s="9"/>
      <c r="L856" s="9"/>
      <c r="M856" s="12">
        <f t="shared" si="52"/>
        <v>239</v>
      </c>
      <c r="N856" s="13">
        <f t="shared" si="53"/>
        <v>196.5</v>
      </c>
      <c r="O856" s="14">
        <f t="shared" si="54"/>
        <v>435.5</v>
      </c>
      <c r="P856" s="15">
        <f t="shared" si="55"/>
        <v>0.52469879518072293</v>
      </c>
    </row>
    <row r="857" spans="1:16" ht="15.75" hidden="1" customHeight="1" x14ac:dyDescent="0.3">
      <c r="A857" s="9" t="s">
        <v>59</v>
      </c>
      <c r="B857" s="9" t="s">
        <v>394</v>
      </c>
      <c r="C857" s="9" t="s">
        <v>73</v>
      </c>
      <c r="D857" s="9" t="s">
        <v>160</v>
      </c>
      <c r="E857" s="10">
        <v>32</v>
      </c>
      <c r="F857" s="9" t="s">
        <v>161</v>
      </c>
      <c r="G857" s="10">
        <v>32</v>
      </c>
      <c r="H857" s="9" t="s">
        <v>146</v>
      </c>
      <c r="I857" s="9" t="s">
        <v>147</v>
      </c>
      <c r="J857" s="9"/>
      <c r="K857" s="9"/>
      <c r="L857" s="9"/>
      <c r="M857" s="12">
        <f t="shared" si="52"/>
        <v>279</v>
      </c>
      <c r="N857" s="13">
        <f t="shared" si="53"/>
        <v>427.5</v>
      </c>
      <c r="O857" s="14">
        <f t="shared" si="54"/>
        <v>706.5</v>
      </c>
      <c r="P857" s="15">
        <f t="shared" si="55"/>
        <v>0.85120481927710845</v>
      </c>
    </row>
    <row r="858" spans="1:16" ht="15.75" hidden="1" customHeight="1" x14ac:dyDescent="0.3">
      <c r="A858" s="9" t="s">
        <v>59</v>
      </c>
      <c r="B858" s="9" t="s">
        <v>394</v>
      </c>
      <c r="C858" s="9" t="s">
        <v>79</v>
      </c>
      <c r="D858" s="9" t="s">
        <v>162</v>
      </c>
      <c r="E858" s="10">
        <v>20</v>
      </c>
      <c r="F858" s="9" t="s">
        <v>161</v>
      </c>
      <c r="G858" s="10">
        <v>20</v>
      </c>
      <c r="H858" s="9" t="s">
        <v>146</v>
      </c>
      <c r="I858" s="9" t="s">
        <v>147</v>
      </c>
      <c r="J858" s="9"/>
      <c r="K858" s="9"/>
      <c r="L858" s="9"/>
      <c r="M858" s="12">
        <f t="shared" si="52"/>
        <v>279</v>
      </c>
      <c r="N858" s="13">
        <f t="shared" si="53"/>
        <v>427.5</v>
      </c>
      <c r="O858" s="14">
        <f t="shared" si="54"/>
        <v>706.5</v>
      </c>
      <c r="P858" s="15">
        <f t="shared" si="55"/>
        <v>0.85120481927710845</v>
      </c>
    </row>
    <row r="859" spans="1:16" ht="15.75" hidden="1" customHeight="1" x14ac:dyDescent="0.3">
      <c r="A859" s="9" t="s">
        <v>59</v>
      </c>
      <c r="B859" s="9" t="s">
        <v>394</v>
      </c>
      <c r="C859" s="9" t="s">
        <v>79</v>
      </c>
      <c r="D859" s="9" t="s">
        <v>163</v>
      </c>
      <c r="E859" s="10">
        <v>20</v>
      </c>
      <c r="F859" s="9" t="s">
        <v>161</v>
      </c>
      <c r="G859" s="10">
        <v>20</v>
      </c>
      <c r="H859" s="9" t="s">
        <v>146</v>
      </c>
      <c r="I859" s="9" t="s">
        <v>147</v>
      </c>
      <c r="J859" s="9"/>
      <c r="K859" s="9"/>
      <c r="L859" s="9"/>
      <c r="M859" s="12">
        <f t="shared" si="52"/>
        <v>279</v>
      </c>
      <c r="N859" s="13">
        <f t="shared" si="53"/>
        <v>427.5</v>
      </c>
      <c r="O859" s="14">
        <f t="shared" si="54"/>
        <v>706.5</v>
      </c>
      <c r="P859" s="15">
        <f t="shared" si="55"/>
        <v>0.85120481927710845</v>
      </c>
    </row>
    <row r="860" spans="1:16" ht="15.75" hidden="1" customHeight="1" x14ac:dyDescent="0.3">
      <c r="A860" s="9" t="s">
        <v>59</v>
      </c>
      <c r="B860" s="9" t="s">
        <v>394</v>
      </c>
      <c r="C860" s="9" t="s">
        <v>100</v>
      </c>
      <c r="D860" s="9" t="s">
        <v>162</v>
      </c>
      <c r="E860" s="10">
        <v>32</v>
      </c>
      <c r="F860" s="9" t="s">
        <v>161</v>
      </c>
      <c r="G860" s="10">
        <v>16</v>
      </c>
      <c r="H860" s="9" t="s">
        <v>146</v>
      </c>
      <c r="I860" s="9" t="s">
        <v>147</v>
      </c>
      <c r="J860" s="9"/>
      <c r="K860" s="9"/>
      <c r="L860" s="9"/>
      <c r="M860" s="12">
        <f t="shared" si="52"/>
        <v>279</v>
      </c>
      <c r="N860" s="13">
        <f t="shared" si="53"/>
        <v>427.5</v>
      </c>
      <c r="O860" s="14">
        <f t="shared" si="54"/>
        <v>706.5</v>
      </c>
      <c r="P860" s="15">
        <f t="shared" si="55"/>
        <v>0.85120481927710845</v>
      </c>
    </row>
    <row r="861" spans="1:16" ht="15.75" hidden="1" customHeight="1" x14ac:dyDescent="0.3">
      <c r="A861" s="9" t="s">
        <v>59</v>
      </c>
      <c r="B861" s="9" t="s">
        <v>394</v>
      </c>
      <c r="C861" s="9" t="s">
        <v>100</v>
      </c>
      <c r="D861" s="9" t="s">
        <v>163</v>
      </c>
      <c r="E861" s="10">
        <v>16</v>
      </c>
      <c r="F861" s="9" t="s">
        <v>161</v>
      </c>
      <c r="G861" s="10">
        <v>16</v>
      </c>
      <c r="H861" s="9" t="s">
        <v>146</v>
      </c>
      <c r="I861" s="9" t="s">
        <v>147</v>
      </c>
      <c r="J861" s="9"/>
      <c r="K861" s="9"/>
      <c r="L861" s="9"/>
      <c r="M861" s="12">
        <f t="shared" si="52"/>
        <v>279</v>
      </c>
      <c r="N861" s="13">
        <f t="shared" si="53"/>
        <v>427.5</v>
      </c>
      <c r="O861" s="14">
        <f t="shared" si="54"/>
        <v>706.5</v>
      </c>
      <c r="P861" s="15">
        <f t="shared" si="55"/>
        <v>0.85120481927710845</v>
      </c>
    </row>
    <row r="862" spans="1:16" ht="15.75" hidden="1" customHeight="1" x14ac:dyDescent="0.3">
      <c r="A862" s="9" t="s">
        <v>59</v>
      </c>
      <c r="B862" s="9" t="s">
        <v>394</v>
      </c>
      <c r="C862" s="9" t="s">
        <v>111</v>
      </c>
      <c r="D862" s="9" t="s">
        <v>162</v>
      </c>
      <c r="E862" s="10">
        <v>9</v>
      </c>
      <c r="F862" s="9" t="s">
        <v>161</v>
      </c>
      <c r="G862" s="11">
        <v>0</v>
      </c>
      <c r="H862" s="9" t="s">
        <v>146</v>
      </c>
      <c r="I862" s="9" t="s">
        <v>147</v>
      </c>
      <c r="J862" s="9"/>
      <c r="K862" s="9"/>
      <c r="L862" s="9"/>
      <c r="M862" s="12">
        <f t="shared" si="52"/>
        <v>279</v>
      </c>
      <c r="N862" s="13">
        <f t="shared" si="53"/>
        <v>427.5</v>
      </c>
      <c r="O862" s="14">
        <f t="shared" si="54"/>
        <v>706.5</v>
      </c>
      <c r="P862" s="15">
        <f t="shared" si="55"/>
        <v>0.85120481927710845</v>
      </c>
    </row>
    <row r="863" spans="1:16" ht="15.75" hidden="1" customHeight="1" x14ac:dyDescent="0.3">
      <c r="A863" s="9" t="s">
        <v>59</v>
      </c>
      <c r="B863" s="9" t="s">
        <v>394</v>
      </c>
      <c r="C863" s="9" t="s">
        <v>111</v>
      </c>
      <c r="D863" s="9" t="s">
        <v>163</v>
      </c>
      <c r="E863" s="10">
        <v>7</v>
      </c>
      <c r="F863" s="9" t="s">
        <v>161</v>
      </c>
      <c r="G863" s="11">
        <v>0</v>
      </c>
      <c r="H863" s="9" t="s">
        <v>146</v>
      </c>
      <c r="I863" s="9" t="s">
        <v>147</v>
      </c>
      <c r="J863" s="9"/>
      <c r="K863" s="9"/>
      <c r="L863" s="9"/>
      <c r="M863" s="12">
        <f t="shared" si="52"/>
        <v>279</v>
      </c>
      <c r="N863" s="13">
        <f t="shared" si="53"/>
        <v>427.5</v>
      </c>
      <c r="O863" s="14">
        <f t="shared" si="54"/>
        <v>706.5</v>
      </c>
      <c r="P863" s="15">
        <f t="shared" si="55"/>
        <v>0.85120481927710845</v>
      </c>
    </row>
    <row r="864" spans="1:16" ht="15.75" hidden="1" customHeight="1" x14ac:dyDescent="0.3">
      <c r="A864" s="9" t="s">
        <v>59</v>
      </c>
      <c r="B864" s="9" t="s">
        <v>394</v>
      </c>
      <c r="C864" s="9" t="s">
        <v>80</v>
      </c>
      <c r="D864" s="9" t="s">
        <v>162</v>
      </c>
      <c r="E864" s="10">
        <v>4</v>
      </c>
      <c r="F864" s="9" t="s">
        <v>161</v>
      </c>
      <c r="G864" s="11">
        <v>0</v>
      </c>
      <c r="H864" s="9" t="s">
        <v>146</v>
      </c>
      <c r="I864" s="9" t="s">
        <v>147</v>
      </c>
      <c r="J864" s="9"/>
      <c r="K864" s="9"/>
      <c r="L864" s="9"/>
      <c r="M864" s="12">
        <f t="shared" si="52"/>
        <v>279</v>
      </c>
      <c r="N864" s="13">
        <f t="shared" si="53"/>
        <v>427.5</v>
      </c>
      <c r="O864" s="14">
        <f t="shared" si="54"/>
        <v>706.5</v>
      </c>
      <c r="P864" s="15">
        <f t="shared" si="55"/>
        <v>0.85120481927710845</v>
      </c>
    </row>
    <row r="865" spans="1:16" ht="15.75" hidden="1" customHeight="1" x14ac:dyDescent="0.3">
      <c r="A865" s="9" t="s">
        <v>59</v>
      </c>
      <c r="B865" s="9" t="s">
        <v>394</v>
      </c>
      <c r="C865" s="9" t="s">
        <v>80</v>
      </c>
      <c r="D865" s="9" t="s">
        <v>163</v>
      </c>
      <c r="E865" s="10">
        <v>4</v>
      </c>
      <c r="F865" s="9" t="s">
        <v>161</v>
      </c>
      <c r="G865" s="11">
        <v>0</v>
      </c>
      <c r="H865" s="9" t="s">
        <v>146</v>
      </c>
      <c r="I865" s="9" t="s">
        <v>147</v>
      </c>
      <c r="J865" s="9"/>
      <c r="K865" s="9"/>
      <c r="L865" s="9"/>
      <c r="M865" s="12">
        <f t="shared" si="52"/>
        <v>279</v>
      </c>
      <c r="N865" s="13">
        <f t="shared" si="53"/>
        <v>427.5</v>
      </c>
      <c r="O865" s="14">
        <f t="shared" si="54"/>
        <v>706.5</v>
      </c>
      <c r="P865" s="15">
        <f t="shared" si="55"/>
        <v>0.85120481927710845</v>
      </c>
    </row>
    <row r="866" spans="1:16" ht="15.75" hidden="1" customHeight="1" x14ac:dyDescent="0.3">
      <c r="A866" s="9" t="s">
        <v>59</v>
      </c>
      <c r="B866" s="9" t="s">
        <v>395</v>
      </c>
      <c r="C866" s="9" t="s">
        <v>73</v>
      </c>
      <c r="D866" s="9" t="s">
        <v>139</v>
      </c>
      <c r="E866" s="10">
        <v>12</v>
      </c>
      <c r="F866" s="9" t="s">
        <v>238</v>
      </c>
      <c r="G866" s="10">
        <v>12</v>
      </c>
      <c r="H866" s="9" t="s">
        <v>391</v>
      </c>
      <c r="I866" s="9" t="s">
        <v>392</v>
      </c>
      <c r="J866" s="9"/>
      <c r="K866" s="9"/>
      <c r="L866" s="9"/>
      <c r="M866" s="12">
        <f t="shared" ref="M866:M929" si="56">SUMIFS($E$2:$E$1130,$A$2:$A$1130,"осень",$I$2:$I$1130,I866)</f>
        <v>0</v>
      </c>
      <c r="N866" s="13">
        <f t="shared" ref="N866:N929" si="57">SUMIFS($E$2:$E$1130,$A$2:$A$1130,"весна",$I$2:$I$1130,I866)</f>
        <v>251</v>
      </c>
      <c r="O866" s="14">
        <f t="shared" ref="O866:O929" si="58">M866+N866</f>
        <v>251</v>
      </c>
      <c r="P866" s="15">
        <f t="shared" ref="P866:P929" si="59">O866/$P$1</f>
        <v>0.30240963855421688</v>
      </c>
    </row>
    <row r="867" spans="1:16" ht="15.75" hidden="1" customHeight="1" x14ac:dyDescent="0.3">
      <c r="A867" s="9" t="s">
        <v>59</v>
      </c>
      <c r="B867" s="9" t="s">
        <v>395</v>
      </c>
      <c r="C867" s="9" t="s">
        <v>79</v>
      </c>
      <c r="D867" s="9" t="s">
        <v>139</v>
      </c>
      <c r="E867" s="10">
        <v>24</v>
      </c>
      <c r="F867" s="9" t="s">
        <v>238</v>
      </c>
      <c r="G867" s="10">
        <v>24</v>
      </c>
      <c r="H867" s="9" t="s">
        <v>391</v>
      </c>
      <c r="I867" s="9" t="s">
        <v>392</v>
      </c>
      <c r="J867" s="9"/>
      <c r="K867" s="9"/>
      <c r="L867" s="9"/>
      <c r="M867" s="12">
        <f t="shared" si="56"/>
        <v>0</v>
      </c>
      <c r="N867" s="13">
        <f t="shared" si="57"/>
        <v>251</v>
      </c>
      <c r="O867" s="14">
        <f t="shared" si="58"/>
        <v>251</v>
      </c>
      <c r="P867" s="15">
        <f t="shared" si="59"/>
        <v>0.30240963855421688</v>
      </c>
    </row>
    <row r="868" spans="1:16" ht="15.75" hidden="1" customHeight="1" x14ac:dyDescent="0.3">
      <c r="A868" s="9" t="s">
        <v>59</v>
      </c>
      <c r="B868" s="9" t="s">
        <v>395</v>
      </c>
      <c r="C868" s="9" t="s">
        <v>142</v>
      </c>
      <c r="D868" s="9" t="s">
        <v>139</v>
      </c>
      <c r="E868" s="10">
        <v>2</v>
      </c>
      <c r="F868" s="9" t="s">
        <v>238</v>
      </c>
      <c r="G868" s="11">
        <v>0</v>
      </c>
      <c r="H868" s="9" t="s">
        <v>391</v>
      </c>
      <c r="I868" s="9" t="s">
        <v>392</v>
      </c>
      <c r="J868" s="9"/>
      <c r="K868" s="9"/>
      <c r="L868" s="9"/>
      <c r="M868" s="12">
        <f t="shared" si="56"/>
        <v>0</v>
      </c>
      <c r="N868" s="13">
        <f t="shared" si="57"/>
        <v>251</v>
      </c>
      <c r="O868" s="14">
        <f t="shared" si="58"/>
        <v>251</v>
      </c>
      <c r="P868" s="15">
        <f t="shared" si="59"/>
        <v>0.30240963855421688</v>
      </c>
    </row>
    <row r="869" spans="1:16" ht="15.75" hidden="1" customHeight="1" x14ac:dyDescent="0.3">
      <c r="A869" s="9" t="s">
        <v>59</v>
      </c>
      <c r="B869" s="9" t="s">
        <v>395</v>
      </c>
      <c r="C869" s="9" t="s">
        <v>80</v>
      </c>
      <c r="D869" s="9" t="s">
        <v>139</v>
      </c>
      <c r="E869" s="10">
        <v>1</v>
      </c>
      <c r="F869" s="9" t="s">
        <v>238</v>
      </c>
      <c r="G869" s="11">
        <v>0</v>
      </c>
      <c r="H869" s="9" t="s">
        <v>391</v>
      </c>
      <c r="I869" s="9" t="s">
        <v>392</v>
      </c>
      <c r="J869" s="9"/>
      <c r="K869" s="9"/>
      <c r="L869" s="9"/>
      <c r="M869" s="12">
        <f t="shared" si="56"/>
        <v>0</v>
      </c>
      <c r="N869" s="13">
        <f t="shared" si="57"/>
        <v>251</v>
      </c>
      <c r="O869" s="14">
        <f t="shared" si="58"/>
        <v>251</v>
      </c>
      <c r="P869" s="15">
        <f t="shared" si="59"/>
        <v>0.30240963855421688</v>
      </c>
    </row>
    <row r="870" spans="1:16" ht="15.75" hidden="1" customHeight="1" x14ac:dyDescent="0.3">
      <c r="A870" s="9" t="s">
        <v>59</v>
      </c>
      <c r="B870" s="9" t="s">
        <v>283</v>
      </c>
      <c r="C870" s="9" t="s">
        <v>73</v>
      </c>
      <c r="D870" s="9" t="s">
        <v>140</v>
      </c>
      <c r="E870" s="10">
        <v>12</v>
      </c>
      <c r="F870" s="9" t="s">
        <v>153</v>
      </c>
      <c r="G870" s="10">
        <v>12</v>
      </c>
      <c r="H870" s="9" t="s">
        <v>250</v>
      </c>
      <c r="I870" s="9" t="s">
        <v>251</v>
      </c>
      <c r="J870" s="9"/>
      <c r="K870" s="9"/>
      <c r="L870" s="9"/>
      <c r="M870" s="12">
        <f t="shared" si="56"/>
        <v>179</v>
      </c>
      <c r="N870" s="13">
        <f t="shared" si="57"/>
        <v>72</v>
      </c>
      <c r="O870" s="14">
        <f t="shared" si="58"/>
        <v>251</v>
      </c>
      <c r="P870" s="15">
        <f t="shared" si="59"/>
        <v>0.30240963855421688</v>
      </c>
    </row>
    <row r="871" spans="1:16" ht="15.75" hidden="1" customHeight="1" x14ac:dyDescent="0.3">
      <c r="A871" s="9" t="s">
        <v>59</v>
      </c>
      <c r="B871" s="9" t="s">
        <v>283</v>
      </c>
      <c r="C871" s="9" t="s">
        <v>87</v>
      </c>
      <c r="D871" s="9" t="s">
        <v>140</v>
      </c>
      <c r="E871" s="10">
        <v>2</v>
      </c>
      <c r="F871" s="9" t="s">
        <v>153</v>
      </c>
      <c r="G871" s="11">
        <v>0</v>
      </c>
      <c r="H871" s="9" t="s">
        <v>250</v>
      </c>
      <c r="I871" s="9" t="s">
        <v>251</v>
      </c>
      <c r="J871" s="9"/>
      <c r="K871" s="9"/>
      <c r="L871" s="9"/>
      <c r="M871" s="12">
        <f t="shared" si="56"/>
        <v>179</v>
      </c>
      <c r="N871" s="13">
        <f t="shared" si="57"/>
        <v>72</v>
      </c>
      <c r="O871" s="14">
        <f t="shared" si="58"/>
        <v>251</v>
      </c>
      <c r="P871" s="15">
        <f t="shared" si="59"/>
        <v>0.30240963855421688</v>
      </c>
    </row>
    <row r="872" spans="1:16" ht="15.75" hidden="1" customHeight="1" x14ac:dyDescent="0.3">
      <c r="A872" s="9" t="s">
        <v>59</v>
      </c>
      <c r="B872" s="9" t="s">
        <v>283</v>
      </c>
      <c r="C872" s="9" t="s">
        <v>79</v>
      </c>
      <c r="D872" s="9" t="s">
        <v>140</v>
      </c>
      <c r="E872" s="10">
        <v>10</v>
      </c>
      <c r="F872" s="9" t="s">
        <v>153</v>
      </c>
      <c r="G872" s="10">
        <v>10</v>
      </c>
      <c r="H872" s="9" t="s">
        <v>250</v>
      </c>
      <c r="I872" s="9" t="s">
        <v>251</v>
      </c>
      <c r="J872" s="9"/>
      <c r="K872" s="9"/>
      <c r="L872" s="9"/>
      <c r="M872" s="12">
        <f t="shared" si="56"/>
        <v>179</v>
      </c>
      <c r="N872" s="13">
        <f t="shared" si="57"/>
        <v>72</v>
      </c>
      <c r="O872" s="14">
        <f t="shared" si="58"/>
        <v>251</v>
      </c>
      <c r="P872" s="15">
        <f t="shared" si="59"/>
        <v>0.30240963855421688</v>
      </c>
    </row>
    <row r="873" spans="1:16" ht="15.75" hidden="1" customHeight="1" x14ac:dyDescent="0.3">
      <c r="A873" s="9" t="s">
        <v>59</v>
      </c>
      <c r="B873" s="9" t="s">
        <v>283</v>
      </c>
      <c r="C873" s="9" t="s">
        <v>100</v>
      </c>
      <c r="D873" s="9" t="s">
        <v>140</v>
      </c>
      <c r="E873" s="10">
        <v>12</v>
      </c>
      <c r="F873" s="9" t="s">
        <v>153</v>
      </c>
      <c r="G873" s="10">
        <v>12</v>
      </c>
      <c r="H873" s="9" t="s">
        <v>250</v>
      </c>
      <c r="I873" s="9" t="s">
        <v>251</v>
      </c>
      <c r="J873" s="9"/>
      <c r="K873" s="9"/>
      <c r="L873" s="9"/>
      <c r="M873" s="12">
        <f t="shared" si="56"/>
        <v>179</v>
      </c>
      <c r="N873" s="13">
        <f t="shared" si="57"/>
        <v>72</v>
      </c>
      <c r="O873" s="14">
        <f t="shared" si="58"/>
        <v>251</v>
      </c>
      <c r="P873" s="15">
        <f t="shared" si="59"/>
        <v>0.30240963855421688</v>
      </c>
    </row>
    <row r="874" spans="1:16" ht="15.75" hidden="1" customHeight="1" x14ac:dyDescent="0.3">
      <c r="A874" s="9" t="s">
        <v>59</v>
      </c>
      <c r="B874" s="9" t="s">
        <v>283</v>
      </c>
      <c r="C874" s="9" t="s">
        <v>80</v>
      </c>
      <c r="D874" s="9" t="s">
        <v>140</v>
      </c>
      <c r="E874" s="10">
        <v>1</v>
      </c>
      <c r="F874" s="9" t="s">
        <v>153</v>
      </c>
      <c r="G874" s="11">
        <v>0</v>
      </c>
      <c r="H874" s="9" t="s">
        <v>250</v>
      </c>
      <c r="I874" s="9" t="s">
        <v>251</v>
      </c>
      <c r="J874" s="9"/>
      <c r="K874" s="9"/>
      <c r="L874" s="9"/>
      <c r="M874" s="12">
        <f t="shared" si="56"/>
        <v>179</v>
      </c>
      <c r="N874" s="13">
        <f t="shared" si="57"/>
        <v>72</v>
      </c>
      <c r="O874" s="14">
        <f t="shared" si="58"/>
        <v>251</v>
      </c>
      <c r="P874" s="15">
        <f t="shared" si="59"/>
        <v>0.30240963855421688</v>
      </c>
    </row>
    <row r="875" spans="1:16" ht="15.75" hidden="1" customHeight="1" x14ac:dyDescent="0.3">
      <c r="A875" s="9" t="s">
        <v>59</v>
      </c>
      <c r="B875" s="9" t="s">
        <v>293</v>
      </c>
      <c r="C875" s="9" t="s">
        <v>73</v>
      </c>
      <c r="D875" s="9" t="s">
        <v>82</v>
      </c>
      <c r="E875" s="10">
        <v>36</v>
      </c>
      <c r="F875" s="9" t="s">
        <v>83</v>
      </c>
      <c r="G875" s="10">
        <v>36</v>
      </c>
      <c r="H875" s="9" t="s">
        <v>67</v>
      </c>
      <c r="I875" s="9" t="s">
        <v>68</v>
      </c>
      <c r="J875" s="9" t="s">
        <v>4</v>
      </c>
      <c r="K875" s="9"/>
      <c r="L875" s="9"/>
      <c r="M875" s="12">
        <f t="shared" si="56"/>
        <v>366</v>
      </c>
      <c r="N875" s="13">
        <f t="shared" si="57"/>
        <v>175</v>
      </c>
      <c r="O875" s="14">
        <f t="shared" si="58"/>
        <v>541</v>
      </c>
      <c r="P875" s="15">
        <f t="shared" si="59"/>
        <v>0.65180722891566267</v>
      </c>
    </row>
    <row r="876" spans="1:16" ht="15.75" hidden="1" customHeight="1" x14ac:dyDescent="0.3">
      <c r="A876" s="9" t="s">
        <v>59</v>
      </c>
      <c r="B876" s="9" t="s">
        <v>293</v>
      </c>
      <c r="C876" s="9" t="s">
        <v>87</v>
      </c>
      <c r="D876" s="9" t="s">
        <v>88</v>
      </c>
      <c r="E876" s="10">
        <v>7</v>
      </c>
      <c r="F876" s="9" t="s">
        <v>83</v>
      </c>
      <c r="G876" s="11">
        <v>0</v>
      </c>
      <c r="H876" s="9" t="s">
        <v>67</v>
      </c>
      <c r="I876" s="9" t="s">
        <v>68</v>
      </c>
      <c r="J876" s="9" t="s">
        <v>4</v>
      </c>
      <c r="K876" s="9"/>
      <c r="L876" s="9"/>
      <c r="M876" s="12">
        <f t="shared" si="56"/>
        <v>366</v>
      </c>
      <c r="N876" s="13">
        <f t="shared" si="57"/>
        <v>175</v>
      </c>
      <c r="O876" s="14">
        <f t="shared" si="58"/>
        <v>541</v>
      </c>
      <c r="P876" s="15">
        <f t="shared" si="59"/>
        <v>0.65180722891566267</v>
      </c>
    </row>
    <row r="877" spans="1:16" ht="15.75" hidden="1" customHeight="1" x14ac:dyDescent="0.3">
      <c r="A877" s="9" t="s">
        <v>59</v>
      </c>
      <c r="B877" s="9" t="s">
        <v>293</v>
      </c>
      <c r="C877" s="9" t="s">
        <v>87</v>
      </c>
      <c r="D877" s="9" t="s">
        <v>90</v>
      </c>
      <c r="E877" s="10">
        <v>7</v>
      </c>
      <c r="F877" s="9" t="s">
        <v>83</v>
      </c>
      <c r="G877" s="11">
        <v>0</v>
      </c>
      <c r="H877" s="9" t="s">
        <v>67</v>
      </c>
      <c r="I877" s="9" t="s">
        <v>68</v>
      </c>
      <c r="J877" s="9" t="s">
        <v>4</v>
      </c>
      <c r="K877" s="9"/>
      <c r="L877" s="9"/>
      <c r="M877" s="12">
        <f t="shared" si="56"/>
        <v>366</v>
      </c>
      <c r="N877" s="13">
        <f t="shared" si="57"/>
        <v>175</v>
      </c>
      <c r="O877" s="14">
        <f t="shared" si="58"/>
        <v>541</v>
      </c>
      <c r="P877" s="15">
        <f t="shared" si="59"/>
        <v>0.65180722891566267</v>
      </c>
    </row>
    <row r="878" spans="1:16" ht="15.75" hidden="1" customHeight="1" x14ac:dyDescent="0.3">
      <c r="A878" s="9" t="s">
        <v>59</v>
      </c>
      <c r="B878" s="9" t="s">
        <v>293</v>
      </c>
      <c r="C878" s="9" t="s">
        <v>79</v>
      </c>
      <c r="D878" s="9" t="s">
        <v>88</v>
      </c>
      <c r="E878" s="10">
        <v>48</v>
      </c>
      <c r="F878" s="9" t="s">
        <v>83</v>
      </c>
      <c r="G878" s="10">
        <v>48</v>
      </c>
      <c r="H878" s="9" t="s">
        <v>67</v>
      </c>
      <c r="I878" s="9" t="s">
        <v>68</v>
      </c>
      <c r="J878" s="9" t="s">
        <v>4</v>
      </c>
      <c r="K878" s="9"/>
      <c r="L878" s="9"/>
      <c r="M878" s="12">
        <f t="shared" si="56"/>
        <v>366</v>
      </c>
      <c r="N878" s="13">
        <f t="shared" si="57"/>
        <v>175</v>
      </c>
      <c r="O878" s="14">
        <f t="shared" si="58"/>
        <v>541</v>
      </c>
      <c r="P878" s="15">
        <f t="shared" si="59"/>
        <v>0.65180722891566267</v>
      </c>
    </row>
    <row r="879" spans="1:16" ht="15.75" hidden="1" customHeight="1" x14ac:dyDescent="0.3">
      <c r="A879" s="9" t="s">
        <v>59</v>
      </c>
      <c r="B879" s="9" t="s">
        <v>293</v>
      </c>
      <c r="C879" s="9" t="s">
        <v>79</v>
      </c>
      <c r="D879" s="9" t="s">
        <v>90</v>
      </c>
      <c r="E879" s="10">
        <v>48</v>
      </c>
      <c r="F879" s="9" t="s">
        <v>83</v>
      </c>
      <c r="G879" s="10">
        <v>48</v>
      </c>
      <c r="H879" s="9" t="s">
        <v>67</v>
      </c>
      <c r="I879" s="9" t="s">
        <v>68</v>
      </c>
      <c r="J879" s="9" t="s">
        <v>4</v>
      </c>
      <c r="K879" s="9"/>
      <c r="L879" s="9"/>
      <c r="M879" s="12">
        <f t="shared" si="56"/>
        <v>366</v>
      </c>
      <c r="N879" s="13">
        <f t="shared" si="57"/>
        <v>175</v>
      </c>
      <c r="O879" s="14">
        <f t="shared" si="58"/>
        <v>541</v>
      </c>
      <c r="P879" s="15">
        <f t="shared" si="59"/>
        <v>0.65180722891566267</v>
      </c>
    </row>
    <row r="880" spans="1:16" ht="15.75" hidden="1" customHeight="1" x14ac:dyDescent="0.3">
      <c r="A880" s="9" t="s">
        <v>59</v>
      </c>
      <c r="B880" s="9" t="s">
        <v>293</v>
      </c>
      <c r="C880" s="9" t="s">
        <v>80</v>
      </c>
      <c r="D880" s="9" t="s">
        <v>88</v>
      </c>
      <c r="E880" s="10">
        <v>2</v>
      </c>
      <c r="F880" s="9" t="s">
        <v>83</v>
      </c>
      <c r="G880" s="11">
        <v>0</v>
      </c>
      <c r="H880" s="9" t="s">
        <v>67</v>
      </c>
      <c r="I880" s="9" t="s">
        <v>68</v>
      </c>
      <c r="J880" s="9" t="s">
        <v>4</v>
      </c>
      <c r="K880" s="9"/>
      <c r="L880" s="9"/>
      <c r="M880" s="12">
        <f t="shared" si="56"/>
        <v>366</v>
      </c>
      <c r="N880" s="13">
        <f t="shared" si="57"/>
        <v>175</v>
      </c>
      <c r="O880" s="14">
        <f t="shared" si="58"/>
        <v>541</v>
      </c>
      <c r="P880" s="15">
        <f t="shared" si="59"/>
        <v>0.65180722891566267</v>
      </c>
    </row>
    <row r="881" spans="1:16" ht="15.75" hidden="1" customHeight="1" x14ac:dyDescent="0.3">
      <c r="A881" s="9" t="s">
        <v>59</v>
      </c>
      <c r="B881" s="9" t="s">
        <v>293</v>
      </c>
      <c r="C881" s="9" t="s">
        <v>80</v>
      </c>
      <c r="D881" s="9" t="s">
        <v>90</v>
      </c>
      <c r="E881" s="10">
        <v>2</v>
      </c>
      <c r="F881" s="9" t="s">
        <v>83</v>
      </c>
      <c r="G881" s="11">
        <v>0</v>
      </c>
      <c r="H881" s="9" t="s">
        <v>67</v>
      </c>
      <c r="I881" s="9" t="s">
        <v>68</v>
      </c>
      <c r="J881" s="9" t="s">
        <v>4</v>
      </c>
      <c r="K881" s="9"/>
      <c r="L881" s="9"/>
      <c r="M881" s="12">
        <f t="shared" si="56"/>
        <v>366</v>
      </c>
      <c r="N881" s="13">
        <f t="shared" si="57"/>
        <v>175</v>
      </c>
      <c r="O881" s="14">
        <f t="shared" si="58"/>
        <v>541</v>
      </c>
      <c r="P881" s="15">
        <f t="shared" si="59"/>
        <v>0.65180722891566267</v>
      </c>
    </row>
    <row r="882" spans="1:16" ht="15.75" hidden="1" customHeight="1" x14ac:dyDescent="0.3">
      <c r="A882" s="9" t="s">
        <v>59</v>
      </c>
      <c r="B882" s="9" t="s">
        <v>396</v>
      </c>
      <c r="C882" s="9" t="s">
        <v>73</v>
      </c>
      <c r="D882" s="9" t="s">
        <v>119</v>
      </c>
      <c r="E882" s="10">
        <v>34</v>
      </c>
      <c r="F882" s="9" t="s">
        <v>121</v>
      </c>
      <c r="G882" s="10">
        <v>34</v>
      </c>
      <c r="H882" s="9" t="s">
        <v>257</v>
      </c>
      <c r="I882" s="9" t="s">
        <v>258</v>
      </c>
      <c r="J882" s="9" t="s">
        <v>8</v>
      </c>
      <c r="K882" s="9"/>
      <c r="L882" s="9"/>
      <c r="M882" s="12">
        <f t="shared" si="56"/>
        <v>331</v>
      </c>
      <c r="N882" s="13">
        <f t="shared" si="57"/>
        <v>520</v>
      </c>
      <c r="O882" s="14">
        <f t="shared" si="58"/>
        <v>851</v>
      </c>
      <c r="P882" s="15">
        <f t="shared" si="59"/>
        <v>1.0253012048192771</v>
      </c>
    </row>
    <row r="883" spans="1:16" ht="15.75" hidden="1" customHeight="1" x14ac:dyDescent="0.3">
      <c r="A883" s="9" t="s">
        <v>59</v>
      </c>
      <c r="B883" s="9" t="s">
        <v>396</v>
      </c>
      <c r="C883" s="9" t="s">
        <v>87</v>
      </c>
      <c r="D883" s="9" t="s">
        <v>119</v>
      </c>
      <c r="E883" s="10">
        <v>6</v>
      </c>
      <c r="F883" s="9" t="s">
        <v>121</v>
      </c>
      <c r="G883" s="11">
        <v>0</v>
      </c>
      <c r="H883" s="9" t="s">
        <v>257</v>
      </c>
      <c r="I883" s="9" t="s">
        <v>258</v>
      </c>
      <c r="J883" s="9" t="s">
        <v>8</v>
      </c>
      <c r="K883" s="9"/>
      <c r="L883" s="9"/>
      <c r="M883" s="12">
        <f t="shared" si="56"/>
        <v>331</v>
      </c>
      <c r="N883" s="13">
        <f t="shared" si="57"/>
        <v>520</v>
      </c>
      <c r="O883" s="14">
        <f t="shared" si="58"/>
        <v>851</v>
      </c>
      <c r="P883" s="15">
        <f t="shared" si="59"/>
        <v>1.0253012048192771</v>
      </c>
    </row>
    <row r="884" spans="1:16" ht="15.75" hidden="1" customHeight="1" x14ac:dyDescent="0.3">
      <c r="A884" s="9" t="s">
        <v>59</v>
      </c>
      <c r="B884" s="9" t="s">
        <v>396</v>
      </c>
      <c r="C884" s="9" t="s">
        <v>79</v>
      </c>
      <c r="D884" s="9" t="s">
        <v>119</v>
      </c>
      <c r="E884" s="10">
        <v>22</v>
      </c>
      <c r="F884" s="9" t="s">
        <v>121</v>
      </c>
      <c r="G884" s="10">
        <v>22</v>
      </c>
      <c r="H884" s="9" t="s">
        <v>257</v>
      </c>
      <c r="I884" s="9" t="s">
        <v>258</v>
      </c>
      <c r="J884" s="9" t="s">
        <v>8</v>
      </c>
      <c r="K884" s="9"/>
      <c r="L884" s="9"/>
      <c r="M884" s="12">
        <f t="shared" si="56"/>
        <v>331</v>
      </c>
      <c r="N884" s="13">
        <f t="shared" si="57"/>
        <v>520</v>
      </c>
      <c r="O884" s="14">
        <f t="shared" si="58"/>
        <v>851</v>
      </c>
      <c r="P884" s="15">
        <f t="shared" si="59"/>
        <v>1.0253012048192771</v>
      </c>
    </row>
    <row r="885" spans="1:16" ht="15.75" hidden="1" customHeight="1" x14ac:dyDescent="0.3">
      <c r="A885" s="9" t="s">
        <v>59</v>
      </c>
      <c r="B885" s="9" t="s">
        <v>396</v>
      </c>
      <c r="C885" s="9" t="s">
        <v>80</v>
      </c>
      <c r="D885" s="9" t="s">
        <v>119</v>
      </c>
      <c r="E885" s="10">
        <v>2</v>
      </c>
      <c r="F885" s="9" t="s">
        <v>121</v>
      </c>
      <c r="G885" s="11">
        <v>0</v>
      </c>
      <c r="H885" s="9" t="s">
        <v>257</v>
      </c>
      <c r="I885" s="9" t="s">
        <v>258</v>
      </c>
      <c r="J885" s="9" t="s">
        <v>8</v>
      </c>
      <c r="K885" s="9"/>
      <c r="L885" s="9"/>
      <c r="M885" s="12">
        <f t="shared" si="56"/>
        <v>331</v>
      </c>
      <c r="N885" s="13">
        <f t="shared" si="57"/>
        <v>520</v>
      </c>
      <c r="O885" s="14">
        <f t="shared" si="58"/>
        <v>851</v>
      </c>
      <c r="P885" s="15">
        <f t="shared" si="59"/>
        <v>1.0253012048192771</v>
      </c>
    </row>
    <row r="886" spans="1:16" ht="15.75" hidden="1" customHeight="1" x14ac:dyDescent="0.3">
      <c r="A886" s="9" t="s">
        <v>59</v>
      </c>
      <c r="B886" s="9" t="s">
        <v>397</v>
      </c>
      <c r="C886" s="9" t="s">
        <v>73</v>
      </c>
      <c r="D886" s="9" t="s">
        <v>300</v>
      </c>
      <c r="E886" s="10">
        <v>20</v>
      </c>
      <c r="F886" s="9" t="s">
        <v>263</v>
      </c>
      <c r="G886" s="10">
        <v>20</v>
      </c>
      <c r="H886" s="9" t="s">
        <v>65</v>
      </c>
      <c r="I886" s="9" t="s">
        <v>66</v>
      </c>
      <c r="J886" s="9" t="s">
        <v>4</v>
      </c>
      <c r="K886" s="9"/>
      <c r="L886" s="9"/>
      <c r="M886" s="12">
        <f t="shared" si="56"/>
        <v>291</v>
      </c>
      <c r="N886" s="13">
        <f t="shared" si="57"/>
        <v>650.5</v>
      </c>
      <c r="O886" s="14">
        <f t="shared" si="58"/>
        <v>941.5</v>
      </c>
      <c r="P886" s="15">
        <f t="shared" si="59"/>
        <v>1.1343373493975903</v>
      </c>
    </row>
    <row r="887" spans="1:16" ht="15.75" hidden="1" customHeight="1" x14ac:dyDescent="0.3">
      <c r="A887" s="9" t="s">
        <v>59</v>
      </c>
      <c r="B887" s="9" t="s">
        <v>397</v>
      </c>
      <c r="C887" s="9" t="s">
        <v>123</v>
      </c>
      <c r="D887" s="9" t="s">
        <v>165</v>
      </c>
      <c r="E887" s="10">
        <v>21</v>
      </c>
      <c r="F887" s="9" t="s">
        <v>263</v>
      </c>
      <c r="G887" s="11">
        <v>0</v>
      </c>
      <c r="H887" s="9" t="s">
        <v>65</v>
      </c>
      <c r="I887" s="9" t="s">
        <v>66</v>
      </c>
      <c r="J887" s="9" t="s">
        <v>4</v>
      </c>
      <c r="K887" s="9"/>
      <c r="L887" s="9"/>
      <c r="M887" s="12">
        <f t="shared" si="56"/>
        <v>291</v>
      </c>
      <c r="N887" s="13">
        <f t="shared" si="57"/>
        <v>650.5</v>
      </c>
      <c r="O887" s="14">
        <f t="shared" si="58"/>
        <v>941.5</v>
      </c>
      <c r="P887" s="15">
        <f t="shared" si="59"/>
        <v>1.1343373493975903</v>
      </c>
    </row>
    <row r="888" spans="1:16" ht="15.75" hidden="1" customHeight="1" x14ac:dyDescent="0.3">
      <c r="A888" s="9" t="s">
        <v>59</v>
      </c>
      <c r="B888" s="9" t="s">
        <v>397</v>
      </c>
      <c r="C888" s="9" t="s">
        <v>123</v>
      </c>
      <c r="D888" s="9" t="s">
        <v>237</v>
      </c>
      <c r="E888" s="10">
        <v>18</v>
      </c>
      <c r="F888" s="9" t="s">
        <v>263</v>
      </c>
      <c r="G888" s="11">
        <v>0</v>
      </c>
      <c r="H888" s="9" t="s">
        <v>65</v>
      </c>
      <c r="I888" s="9" t="s">
        <v>66</v>
      </c>
      <c r="J888" s="9" t="s">
        <v>4</v>
      </c>
      <c r="K888" s="9"/>
      <c r="L888" s="9"/>
      <c r="M888" s="12">
        <f t="shared" si="56"/>
        <v>291</v>
      </c>
      <c r="N888" s="13">
        <f t="shared" si="57"/>
        <v>650.5</v>
      </c>
      <c r="O888" s="14">
        <f t="shared" si="58"/>
        <v>941.5</v>
      </c>
      <c r="P888" s="15">
        <f t="shared" si="59"/>
        <v>1.1343373493975903</v>
      </c>
    </row>
    <row r="889" spans="1:16" ht="15.75" hidden="1" customHeight="1" x14ac:dyDescent="0.3">
      <c r="A889" s="9" t="s">
        <v>59</v>
      </c>
      <c r="B889" s="9" t="s">
        <v>397</v>
      </c>
      <c r="C889" s="9" t="s">
        <v>123</v>
      </c>
      <c r="D889" s="9" t="s">
        <v>152</v>
      </c>
      <c r="E889" s="10">
        <v>21</v>
      </c>
      <c r="F889" s="9" t="s">
        <v>263</v>
      </c>
      <c r="G889" s="11">
        <v>0</v>
      </c>
      <c r="H889" s="9" t="s">
        <v>65</v>
      </c>
      <c r="I889" s="9" t="s">
        <v>66</v>
      </c>
      <c r="J889" s="9" t="s">
        <v>4</v>
      </c>
      <c r="K889" s="9"/>
      <c r="L889" s="9"/>
      <c r="M889" s="12">
        <f t="shared" si="56"/>
        <v>291</v>
      </c>
      <c r="N889" s="13">
        <f t="shared" si="57"/>
        <v>650.5</v>
      </c>
      <c r="O889" s="14">
        <f t="shared" si="58"/>
        <v>941.5</v>
      </c>
      <c r="P889" s="15">
        <f t="shared" si="59"/>
        <v>1.1343373493975903</v>
      </c>
    </row>
    <row r="890" spans="1:16" ht="15.75" hidden="1" customHeight="1" x14ac:dyDescent="0.3">
      <c r="A890" s="9" t="s">
        <v>59</v>
      </c>
      <c r="B890" s="9" t="s">
        <v>397</v>
      </c>
      <c r="C890" s="9" t="s">
        <v>123</v>
      </c>
      <c r="D890" s="9" t="s">
        <v>144</v>
      </c>
      <c r="E890" s="10">
        <v>27</v>
      </c>
      <c r="F890" s="9" t="s">
        <v>263</v>
      </c>
      <c r="G890" s="11">
        <v>0</v>
      </c>
      <c r="H890" s="9" t="s">
        <v>65</v>
      </c>
      <c r="I890" s="9" t="s">
        <v>66</v>
      </c>
      <c r="J890" s="9" t="s">
        <v>4</v>
      </c>
      <c r="K890" s="9"/>
      <c r="L890" s="9"/>
      <c r="M890" s="12">
        <f t="shared" si="56"/>
        <v>291</v>
      </c>
      <c r="N890" s="13">
        <f t="shared" si="57"/>
        <v>650.5</v>
      </c>
      <c r="O890" s="14">
        <f t="shared" si="58"/>
        <v>941.5</v>
      </c>
      <c r="P890" s="15">
        <f t="shared" si="59"/>
        <v>1.1343373493975903</v>
      </c>
    </row>
    <row r="891" spans="1:16" ht="15.75" hidden="1" customHeight="1" x14ac:dyDescent="0.3">
      <c r="A891" s="9" t="s">
        <v>59</v>
      </c>
      <c r="B891" s="9" t="s">
        <v>397</v>
      </c>
      <c r="C891" s="9" t="s">
        <v>79</v>
      </c>
      <c r="D891" s="9" t="s">
        <v>165</v>
      </c>
      <c r="E891" s="10">
        <v>44</v>
      </c>
      <c r="F891" s="9" t="s">
        <v>263</v>
      </c>
      <c r="G891" s="10">
        <v>44</v>
      </c>
      <c r="H891" s="9" t="s">
        <v>65</v>
      </c>
      <c r="I891" s="9" t="s">
        <v>66</v>
      </c>
      <c r="J891" s="9" t="s">
        <v>4</v>
      </c>
      <c r="K891" s="9"/>
      <c r="L891" s="9"/>
      <c r="M891" s="12">
        <f t="shared" si="56"/>
        <v>291</v>
      </c>
      <c r="N891" s="13">
        <f t="shared" si="57"/>
        <v>650.5</v>
      </c>
      <c r="O891" s="14">
        <f t="shared" si="58"/>
        <v>941.5</v>
      </c>
      <c r="P891" s="15">
        <f t="shared" si="59"/>
        <v>1.1343373493975903</v>
      </c>
    </row>
    <row r="892" spans="1:16" ht="15.75" hidden="1" customHeight="1" x14ac:dyDescent="0.3">
      <c r="A892" s="9" t="s">
        <v>59</v>
      </c>
      <c r="B892" s="9" t="s">
        <v>397</v>
      </c>
      <c r="C892" s="9" t="s">
        <v>79</v>
      </c>
      <c r="D892" s="9" t="s">
        <v>237</v>
      </c>
      <c r="E892" s="10">
        <v>44</v>
      </c>
      <c r="F892" s="9" t="s">
        <v>263</v>
      </c>
      <c r="G892" s="10">
        <v>44</v>
      </c>
      <c r="H892" s="9" t="s">
        <v>65</v>
      </c>
      <c r="I892" s="9" t="s">
        <v>66</v>
      </c>
      <c r="J892" s="9" t="s">
        <v>4</v>
      </c>
      <c r="K892" s="9"/>
      <c r="L892" s="9"/>
      <c r="M892" s="12">
        <f t="shared" si="56"/>
        <v>291</v>
      </c>
      <c r="N892" s="13">
        <f t="shared" si="57"/>
        <v>650.5</v>
      </c>
      <c r="O892" s="14">
        <f t="shared" si="58"/>
        <v>941.5</v>
      </c>
      <c r="P892" s="15">
        <f t="shared" si="59"/>
        <v>1.1343373493975903</v>
      </c>
    </row>
    <row r="893" spans="1:16" ht="15.75" hidden="1" customHeight="1" x14ac:dyDescent="0.3">
      <c r="A893" s="9" t="s">
        <v>59</v>
      </c>
      <c r="B893" s="9" t="s">
        <v>397</v>
      </c>
      <c r="C893" s="9" t="s">
        <v>79</v>
      </c>
      <c r="D893" s="9" t="s">
        <v>152</v>
      </c>
      <c r="E893" s="10">
        <v>44</v>
      </c>
      <c r="F893" s="9" t="s">
        <v>263</v>
      </c>
      <c r="G893" s="10">
        <v>44</v>
      </c>
      <c r="H893" s="9" t="s">
        <v>65</v>
      </c>
      <c r="I893" s="9" t="s">
        <v>66</v>
      </c>
      <c r="J893" s="9" t="s">
        <v>4</v>
      </c>
      <c r="K893" s="9"/>
      <c r="L893" s="9"/>
      <c r="M893" s="12">
        <f t="shared" si="56"/>
        <v>291</v>
      </c>
      <c r="N893" s="13">
        <f t="shared" si="57"/>
        <v>650.5</v>
      </c>
      <c r="O893" s="14">
        <f t="shared" si="58"/>
        <v>941.5</v>
      </c>
      <c r="P893" s="15">
        <f t="shared" si="59"/>
        <v>1.1343373493975903</v>
      </c>
    </row>
    <row r="894" spans="1:16" ht="15.75" hidden="1" customHeight="1" x14ac:dyDescent="0.3">
      <c r="A894" s="9" t="s">
        <v>59</v>
      </c>
      <c r="B894" s="9" t="s">
        <v>397</v>
      </c>
      <c r="C894" s="9" t="s">
        <v>79</v>
      </c>
      <c r="D894" s="9" t="s">
        <v>144</v>
      </c>
      <c r="E894" s="10">
        <v>44</v>
      </c>
      <c r="F894" s="9" t="s">
        <v>263</v>
      </c>
      <c r="G894" s="10">
        <v>44</v>
      </c>
      <c r="H894" s="9" t="s">
        <v>65</v>
      </c>
      <c r="I894" s="9" t="s">
        <v>66</v>
      </c>
      <c r="J894" s="9" t="s">
        <v>4</v>
      </c>
      <c r="K894" s="9"/>
      <c r="L894" s="9"/>
      <c r="M894" s="12">
        <f t="shared" si="56"/>
        <v>291</v>
      </c>
      <c r="N894" s="13">
        <f t="shared" si="57"/>
        <v>650.5</v>
      </c>
      <c r="O894" s="14">
        <f t="shared" si="58"/>
        <v>941.5</v>
      </c>
      <c r="P894" s="15">
        <f t="shared" si="59"/>
        <v>1.1343373493975903</v>
      </c>
    </row>
    <row r="895" spans="1:16" ht="15.75" hidden="1" customHeight="1" x14ac:dyDescent="0.3">
      <c r="A895" s="9" t="s">
        <v>59</v>
      </c>
      <c r="B895" s="9" t="s">
        <v>397</v>
      </c>
      <c r="C895" s="9" t="s">
        <v>100</v>
      </c>
      <c r="D895" s="9" t="s">
        <v>165</v>
      </c>
      <c r="E895" s="10">
        <v>8</v>
      </c>
      <c r="F895" s="9" t="s">
        <v>263</v>
      </c>
      <c r="G895" s="10">
        <v>8</v>
      </c>
      <c r="H895" s="9" t="s">
        <v>65</v>
      </c>
      <c r="I895" s="9" t="s">
        <v>66</v>
      </c>
      <c r="J895" s="9" t="s">
        <v>4</v>
      </c>
      <c r="K895" s="9"/>
      <c r="L895" s="9"/>
      <c r="M895" s="12">
        <f t="shared" si="56"/>
        <v>291</v>
      </c>
      <c r="N895" s="13">
        <f t="shared" si="57"/>
        <v>650.5</v>
      </c>
      <c r="O895" s="14">
        <f t="shared" si="58"/>
        <v>941.5</v>
      </c>
      <c r="P895" s="15">
        <f t="shared" si="59"/>
        <v>1.1343373493975903</v>
      </c>
    </row>
    <row r="896" spans="1:16" ht="15.75" hidden="1" customHeight="1" x14ac:dyDescent="0.3">
      <c r="A896" s="9" t="s">
        <v>59</v>
      </c>
      <c r="B896" s="9" t="s">
        <v>397</v>
      </c>
      <c r="C896" s="9" t="s">
        <v>100</v>
      </c>
      <c r="D896" s="9" t="s">
        <v>237</v>
      </c>
      <c r="E896" s="10">
        <v>8</v>
      </c>
      <c r="F896" s="9" t="s">
        <v>263</v>
      </c>
      <c r="G896" s="10">
        <v>8</v>
      </c>
      <c r="H896" s="9" t="s">
        <v>65</v>
      </c>
      <c r="I896" s="9" t="s">
        <v>66</v>
      </c>
      <c r="J896" s="9" t="s">
        <v>4</v>
      </c>
      <c r="K896" s="9"/>
      <c r="L896" s="9"/>
      <c r="M896" s="12">
        <f t="shared" si="56"/>
        <v>291</v>
      </c>
      <c r="N896" s="13">
        <f t="shared" si="57"/>
        <v>650.5</v>
      </c>
      <c r="O896" s="14">
        <f t="shared" si="58"/>
        <v>941.5</v>
      </c>
      <c r="P896" s="15">
        <f t="shared" si="59"/>
        <v>1.1343373493975903</v>
      </c>
    </row>
    <row r="897" spans="1:16" ht="15.75" hidden="1" customHeight="1" x14ac:dyDescent="0.3">
      <c r="A897" s="9" t="s">
        <v>59</v>
      </c>
      <c r="B897" s="9" t="s">
        <v>397</v>
      </c>
      <c r="C897" s="9" t="s">
        <v>100</v>
      </c>
      <c r="D897" s="9" t="s">
        <v>152</v>
      </c>
      <c r="E897" s="10">
        <v>8</v>
      </c>
      <c r="F897" s="9" t="s">
        <v>263</v>
      </c>
      <c r="G897" s="10">
        <v>8</v>
      </c>
      <c r="H897" s="9" t="s">
        <v>65</v>
      </c>
      <c r="I897" s="9" t="s">
        <v>66</v>
      </c>
      <c r="J897" s="9" t="s">
        <v>4</v>
      </c>
      <c r="K897" s="9"/>
      <c r="L897" s="9"/>
      <c r="M897" s="12">
        <f t="shared" si="56"/>
        <v>291</v>
      </c>
      <c r="N897" s="13">
        <f t="shared" si="57"/>
        <v>650.5</v>
      </c>
      <c r="O897" s="14">
        <f t="shared" si="58"/>
        <v>941.5</v>
      </c>
      <c r="P897" s="15">
        <f t="shared" si="59"/>
        <v>1.1343373493975903</v>
      </c>
    </row>
    <row r="898" spans="1:16" ht="15.75" hidden="1" customHeight="1" x14ac:dyDescent="0.3">
      <c r="A898" s="9" t="s">
        <v>59</v>
      </c>
      <c r="B898" s="9" t="s">
        <v>397</v>
      </c>
      <c r="C898" s="9" t="s">
        <v>100</v>
      </c>
      <c r="D898" s="9" t="s">
        <v>144</v>
      </c>
      <c r="E898" s="10">
        <v>8</v>
      </c>
      <c r="F898" s="9" t="s">
        <v>263</v>
      </c>
      <c r="G898" s="10">
        <v>8</v>
      </c>
      <c r="H898" s="9" t="s">
        <v>65</v>
      </c>
      <c r="I898" s="9" t="s">
        <v>66</v>
      </c>
      <c r="J898" s="9" t="s">
        <v>4</v>
      </c>
      <c r="K898" s="9"/>
      <c r="L898" s="9"/>
      <c r="M898" s="12">
        <f t="shared" si="56"/>
        <v>291</v>
      </c>
      <c r="N898" s="13">
        <f t="shared" si="57"/>
        <v>650.5</v>
      </c>
      <c r="O898" s="14">
        <f t="shared" si="58"/>
        <v>941.5</v>
      </c>
      <c r="P898" s="15">
        <f t="shared" si="59"/>
        <v>1.1343373493975903</v>
      </c>
    </row>
    <row r="899" spans="1:16" ht="15.75" hidden="1" customHeight="1" x14ac:dyDescent="0.3">
      <c r="A899" s="9" t="s">
        <v>59</v>
      </c>
      <c r="B899" s="9" t="s">
        <v>397</v>
      </c>
      <c r="C899" s="9" t="s">
        <v>111</v>
      </c>
      <c r="D899" s="9" t="s">
        <v>165</v>
      </c>
      <c r="E899" s="10">
        <v>4</v>
      </c>
      <c r="F899" s="9" t="s">
        <v>263</v>
      </c>
      <c r="G899" s="11">
        <v>0</v>
      </c>
      <c r="H899" s="9" t="s">
        <v>65</v>
      </c>
      <c r="I899" s="9" t="s">
        <v>66</v>
      </c>
      <c r="J899" s="9" t="s">
        <v>4</v>
      </c>
      <c r="K899" s="9"/>
      <c r="L899" s="9"/>
      <c r="M899" s="12">
        <f t="shared" si="56"/>
        <v>291</v>
      </c>
      <c r="N899" s="13">
        <f t="shared" si="57"/>
        <v>650.5</v>
      </c>
      <c r="O899" s="14">
        <f t="shared" si="58"/>
        <v>941.5</v>
      </c>
      <c r="P899" s="15">
        <f t="shared" si="59"/>
        <v>1.1343373493975903</v>
      </c>
    </row>
    <row r="900" spans="1:16" ht="15.75" hidden="1" customHeight="1" x14ac:dyDescent="0.3">
      <c r="A900" s="9" t="s">
        <v>59</v>
      </c>
      <c r="B900" s="9" t="s">
        <v>397</v>
      </c>
      <c r="C900" s="9" t="s">
        <v>111</v>
      </c>
      <c r="D900" s="9" t="s">
        <v>237</v>
      </c>
      <c r="E900" s="10">
        <v>3</v>
      </c>
      <c r="F900" s="9" t="s">
        <v>263</v>
      </c>
      <c r="G900" s="11">
        <v>0</v>
      </c>
      <c r="H900" s="9" t="s">
        <v>65</v>
      </c>
      <c r="I900" s="9" t="s">
        <v>66</v>
      </c>
      <c r="J900" s="9" t="s">
        <v>4</v>
      </c>
      <c r="K900" s="9"/>
      <c r="L900" s="9"/>
      <c r="M900" s="12">
        <f t="shared" si="56"/>
        <v>291</v>
      </c>
      <c r="N900" s="13">
        <f t="shared" si="57"/>
        <v>650.5</v>
      </c>
      <c r="O900" s="14">
        <f t="shared" si="58"/>
        <v>941.5</v>
      </c>
      <c r="P900" s="15">
        <f t="shared" si="59"/>
        <v>1.1343373493975903</v>
      </c>
    </row>
    <row r="901" spans="1:16" ht="15.75" hidden="1" customHeight="1" x14ac:dyDescent="0.3">
      <c r="A901" s="9" t="s">
        <v>59</v>
      </c>
      <c r="B901" s="9" t="s">
        <v>397</v>
      </c>
      <c r="C901" s="9" t="s">
        <v>111</v>
      </c>
      <c r="D901" s="9" t="s">
        <v>152</v>
      </c>
      <c r="E901" s="10">
        <v>4</v>
      </c>
      <c r="F901" s="9" t="s">
        <v>263</v>
      </c>
      <c r="G901" s="11">
        <v>0</v>
      </c>
      <c r="H901" s="9" t="s">
        <v>65</v>
      </c>
      <c r="I901" s="9" t="s">
        <v>66</v>
      </c>
      <c r="J901" s="9" t="s">
        <v>4</v>
      </c>
      <c r="K901" s="9"/>
      <c r="L901" s="9"/>
      <c r="M901" s="12">
        <f t="shared" si="56"/>
        <v>291</v>
      </c>
      <c r="N901" s="13">
        <f t="shared" si="57"/>
        <v>650.5</v>
      </c>
      <c r="O901" s="14">
        <f t="shared" si="58"/>
        <v>941.5</v>
      </c>
      <c r="P901" s="15">
        <f t="shared" si="59"/>
        <v>1.1343373493975903</v>
      </c>
    </row>
    <row r="902" spans="1:16" ht="15.75" hidden="1" customHeight="1" x14ac:dyDescent="0.3">
      <c r="A902" s="9" t="s">
        <v>59</v>
      </c>
      <c r="B902" s="9" t="s">
        <v>397</v>
      </c>
      <c r="C902" s="9" t="s">
        <v>111</v>
      </c>
      <c r="D902" s="9" t="s">
        <v>144</v>
      </c>
      <c r="E902" s="10">
        <v>5</v>
      </c>
      <c r="F902" s="9" t="s">
        <v>263</v>
      </c>
      <c r="G902" s="11">
        <v>0</v>
      </c>
      <c r="H902" s="9" t="s">
        <v>65</v>
      </c>
      <c r="I902" s="9" t="s">
        <v>66</v>
      </c>
      <c r="J902" s="9" t="s">
        <v>4</v>
      </c>
      <c r="K902" s="9"/>
      <c r="L902" s="9"/>
      <c r="M902" s="12">
        <f t="shared" si="56"/>
        <v>291</v>
      </c>
      <c r="N902" s="13">
        <f t="shared" si="57"/>
        <v>650.5</v>
      </c>
      <c r="O902" s="14">
        <f t="shared" si="58"/>
        <v>941.5</v>
      </c>
      <c r="P902" s="15">
        <f t="shared" si="59"/>
        <v>1.1343373493975903</v>
      </c>
    </row>
    <row r="903" spans="1:16" ht="15.75" hidden="1" customHeight="1" x14ac:dyDescent="0.3">
      <c r="A903" s="9" t="s">
        <v>59</v>
      </c>
      <c r="B903" s="9" t="s">
        <v>397</v>
      </c>
      <c r="C903" s="9" t="s">
        <v>80</v>
      </c>
      <c r="D903" s="9" t="s">
        <v>165</v>
      </c>
      <c r="E903" s="10">
        <v>3</v>
      </c>
      <c r="F903" s="9" t="s">
        <v>263</v>
      </c>
      <c r="G903" s="11">
        <v>0</v>
      </c>
      <c r="H903" s="9" t="s">
        <v>65</v>
      </c>
      <c r="I903" s="9" t="s">
        <v>66</v>
      </c>
      <c r="J903" s="9" t="s">
        <v>4</v>
      </c>
      <c r="K903" s="9"/>
      <c r="L903" s="9"/>
      <c r="M903" s="12">
        <f t="shared" si="56"/>
        <v>291</v>
      </c>
      <c r="N903" s="13">
        <f t="shared" si="57"/>
        <v>650.5</v>
      </c>
      <c r="O903" s="14">
        <f t="shared" si="58"/>
        <v>941.5</v>
      </c>
      <c r="P903" s="15">
        <f t="shared" si="59"/>
        <v>1.1343373493975903</v>
      </c>
    </row>
    <row r="904" spans="1:16" ht="15.75" hidden="1" customHeight="1" x14ac:dyDescent="0.3">
      <c r="A904" s="9" t="s">
        <v>59</v>
      </c>
      <c r="B904" s="9" t="s">
        <v>397</v>
      </c>
      <c r="C904" s="9" t="s">
        <v>80</v>
      </c>
      <c r="D904" s="9" t="s">
        <v>237</v>
      </c>
      <c r="E904" s="10">
        <v>3</v>
      </c>
      <c r="F904" s="9" t="s">
        <v>263</v>
      </c>
      <c r="G904" s="11">
        <v>0</v>
      </c>
      <c r="H904" s="9" t="s">
        <v>65</v>
      </c>
      <c r="I904" s="9" t="s">
        <v>66</v>
      </c>
      <c r="J904" s="9" t="s">
        <v>4</v>
      </c>
      <c r="K904" s="9"/>
      <c r="L904" s="9"/>
      <c r="M904" s="12">
        <f t="shared" si="56"/>
        <v>291</v>
      </c>
      <c r="N904" s="13">
        <f t="shared" si="57"/>
        <v>650.5</v>
      </c>
      <c r="O904" s="14">
        <f t="shared" si="58"/>
        <v>941.5</v>
      </c>
      <c r="P904" s="15">
        <f t="shared" si="59"/>
        <v>1.1343373493975903</v>
      </c>
    </row>
    <row r="905" spans="1:16" ht="15.75" hidden="1" customHeight="1" x14ac:dyDescent="0.3">
      <c r="A905" s="9" t="s">
        <v>59</v>
      </c>
      <c r="B905" s="9" t="s">
        <v>397</v>
      </c>
      <c r="C905" s="9" t="s">
        <v>80</v>
      </c>
      <c r="D905" s="9" t="s">
        <v>152</v>
      </c>
      <c r="E905" s="10">
        <v>3</v>
      </c>
      <c r="F905" s="9" t="s">
        <v>263</v>
      </c>
      <c r="G905" s="11">
        <v>0</v>
      </c>
      <c r="H905" s="9" t="s">
        <v>65</v>
      </c>
      <c r="I905" s="9" t="s">
        <v>66</v>
      </c>
      <c r="J905" s="9" t="s">
        <v>4</v>
      </c>
      <c r="K905" s="9"/>
      <c r="L905" s="9"/>
      <c r="M905" s="12">
        <f t="shared" si="56"/>
        <v>291</v>
      </c>
      <c r="N905" s="13">
        <f t="shared" si="57"/>
        <v>650.5</v>
      </c>
      <c r="O905" s="14">
        <f t="shared" si="58"/>
        <v>941.5</v>
      </c>
      <c r="P905" s="15">
        <f t="shared" si="59"/>
        <v>1.1343373493975903</v>
      </c>
    </row>
    <row r="906" spans="1:16" ht="15.75" hidden="1" customHeight="1" x14ac:dyDescent="0.3">
      <c r="A906" s="9" t="s">
        <v>59</v>
      </c>
      <c r="B906" s="9" t="s">
        <v>397</v>
      </c>
      <c r="C906" s="9" t="s">
        <v>80</v>
      </c>
      <c r="D906" s="9" t="s">
        <v>144</v>
      </c>
      <c r="E906" s="10">
        <v>3</v>
      </c>
      <c r="F906" s="9" t="s">
        <v>263</v>
      </c>
      <c r="G906" s="11">
        <v>0</v>
      </c>
      <c r="H906" s="9" t="s">
        <v>65</v>
      </c>
      <c r="I906" s="9" t="s">
        <v>66</v>
      </c>
      <c r="J906" s="9" t="s">
        <v>4</v>
      </c>
      <c r="K906" s="9"/>
      <c r="L906" s="9"/>
      <c r="M906" s="12">
        <f t="shared" si="56"/>
        <v>291</v>
      </c>
      <c r="N906" s="13">
        <f t="shared" si="57"/>
        <v>650.5</v>
      </c>
      <c r="O906" s="14">
        <f t="shared" si="58"/>
        <v>941.5</v>
      </c>
      <c r="P906" s="15">
        <f t="shared" si="59"/>
        <v>1.1343373493975903</v>
      </c>
    </row>
    <row r="907" spans="1:16" ht="15.75" hidden="1" customHeight="1" x14ac:dyDescent="0.3">
      <c r="A907" s="9" t="s">
        <v>59</v>
      </c>
      <c r="B907" s="9" t="s">
        <v>398</v>
      </c>
      <c r="C907" s="9" t="s">
        <v>73</v>
      </c>
      <c r="D907" s="9" t="s">
        <v>140</v>
      </c>
      <c r="E907" s="10">
        <v>18</v>
      </c>
      <c r="F907" s="9" t="s">
        <v>153</v>
      </c>
      <c r="G907" s="10">
        <v>18</v>
      </c>
      <c r="H907" s="9" t="s">
        <v>257</v>
      </c>
      <c r="I907" s="9" t="s">
        <v>258</v>
      </c>
      <c r="J907" s="9" t="s">
        <v>8</v>
      </c>
      <c r="K907" s="9"/>
      <c r="L907" s="9"/>
      <c r="M907" s="12">
        <f t="shared" si="56"/>
        <v>331</v>
      </c>
      <c r="N907" s="13">
        <f t="shared" si="57"/>
        <v>520</v>
      </c>
      <c r="O907" s="14">
        <f t="shared" si="58"/>
        <v>851</v>
      </c>
      <c r="P907" s="15">
        <f t="shared" si="59"/>
        <v>1.0253012048192771</v>
      </c>
    </row>
    <row r="908" spans="1:16" ht="15.75" hidden="1" customHeight="1" x14ac:dyDescent="0.3">
      <c r="A908" s="9" t="s">
        <v>59</v>
      </c>
      <c r="B908" s="9" t="s">
        <v>398</v>
      </c>
      <c r="C908" s="9" t="s">
        <v>87</v>
      </c>
      <c r="D908" s="9" t="s">
        <v>140</v>
      </c>
      <c r="E908" s="10">
        <v>2</v>
      </c>
      <c r="F908" s="9" t="s">
        <v>153</v>
      </c>
      <c r="G908" s="11">
        <v>0</v>
      </c>
      <c r="H908" s="9" t="s">
        <v>257</v>
      </c>
      <c r="I908" s="9" t="s">
        <v>258</v>
      </c>
      <c r="J908" s="9" t="s">
        <v>8</v>
      </c>
      <c r="K908" s="9"/>
      <c r="L908" s="9"/>
      <c r="M908" s="12">
        <f t="shared" si="56"/>
        <v>331</v>
      </c>
      <c r="N908" s="13">
        <f t="shared" si="57"/>
        <v>520</v>
      </c>
      <c r="O908" s="14">
        <f t="shared" si="58"/>
        <v>851</v>
      </c>
      <c r="P908" s="15">
        <f t="shared" si="59"/>
        <v>1.0253012048192771</v>
      </c>
    </row>
    <row r="909" spans="1:16" ht="15.75" hidden="1" customHeight="1" x14ac:dyDescent="0.3">
      <c r="A909" s="9" t="s">
        <v>59</v>
      </c>
      <c r="B909" s="9" t="s">
        <v>398</v>
      </c>
      <c r="C909" s="9" t="s">
        <v>79</v>
      </c>
      <c r="D909" s="9" t="s">
        <v>140</v>
      </c>
      <c r="E909" s="10">
        <v>36</v>
      </c>
      <c r="F909" s="9" t="s">
        <v>153</v>
      </c>
      <c r="G909" s="10">
        <v>36</v>
      </c>
      <c r="H909" s="9" t="s">
        <v>257</v>
      </c>
      <c r="I909" s="9" t="s">
        <v>258</v>
      </c>
      <c r="J909" s="9" t="s">
        <v>8</v>
      </c>
      <c r="K909" s="9"/>
      <c r="L909" s="9"/>
      <c r="M909" s="12">
        <f t="shared" si="56"/>
        <v>331</v>
      </c>
      <c r="N909" s="13">
        <f t="shared" si="57"/>
        <v>520</v>
      </c>
      <c r="O909" s="14">
        <f t="shared" si="58"/>
        <v>851</v>
      </c>
      <c r="P909" s="15">
        <f t="shared" si="59"/>
        <v>1.0253012048192771</v>
      </c>
    </row>
    <row r="910" spans="1:16" ht="15.75" hidden="1" customHeight="1" x14ac:dyDescent="0.3">
      <c r="A910" s="9" t="s">
        <v>59</v>
      </c>
      <c r="B910" s="9" t="s">
        <v>398</v>
      </c>
      <c r="C910" s="9" t="s">
        <v>100</v>
      </c>
      <c r="D910" s="9" t="s">
        <v>140</v>
      </c>
      <c r="E910" s="10">
        <v>12</v>
      </c>
      <c r="F910" s="9" t="s">
        <v>153</v>
      </c>
      <c r="G910" s="10">
        <v>12</v>
      </c>
      <c r="H910" s="9" t="s">
        <v>257</v>
      </c>
      <c r="I910" s="9" t="s">
        <v>258</v>
      </c>
      <c r="J910" s="9" t="s">
        <v>8</v>
      </c>
      <c r="K910" s="9"/>
      <c r="L910" s="9"/>
      <c r="M910" s="12">
        <f t="shared" si="56"/>
        <v>331</v>
      </c>
      <c r="N910" s="13">
        <f t="shared" si="57"/>
        <v>520</v>
      </c>
      <c r="O910" s="14">
        <f t="shared" si="58"/>
        <v>851</v>
      </c>
      <c r="P910" s="15">
        <f t="shared" si="59"/>
        <v>1.0253012048192771</v>
      </c>
    </row>
    <row r="911" spans="1:16" ht="15.75" hidden="1" customHeight="1" x14ac:dyDescent="0.3">
      <c r="A911" s="9" t="s">
        <v>59</v>
      </c>
      <c r="B911" s="9" t="s">
        <v>398</v>
      </c>
      <c r="C911" s="9" t="s">
        <v>80</v>
      </c>
      <c r="D911" s="9" t="s">
        <v>140</v>
      </c>
      <c r="E911" s="10">
        <v>1</v>
      </c>
      <c r="F911" s="9" t="s">
        <v>153</v>
      </c>
      <c r="G911" s="11">
        <v>0</v>
      </c>
      <c r="H911" s="9" t="s">
        <v>257</v>
      </c>
      <c r="I911" s="9" t="s">
        <v>258</v>
      </c>
      <c r="J911" s="9" t="s">
        <v>8</v>
      </c>
      <c r="K911" s="9"/>
      <c r="L911" s="9"/>
      <c r="M911" s="12">
        <f t="shared" si="56"/>
        <v>331</v>
      </c>
      <c r="N911" s="13">
        <f t="shared" si="57"/>
        <v>520</v>
      </c>
      <c r="O911" s="14">
        <f t="shared" si="58"/>
        <v>851</v>
      </c>
      <c r="P911" s="15">
        <f t="shared" si="59"/>
        <v>1.0253012048192771</v>
      </c>
    </row>
    <row r="912" spans="1:16" ht="15.75" hidden="1" customHeight="1" x14ac:dyDescent="0.3">
      <c r="A912" s="9" t="s">
        <v>59</v>
      </c>
      <c r="B912" s="9" t="s">
        <v>399</v>
      </c>
      <c r="C912" s="9" t="s">
        <v>73</v>
      </c>
      <c r="D912" s="9" t="s">
        <v>132</v>
      </c>
      <c r="E912" s="10">
        <v>24</v>
      </c>
      <c r="F912" s="9" t="s">
        <v>133</v>
      </c>
      <c r="G912" s="10">
        <v>24</v>
      </c>
      <c r="H912" s="9" t="s">
        <v>84</v>
      </c>
      <c r="I912" s="9" t="s">
        <v>85</v>
      </c>
      <c r="J912" s="9"/>
      <c r="K912" s="9"/>
      <c r="L912" s="9"/>
      <c r="M912" s="12">
        <f t="shared" si="56"/>
        <v>256</v>
      </c>
      <c r="N912" s="13">
        <f t="shared" si="57"/>
        <v>691.5</v>
      </c>
      <c r="O912" s="14">
        <f t="shared" si="58"/>
        <v>947.5</v>
      </c>
      <c r="P912" s="15">
        <f t="shared" si="59"/>
        <v>1.1415662650602409</v>
      </c>
    </row>
    <row r="913" spans="1:16" ht="15.75" hidden="1" customHeight="1" x14ac:dyDescent="0.3">
      <c r="A913" s="9" t="s">
        <v>59</v>
      </c>
      <c r="B913" s="9" t="s">
        <v>399</v>
      </c>
      <c r="C913" s="9" t="s">
        <v>79</v>
      </c>
      <c r="D913" s="9" t="s">
        <v>132</v>
      </c>
      <c r="E913" s="10">
        <v>36</v>
      </c>
      <c r="F913" s="9" t="s">
        <v>133</v>
      </c>
      <c r="G913" s="10">
        <v>36</v>
      </c>
      <c r="H913" s="9" t="s">
        <v>84</v>
      </c>
      <c r="I913" s="9" t="s">
        <v>85</v>
      </c>
      <c r="J913" s="9"/>
      <c r="K913" s="9"/>
      <c r="L913" s="9"/>
      <c r="M913" s="12">
        <f t="shared" si="56"/>
        <v>256</v>
      </c>
      <c r="N913" s="13">
        <f t="shared" si="57"/>
        <v>691.5</v>
      </c>
      <c r="O913" s="14">
        <f t="shared" si="58"/>
        <v>947.5</v>
      </c>
      <c r="P913" s="15">
        <f t="shared" si="59"/>
        <v>1.1415662650602409</v>
      </c>
    </row>
    <row r="914" spans="1:16" ht="15.75" hidden="1" customHeight="1" x14ac:dyDescent="0.3">
      <c r="A914" s="9" t="s">
        <v>59</v>
      </c>
      <c r="B914" s="9" t="s">
        <v>399</v>
      </c>
      <c r="C914" s="9" t="s">
        <v>100</v>
      </c>
      <c r="D914" s="9" t="s">
        <v>132</v>
      </c>
      <c r="E914" s="10">
        <v>8</v>
      </c>
      <c r="F914" s="9" t="s">
        <v>133</v>
      </c>
      <c r="G914" s="10">
        <v>8</v>
      </c>
      <c r="H914" s="9" t="s">
        <v>84</v>
      </c>
      <c r="I914" s="9" t="s">
        <v>85</v>
      </c>
      <c r="J914" s="9"/>
      <c r="K914" s="9"/>
      <c r="L914" s="9"/>
      <c r="M914" s="12">
        <f t="shared" si="56"/>
        <v>256</v>
      </c>
      <c r="N914" s="13">
        <f t="shared" si="57"/>
        <v>691.5</v>
      </c>
      <c r="O914" s="14">
        <f t="shared" si="58"/>
        <v>947.5</v>
      </c>
      <c r="P914" s="15">
        <f t="shared" si="59"/>
        <v>1.1415662650602409</v>
      </c>
    </row>
    <row r="915" spans="1:16" ht="15.75" hidden="1" customHeight="1" x14ac:dyDescent="0.3">
      <c r="A915" s="9" t="s">
        <v>59</v>
      </c>
      <c r="B915" s="9" t="s">
        <v>399</v>
      </c>
      <c r="C915" s="9" t="s">
        <v>111</v>
      </c>
      <c r="D915" s="9" t="s">
        <v>132</v>
      </c>
      <c r="E915" s="10">
        <v>3</v>
      </c>
      <c r="F915" s="9" t="s">
        <v>133</v>
      </c>
      <c r="G915" s="11">
        <v>0</v>
      </c>
      <c r="H915" s="9" t="s">
        <v>84</v>
      </c>
      <c r="I915" s="9" t="s">
        <v>85</v>
      </c>
      <c r="J915" s="9"/>
      <c r="K915" s="9"/>
      <c r="L915" s="9"/>
      <c r="M915" s="12">
        <f t="shared" si="56"/>
        <v>256</v>
      </c>
      <c r="N915" s="13">
        <f t="shared" si="57"/>
        <v>691.5</v>
      </c>
      <c r="O915" s="14">
        <f t="shared" si="58"/>
        <v>947.5</v>
      </c>
      <c r="P915" s="15">
        <f t="shared" si="59"/>
        <v>1.1415662650602409</v>
      </c>
    </row>
    <row r="916" spans="1:16" ht="15.75" hidden="1" customHeight="1" x14ac:dyDescent="0.3">
      <c r="A916" s="9" t="s">
        <v>59</v>
      </c>
      <c r="B916" s="9" t="s">
        <v>399</v>
      </c>
      <c r="C916" s="9" t="s">
        <v>80</v>
      </c>
      <c r="D916" s="9" t="s">
        <v>132</v>
      </c>
      <c r="E916" s="10">
        <v>3</v>
      </c>
      <c r="F916" s="9" t="s">
        <v>133</v>
      </c>
      <c r="G916" s="11">
        <v>0</v>
      </c>
      <c r="H916" s="9" t="s">
        <v>84</v>
      </c>
      <c r="I916" s="9" t="s">
        <v>85</v>
      </c>
      <c r="J916" s="9"/>
      <c r="K916" s="9"/>
      <c r="L916" s="9"/>
      <c r="M916" s="12">
        <f t="shared" si="56"/>
        <v>256</v>
      </c>
      <c r="N916" s="13">
        <f t="shared" si="57"/>
        <v>691.5</v>
      </c>
      <c r="O916" s="14">
        <f t="shared" si="58"/>
        <v>947.5</v>
      </c>
      <c r="P916" s="15">
        <f t="shared" si="59"/>
        <v>1.1415662650602409</v>
      </c>
    </row>
    <row r="917" spans="1:16" ht="15.75" hidden="1" customHeight="1" x14ac:dyDescent="0.3">
      <c r="A917" s="9" t="s">
        <v>59</v>
      </c>
      <c r="B917" s="9" t="s">
        <v>310</v>
      </c>
      <c r="C917" s="9" t="s">
        <v>73</v>
      </c>
      <c r="D917" s="9" t="s">
        <v>220</v>
      </c>
      <c r="E917" s="10">
        <v>26</v>
      </c>
      <c r="F917" s="9" t="s">
        <v>221</v>
      </c>
      <c r="G917" s="10">
        <v>26</v>
      </c>
      <c r="H917" s="9" t="s">
        <v>84</v>
      </c>
      <c r="I917" s="9" t="s">
        <v>85</v>
      </c>
      <c r="J917" s="9"/>
      <c r="K917" s="9"/>
      <c r="L917" s="9" t="s">
        <v>351</v>
      </c>
      <c r="M917" s="12">
        <f t="shared" si="56"/>
        <v>256</v>
      </c>
      <c r="N917" s="13">
        <f t="shared" si="57"/>
        <v>691.5</v>
      </c>
      <c r="O917" s="14">
        <f t="shared" si="58"/>
        <v>947.5</v>
      </c>
      <c r="P917" s="15">
        <f t="shared" si="59"/>
        <v>1.1415662650602409</v>
      </c>
    </row>
    <row r="918" spans="1:16" ht="15.75" hidden="1" customHeight="1" x14ac:dyDescent="0.3">
      <c r="A918" s="22" t="s">
        <v>59</v>
      </c>
      <c r="B918" s="9" t="s">
        <v>310</v>
      </c>
      <c r="C918" s="9" t="s">
        <v>73</v>
      </c>
      <c r="D918" s="9" t="s">
        <v>294</v>
      </c>
      <c r="E918" s="10">
        <v>32</v>
      </c>
      <c r="F918" s="9" t="s">
        <v>161</v>
      </c>
      <c r="G918" s="10">
        <v>32</v>
      </c>
      <c r="H918" s="9" t="s">
        <v>115</v>
      </c>
      <c r="I918" s="9" t="s">
        <v>116</v>
      </c>
      <c r="J918" s="9" t="s">
        <v>4</v>
      </c>
      <c r="K918" s="9"/>
      <c r="L918" s="9"/>
      <c r="M918" s="12">
        <f t="shared" si="56"/>
        <v>381</v>
      </c>
      <c r="N918" s="13">
        <f t="shared" si="57"/>
        <v>367</v>
      </c>
      <c r="O918" s="14">
        <f t="shared" si="58"/>
        <v>748</v>
      </c>
      <c r="P918" s="15">
        <f t="shared" si="59"/>
        <v>0.90120481927710838</v>
      </c>
    </row>
    <row r="919" spans="1:16" ht="15.75" hidden="1" customHeight="1" x14ac:dyDescent="0.3">
      <c r="A919" s="22" t="s">
        <v>59</v>
      </c>
      <c r="B919" s="9" t="s">
        <v>310</v>
      </c>
      <c r="C919" s="9" t="s">
        <v>123</v>
      </c>
      <c r="D919" s="9" t="s">
        <v>220</v>
      </c>
      <c r="E919" s="10">
        <v>20</v>
      </c>
      <c r="F919" s="9" t="s">
        <v>221</v>
      </c>
      <c r="G919" s="11">
        <v>0</v>
      </c>
      <c r="H919" s="9" t="s">
        <v>311</v>
      </c>
      <c r="I919" s="21" t="s">
        <v>268</v>
      </c>
      <c r="J919" s="21" t="s">
        <v>400</v>
      </c>
      <c r="K919" s="9"/>
      <c r="L919" s="9" t="s">
        <v>351</v>
      </c>
      <c r="M919" s="12">
        <f t="shared" si="56"/>
        <v>9</v>
      </c>
      <c r="N919" s="13">
        <f t="shared" si="57"/>
        <v>77</v>
      </c>
      <c r="O919" s="14">
        <f t="shared" si="58"/>
        <v>86</v>
      </c>
      <c r="P919" s="15">
        <f t="shared" si="59"/>
        <v>0.10361445783132531</v>
      </c>
    </row>
    <row r="920" spans="1:16" ht="15.75" hidden="1" customHeight="1" x14ac:dyDescent="0.3">
      <c r="A920" s="9" t="s">
        <v>59</v>
      </c>
      <c r="B920" s="9" t="s">
        <v>310</v>
      </c>
      <c r="C920" s="9" t="s">
        <v>123</v>
      </c>
      <c r="D920" s="9" t="s">
        <v>220</v>
      </c>
      <c r="E920" s="10">
        <v>13</v>
      </c>
      <c r="F920" s="9" t="s">
        <v>221</v>
      </c>
      <c r="G920" s="11">
        <v>0</v>
      </c>
      <c r="H920" s="9" t="s">
        <v>84</v>
      </c>
      <c r="I920" s="9" t="s">
        <v>85</v>
      </c>
      <c r="J920" s="9"/>
      <c r="K920" s="9"/>
      <c r="L920" s="9" t="s">
        <v>351</v>
      </c>
      <c r="M920" s="12">
        <f t="shared" si="56"/>
        <v>256</v>
      </c>
      <c r="N920" s="13">
        <f t="shared" si="57"/>
        <v>691.5</v>
      </c>
      <c r="O920" s="14">
        <f t="shared" si="58"/>
        <v>947.5</v>
      </c>
      <c r="P920" s="15">
        <f t="shared" si="59"/>
        <v>1.1415662650602409</v>
      </c>
    </row>
    <row r="921" spans="1:16" ht="15.75" hidden="1" customHeight="1" x14ac:dyDescent="0.3">
      <c r="A921" s="9" t="s">
        <v>59</v>
      </c>
      <c r="B921" s="9" t="s">
        <v>310</v>
      </c>
      <c r="C921" s="9" t="s">
        <v>87</v>
      </c>
      <c r="D921" s="9" t="s">
        <v>220</v>
      </c>
      <c r="E921" s="10">
        <v>4</v>
      </c>
      <c r="F921" s="9" t="s">
        <v>221</v>
      </c>
      <c r="G921" s="11">
        <v>0</v>
      </c>
      <c r="H921" s="9" t="s">
        <v>84</v>
      </c>
      <c r="I921" s="9" t="s">
        <v>85</v>
      </c>
      <c r="J921" s="9"/>
      <c r="K921" s="9"/>
      <c r="L921" s="9" t="s">
        <v>351</v>
      </c>
      <c r="M921" s="12">
        <f t="shared" si="56"/>
        <v>256</v>
      </c>
      <c r="N921" s="13">
        <f t="shared" si="57"/>
        <v>691.5</v>
      </c>
      <c r="O921" s="14">
        <f t="shared" si="58"/>
        <v>947.5</v>
      </c>
      <c r="P921" s="15">
        <f t="shared" si="59"/>
        <v>1.1415662650602409</v>
      </c>
    </row>
    <row r="922" spans="1:16" ht="15.75" hidden="1" customHeight="1" x14ac:dyDescent="0.3">
      <c r="A922" s="22" t="s">
        <v>59</v>
      </c>
      <c r="B922" s="9" t="s">
        <v>310</v>
      </c>
      <c r="C922" s="9" t="s">
        <v>79</v>
      </c>
      <c r="D922" s="9" t="s">
        <v>295</v>
      </c>
      <c r="E922" s="10">
        <v>36</v>
      </c>
      <c r="F922" s="9" t="s">
        <v>161</v>
      </c>
      <c r="G922" s="10">
        <v>36</v>
      </c>
      <c r="H922" s="9" t="s">
        <v>115</v>
      </c>
      <c r="I922" s="9" t="s">
        <v>116</v>
      </c>
      <c r="J922" s="9" t="s">
        <v>4</v>
      </c>
      <c r="K922" s="9"/>
      <c r="L922" s="9"/>
      <c r="M922" s="12">
        <f t="shared" si="56"/>
        <v>381</v>
      </c>
      <c r="N922" s="13">
        <f t="shared" si="57"/>
        <v>367</v>
      </c>
      <c r="O922" s="14">
        <f t="shared" si="58"/>
        <v>748</v>
      </c>
      <c r="P922" s="15">
        <f t="shared" si="59"/>
        <v>0.90120481927710838</v>
      </c>
    </row>
    <row r="923" spans="1:16" ht="15.75" hidden="1" customHeight="1" x14ac:dyDescent="0.3">
      <c r="A923" s="22" t="s">
        <v>59</v>
      </c>
      <c r="B923" s="9" t="s">
        <v>310</v>
      </c>
      <c r="C923" s="9" t="s">
        <v>79</v>
      </c>
      <c r="D923" s="9" t="s">
        <v>296</v>
      </c>
      <c r="E923" s="10">
        <v>36</v>
      </c>
      <c r="F923" s="9" t="s">
        <v>161</v>
      </c>
      <c r="G923" s="10">
        <v>36</v>
      </c>
      <c r="H923" s="9" t="s">
        <v>115</v>
      </c>
      <c r="I923" s="9" t="s">
        <v>116</v>
      </c>
      <c r="J923" s="9" t="s">
        <v>4</v>
      </c>
      <c r="K923" s="9"/>
      <c r="L923" s="9"/>
      <c r="M923" s="12">
        <f t="shared" si="56"/>
        <v>381</v>
      </c>
      <c r="N923" s="13">
        <f t="shared" si="57"/>
        <v>367</v>
      </c>
      <c r="O923" s="14">
        <f t="shared" si="58"/>
        <v>748</v>
      </c>
      <c r="P923" s="15">
        <f t="shared" si="59"/>
        <v>0.90120481927710838</v>
      </c>
    </row>
    <row r="924" spans="1:16" ht="15.75" hidden="1" customHeight="1" x14ac:dyDescent="0.3">
      <c r="A924" s="9" t="s">
        <v>59</v>
      </c>
      <c r="B924" s="9" t="s">
        <v>310</v>
      </c>
      <c r="C924" s="9" t="s">
        <v>100</v>
      </c>
      <c r="D924" s="9" t="s">
        <v>220</v>
      </c>
      <c r="E924" s="10">
        <v>32</v>
      </c>
      <c r="F924" s="9" t="s">
        <v>221</v>
      </c>
      <c r="G924" s="10">
        <v>32</v>
      </c>
      <c r="H924" s="9" t="s">
        <v>84</v>
      </c>
      <c r="I924" s="9" t="s">
        <v>85</v>
      </c>
      <c r="J924" s="9"/>
      <c r="K924" s="9"/>
      <c r="L924" s="9" t="s">
        <v>351</v>
      </c>
      <c r="M924" s="12">
        <f t="shared" si="56"/>
        <v>256</v>
      </c>
      <c r="N924" s="13">
        <f t="shared" si="57"/>
        <v>691.5</v>
      </c>
      <c r="O924" s="14">
        <f t="shared" si="58"/>
        <v>947.5</v>
      </c>
      <c r="P924" s="15">
        <f t="shared" si="59"/>
        <v>1.1415662650602409</v>
      </c>
    </row>
    <row r="925" spans="1:16" ht="15.75" hidden="1" customHeight="1" x14ac:dyDescent="0.3">
      <c r="A925" s="22" t="s">
        <v>59</v>
      </c>
      <c r="B925" s="9" t="s">
        <v>310</v>
      </c>
      <c r="C925" s="9" t="s">
        <v>111</v>
      </c>
      <c r="D925" s="9" t="s">
        <v>295</v>
      </c>
      <c r="E925" s="10">
        <v>9</v>
      </c>
      <c r="F925" s="9" t="s">
        <v>161</v>
      </c>
      <c r="G925" s="11">
        <v>0</v>
      </c>
      <c r="H925" s="9" t="s">
        <v>115</v>
      </c>
      <c r="I925" s="9" t="s">
        <v>116</v>
      </c>
      <c r="J925" s="9" t="s">
        <v>4</v>
      </c>
      <c r="K925" s="9"/>
      <c r="L925" s="9"/>
      <c r="M925" s="12">
        <f t="shared" si="56"/>
        <v>381</v>
      </c>
      <c r="N925" s="13">
        <f t="shared" si="57"/>
        <v>367</v>
      </c>
      <c r="O925" s="14">
        <f t="shared" si="58"/>
        <v>748</v>
      </c>
      <c r="P925" s="15">
        <f t="shared" si="59"/>
        <v>0.90120481927710838</v>
      </c>
    </row>
    <row r="926" spans="1:16" ht="15.75" hidden="1" customHeight="1" x14ac:dyDescent="0.3">
      <c r="A926" s="22" t="s">
        <v>59</v>
      </c>
      <c r="B926" s="9" t="s">
        <v>310</v>
      </c>
      <c r="C926" s="9" t="s">
        <v>111</v>
      </c>
      <c r="D926" s="9" t="s">
        <v>296</v>
      </c>
      <c r="E926" s="10">
        <v>12</v>
      </c>
      <c r="F926" s="9" t="s">
        <v>161</v>
      </c>
      <c r="G926" s="11">
        <v>0</v>
      </c>
      <c r="H926" s="9" t="s">
        <v>115</v>
      </c>
      <c r="I926" s="9" t="s">
        <v>116</v>
      </c>
      <c r="J926" s="9" t="s">
        <v>4</v>
      </c>
      <c r="K926" s="9"/>
      <c r="L926" s="9"/>
      <c r="M926" s="12">
        <f t="shared" si="56"/>
        <v>381</v>
      </c>
      <c r="N926" s="13">
        <f t="shared" si="57"/>
        <v>367</v>
      </c>
      <c r="O926" s="14">
        <f t="shared" si="58"/>
        <v>748</v>
      </c>
      <c r="P926" s="15">
        <f t="shared" si="59"/>
        <v>0.90120481927710838</v>
      </c>
    </row>
    <row r="927" spans="1:16" ht="15.75" hidden="1" customHeight="1" x14ac:dyDescent="0.3">
      <c r="A927" s="22" t="s">
        <v>59</v>
      </c>
      <c r="B927" s="9" t="s">
        <v>310</v>
      </c>
      <c r="C927" s="9" t="s">
        <v>80</v>
      </c>
      <c r="D927" s="9" t="s">
        <v>220</v>
      </c>
      <c r="E927" s="10">
        <v>3</v>
      </c>
      <c r="F927" s="9" t="s">
        <v>221</v>
      </c>
      <c r="G927" s="11">
        <v>0</v>
      </c>
      <c r="H927" s="9" t="s">
        <v>311</v>
      </c>
      <c r="I927" s="21" t="s">
        <v>268</v>
      </c>
      <c r="J927" s="21" t="s">
        <v>400</v>
      </c>
      <c r="K927" s="9"/>
      <c r="L927" s="9" t="s">
        <v>351</v>
      </c>
      <c r="M927" s="12">
        <f t="shared" si="56"/>
        <v>9</v>
      </c>
      <c r="N927" s="13">
        <f t="shared" si="57"/>
        <v>77</v>
      </c>
      <c r="O927" s="14">
        <f t="shared" si="58"/>
        <v>86</v>
      </c>
      <c r="P927" s="15">
        <f t="shared" si="59"/>
        <v>0.10361445783132531</v>
      </c>
    </row>
    <row r="928" spans="1:16" ht="15.75" hidden="1" customHeight="1" x14ac:dyDescent="0.3">
      <c r="A928" s="22" t="s">
        <v>59</v>
      </c>
      <c r="B928" s="9" t="s">
        <v>310</v>
      </c>
      <c r="C928" s="9" t="s">
        <v>80</v>
      </c>
      <c r="D928" s="9" t="s">
        <v>295</v>
      </c>
      <c r="E928" s="10">
        <v>4</v>
      </c>
      <c r="F928" s="9" t="s">
        <v>161</v>
      </c>
      <c r="G928" s="11">
        <v>0</v>
      </c>
      <c r="H928" s="9" t="s">
        <v>115</v>
      </c>
      <c r="I928" s="9" t="s">
        <v>116</v>
      </c>
      <c r="J928" s="9" t="s">
        <v>4</v>
      </c>
      <c r="K928" s="9"/>
      <c r="L928" s="9"/>
      <c r="M928" s="12">
        <f t="shared" si="56"/>
        <v>381</v>
      </c>
      <c r="N928" s="13">
        <f t="shared" si="57"/>
        <v>367</v>
      </c>
      <c r="O928" s="14">
        <f t="shared" si="58"/>
        <v>748</v>
      </c>
      <c r="P928" s="15">
        <f t="shared" si="59"/>
        <v>0.90120481927710838</v>
      </c>
    </row>
    <row r="929" spans="1:16" ht="15.75" hidden="1" customHeight="1" x14ac:dyDescent="0.3">
      <c r="A929" s="22" t="s">
        <v>59</v>
      </c>
      <c r="B929" s="9" t="s">
        <v>310</v>
      </c>
      <c r="C929" s="9" t="s">
        <v>80</v>
      </c>
      <c r="D929" s="9" t="s">
        <v>296</v>
      </c>
      <c r="E929" s="10">
        <v>4</v>
      </c>
      <c r="F929" s="9" t="s">
        <v>161</v>
      </c>
      <c r="G929" s="11">
        <v>0</v>
      </c>
      <c r="H929" s="9" t="s">
        <v>115</v>
      </c>
      <c r="I929" s="9" t="s">
        <v>116</v>
      </c>
      <c r="J929" s="9" t="s">
        <v>4</v>
      </c>
      <c r="K929" s="9"/>
      <c r="L929" s="9"/>
      <c r="M929" s="12">
        <f t="shared" si="56"/>
        <v>381</v>
      </c>
      <c r="N929" s="13">
        <f t="shared" si="57"/>
        <v>367</v>
      </c>
      <c r="O929" s="14">
        <f t="shared" si="58"/>
        <v>748</v>
      </c>
      <c r="P929" s="15">
        <f t="shared" si="59"/>
        <v>0.90120481927710838</v>
      </c>
    </row>
    <row r="930" spans="1:16" ht="15.75" hidden="1" customHeight="1" x14ac:dyDescent="0.3">
      <c r="A930" s="9" t="s">
        <v>59</v>
      </c>
      <c r="B930" s="9" t="s">
        <v>317</v>
      </c>
      <c r="C930" s="9" t="s">
        <v>73</v>
      </c>
      <c r="D930" s="9" t="s">
        <v>74</v>
      </c>
      <c r="E930" s="10">
        <v>24</v>
      </c>
      <c r="F930" s="9" t="s">
        <v>75</v>
      </c>
      <c r="G930" s="10">
        <v>24</v>
      </c>
      <c r="H930" s="9" t="s">
        <v>257</v>
      </c>
      <c r="I930" s="9" t="s">
        <v>258</v>
      </c>
      <c r="J930" s="9" t="s">
        <v>8</v>
      </c>
      <c r="K930" s="9"/>
      <c r="L930" s="9" t="s">
        <v>78</v>
      </c>
      <c r="M930" s="12">
        <f t="shared" ref="M930:M993" si="60">SUMIFS($E$2:$E$1130,$A$2:$A$1130,"осень",$I$2:$I$1130,I930)</f>
        <v>331</v>
      </c>
      <c r="N930" s="13">
        <f t="shared" ref="N930:N993" si="61">SUMIFS($E$2:$E$1130,$A$2:$A$1130,"весна",$I$2:$I$1130,I930)</f>
        <v>520</v>
      </c>
      <c r="O930" s="14">
        <f t="shared" ref="O930:O993" si="62">M930+N930</f>
        <v>851</v>
      </c>
      <c r="P930" s="15">
        <f t="shared" ref="P930:P993" si="63">O930/$P$1</f>
        <v>1.0253012048192771</v>
      </c>
    </row>
    <row r="931" spans="1:16" ht="15.75" hidden="1" customHeight="1" x14ac:dyDescent="0.3">
      <c r="A931" s="9" t="s">
        <v>59</v>
      </c>
      <c r="B931" s="9" t="s">
        <v>317</v>
      </c>
      <c r="C931" s="9" t="s">
        <v>79</v>
      </c>
      <c r="D931" s="9" t="s">
        <v>74</v>
      </c>
      <c r="E931" s="10">
        <v>8</v>
      </c>
      <c r="F931" s="9" t="s">
        <v>75</v>
      </c>
      <c r="G931" s="10">
        <v>8</v>
      </c>
      <c r="H931" s="9" t="s">
        <v>257</v>
      </c>
      <c r="I931" s="9" t="s">
        <v>258</v>
      </c>
      <c r="J931" s="9" t="s">
        <v>8</v>
      </c>
      <c r="K931" s="9"/>
      <c r="L931" s="9" t="s">
        <v>78</v>
      </c>
      <c r="M931" s="12">
        <f t="shared" si="60"/>
        <v>331</v>
      </c>
      <c r="N931" s="13">
        <f t="shared" si="61"/>
        <v>520</v>
      </c>
      <c r="O931" s="14">
        <f t="shared" si="62"/>
        <v>851</v>
      </c>
      <c r="P931" s="15">
        <f t="shared" si="63"/>
        <v>1.0253012048192771</v>
      </c>
    </row>
    <row r="932" spans="1:16" ht="15.75" hidden="1" customHeight="1" x14ac:dyDescent="0.3">
      <c r="A932" s="9" t="s">
        <v>59</v>
      </c>
      <c r="B932" s="9" t="s">
        <v>317</v>
      </c>
      <c r="C932" s="9" t="s">
        <v>80</v>
      </c>
      <c r="D932" s="9" t="s">
        <v>74</v>
      </c>
      <c r="E932" s="10">
        <v>1</v>
      </c>
      <c r="F932" s="9" t="s">
        <v>75</v>
      </c>
      <c r="G932" s="11">
        <v>0</v>
      </c>
      <c r="H932" s="9" t="s">
        <v>257</v>
      </c>
      <c r="I932" s="9" t="s">
        <v>258</v>
      </c>
      <c r="J932" s="9" t="s">
        <v>8</v>
      </c>
      <c r="K932" s="9"/>
      <c r="L932" s="9" t="s">
        <v>78</v>
      </c>
      <c r="M932" s="12">
        <f t="shared" si="60"/>
        <v>331</v>
      </c>
      <c r="N932" s="13">
        <f t="shared" si="61"/>
        <v>520</v>
      </c>
      <c r="O932" s="14">
        <f t="shared" si="62"/>
        <v>851</v>
      </c>
      <c r="P932" s="15">
        <f t="shared" si="63"/>
        <v>1.0253012048192771</v>
      </c>
    </row>
    <row r="933" spans="1:16" ht="15.75" hidden="1" customHeight="1" x14ac:dyDescent="0.3">
      <c r="A933" s="9" t="s">
        <v>59</v>
      </c>
      <c r="B933" s="9" t="s">
        <v>401</v>
      </c>
      <c r="C933" s="9" t="s">
        <v>73</v>
      </c>
      <c r="D933" s="9" t="s">
        <v>318</v>
      </c>
      <c r="E933" s="10">
        <v>24</v>
      </c>
      <c r="F933" s="9" t="s">
        <v>319</v>
      </c>
      <c r="G933" s="10">
        <v>24</v>
      </c>
      <c r="H933" s="9" t="s">
        <v>96</v>
      </c>
      <c r="I933" s="9" t="s">
        <v>97</v>
      </c>
      <c r="J933" s="9" t="s">
        <v>8</v>
      </c>
      <c r="K933" s="9"/>
      <c r="L933" s="9"/>
      <c r="M933" s="12">
        <f t="shared" si="60"/>
        <v>501</v>
      </c>
      <c r="N933" s="13">
        <f t="shared" si="61"/>
        <v>486.5</v>
      </c>
      <c r="O933" s="14">
        <f t="shared" si="62"/>
        <v>987.5</v>
      </c>
      <c r="P933" s="15">
        <f t="shared" si="63"/>
        <v>1.1897590361445782</v>
      </c>
    </row>
    <row r="934" spans="1:16" ht="15.75" hidden="1" customHeight="1" x14ac:dyDescent="0.3">
      <c r="A934" s="9" t="s">
        <v>59</v>
      </c>
      <c r="B934" s="9" t="s">
        <v>401</v>
      </c>
      <c r="C934" s="9" t="s">
        <v>87</v>
      </c>
      <c r="D934" s="9" t="s">
        <v>318</v>
      </c>
      <c r="E934" s="10">
        <v>1</v>
      </c>
      <c r="F934" s="9" t="s">
        <v>319</v>
      </c>
      <c r="G934" s="11">
        <v>0</v>
      </c>
      <c r="H934" s="9" t="s">
        <v>96</v>
      </c>
      <c r="I934" s="9" t="s">
        <v>97</v>
      </c>
      <c r="J934" s="9" t="s">
        <v>8</v>
      </c>
      <c r="K934" s="9"/>
      <c r="L934" s="9"/>
      <c r="M934" s="12">
        <f t="shared" si="60"/>
        <v>501</v>
      </c>
      <c r="N934" s="13">
        <f t="shared" si="61"/>
        <v>486.5</v>
      </c>
      <c r="O934" s="14">
        <f t="shared" si="62"/>
        <v>987.5</v>
      </c>
      <c r="P934" s="15">
        <f t="shared" si="63"/>
        <v>1.1897590361445782</v>
      </c>
    </row>
    <row r="935" spans="1:16" ht="15.75" hidden="1" customHeight="1" x14ac:dyDescent="0.3">
      <c r="A935" s="9" t="s">
        <v>59</v>
      </c>
      <c r="B935" s="9" t="s">
        <v>401</v>
      </c>
      <c r="C935" s="9" t="s">
        <v>79</v>
      </c>
      <c r="D935" s="9" t="s">
        <v>318</v>
      </c>
      <c r="E935" s="10">
        <v>8</v>
      </c>
      <c r="F935" s="9" t="s">
        <v>319</v>
      </c>
      <c r="G935" s="10">
        <v>8</v>
      </c>
      <c r="H935" s="9" t="s">
        <v>96</v>
      </c>
      <c r="I935" s="9" t="s">
        <v>97</v>
      </c>
      <c r="J935" s="9" t="s">
        <v>8</v>
      </c>
      <c r="K935" s="9"/>
      <c r="L935" s="9"/>
      <c r="M935" s="12">
        <f t="shared" si="60"/>
        <v>501</v>
      </c>
      <c r="N935" s="13">
        <f t="shared" si="61"/>
        <v>486.5</v>
      </c>
      <c r="O935" s="14">
        <f t="shared" si="62"/>
        <v>987.5</v>
      </c>
      <c r="P935" s="15">
        <f t="shared" si="63"/>
        <v>1.1897590361445782</v>
      </c>
    </row>
    <row r="936" spans="1:16" ht="15.75" hidden="1" customHeight="1" x14ac:dyDescent="0.3">
      <c r="A936" s="9" t="s">
        <v>59</v>
      </c>
      <c r="B936" s="9" t="s">
        <v>401</v>
      </c>
      <c r="C936" s="9" t="s">
        <v>80</v>
      </c>
      <c r="D936" s="9" t="s">
        <v>318</v>
      </c>
      <c r="E936" s="10">
        <v>1</v>
      </c>
      <c r="F936" s="9" t="s">
        <v>319</v>
      </c>
      <c r="G936" s="11">
        <v>0</v>
      </c>
      <c r="H936" s="9" t="s">
        <v>96</v>
      </c>
      <c r="I936" s="9" t="s">
        <v>97</v>
      </c>
      <c r="J936" s="9" t="s">
        <v>8</v>
      </c>
      <c r="K936" s="9"/>
      <c r="L936" s="9"/>
      <c r="M936" s="12">
        <f t="shared" si="60"/>
        <v>501</v>
      </c>
      <c r="N936" s="13">
        <f t="shared" si="61"/>
        <v>486.5</v>
      </c>
      <c r="O936" s="14">
        <f t="shared" si="62"/>
        <v>987.5</v>
      </c>
      <c r="P936" s="15">
        <f t="shared" si="63"/>
        <v>1.1897590361445782</v>
      </c>
    </row>
    <row r="937" spans="1:16" ht="15.75" hidden="1" customHeight="1" x14ac:dyDescent="0.3">
      <c r="A937" s="9" t="s">
        <v>59</v>
      </c>
      <c r="B937" s="9" t="s">
        <v>330</v>
      </c>
      <c r="C937" s="9" t="s">
        <v>73</v>
      </c>
      <c r="D937" s="9" t="s">
        <v>132</v>
      </c>
      <c r="E937" s="10">
        <v>18</v>
      </c>
      <c r="F937" s="9" t="s">
        <v>133</v>
      </c>
      <c r="G937" s="10">
        <v>18</v>
      </c>
      <c r="H937" s="9" t="s">
        <v>200</v>
      </c>
      <c r="I937" s="9" t="s">
        <v>201</v>
      </c>
      <c r="J937" s="9" t="s">
        <v>4</v>
      </c>
      <c r="K937" s="9"/>
      <c r="L937" s="9"/>
      <c r="M937" s="12">
        <f t="shared" si="60"/>
        <v>687</v>
      </c>
      <c r="N937" s="13">
        <f t="shared" si="61"/>
        <v>461.5</v>
      </c>
      <c r="O937" s="14">
        <f t="shared" si="62"/>
        <v>1148.5</v>
      </c>
      <c r="P937" s="15">
        <f t="shared" si="63"/>
        <v>1.3837349397590362</v>
      </c>
    </row>
    <row r="938" spans="1:16" ht="15.75" hidden="1" customHeight="1" x14ac:dyDescent="0.3">
      <c r="A938" s="9" t="s">
        <v>59</v>
      </c>
      <c r="B938" s="9" t="s">
        <v>330</v>
      </c>
      <c r="C938" s="9" t="s">
        <v>79</v>
      </c>
      <c r="D938" s="9" t="s">
        <v>132</v>
      </c>
      <c r="E938" s="10">
        <v>50</v>
      </c>
      <c r="F938" s="9" t="s">
        <v>133</v>
      </c>
      <c r="G938" s="10">
        <v>50</v>
      </c>
      <c r="H938" s="9" t="s">
        <v>200</v>
      </c>
      <c r="I938" s="9" t="s">
        <v>201</v>
      </c>
      <c r="J938" s="9" t="s">
        <v>4</v>
      </c>
      <c r="K938" s="9"/>
      <c r="L938" s="9"/>
      <c r="M938" s="12">
        <f t="shared" si="60"/>
        <v>687</v>
      </c>
      <c r="N938" s="13">
        <f t="shared" si="61"/>
        <v>461.5</v>
      </c>
      <c r="O938" s="14">
        <f t="shared" si="62"/>
        <v>1148.5</v>
      </c>
      <c r="P938" s="15">
        <f t="shared" si="63"/>
        <v>1.3837349397590362</v>
      </c>
    </row>
    <row r="939" spans="1:16" ht="15.75" hidden="1" customHeight="1" x14ac:dyDescent="0.3">
      <c r="A939" s="9" t="s">
        <v>59</v>
      </c>
      <c r="B939" s="9" t="s">
        <v>330</v>
      </c>
      <c r="C939" s="9" t="s">
        <v>111</v>
      </c>
      <c r="D939" s="9" t="s">
        <v>132</v>
      </c>
      <c r="E939" s="10">
        <v>3</v>
      </c>
      <c r="F939" s="9" t="s">
        <v>133</v>
      </c>
      <c r="G939" s="11">
        <v>0</v>
      </c>
      <c r="H939" s="9" t="s">
        <v>200</v>
      </c>
      <c r="I939" s="9" t="s">
        <v>201</v>
      </c>
      <c r="J939" s="9" t="s">
        <v>4</v>
      </c>
      <c r="K939" s="9"/>
      <c r="L939" s="9"/>
      <c r="M939" s="12">
        <f t="shared" si="60"/>
        <v>687</v>
      </c>
      <c r="N939" s="13">
        <f t="shared" si="61"/>
        <v>461.5</v>
      </c>
      <c r="O939" s="14">
        <f t="shared" si="62"/>
        <v>1148.5</v>
      </c>
      <c r="P939" s="15">
        <f t="shared" si="63"/>
        <v>1.3837349397590362</v>
      </c>
    </row>
    <row r="940" spans="1:16" ht="15.75" hidden="1" customHeight="1" x14ac:dyDescent="0.3">
      <c r="A940" s="9" t="s">
        <v>59</v>
      </c>
      <c r="B940" s="9" t="s">
        <v>330</v>
      </c>
      <c r="C940" s="9" t="s">
        <v>80</v>
      </c>
      <c r="D940" s="9" t="s">
        <v>132</v>
      </c>
      <c r="E940" s="10">
        <v>3</v>
      </c>
      <c r="F940" s="9" t="s">
        <v>133</v>
      </c>
      <c r="G940" s="11">
        <v>0</v>
      </c>
      <c r="H940" s="9" t="s">
        <v>200</v>
      </c>
      <c r="I940" s="9" t="s">
        <v>201</v>
      </c>
      <c r="J940" s="9" t="s">
        <v>4</v>
      </c>
      <c r="K940" s="9"/>
      <c r="L940" s="9"/>
      <c r="M940" s="12">
        <f t="shared" si="60"/>
        <v>687</v>
      </c>
      <c r="N940" s="13">
        <f t="shared" si="61"/>
        <v>461.5</v>
      </c>
      <c r="O940" s="14">
        <f t="shared" si="62"/>
        <v>1148.5</v>
      </c>
      <c r="P940" s="15">
        <f t="shared" si="63"/>
        <v>1.3837349397590362</v>
      </c>
    </row>
    <row r="941" spans="1:16" ht="15.75" hidden="1" customHeight="1" x14ac:dyDescent="0.3">
      <c r="A941" s="9" t="s">
        <v>59</v>
      </c>
      <c r="B941" s="9" t="s">
        <v>331</v>
      </c>
      <c r="C941" s="9" t="s">
        <v>73</v>
      </c>
      <c r="D941" s="9" t="s">
        <v>132</v>
      </c>
      <c r="E941" s="10">
        <v>12</v>
      </c>
      <c r="F941" s="9" t="s">
        <v>133</v>
      </c>
      <c r="G941" s="10">
        <v>12</v>
      </c>
      <c r="H941" s="9" t="s">
        <v>200</v>
      </c>
      <c r="I941" s="9" t="s">
        <v>201</v>
      </c>
      <c r="J941" s="9" t="s">
        <v>4</v>
      </c>
      <c r="K941" s="9"/>
      <c r="L941" s="9"/>
      <c r="M941" s="12">
        <f t="shared" si="60"/>
        <v>687</v>
      </c>
      <c r="N941" s="13">
        <f t="shared" si="61"/>
        <v>461.5</v>
      </c>
      <c r="O941" s="14">
        <f t="shared" si="62"/>
        <v>1148.5</v>
      </c>
      <c r="P941" s="15">
        <f t="shared" si="63"/>
        <v>1.3837349397590362</v>
      </c>
    </row>
    <row r="942" spans="1:16" ht="15.75" hidden="1" customHeight="1" x14ac:dyDescent="0.3">
      <c r="A942" s="9" t="s">
        <v>59</v>
      </c>
      <c r="B942" s="9" t="s">
        <v>331</v>
      </c>
      <c r="C942" s="9" t="s">
        <v>87</v>
      </c>
      <c r="D942" s="9" t="s">
        <v>132</v>
      </c>
      <c r="E942" s="10">
        <v>2</v>
      </c>
      <c r="F942" s="9" t="s">
        <v>133</v>
      </c>
      <c r="G942" s="11">
        <v>0</v>
      </c>
      <c r="H942" s="9" t="s">
        <v>200</v>
      </c>
      <c r="I942" s="9" t="s">
        <v>201</v>
      </c>
      <c r="J942" s="9" t="s">
        <v>4</v>
      </c>
      <c r="K942" s="9"/>
      <c r="L942" s="9"/>
      <c r="M942" s="12">
        <f t="shared" si="60"/>
        <v>687</v>
      </c>
      <c r="N942" s="13">
        <f t="shared" si="61"/>
        <v>461.5</v>
      </c>
      <c r="O942" s="14">
        <f t="shared" si="62"/>
        <v>1148.5</v>
      </c>
      <c r="P942" s="15">
        <f t="shared" si="63"/>
        <v>1.3837349397590362</v>
      </c>
    </row>
    <row r="943" spans="1:16" ht="15.75" hidden="1" customHeight="1" x14ac:dyDescent="0.3">
      <c r="A943" s="9" t="s">
        <v>59</v>
      </c>
      <c r="B943" s="9" t="s">
        <v>331</v>
      </c>
      <c r="C943" s="9" t="s">
        <v>79</v>
      </c>
      <c r="D943" s="9" t="s">
        <v>132</v>
      </c>
      <c r="E943" s="10">
        <v>22</v>
      </c>
      <c r="F943" s="9" t="s">
        <v>133</v>
      </c>
      <c r="G943" s="10">
        <v>22</v>
      </c>
      <c r="H943" s="9" t="s">
        <v>200</v>
      </c>
      <c r="I943" s="9" t="s">
        <v>201</v>
      </c>
      <c r="J943" s="9" t="s">
        <v>4</v>
      </c>
      <c r="K943" s="9"/>
      <c r="L943" s="9"/>
      <c r="M943" s="12">
        <f t="shared" si="60"/>
        <v>687</v>
      </c>
      <c r="N943" s="13">
        <f t="shared" si="61"/>
        <v>461.5</v>
      </c>
      <c r="O943" s="14">
        <f t="shared" si="62"/>
        <v>1148.5</v>
      </c>
      <c r="P943" s="15">
        <f t="shared" si="63"/>
        <v>1.3837349397590362</v>
      </c>
    </row>
    <row r="944" spans="1:16" ht="15.75" hidden="1" customHeight="1" x14ac:dyDescent="0.3">
      <c r="A944" s="9" t="s">
        <v>59</v>
      </c>
      <c r="B944" s="9" t="s">
        <v>331</v>
      </c>
      <c r="C944" s="9" t="s">
        <v>80</v>
      </c>
      <c r="D944" s="9" t="s">
        <v>132</v>
      </c>
      <c r="E944" s="10">
        <v>1</v>
      </c>
      <c r="F944" s="9" t="s">
        <v>133</v>
      </c>
      <c r="G944" s="11">
        <v>0</v>
      </c>
      <c r="H944" s="9" t="s">
        <v>200</v>
      </c>
      <c r="I944" s="9" t="s">
        <v>201</v>
      </c>
      <c r="J944" s="9" t="s">
        <v>4</v>
      </c>
      <c r="K944" s="9"/>
      <c r="L944" s="9"/>
      <c r="M944" s="12">
        <f t="shared" si="60"/>
        <v>687</v>
      </c>
      <c r="N944" s="13">
        <f t="shared" si="61"/>
        <v>461.5</v>
      </c>
      <c r="O944" s="14">
        <f t="shared" si="62"/>
        <v>1148.5</v>
      </c>
      <c r="P944" s="15">
        <f t="shared" si="63"/>
        <v>1.3837349397590362</v>
      </c>
    </row>
    <row r="945" spans="1:16" ht="15.75" hidden="1" customHeight="1" x14ac:dyDescent="0.3">
      <c r="A945" s="9" t="s">
        <v>59</v>
      </c>
      <c r="B945" s="9" t="s">
        <v>402</v>
      </c>
      <c r="C945" s="9" t="s">
        <v>73</v>
      </c>
      <c r="D945" s="9" t="s">
        <v>194</v>
      </c>
      <c r="E945" s="10">
        <v>48</v>
      </c>
      <c r="F945" s="9" t="s">
        <v>195</v>
      </c>
      <c r="G945" s="10">
        <v>48</v>
      </c>
      <c r="H945" s="9" t="s">
        <v>210</v>
      </c>
      <c r="I945" s="9" t="s">
        <v>211</v>
      </c>
      <c r="J945" s="9" t="s">
        <v>4</v>
      </c>
      <c r="K945" s="9"/>
      <c r="L945" s="9"/>
      <c r="M945" s="12">
        <f t="shared" si="60"/>
        <v>213</v>
      </c>
      <c r="N945" s="13">
        <f t="shared" si="61"/>
        <v>399</v>
      </c>
      <c r="O945" s="14">
        <f t="shared" si="62"/>
        <v>612</v>
      </c>
      <c r="P945" s="15">
        <f t="shared" si="63"/>
        <v>0.73734939759036144</v>
      </c>
    </row>
    <row r="946" spans="1:16" ht="15.75" hidden="1" customHeight="1" x14ac:dyDescent="0.3">
      <c r="A946" s="9" t="s">
        <v>59</v>
      </c>
      <c r="B946" s="9" t="s">
        <v>402</v>
      </c>
      <c r="C946" s="9" t="s">
        <v>123</v>
      </c>
      <c r="D946" s="9" t="s">
        <v>194</v>
      </c>
      <c r="E946" s="10">
        <v>54</v>
      </c>
      <c r="F946" s="9" t="s">
        <v>195</v>
      </c>
      <c r="G946" s="11">
        <v>0</v>
      </c>
      <c r="H946" s="9" t="s">
        <v>210</v>
      </c>
      <c r="I946" s="9" t="s">
        <v>211</v>
      </c>
      <c r="J946" s="9" t="s">
        <v>4</v>
      </c>
      <c r="K946" s="9"/>
      <c r="L946" s="9"/>
      <c r="M946" s="12">
        <f t="shared" si="60"/>
        <v>213</v>
      </c>
      <c r="N946" s="13">
        <f t="shared" si="61"/>
        <v>399</v>
      </c>
      <c r="O946" s="14">
        <f t="shared" si="62"/>
        <v>612</v>
      </c>
      <c r="P946" s="15">
        <f t="shared" si="63"/>
        <v>0.73734939759036144</v>
      </c>
    </row>
    <row r="947" spans="1:16" ht="15.75" hidden="1" customHeight="1" x14ac:dyDescent="0.3">
      <c r="A947" s="9" t="s">
        <v>59</v>
      </c>
      <c r="B947" s="9" t="s">
        <v>402</v>
      </c>
      <c r="C947" s="9" t="s">
        <v>79</v>
      </c>
      <c r="D947" s="9" t="s">
        <v>194</v>
      </c>
      <c r="E947" s="10">
        <v>72</v>
      </c>
      <c r="F947" s="9" t="s">
        <v>195</v>
      </c>
      <c r="G947" s="10">
        <v>72</v>
      </c>
      <c r="H947" s="9" t="s">
        <v>210</v>
      </c>
      <c r="I947" s="9" t="s">
        <v>211</v>
      </c>
      <c r="J947" s="9" t="s">
        <v>4</v>
      </c>
      <c r="K947" s="9"/>
      <c r="L947" s="9"/>
      <c r="M947" s="12">
        <f t="shared" si="60"/>
        <v>213</v>
      </c>
      <c r="N947" s="13">
        <f t="shared" si="61"/>
        <v>399</v>
      </c>
      <c r="O947" s="14">
        <f t="shared" si="62"/>
        <v>612</v>
      </c>
      <c r="P947" s="15">
        <f t="shared" si="63"/>
        <v>0.73734939759036144</v>
      </c>
    </row>
    <row r="948" spans="1:16" ht="15.75" hidden="1" customHeight="1" x14ac:dyDescent="0.3">
      <c r="A948" s="9" t="s">
        <v>59</v>
      </c>
      <c r="B948" s="9" t="s">
        <v>402</v>
      </c>
      <c r="C948" s="9" t="s">
        <v>111</v>
      </c>
      <c r="D948" s="9" t="s">
        <v>194</v>
      </c>
      <c r="E948" s="10">
        <v>9</v>
      </c>
      <c r="F948" s="9" t="s">
        <v>195</v>
      </c>
      <c r="G948" s="11">
        <v>0</v>
      </c>
      <c r="H948" s="9" t="s">
        <v>210</v>
      </c>
      <c r="I948" s="9" t="s">
        <v>211</v>
      </c>
      <c r="J948" s="9" t="s">
        <v>4</v>
      </c>
      <c r="K948" s="9"/>
      <c r="L948" s="9"/>
      <c r="M948" s="12">
        <f t="shared" si="60"/>
        <v>213</v>
      </c>
      <c r="N948" s="13">
        <f t="shared" si="61"/>
        <v>399</v>
      </c>
      <c r="O948" s="14">
        <f t="shared" si="62"/>
        <v>612</v>
      </c>
      <c r="P948" s="15">
        <f t="shared" si="63"/>
        <v>0.73734939759036144</v>
      </c>
    </row>
    <row r="949" spans="1:16" ht="15.75" hidden="1" customHeight="1" x14ac:dyDescent="0.3">
      <c r="A949" s="9" t="s">
        <v>59</v>
      </c>
      <c r="B949" s="9" t="s">
        <v>402</v>
      </c>
      <c r="C949" s="9" t="s">
        <v>80</v>
      </c>
      <c r="D949" s="9" t="s">
        <v>194</v>
      </c>
      <c r="E949" s="10">
        <v>4</v>
      </c>
      <c r="F949" s="9" t="s">
        <v>195</v>
      </c>
      <c r="G949" s="11">
        <v>0</v>
      </c>
      <c r="H949" s="9" t="s">
        <v>210</v>
      </c>
      <c r="I949" s="9" t="s">
        <v>211</v>
      </c>
      <c r="J949" s="9" t="s">
        <v>4</v>
      </c>
      <c r="K949" s="9"/>
      <c r="L949" s="9"/>
      <c r="M949" s="12">
        <f t="shared" si="60"/>
        <v>213</v>
      </c>
      <c r="N949" s="13">
        <f t="shared" si="61"/>
        <v>399</v>
      </c>
      <c r="O949" s="14">
        <f t="shared" si="62"/>
        <v>612</v>
      </c>
      <c r="P949" s="15">
        <f t="shared" si="63"/>
        <v>0.73734939759036144</v>
      </c>
    </row>
    <row r="950" spans="1:16" ht="15.75" hidden="1" customHeight="1" x14ac:dyDescent="0.3">
      <c r="A950" s="9" t="s">
        <v>59</v>
      </c>
      <c r="B950" s="9" t="s">
        <v>403</v>
      </c>
      <c r="C950" s="9" t="s">
        <v>73</v>
      </c>
      <c r="D950" s="9" t="s">
        <v>134</v>
      </c>
      <c r="E950" s="10">
        <v>8</v>
      </c>
      <c r="F950" s="9" t="s">
        <v>166</v>
      </c>
      <c r="G950" s="10">
        <v>8</v>
      </c>
      <c r="H950" s="9" t="s">
        <v>174</v>
      </c>
      <c r="I950" s="9" t="s">
        <v>175</v>
      </c>
      <c r="J950" s="9" t="s">
        <v>8</v>
      </c>
      <c r="K950" s="9"/>
      <c r="L950" s="9"/>
      <c r="M950" s="12">
        <f t="shared" si="60"/>
        <v>320</v>
      </c>
      <c r="N950" s="13">
        <f t="shared" si="61"/>
        <v>169</v>
      </c>
      <c r="O950" s="14">
        <f t="shared" si="62"/>
        <v>489</v>
      </c>
      <c r="P950" s="15">
        <f t="shared" si="63"/>
        <v>0.58915662650602407</v>
      </c>
    </row>
    <row r="951" spans="1:16" ht="15.75" hidden="1" customHeight="1" x14ac:dyDescent="0.3">
      <c r="A951" s="9" t="s">
        <v>59</v>
      </c>
      <c r="B951" s="9" t="s">
        <v>403</v>
      </c>
      <c r="C951" s="9" t="s">
        <v>79</v>
      </c>
      <c r="D951" s="9" t="s">
        <v>134</v>
      </c>
      <c r="E951" s="10">
        <v>16</v>
      </c>
      <c r="F951" s="9" t="s">
        <v>166</v>
      </c>
      <c r="G951" s="10">
        <v>16</v>
      </c>
      <c r="H951" s="9" t="s">
        <v>174</v>
      </c>
      <c r="I951" s="9" t="s">
        <v>175</v>
      </c>
      <c r="J951" s="9" t="s">
        <v>8</v>
      </c>
      <c r="K951" s="9"/>
      <c r="L951" s="9"/>
      <c r="M951" s="12">
        <f t="shared" si="60"/>
        <v>320</v>
      </c>
      <c r="N951" s="13">
        <f t="shared" si="61"/>
        <v>169</v>
      </c>
      <c r="O951" s="14">
        <f t="shared" si="62"/>
        <v>489</v>
      </c>
      <c r="P951" s="15">
        <f t="shared" si="63"/>
        <v>0.58915662650602407</v>
      </c>
    </row>
    <row r="952" spans="1:16" ht="15.75" hidden="1" customHeight="1" x14ac:dyDescent="0.3">
      <c r="A952" s="9" t="s">
        <v>59</v>
      </c>
      <c r="B952" s="9" t="s">
        <v>403</v>
      </c>
      <c r="C952" s="9" t="s">
        <v>142</v>
      </c>
      <c r="D952" s="9" t="s">
        <v>134</v>
      </c>
      <c r="E952" s="10">
        <v>2</v>
      </c>
      <c r="F952" s="9" t="s">
        <v>166</v>
      </c>
      <c r="G952" s="11">
        <v>0</v>
      </c>
      <c r="H952" s="9" t="s">
        <v>174</v>
      </c>
      <c r="I952" s="9" t="s">
        <v>175</v>
      </c>
      <c r="J952" s="9" t="s">
        <v>8</v>
      </c>
      <c r="K952" s="9"/>
      <c r="L952" s="9"/>
      <c r="M952" s="12">
        <f t="shared" si="60"/>
        <v>320</v>
      </c>
      <c r="N952" s="13">
        <f t="shared" si="61"/>
        <v>169</v>
      </c>
      <c r="O952" s="14">
        <f t="shared" si="62"/>
        <v>489</v>
      </c>
      <c r="P952" s="15">
        <f t="shared" si="63"/>
        <v>0.58915662650602407</v>
      </c>
    </row>
    <row r="953" spans="1:16" ht="15.75" hidden="1" customHeight="1" x14ac:dyDescent="0.3">
      <c r="A953" s="9" t="s">
        <v>59</v>
      </c>
      <c r="B953" s="9" t="s">
        <v>404</v>
      </c>
      <c r="C953" s="9" t="s">
        <v>73</v>
      </c>
      <c r="D953" s="9" t="s">
        <v>126</v>
      </c>
      <c r="E953" s="10">
        <v>24</v>
      </c>
      <c r="F953" s="9" t="s">
        <v>127</v>
      </c>
      <c r="G953" s="10">
        <v>24</v>
      </c>
      <c r="H953" s="9" t="s">
        <v>167</v>
      </c>
      <c r="I953" s="9" t="s">
        <v>168</v>
      </c>
      <c r="J953" s="9" t="s">
        <v>4</v>
      </c>
      <c r="K953" s="9"/>
      <c r="L953" s="9"/>
      <c r="M953" s="12">
        <f t="shared" si="60"/>
        <v>456</v>
      </c>
      <c r="N953" s="13">
        <f t="shared" si="61"/>
        <v>362</v>
      </c>
      <c r="O953" s="14">
        <f t="shared" si="62"/>
        <v>818</v>
      </c>
      <c r="P953" s="15">
        <f t="shared" si="63"/>
        <v>0.98554216867469879</v>
      </c>
    </row>
    <row r="954" spans="1:16" ht="15.75" hidden="1" customHeight="1" x14ac:dyDescent="0.3">
      <c r="A954" s="9" t="s">
        <v>59</v>
      </c>
      <c r="B954" s="9" t="s">
        <v>404</v>
      </c>
      <c r="C954" s="9" t="s">
        <v>79</v>
      </c>
      <c r="D954" s="9" t="s">
        <v>126</v>
      </c>
      <c r="E954" s="10">
        <v>40</v>
      </c>
      <c r="F954" s="9" t="s">
        <v>127</v>
      </c>
      <c r="G954" s="10">
        <v>40</v>
      </c>
      <c r="H954" s="9" t="s">
        <v>167</v>
      </c>
      <c r="I954" s="9" t="s">
        <v>168</v>
      </c>
      <c r="J954" s="9" t="s">
        <v>4</v>
      </c>
      <c r="K954" s="9"/>
      <c r="L954" s="9"/>
      <c r="M954" s="12">
        <f t="shared" si="60"/>
        <v>456</v>
      </c>
      <c r="N954" s="13">
        <f t="shared" si="61"/>
        <v>362</v>
      </c>
      <c r="O954" s="14">
        <f t="shared" si="62"/>
        <v>818</v>
      </c>
      <c r="P954" s="15">
        <f t="shared" si="63"/>
        <v>0.98554216867469879</v>
      </c>
    </row>
    <row r="955" spans="1:16" ht="15.75" hidden="1" customHeight="1" x14ac:dyDescent="0.3">
      <c r="A955" s="9" t="s">
        <v>59</v>
      </c>
      <c r="B955" s="9" t="s">
        <v>404</v>
      </c>
      <c r="C955" s="9" t="s">
        <v>111</v>
      </c>
      <c r="D955" s="9" t="s">
        <v>126</v>
      </c>
      <c r="E955" s="10">
        <v>7</v>
      </c>
      <c r="F955" s="9" t="s">
        <v>127</v>
      </c>
      <c r="G955" s="11">
        <v>0</v>
      </c>
      <c r="H955" s="9" t="s">
        <v>167</v>
      </c>
      <c r="I955" s="9" t="s">
        <v>168</v>
      </c>
      <c r="J955" s="9" t="s">
        <v>4</v>
      </c>
      <c r="K955" s="9"/>
      <c r="L955" s="9"/>
      <c r="M955" s="12">
        <f t="shared" si="60"/>
        <v>456</v>
      </c>
      <c r="N955" s="13">
        <f t="shared" si="61"/>
        <v>362</v>
      </c>
      <c r="O955" s="14">
        <f t="shared" si="62"/>
        <v>818</v>
      </c>
      <c r="P955" s="15">
        <f t="shared" si="63"/>
        <v>0.98554216867469879</v>
      </c>
    </row>
    <row r="956" spans="1:16" ht="15.75" hidden="1" customHeight="1" x14ac:dyDescent="0.3">
      <c r="A956" s="9" t="s">
        <v>59</v>
      </c>
      <c r="B956" s="9" t="s">
        <v>404</v>
      </c>
      <c r="C956" s="9" t="s">
        <v>80</v>
      </c>
      <c r="D956" s="9" t="s">
        <v>126</v>
      </c>
      <c r="E956" s="10">
        <v>3</v>
      </c>
      <c r="F956" s="9" t="s">
        <v>127</v>
      </c>
      <c r="G956" s="11">
        <v>0</v>
      </c>
      <c r="H956" s="9" t="s">
        <v>167</v>
      </c>
      <c r="I956" s="9" t="s">
        <v>168</v>
      </c>
      <c r="J956" s="9" t="s">
        <v>4</v>
      </c>
      <c r="K956" s="9"/>
      <c r="L956" s="9"/>
      <c r="M956" s="12">
        <f t="shared" si="60"/>
        <v>456</v>
      </c>
      <c r="N956" s="13">
        <f t="shared" si="61"/>
        <v>362</v>
      </c>
      <c r="O956" s="14">
        <f t="shared" si="62"/>
        <v>818</v>
      </c>
      <c r="P956" s="15">
        <f t="shared" si="63"/>
        <v>0.98554216867469879</v>
      </c>
    </row>
    <row r="957" spans="1:16" ht="15.75" hidden="1" customHeight="1" x14ac:dyDescent="0.3">
      <c r="A957" s="9" t="s">
        <v>59</v>
      </c>
      <c r="B957" s="9" t="s">
        <v>405</v>
      </c>
      <c r="C957" s="9" t="s">
        <v>73</v>
      </c>
      <c r="D957" s="9" t="s">
        <v>262</v>
      </c>
      <c r="E957" s="10">
        <v>12</v>
      </c>
      <c r="F957" s="9" t="s">
        <v>263</v>
      </c>
      <c r="G957" s="10">
        <v>12</v>
      </c>
      <c r="H957" s="9" t="s">
        <v>391</v>
      </c>
      <c r="I957" s="9" t="s">
        <v>392</v>
      </c>
      <c r="J957" s="9"/>
      <c r="K957" s="9"/>
      <c r="L957" s="9"/>
      <c r="M957" s="12">
        <f t="shared" si="60"/>
        <v>0</v>
      </c>
      <c r="N957" s="13">
        <f t="shared" si="61"/>
        <v>251</v>
      </c>
      <c r="O957" s="14">
        <f t="shared" si="62"/>
        <v>251</v>
      </c>
      <c r="P957" s="15">
        <f t="shared" si="63"/>
        <v>0.30240963855421688</v>
      </c>
    </row>
    <row r="958" spans="1:16" ht="15.75" hidden="1" customHeight="1" x14ac:dyDescent="0.3">
      <c r="A958" s="9" t="s">
        <v>59</v>
      </c>
      <c r="B958" s="9" t="s">
        <v>405</v>
      </c>
      <c r="C958" s="9" t="s">
        <v>73</v>
      </c>
      <c r="D958" s="9" t="s">
        <v>132</v>
      </c>
      <c r="E958" s="10">
        <v>12</v>
      </c>
      <c r="F958" s="9" t="s">
        <v>133</v>
      </c>
      <c r="G958" s="10">
        <v>12</v>
      </c>
      <c r="H958" s="9" t="s">
        <v>391</v>
      </c>
      <c r="I958" s="9" t="s">
        <v>392</v>
      </c>
      <c r="J958" s="9"/>
      <c r="K958" s="9"/>
      <c r="L958" s="9"/>
      <c r="M958" s="12">
        <f t="shared" si="60"/>
        <v>0</v>
      </c>
      <c r="N958" s="13">
        <f t="shared" si="61"/>
        <v>251</v>
      </c>
      <c r="O958" s="14">
        <f t="shared" si="62"/>
        <v>251</v>
      </c>
      <c r="P958" s="15">
        <f t="shared" si="63"/>
        <v>0.30240963855421688</v>
      </c>
    </row>
    <row r="959" spans="1:16" ht="15.75" hidden="1" customHeight="1" x14ac:dyDescent="0.3">
      <c r="A959" s="9" t="s">
        <v>59</v>
      </c>
      <c r="B959" s="9" t="s">
        <v>405</v>
      </c>
      <c r="C959" s="9" t="s">
        <v>79</v>
      </c>
      <c r="D959" s="9" t="s">
        <v>134</v>
      </c>
      <c r="E959" s="10">
        <v>24</v>
      </c>
      <c r="F959" s="9" t="s">
        <v>263</v>
      </c>
      <c r="G959" s="10">
        <v>24</v>
      </c>
      <c r="H959" s="9" t="s">
        <v>128</v>
      </c>
      <c r="I959" s="9" t="s">
        <v>129</v>
      </c>
      <c r="J959" s="9" t="s">
        <v>8</v>
      </c>
      <c r="K959" s="9"/>
      <c r="L959" s="9"/>
      <c r="M959" s="12">
        <f t="shared" si="60"/>
        <v>348</v>
      </c>
      <c r="N959" s="13">
        <f t="shared" si="61"/>
        <v>610</v>
      </c>
      <c r="O959" s="14">
        <f t="shared" si="62"/>
        <v>958</v>
      </c>
      <c r="P959" s="15">
        <f t="shared" si="63"/>
        <v>1.1542168674698796</v>
      </c>
    </row>
    <row r="960" spans="1:16" ht="15.75" hidden="1" customHeight="1" x14ac:dyDescent="0.3">
      <c r="A960" s="9" t="s">
        <v>59</v>
      </c>
      <c r="B960" s="9" t="s">
        <v>405</v>
      </c>
      <c r="C960" s="9" t="s">
        <v>79</v>
      </c>
      <c r="D960" s="9" t="s">
        <v>139</v>
      </c>
      <c r="E960" s="10">
        <v>24</v>
      </c>
      <c r="F960" s="9" t="s">
        <v>263</v>
      </c>
      <c r="G960" s="10">
        <v>24</v>
      </c>
      <c r="H960" s="9" t="s">
        <v>391</v>
      </c>
      <c r="I960" s="9" t="s">
        <v>392</v>
      </c>
      <c r="J960" s="9"/>
      <c r="K960" s="9"/>
      <c r="L960" s="9"/>
      <c r="M960" s="12">
        <f t="shared" si="60"/>
        <v>0</v>
      </c>
      <c r="N960" s="13">
        <f t="shared" si="61"/>
        <v>251</v>
      </c>
      <c r="O960" s="14">
        <f t="shared" si="62"/>
        <v>251</v>
      </c>
      <c r="P960" s="15">
        <f t="shared" si="63"/>
        <v>0.30240963855421688</v>
      </c>
    </row>
    <row r="961" spans="1:16" ht="15.75" hidden="1" customHeight="1" x14ac:dyDescent="0.3">
      <c r="A961" s="9" t="s">
        <v>59</v>
      </c>
      <c r="B961" s="9" t="s">
        <v>405</v>
      </c>
      <c r="C961" s="9" t="s">
        <v>79</v>
      </c>
      <c r="D961" s="9" t="s">
        <v>140</v>
      </c>
      <c r="E961" s="10">
        <v>24</v>
      </c>
      <c r="F961" s="9" t="s">
        <v>263</v>
      </c>
      <c r="G961" s="10">
        <v>24</v>
      </c>
      <c r="H961" s="9" t="s">
        <v>91</v>
      </c>
      <c r="I961" s="9" t="s">
        <v>92</v>
      </c>
      <c r="J961" s="9" t="s">
        <v>4</v>
      </c>
      <c r="K961" s="9"/>
      <c r="L961" s="9"/>
      <c r="M961" s="12">
        <f t="shared" si="60"/>
        <v>405</v>
      </c>
      <c r="N961" s="13">
        <f t="shared" si="61"/>
        <v>532</v>
      </c>
      <c r="O961" s="14">
        <f t="shared" si="62"/>
        <v>937</v>
      </c>
      <c r="P961" s="15">
        <f t="shared" si="63"/>
        <v>1.1289156626506025</v>
      </c>
    </row>
    <row r="962" spans="1:16" ht="15.75" hidden="1" customHeight="1" x14ac:dyDescent="0.3">
      <c r="A962" s="9" t="s">
        <v>59</v>
      </c>
      <c r="B962" s="9" t="s">
        <v>405</v>
      </c>
      <c r="C962" s="9" t="s">
        <v>79</v>
      </c>
      <c r="D962" s="9" t="s">
        <v>141</v>
      </c>
      <c r="E962" s="10">
        <v>24</v>
      </c>
      <c r="F962" s="9" t="s">
        <v>263</v>
      </c>
      <c r="G962" s="10">
        <v>24</v>
      </c>
      <c r="H962" s="9" t="s">
        <v>108</v>
      </c>
      <c r="I962" s="9" t="s">
        <v>109</v>
      </c>
      <c r="J962" s="9"/>
      <c r="K962" s="9"/>
      <c r="L962" s="9"/>
      <c r="M962" s="12">
        <f t="shared" si="60"/>
        <v>232.8</v>
      </c>
      <c r="N962" s="13">
        <f t="shared" si="61"/>
        <v>220</v>
      </c>
      <c r="O962" s="14">
        <f t="shared" si="62"/>
        <v>452.8</v>
      </c>
      <c r="P962" s="15">
        <f t="shared" si="63"/>
        <v>0.54554216867469885</v>
      </c>
    </row>
    <row r="963" spans="1:16" ht="15.75" hidden="1" customHeight="1" x14ac:dyDescent="0.3">
      <c r="A963" s="9" t="s">
        <v>59</v>
      </c>
      <c r="B963" s="9" t="s">
        <v>405</v>
      </c>
      <c r="C963" s="9" t="s">
        <v>79</v>
      </c>
      <c r="D963" s="9" t="s">
        <v>132</v>
      </c>
      <c r="E963" s="10">
        <v>24</v>
      </c>
      <c r="F963" s="9" t="s">
        <v>133</v>
      </c>
      <c r="G963" s="10">
        <v>24</v>
      </c>
      <c r="H963" s="9" t="s">
        <v>91</v>
      </c>
      <c r="I963" s="9" t="s">
        <v>92</v>
      </c>
      <c r="J963" s="9" t="s">
        <v>4</v>
      </c>
      <c r="K963" s="9"/>
      <c r="L963" s="9"/>
      <c r="M963" s="12">
        <f t="shared" si="60"/>
        <v>405</v>
      </c>
      <c r="N963" s="13">
        <f t="shared" si="61"/>
        <v>532</v>
      </c>
      <c r="O963" s="14">
        <f t="shared" si="62"/>
        <v>937</v>
      </c>
      <c r="P963" s="15">
        <f t="shared" si="63"/>
        <v>1.1289156626506025</v>
      </c>
    </row>
    <row r="964" spans="1:16" ht="15.75" hidden="1" customHeight="1" x14ac:dyDescent="0.3">
      <c r="A964" s="9" t="s">
        <v>59</v>
      </c>
      <c r="B964" s="9" t="s">
        <v>405</v>
      </c>
      <c r="C964" s="9" t="s">
        <v>111</v>
      </c>
      <c r="D964" s="9" t="s">
        <v>134</v>
      </c>
      <c r="E964" s="10">
        <v>3</v>
      </c>
      <c r="F964" s="9" t="s">
        <v>263</v>
      </c>
      <c r="G964" s="11">
        <v>0</v>
      </c>
      <c r="H964" s="9" t="s">
        <v>391</v>
      </c>
      <c r="I964" s="9" t="s">
        <v>392</v>
      </c>
      <c r="J964" s="9"/>
      <c r="K964" s="9"/>
      <c r="L964" s="9"/>
      <c r="M964" s="12">
        <f t="shared" si="60"/>
        <v>0</v>
      </c>
      <c r="N964" s="13">
        <f t="shared" si="61"/>
        <v>251</v>
      </c>
      <c r="O964" s="14">
        <f t="shared" si="62"/>
        <v>251</v>
      </c>
      <c r="P964" s="15">
        <f t="shared" si="63"/>
        <v>0.30240963855421688</v>
      </c>
    </row>
    <row r="965" spans="1:16" ht="15.75" hidden="1" customHeight="1" x14ac:dyDescent="0.3">
      <c r="A965" s="9" t="s">
        <v>59</v>
      </c>
      <c r="B965" s="9" t="s">
        <v>405</v>
      </c>
      <c r="C965" s="9" t="s">
        <v>111</v>
      </c>
      <c r="D965" s="9" t="s">
        <v>139</v>
      </c>
      <c r="E965" s="10">
        <v>3</v>
      </c>
      <c r="F965" s="9" t="s">
        <v>263</v>
      </c>
      <c r="G965" s="11">
        <v>0</v>
      </c>
      <c r="H965" s="9" t="s">
        <v>391</v>
      </c>
      <c r="I965" s="9" t="s">
        <v>392</v>
      </c>
      <c r="J965" s="9"/>
      <c r="K965" s="9"/>
      <c r="L965" s="9"/>
      <c r="M965" s="12">
        <f t="shared" si="60"/>
        <v>0</v>
      </c>
      <c r="N965" s="13">
        <f t="shared" si="61"/>
        <v>251</v>
      </c>
      <c r="O965" s="14">
        <f t="shared" si="62"/>
        <v>251</v>
      </c>
      <c r="P965" s="15">
        <f t="shared" si="63"/>
        <v>0.30240963855421688</v>
      </c>
    </row>
    <row r="966" spans="1:16" ht="15.75" hidden="1" customHeight="1" x14ac:dyDescent="0.3">
      <c r="A966" s="9" t="s">
        <v>59</v>
      </c>
      <c r="B966" s="9" t="s">
        <v>405</v>
      </c>
      <c r="C966" s="9" t="s">
        <v>111</v>
      </c>
      <c r="D966" s="9" t="s">
        <v>140</v>
      </c>
      <c r="E966" s="10">
        <v>3</v>
      </c>
      <c r="F966" s="9" t="s">
        <v>263</v>
      </c>
      <c r="G966" s="11">
        <v>0</v>
      </c>
      <c r="H966" s="9" t="s">
        <v>391</v>
      </c>
      <c r="I966" s="9" t="s">
        <v>392</v>
      </c>
      <c r="J966" s="9"/>
      <c r="K966" s="9"/>
      <c r="L966" s="9"/>
      <c r="M966" s="12">
        <f t="shared" si="60"/>
        <v>0</v>
      </c>
      <c r="N966" s="13">
        <f t="shared" si="61"/>
        <v>251</v>
      </c>
      <c r="O966" s="14">
        <f t="shared" si="62"/>
        <v>251</v>
      </c>
      <c r="P966" s="15">
        <f t="shared" si="63"/>
        <v>0.30240963855421688</v>
      </c>
    </row>
    <row r="967" spans="1:16" ht="15.75" hidden="1" customHeight="1" x14ac:dyDescent="0.3">
      <c r="A967" s="9" t="s">
        <v>59</v>
      </c>
      <c r="B967" s="9" t="s">
        <v>405</v>
      </c>
      <c r="C967" s="9" t="s">
        <v>111</v>
      </c>
      <c r="D967" s="9" t="s">
        <v>141</v>
      </c>
      <c r="E967" s="10">
        <v>3</v>
      </c>
      <c r="F967" s="9" t="s">
        <v>263</v>
      </c>
      <c r="G967" s="11">
        <v>0</v>
      </c>
      <c r="H967" s="9" t="s">
        <v>391</v>
      </c>
      <c r="I967" s="9" t="s">
        <v>392</v>
      </c>
      <c r="J967" s="9"/>
      <c r="K967" s="9"/>
      <c r="L967" s="9"/>
      <c r="M967" s="12">
        <f t="shared" si="60"/>
        <v>0</v>
      </c>
      <c r="N967" s="13">
        <f t="shared" si="61"/>
        <v>251</v>
      </c>
      <c r="O967" s="14">
        <f t="shared" si="62"/>
        <v>251</v>
      </c>
      <c r="P967" s="15">
        <f t="shared" si="63"/>
        <v>0.30240963855421688</v>
      </c>
    </row>
    <row r="968" spans="1:16" ht="15.75" hidden="1" customHeight="1" x14ac:dyDescent="0.3">
      <c r="A968" s="9" t="s">
        <v>59</v>
      </c>
      <c r="B968" s="9" t="s">
        <v>405</v>
      </c>
      <c r="C968" s="9" t="s">
        <v>111</v>
      </c>
      <c r="D968" s="9" t="s">
        <v>132</v>
      </c>
      <c r="E968" s="10">
        <v>3</v>
      </c>
      <c r="F968" s="9" t="s">
        <v>133</v>
      </c>
      <c r="G968" s="11">
        <v>0</v>
      </c>
      <c r="H968" s="9" t="s">
        <v>391</v>
      </c>
      <c r="I968" s="9" t="s">
        <v>392</v>
      </c>
      <c r="J968" s="9"/>
      <c r="K968" s="9"/>
      <c r="L968" s="9"/>
      <c r="M968" s="12">
        <f t="shared" si="60"/>
        <v>0</v>
      </c>
      <c r="N968" s="13">
        <f t="shared" si="61"/>
        <v>251</v>
      </c>
      <c r="O968" s="14">
        <f t="shared" si="62"/>
        <v>251</v>
      </c>
      <c r="P968" s="15">
        <f t="shared" si="63"/>
        <v>0.30240963855421688</v>
      </c>
    </row>
    <row r="969" spans="1:16" ht="13.5" hidden="1" customHeight="1" x14ac:dyDescent="0.3">
      <c r="A969" s="9" t="s">
        <v>59</v>
      </c>
      <c r="B969" s="9" t="s">
        <v>405</v>
      </c>
      <c r="C969" s="9" t="s">
        <v>80</v>
      </c>
      <c r="D969" s="9" t="s">
        <v>134</v>
      </c>
      <c r="E969" s="10">
        <v>3</v>
      </c>
      <c r="F969" s="9" t="s">
        <v>263</v>
      </c>
      <c r="G969" s="11">
        <v>0</v>
      </c>
      <c r="H969" s="9" t="s">
        <v>128</v>
      </c>
      <c r="I969" s="9" t="s">
        <v>129</v>
      </c>
      <c r="J969" s="9" t="s">
        <v>8</v>
      </c>
      <c r="K969" s="9"/>
      <c r="L969" s="9"/>
      <c r="M969" s="12">
        <f t="shared" si="60"/>
        <v>348</v>
      </c>
      <c r="N969" s="13">
        <f t="shared" si="61"/>
        <v>610</v>
      </c>
      <c r="O969" s="14">
        <f t="shared" si="62"/>
        <v>958</v>
      </c>
      <c r="P969" s="15">
        <f t="shared" si="63"/>
        <v>1.1542168674698796</v>
      </c>
    </row>
    <row r="970" spans="1:16" ht="15.75" hidden="1" customHeight="1" x14ac:dyDescent="0.3">
      <c r="A970" s="9" t="s">
        <v>59</v>
      </c>
      <c r="B970" s="9" t="s">
        <v>405</v>
      </c>
      <c r="C970" s="9" t="s">
        <v>80</v>
      </c>
      <c r="D970" s="9" t="s">
        <v>139</v>
      </c>
      <c r="E970" s="10">
        <v>3</v>
      </c>
      <c r="F970" s="9" t="s">
        <v>263</v>
      </c>
      <c r="G970" s="11">
        <v>0</v>
      </c>
      <c r="H970" s="9" t="s">
        <v>391</v>
      </c>
      <c r="I970" s="9" t="s">
        <v>392</v>
      </c>
      <c r="J970" s="9"/>
      <c r="K970" s="9"/>
      <c r="L970" s="9"/>
      <c r="M970" s="12">
        <f t="shared" si="60"/>
        <v>0</v>
      </c>
      <c r="N970" s="13">
        <f t="shared" si="61"/>
        <v>251</v>
      </c>
      <c r="O970" s="14">
        <f t="shared" si="62"/>
        <v>251</v>
      </c>
      <c r="P970" s="15">
        <f t="shared" si="63"/>
        <v>0.30240963855421688</v>
      </c>
    </row>
    <row r="971" spans="1:16" ht="15.75" hidden="1" customHeight="1" x14ac:dyDescent="0.3">
      <c r="A971" s="9" t="s">
        <v>59</v>
      </c>
      <c r="B971" s="9" t="s">
        <v>405</v>
      </c>
      <c r="C971" s="9" t="s">
        <v>80</v>
      </c>
      <c r="D971" s="9" t="s">
        <v>140</v>
      </c>
      <c r="E971" s="10">
        <v>3</v>
      </c>
      <c r="F971" s="9" t="s">
        <v>263</v>
      </c>
      <c r="G971" s="11">
        <v>0</v>
      </c>
      <c r="H971" s="9" t="s">
        <v>91</v>
      </c>
      <c r="I971" s="9" t="s">
        <v>92</v>
      </c>
      <c r="J971" s="9" t="s">
        <v>4</v>
      </c>
      <c r="K971" s="9"/>
      <c r="L971" s="9"/>
      <c r="M971" s="12">
        <f t="shared" si="60"/>
        <v>405</v>
      </c>
      <c r="N971" s="13">
        <f t="shared" si="61"/>
        <v>532</v>
      </c>
      <c r="O971" s="14">
        <f t="shared" si="62"/>
        <v>937</v>
      </c>
      <c r="P971" s="15">
        <f t="shared" si="63"/>
        <v>1.1289156626506025</v>
      </c>
    </row>
    <row r="972" spans="1:16" ht="15.75" hidden="1" customHeight="1" x14ac:dyDescent="0.3">
      <c r="A972" s="9" t="s">
        <v>59</v>
      </c>
      <c r="B972" s="9" t="s">
        <v>405</v>
      </c>
      <c r="C972" s="9" t="s">
        <v>80</v>
      </c>
      <c r="D972" s="9" t="s">
        <v>141</v>
      </c>
      <c r="E972" s="10">
        <v>3</v>
      </c>
      <c r="F972" s="9" t="s">
        <v>263</v>
      </c>
      <c r="G972" s="11">
        <v>0</v>
      </c>
      <c r="H972" s="9" t="s">
        <v>108</v>
      </c>
      <c r="I972" s="9" t="s">
        <v>109</v>
      </c>
      <c r="J972" s="9"/>
      <c r="K972" s="9"/>
      <c r="L972" s="9"/>
      <c r="M972" s="12">
        <f t="shared" si="60"/>
        <v>232.8</v>
      </c>
      <c r="N972" s="13">
        <f t="shared" si="61"/>
        <v>220</v>
      </c>
      <c r="O972" s="14">
        <f t="shared" si="62"/>
        <v>452.8</v>
      </c>
      <c r="P972" s="15">
        <f t="shared" si="63"/>
        <v>0.54554216867469885</v>
      </c>
    </row>
    <row r="973" spans="1:16" ht="15.75" hidden="1" customHeight="1" x14ac:dyDescent="0.3">
      <c r="A973" s="9" t="s">
        <v>59</v>
      </c>
      <c r="B973" s="9" t="s">
        <v>405</v>
      </c>
      <c r="C973" s="9" t="s">
        <v>80</v>
      </c>
      <c r="D973" s="9" t="s">
        <v>132</v>
      </c>
      <c r="E973" s="10">
        <v>3</v>
      </c>
      <c r="F973" s="9" t="s">
        <v>133</v>
      </c>
      <c r="G973" s="11">
        <v>0</v>
      </c>
      <c r="H973" s="9" t="s">
        <v>91</v>
      </c>
      <c r="I973" s="9" t="s">
        <v>92</v>
      </c>
      <c r="J973" s="9" t="s">
        <v>4</v>
      </c>
      <c r="K973" s="9"/>
      <c r="L973" s="9"/>
      <c r="M973" s="12">
        <f t="shared" si="60"/>
        <v>405</v>
      </c>
      <c r="N973" s="13">
        <f t="shared" si="61"/>
        <v>532</v>
      </c>
      <c r="O973" s="14">
        <f t="shared" si="62"/>
        <v>937</v>
      </c>
      <c r="P973" s="15">
        <f t="shared" si="63"/>
        <v>1.1289156626506025</v>
      </c>
    </row>
    <row r="974" spans="1:16" ht="15.75" hidden="1" customHeight="1" x14ac:dyDescent="0.3">
      <c r="A974" s="9" t="s">
        <v>59</v>
      </c>
      <c r="B974" s="9" t="s">
        <v>332</v>
      </c>
      <c r="C974" s="9" t="s">
        <v>406</v>
      </c>
      <c r="D974" s="9" t="s">
        <v>162</v>
      </c>
      <c r="E974" s="10">
        <v>60</v>
      </c>
      <c r="F974" s="9"/>
      <c r="G974" s="11">
        <v>0</v>
      </c>
      <c r="H974" s="9" t="s">
        <v>171</v>
      </c>
      <c r="I974" s="9" t="s">
        <v>172</v>
      </c>
      <c r="J974" s="9" t="s">
        <v>8</v>
      </c>
      <c r="K974" s="9"/>
      <c r="L974" s="9"/>
      <c r="M974" s="12">
        <f t="shared" si="60"/>
        <v>339</v>
      </c>
      <c r="N974" s="13">
        <f t="shared" si="61"/>
        <v>296</v>
      </c>
      <c r="O974" s="14">
        <f t="shared" si="62"/>
        <v>635</v>
      </c>
      <c r="P974" s="15">
        <f t="shared" si="63"/>
        <v>0.76506024096385539</v>
      </c>
    </row>
    <row r="975" spans="1:16" ht="15.75" hidden="1" customHeight="1" x14ac:dyDescent="0.3">
      <c r="A975" s="9" t="s">
        <v>59</v>
      </c>
      <c r="B975" s="9" t="s">
        <v>332</v>
      </c>
      <c r="C975" s="9" t="s">
        <v>406</v>
      </c>
      <c r="D975" s="9" t="s">
        <v>194</v>
      </c>
      <c r="E975" s="10">
        <v>60</v>
      </c>
      <c r="F975" s="9"/>
      <c r="G975" s="11">
        <v>0</v>
      </c>
      <c r="H975" s="9" t="s">
        <v>200</v>
      </c>
      <c r="I975" s="9" t="s">
        <v>201</v>
      </c>
      <c r="J975" s="9" t="s">
        <v>4</v>
      </c>
      <c r="K975" s="9"/>
      <c r="L975" s="9"/>
      <c r="M975" s="12">
        <f t="shared" si="60"/>
        <v>687</v>
      </c>
      <c r="N975" s="13">
        <f t="shared" si="61"/>
        <v>461.5</v>
      </c>
      <c r="O975" s="14">
        <f t="shared" si="62"/>
        <v>1148.5</v>
      </c>
      <c r="P975" s="15">
        <f t="shared" si="63"/>
        <v>1.3837349397590362</v>
      </c>
    </row>
    <row r="976" spans="1:16" ht="15.75" hidden="1" customHeight="1" x14ac:dyDescent="0.3">
      <c r="A976" s="9" t="s">
        <v>59</v>
      </c>
      <c r="B976" s="9" t="s">
        <v>332</v>
      </c>
      <c r="C976" s="9" t="s">
        <v>406</v>
      </c>
      <c r="D976" s="9" t="s">
        <v>163</v>
      </c>
      <c r="E976" s="10">
        <v>60</v>
      </c>
      <c r="F976" s="9"/>
      <c r="G976" s="11">
        <v>0</v>
      </c>
      <c r="H976" s="9" t="s">
        <v>65</v>
      </c>
      <c r="I976" s="9" t="s">
        <v>66</v>
      </c>
      <c r="J976" s="9" t="s">
        <v>4</v>
      </c>
      <c r="K976" s="9"/>
      <c r="L976" s="9"/>
      <c r="M976" s="12">
        <f t="shared" si="60"/>
        <v>291</v>
      </c>
      <c r="N976" s="13">
        <f t="shared" si="61"/>
        <v>650.5</v>
      </c>
      <c r="O976" s="14">
        <f t="shared" si="62"/>
        <v>941.5</v>
      </c>
      <c r="P976" s="15">
        <f t="shared" si="63"/>
        <v>1.1343373493975903</v>
      </c>
    </row>
    <row r="977" spans="1:16" ht="15.75" hidden="1" customHeight="1" x14ac:dyDescent="0.3">
      <c r="A977" s="9" t="s">
        <v>59</v>
      </c>
      <c r="B977" s="9" t="s">
        <v>332</v>
      </c>
      <c r="C977" s="9" t="s">
        <v>406</v>
      </c>
      <c r="D977" s="9" t="s">
        <v>220</v>
      </c>
      <c r="E977" s="10">
        <v>60</v>
      </c>
      <c r="F977" s="9"/>
      <c r="G977" s="11">
        <v>0</v>
      </c>
      <c r="H977" s="9" t="s">
        <v>171</v>
      </c>
      <c r="I977" s="9" t="s">
        <v>172</v>
      </c>
      <c r="J977" s="9" t="s">
        <v>8</v>
      </c>
      <c r="K977" s="9"/>
      <c r="L977" s="9"/>
      <c r="M977" s="12">
        <f t="shared" si="60"/>
        <v>339</v>
      </c>
      <c r="N977" s="13">
        <f t="shared" si="61"/>
        <v>296</v>
      </c>
      <c r="O977" s="14">
        <f t="shared" si="62"/>
        <v>635</v>
      </c>
      <c r="P977" s="15">
        <f t="shared" si="63"/>
        <v>0.76506024096385539</v>
      </c>
    </row>
    <row r="978" spans="1:16" ht="15.75" hidden="1" customHeight="1" x14ac:dyDescent="0.3">
      <c r="A978" s="9" t="s">
        <v>59</v>
      </c>
      <c r="B978" s="9" t="s">
        <v>407</v>
      </c>
      <c r="C978" s="9" t="s">
        <v>406</v>
      </c>
      <c r="D978" s="9" t="s">
        <v>295</v>
      </c>
      <c r="E978" s="10">
        <v>30</v>
      </c>
      <c r="F978" s="9"/>
      <c r="G978" s="11">
        <v>0</v>
      </c>
      <c r="H978" s="9" t="s">
        <v>186</v>
      </c>
      <c r="I978" s="9" t="s">
        <v>187</v>
      </c>
      <c r="J978" s="9"/>
      <c r="K978" s="9"/>
      <c r="L978" s="9"/>
      <c r="M978" s="12">
        <f t="shared" si="60"/>
        <v>87</v>
      </c>
      <c r="N978" s="13">
        <f t="shared" si="61"/>
        <v>111.5</v>
      </c>
      <c r="O978" s="14">
        <f t="shared" si="62"/>
        <v>198.5</v>
      </c>
      <c r="P978" s="15">
        <f t="shared" si="63"/>
        <v>0.23915662650602409</v>
      </c>
    </row>
    <row r="979" spans="1:16" ht="15.75" hidden="1" customHeight="1" x14ac:dyDescent="0.3">
      <c r="A979" s="9" t="s">
        <v>59</v>
      </c>
      <c r="B979" s="9" t="s">
        <v>407</v>
      </c>
      <c r="C979" s="9" t="s">
        <v>406</v>
      </c>
      <c r="D979" s="9" t="s">
        <v>296</v>
      </c>
      <c r="E979" s="10">
        <v>30</v>
      </c>
      <c r="F979" s="9"/>
      <c r="G979" s="11">
        <v>0</v>
      </c>
      <c r="H979" s="9" t="s">
        <v>65</v>
      </c>
      <c r="I979" s="9" t="s">
        <v>66</v>
      </c>
      <c r="J979" s="9" t="s">
        <v>4</v>
      </c>
      <c r="K979" s="9"/>
      <c r="L979" s="9"/>
      <c r="M979" s="12">
        <f t="shared" si="60"/>
        <v>291</v>
      </c>
      <c r="N979" s="13">
        <f t="shared" si="61"/>
        <v>650.5</v>
      </c>
      <c r="O979" s="14">
        <f t="shared" si="62"/>
        <v>941.5</v>
      </c>
      <c r="P979" s="15">
        <f t="shared" si="63"/>
        <v>1.1343373493975903</v>
      </c>
    </row>
    <row r="980" spans="1:16" ht="15.75" hidden="1" customHeight="1" x14ac:dyDescent="0.3">
      <c r="A980" s="9" t="s">
        <v>59</v>
      </c>
      <c r="B980" s="9" t="s">
        <v>335</v>
      </c>
      <c r="C980" s="9" t="s">
        <v>406</v>
      </c>
      <c r="D980" s="9" t="s">
        <v>342</v>
      </c>
      <c r="E980" s="10">
        <v>30</v>
      </c>
      <c r="F980" s="9"/>
      <c r="G980" s="11">
        <v>0</v>
      </c>
      <c r="H980" s="21" t="s">
        <v>70</v>
      </c>
      <c r="I980" s="21" t="s">
        <v>71</v>
      </c>
      <c r="J980" s="9" t="s">
        <v>8</v>
      </c>
      <c r="K980" s="9"/>
      <c r="L980" s="21" t="s">
        <v>343</v>
      </c>
      <c r="M980" s="12">
        <f t="shared" si="60"/>
        <v>391</v>
      </c>
      <c r="N980" s="13">
        <f t="shared" si="61"/>
        <v>436.5</v>
      </c>
      <c r="O980" s="14">
        <f t="shared" si="62"/>
        <v>827.5</v>
      </c>
      <c r="P980" s="15">
        <f t="shared" si="63"/>
        <v>0.99698795180722888</v>
      </c>
    </row>
    <row r="981" spans="1:16" ht="15.75" hidden="1" customHeight="1" x14ac:dyDescent="0.3">
      <c r="A981" s="9" t="s">
        <v>59</v>
      </c>
      <c r="B981" s="9" t="s">
        <v>335</v>
      </c>
      <c r="C981" s="9" t="s">
        <v>406</v>
      </c>
      <c r="D981" s="9" t="s">
        <v>321</v>
      </c>
      <c r="E981" s="10">
        <v>30</v>
      </c>
      <c r="F981" s="9"/>
      <c r="G981" s="11">
        <v>0</v>
      </c>
      <c r="H981" s="21" t="s">
        <v>70</v>
      </c>
      <c r="I981" s="21" t="s">
        <v>71</v>
      </c>
      <c r="J981" s="9" t="s">
        <v>8</v>
      </c>
      <c r="K981" s="9"/>
      <c r="L981" s="21" t="s">
        <v>323</v>
      </c>
      <c r="M981" s="12">
        <f t="shared" si="60"/>
        <v>391</v>
      </c>
      <c r="N981" s="13">
        <f t="shared" si="61"/>
        <v>436.5</v>
      </c>
      <c r="O981" s="14">
        <f t="shared" si="62"/>
        <v>827.5</v>
      </c>
      <c r="P981" s="15">
        <f t="shared" si="63"/>
        <v>0.99698795180722888</v>
      </c>
    </row>
    <row r="982" spans="1:16" ht="15.75" hidden="1" customHeight="1" x14ac:dyDescent="0.3">
      <c r="A982" s="9" t="s">
        <v>59</v>
      </c>
      <c r="B982" s="9" t="s">
        <v>335</v>
      </c>
      <c r="C982" s="9" t="s">
        <v>406</v>
      </c>
      <c r="D982" s="9" t="s">
        <v>289</v>
      </c>
      <c r="E982" s="10">
        <v>30</v>
      </c>
      <c r="F982" s="9"/>
      <c r="G982" s="11">
        <v>0</v>
      </c>
      <c r="H982" s="21" t="s">
        <v>70</v>
      </c>
      <c r="I982" s="21" t="s">
        <v>71</v>
      </c>
      <c r="J982" s="9"/>
      <c r="K982" s="9"/>
      <c r="L982" s="9" t="s">
        <v>290</v>
      </c>
      <c r="M982" s="12">
        <f t="shared" si="60"/>
        <v>391</v>
      </c>
      <c r="N982" s="13">
        <f t="shared" si="61"/>
        <v>436.5</v>
      </c>
      <c r="O982" s="14">
        <f t="shared" si="62"/>
        <v>827.5</v>
      </c>
      <c r="P982" s="15">
        <f t="shared" si="63"/>
        <v>0.99698795180722888</v>
      </c>
    </row>
    <row r="983" spans="1:16" ht="15.75" hidden="1" customHeight="1" x14ac:dyDescent="0.3">
      <c r="A983" s="9" t="s">
        <v>59</v>
      </c>
      <c r="B983" s="9" t="s">
        <v>335</v>
      </c>
      <c r="C983" s="9" t="s">
        <v>406</v>
      </c>
      <c r="D983" s="9" t="s">
        <v>325</v>
      </c>
      <c r="E983" s="10">
        <v>30</v>
      </c>
      <c r="F983" s="9"/>
      <c r="G983" s="11">
        <v>0</v>
      </c>
      <c r="H983" s="21" t="s">
        <v>70</v>
      </c>
      <c r="I983" s="21" t="s">
        <v>71</v>
      </c>
      <c r="J983" s="9" t="s">
        <v>8</v>
      </c>
      <c r="K983" s="9"/>
      <c r="L983" s="9" t="s">
        <v>326</v>
      </c>
      <c r="M983" s="12">
        <f t="shared" si="60"/>
        <v>391</v>
      </c>
      <c r="N983" s="13">
        <f t="shared" si="61"/>
        <v>436.5</v>
      </c>
      <c r="O983" s="14">
        <f t="shared" si="62"/>
        <v>827.5</v>
      </c>
      <c r="P983" s="15">
        <f t="shared" si="63"/>
        <v>0.99698795180722888</v>
      </c>
    </row>
    <row r="984" spans="1:16" ht="15.75" hidden="1" customHeight="1" x14ac:dyDescent="0.3">
      <c r="A984" s="9" t="s">
        <v>59</v>
      </c>
      <c r="B984" s="9" t="s">
        <v>335</v>
      </c>
      <c r="C984" s="9" t="s">
        <v>406</v>
      </c>
      <c r="D984" s="9" t="s">
        <v>74</v>
      </c>
      <c r="E984" s="10">
        <v>30</v>
      </c>
      <c r="F984" s="9"/>
      <c r="G984" s="11">
        <v>0</v>
      </c>
      <c r="H984" s="21" t="s">
        <v>70</v>
      </c>
      <c r="I984" s="21" t="s">
        <v>71</v>
      </c>
      <c r="J984" s="9"/>
      <c r="K984" s="9"/>
      <c r="L984" s="9" t="s">
        <v>78</v>
      </c>
      <c r="M984" s="12">
        <f t="shared" si="60"/>
        <v>391</v>
      </c>
      <c r="N984" s="13">
        <f t="shared" si="61"/>
        <v>436.5</v>
      </c>
      <c r="O984" s="14">
        <f t="shared" si="62"/>
        <v>827.5</v>
      </c>
      <c r="P984" s="15">
        <f t="shared" si="63"/>
        <v>0.99698795180722888</v>
      </c>
    </row>
    <row r="985" spans="1:16" ht="15.75" hidden="1" customHeight="1" x14ac:dyDescent="0.3">
      <c r="A985" s="9" t="s">
        <v>59</v>
      </c>
      <c r="B985" s="9" t="s">
        <v>335</v>
      </c>
      <c r="C985" s="9" t="s">
        <v>406</v>
      </c>
      <c r="D985" s="9" t="s">
        <v>318</v>
      </c>
      <c r="E985" s="10">
        <v>30</v>
      </c>
      <c r="F985" s="9"/>
      <c r="G985" s="11">
        <v>0</v>
      </c>
      <c r="H985" s="21" t="s">
        <v>70</v>
      </c>
      <c r="I985" s="21" t="s">
        <v>71</v>
      </c>
      <c r="J985" s="9" t="s">
        <v>8</v>
      </c>
      <c r="K985" s="9"/>
      <c r="L985" s="9" t="s">
        <v>408</v>
      </c>
      <c r="M985" s="12">
        <f t="shared" si="60"/>
        <v>391</v>
      </c>
      <c r="N985" s="13">
        <f t="shared" si="61"/>
        <v>436.5</v>
      </c>
      <c r="O985" s="14">
        <f t="shared" si="62"/>
        <v>827.5</v>
      </c>
      <c r="P985" s="15">
        <f t="shared" si="63"/>
        <v>0.99698795180722888</v>
      </c>
    </row>
    <row r="986" spans="1:16" ht="15.75" hidden="1" customHeight="1" x14ac:dyDescent="0.3">
      <c r="A986" s="9" t="s">
        <v>59</v>
      </c>
      <c r="B986" s="9" t="s">
        <v>335</v>
      </c>
      <c r="C986" s="9" t="s">
        <v>333</v>
      </c>
      <c r="D986" s="9" t="s">
        <v>344</v>
      </c>
      <c r="E986" s="10">
        <v>4</v>
      </c>
      <c r="F986" s="9"/>
      <c r="G986" s="11">
        <v>0</v>
      </c>
      <c r="H986" s="9" t="s">
        <v>76</v>
      </c>
      <c r="I986" s="9" t="s">
        <v>77</v>
      </c>
      <c r="J986" s="9"/>
      <c r="K986" s="9"/>
      <c r="L986" s="9" t="s">
        <v>345</v>
      </c>
      <c r="M986" s="12">
        <f t="shared" si="60"/>
        <v>249</v>
      </c>
      <c r="N986" s="13">
        <f t="shared" si="61"/>
        <v>294</v>
      </c>
      <c r="O986" s="14">
        <f t="shared" si="62"/>
        <v>543</v>
      </c>
      <c r="P986" s="15">
        <f t="shared" si="63"/>
        <v>0.6542168674698795</v>
      </c>
    </row>
    <row r="987" spans="1:16" ht="15.75" hidden="1" customHeight="1" x14ac:dyDescent="0.3">
      <c r="A987" s="9" t="s">
        <v>59</v>
      </c>
      <c r="B987" s="9" t="s">
        <v>335</v>
      </c>
      <c r="C987" s="9" t="s">
        <v>333</v>
      </c>
      <c r="D987" s="9" t="s">
        <v>346</v>
      </c>
      <c r="E987" s="10">
        <v>2</v>
      </c>
      <c r="F987" s="9"/>
      <c r="G987" s="11">
        <v>0</v>
      </c>
      <c r="H987" s="9" t="s">
        <v>257</v>
      </c>
      <c r="I987" s="9" t="s">
        <v>258</v>
      </c>
      <c r="J987" s="9" t="s">
        <v>8</v>
      </c>
      <c r="K987" s="9"/>
      <c r="L987" s="9" t="s">
        <v>347</v>
      </c>
      <c r="M987" s="12">
        <f t="shared" si="60"/>
        <v>331</v>
      </c>
      <c r="N987" s="13">
        <f t="shared" si="61"/>
        <v>520</v>
      </c>
      <c r="O987" s="14">
        <f t="shared" si="62"/>
        <v>851</v>
      </c>
      <c r="P987" s="15">
        <f t="shared" si="63"/>
        <v>1.0253012048192771</v>
      </c>
    </row>
    <row r="988" spans="1:16" ht="15.75" hidden="1" customHeight="1" x14ac:dyDescent="0.3">
      <c r="A988" s="9" t="s">
        <v>59</v>
      </c>
      <c r="B988" s="21" t="s">
        <v>333</v>
      </c>
      <c r="C988" s="21" t="s">
        <v>333</v>
      </c>
      <c r="D988" s="21" t="s">
        <v>103</v>
      </c>
      <c r="E988" s="10">
        <v>16</v>
      </c>
      <c r="F988" s="9"/>
      <c r="G988" s="11">
        <v>0</v>
      </c>
      <c r="H988" s="9"/>
      <c r="I988" s="31" t="s">
        <v>246</v>
      </c>
      <c r="J988" s="31" t="s">
        <v>4</v>
      </c>
      <c r="K988" s="9"/>
      <c r="L988" s="9"/>
      <c r="M988" s="12">
        <f t="shared" si="60"/>
        <v>200</v>
      </c>
      <c r="N988" s="13">
        <f t="shared" si="61"/>
        <v>271</v>
      </c>
      <c r="O988" s="14">
        <f t="shared" si="62"/>
        <v>471</v>
      </c>
      <c r="P988" s="15">
        <f t="shared" si="63"/>
        <v>0.56746987951807226</v>
      </c>
    </row>
    <row r="989" spans="1:16" ht="15.75" hidden="1" customHeight="1" x14ac:dyDescent="0.3">
      <c r="A989" s="9" t="s">
        <v>59</v>
      </c>
      <c r="B989" s="21" t="s">
        <v>333</v>
      </c>
      <c r="C989" s="21" t="s">
        <v>333</v>
      </c>
      <c r="D989" s="21" t="s">
        <v>103</v>
      </c>
      <c r="E989" s="10">
        <v>16</v>
      </c>
      <c r="F989" s="9"/>
      <c r="G989" s="11">
        <v>0</v>
      </c>
      <c r="H989" s="9"/>
      <c r="I989" s="31" t="s">
        <v>92</v>
      </c>
      <c r="J989" s="31" t="s">
        <v>4</v>
      </c>
      <c r="K989" s="9"/>
      <c r="L989" s="9"/>
      <c r="M989" s="12">
        <f t="shared" si="60"/>
        <v>405</v>
      </c>
      <c r="N989" s="13">
        <f t="shared" si="61"/>
        <v>532</v>
      </c>
      <c r="O989" s="14">
        <f t="shared" si="62"/>
        <v>937</v>
      </c>
      <c r="P989" s="15">
        <f t="shared" si="63"/>
        <v>1.1289156626506025</v>
      </c>
    </row>
    <row r="990" spans="1:16" ht="15.75" hidden="1" customHeight="1" x14ac:dyDescent="0.3">
      <c r="A990" s="9" t="s">
        <v>59</v>
      </c>
      <c r="B990" s="21" t="s">
        <v>333</v>
      </c>
      <c r="C990" s="21" t="s">
        <v>333</v>
      </c>
      <c r="D990" s="21" t="s">
        <v>199</v>
      </c>
      <c r="E990" s="23">
        <v>23</v>
      </c>
      <c r="F990" s="9"/>
      <c r="G990" s="11">
        <v>0</v>
      </c>
      <c r="H990" s="9"/>
      <c r="I990" s="32" t="s">
        <v>129</v>
      </c>
      <c r="J990" s="32" t="s">
        <v>8</v>
      </c>
      <c r="K990" s="9"/>
      <c r="L990" s="9"/>
      <c r="M990" s="12">
        <f t="shared" si="60"/>
        <v>348</v>
      </c>
      <c r="N990" s="13">
        <f t="shared" si="61"/>
        <v>610</v>
      </c>
      <c r="O990" s="14">
        <f t="shared" si="62"/>
        <v>958</v>
      </c>
      <c r="P990" s="15">
        <f t="shared" si="63"/>
        <v>1.1542168674698796</v>
      </c>
    </row>
    <row r="991" spans="1:16" ht="15.75" hidden="1" customHeight="1" x14ac:dyDescent="0.3">
      <c r="A991" s="9" t="s">
        <v>59</v>
      </c>
      <c r="B991" s="21" t="s">
        <v>333</v>
      </c>
      <c r="C991" s="21" t="s">
        <v>333</v>
      </c>
      <c r="D991" s="21" t="s">
        <v>199</v>
      </c>
      <c r="E991" s="23">
        <v>23</v>
      </c>
      <c r="F991" s="9"/>
      <c r="G991" s="11">
        <v>0</v>
      </c>
      <c r="H991" s="9"/>
      <c r="I991" s="32" t="s">
        <v>201</v>
      </c>
      <c r="J991" s="32" t="s">
        <v>4</v>
      </c>
      <c r="K991" s="9"/>
      <c r="L991" s="9"/>
      <c r="M991" s="12">
        <f t="shared" si="60"/>
        <v>687</v>
      </c>
      <c r="N991" s="13">
        <f t="shared" si="61"/>
        <v>461.5</v>
      </c>
      <c r="O991" s="14">
        <f t="shared" si="62"/>
        <v>1148.5</v>
      </c>
      <c r="P991" s="15">
        <f t="shared" si="63"/>
        <v>1.3837349397590362</v>
      </c>
    </row>
    <row r="992" spans="1:16" ht="15.75" hidden="1" customHeight="1" x14ac:dyDescent="0.3">
      <c r="A992" s="9" t="s">
        <v>59</v>
      </c>
      <c r="B992" s="21" t="s">
        <v>333</v>
      </c>
      <c r="C992" s="21" t="s">
        <v>333</v>
      </c>
      <c r="D992" s="21" t="s">
        <v>119</v>
      </c>
      <c r="E992" s="23">
        <v>2</v>
      </c>
      <c r="F992" s="9"/>
      <c r="G992" s="11">
        <v>0</v>
      </c>
      <c r="H992" s="9"/>
      <c r="I992" s="33" t="s">
        <v>66</v>
      </c>
      <c r="J992" s="9"/>
      <c r="K992" s="9"/>
      <c r="L992" s="9"/>
      <c r="M992" s="12">
        <f t="shared" si="60"/>
        <v>291</v>
      </c>
      <c r="N992" s="13">
        <f t="shared" si="61"/>
        <v>650.5</v>
      </c>
      <c r="O992" s="14">
        <f t="shared" si="62"/>
        <v>941.5</v>
      </c>
      <c r="P992" s="15">
        <f t="shared" si="63"/>
        <v>1.1343373493975903</v>
      </c>
    </row>
    <row r="993" spans="1:16" ht="15.75" hidden="1" customHeight="1" x14ac:dyDescent="0.3">
      <c r="A993" s="9" t="s">
        <v>59</v>
      </c>
      <c r="B993" s="21" t="s">
        <v>333</v>
      </c>
      <c r="C993" s="21" t="s">
        <v>333</v>
      </c>
      <c r="D993" s="21" t="s">
        <v>119</v>
      </c>
      <c r="E993" s="23">
        <v>2</v>
      </c>
      <c r="F993" s="9"/>
      <c r="G993" s="11">
        <v>0</v>
      </c>
      <c r="H993" s="9"/>
      <c r="I993" s="33" t="s">
        <v>116</v>
      </c>
      <c r="J993" s="9"/>
      <c r="K993" s="9"/>
      <c r="L993" s="9"/>
      <c r="M993" s="12">
        <f t="shared" si="60"/>
        <v>381</v>
      </c>
      <c r="N993" s="13">
        <f t="shared" si="61"/>
        <v>367</v>
      </c>
      <c r="O993" s="14">
        <f t="shared" si="62"/>
        <v>748</v>
      </c>
      <c r="P993" s="15">
        <f t="shared" si="63"/>
        <v>0.90120481927710838</v>
      </c>
    </row>
    <row r="994" spans="1:16" ht="15.75" hidden="1" customHeight="1" x14ac:dyDescent="0.3">
      <c r="A994" s="9" t="s">
        <v>59</v>
      </c>
      <c r="B994" s="21" t="s">
        <v>333</v>
      </c>
      <c r="C994" s="21" t="s">
        <v>333</v>
      </c>
      <c r="D994" s="21" t="s">
        <v>119</v>
      </c>
      <c r="E994" s="23">
        <v>2</v>
      </c>
      <c r="F994" s="9"/>
      <c r="G994" s="11">
        <v>0</v>
      </c>
      <c r="H994" s="9"/>
      <c r="I994" s="9" t="s">
        <v>273</v>
      </c>
      <c r="J994" s="9"/>
      <c r="K994" s="9"/>
      <c r="L994" s="9"/>
      <c r="M994" s="12">
        <f t="shared" ref="M994:M1053" si="64">SUMIFS($E$2:$E$1130,$A$2:$A$1130,"осень",$I$2:$I$1130,I994)</f>
        <v>552</v>
      </c>
      <c r="N994" s="13">
        <f t="shared" ref="N994:N1053" si="65">SUMIFS($E$2:$E$1130,$A$2:$A$1130,"весна",$I$2:$I$1130,I994)</f>
        <v>171</v>
      </c>
      <c r="O994" s="14">
        <f t="shared" ref="O994:O1053" si="66">M994+N994</f>
        <v>723</v>
      </c>
      <c r="P994" s="15">
        <f t="shared" ref="P994:P1053" si="67">O994/$P$1</f>
        <v>0.87108433734939761</v>
      </c>
    </row>
    <row r="995" spans="1:16" ht="15.75" hidden="1" customHeight="1" x14ac:dyDescent="0.3">
      <c r="A995" s="9" t="s">
        <v>59</v>
      </c>
      <c r="B995" s="21" t="s">
        <v>333</v>
      </c>
      <c r="C995" s="21" t="s">
        <v>333</v>
      </c>
      <c r="D995" s="21" t="s">
        <v>119</v>
      </c>
      <c r="E995" s="23">
        <v>11</v>
      </c>
      <c r="F995" s="9"/>
      <c r="G995" s="11">
        <v>0</v>
      </c>
      <c r="H995" s="9"/>
      <c r="I995" s="9" t="s">
        <v>71</v>
      </c>
      <c r="J995" s="9"/>
      <c r="K995" s="9"/>
      <c r="L995" s="9"/>
      <c r="M995" s="12">
        <f t="shared" si="64"/>
        <v>391</v>
      </c>
      <c r="N995" s="13">
        <f t="shared" si="65"/>
        <v>436.5</v>
      </c>
      <c r="O995" s="14">
        <f t="shared" si="66"/>
        <v>827.5</v>
      </c>
      <c r="P995" s="15">
        <f t="shared" si="67"/>
        <v>0.99698795180722888</v>
      </c>
    </row>
    <row r="996" spans="1:16" ht="15.75" hidden="1" customHeight="1" x14ac:dyDescent="0.3">
      <c r="A996" s="9" t="s">
        <v>59</v>
      </c>
      <c r="B996" s="21" t="s">
        <v>333</v>
      </c>
      <c r="C996" s="21" t="s">
        <v>333</v>
      </c>
      <c r="D996" s="21" t="s">
        <v>119</v>
      </c>
      <c r="E996" s="23">
        <v>10</v>
      </c>
      <c r="F996" s="9"/>
      <c r="G996" s="11">
        <v>0</v>
      </c>
      <c r="H996" s="9"/>
      <c r="I996" s="9" t="s">
        <v>155</v>
      </c>
      <c r="J996" s="9"/>
      <c r="K996" s="9"/>
      <c r="L996" s="9"/>
      <c r="M996" s="12">
        <f t="shared" si="64"/>
        <v>302</v>
      </c>
      <c r="N996" s="13">
        <f t="shared" si="65"/>
        <v>124.5</v>
      </c>
      <c r="O996" s="14">
        <f t="shared" si="66"/>
        <v>426.5</v>
      </c>
      <c r="P996" s="15">
        <f t="shared" si="67"/>
        <v>0.51385542168674703</v>
      </c>
    </row>
    <row r="997" spans="1:16" ht="15.75" hidden="1" customHeight="1" x14ac:dyDescent="0.3">
      <c r="A997" s="9" t="s">
        <v>59</v>
      </c>
      <c r="B997" s="21" t="s">
        <v>333</v>
      </c>
      <c r="C997" s="21" t="s">
        <v>333</v>
      </c>
      <c r="D997" s="21" t="s">
        <v>119</v>
      </c>
      <c r="E997" s="23">
        <v>7</v>
      </c>
      <c r="F997" s="9"/>
      <c r="G997" s="11">
        <v>0</v>
      </c>
      <c r="H997" s="9"/>
      <c r="I997" s="9" t="s">
        <v>97</v>
      </c>
      <c r="J997" s="9"/>
      <c r="K997" s="9"/>
      <c r="L997" s="9"/>
      <c r="M997" s="12">
        <f t="shared" si="64"/>
        <v>501</v>
      </c>
      <c r="N997" s="13">
        <f t="shared" si="65"/>
        <v>486.5</v>
      </c>
      <c r="O997" s="14">
        <f t="shared" si="66"/>
        <v>987.5</v>
      </c>
      <c r="P997" s="15">
        <f t="shared" si="67"/>
        <v>1.1897590361445782</v>
      </c>
    </row>
    <row r="998" spans="1:16" ht="15.75" hidden="1" customHeight="1" x14ac:dyDescent="0.3">
      <c r="A998" s="9" t="s">
        <v>59</v>
      </c>
      <c r="B998" s="21" t="s">
        <v>333</v>
      </c>
      <c r="C998" s="21" t="s">
        <v>333</v>
      </c>
      <c r="D998" s="21" t="s">
        <v>189</v>
      </c>
      <c r="E998" s="23">
        <v>36</v>
      </c>
      <c r="F998" s="9"/>
      <c r="G998" s="11">
        <v>0</v>
      </c>
      <c r="H998" s="9"/>
      <c r="I998" s="9" t="s">
        <v>92</v>
      </c>
      <c r="J998" s="9"/>
      <c r="K998" s="9" t="s">
        <v>409</v>
      </c>
      <c r="L998" s="9"/>
      <c r="M998" s="12">
        <f t="shared" si="64"/>
        <v>405</v>
      </c>
      <c r="N998" s="13">
        <f t="shared" si="65"/>
        <v>532</v>
      </c>
      <c r="O998" s="14">
        <f t="shared" si="66"/>
        <v>937</v>
      </c>
      <c r="P998" s="15">
        <f t="shared" si="67"/>
        <v>1.1289156626506025</v>
      </c>
    </row>
    <row r="999" spans="1:16" ht="15.75" hidden="1" customHeight="1" x14ac:dyDescent="0.3">
      <c r="A999" s="9" t="s">
        <v>59</v>
      </c>
      <c r="B999" s="21" t="s">
        <v>333</v>
      </c>
      <c r="C999" s="21" t="s">
        <v>333</v>
      </c>
      <c r="D999" s="21" t="s">
        <v>165</v>
      </c>
      <c r="E999" s="10">
        <v>5</v>
      </c>
      <c r="F999" s="9"/>
      <c r="G999" s="11">
        <v>0</v>
      </c>
      <c r="H999" s="9"/>
      <c r="I999" s="24" t="s">
        <v>231</v>
      </c>
      <c r="J999" s="24" t="s">
        <v>4</v>
      </c>
      <c r="K999" s="9"/>
      <c r="L999" s="9"/>
      <c r="M999" s="12">
        <f t="shared" si="64"/>
        <v>116</v>
      </c>
      <c r="N999" s="13">
        <f t="shared" si="65"/>
        <v>105</v>
      </c>
      <c r="O999" s="14">
        <f t="shared" si="66"/>
        <v>221</v>
      </c>
      <c r="P999" s="15">
        <f t="shared" si="67"/>
        <v>0.26626506024096386</v>
      </c>
    </row>
    <row r="1000" spans="1:16" ht="15.75" hidden="1" customHeight="1" x14ac:dyDescent="0.3">
      <c r="A1000" s="9" t="s">
        <v>59</v>
      </c>
      <c r="B1000" s="21" t="s">
        <v>333</v>
      </c>
      <c r="C1000" s="21" t="s">
        <v>333</v>
      </c>
      <c r="D1000" s="21" t="s">
        <v>165</v>
      </c>
      <c r="E1000" s="10">
        <v>5</v>
      </c>
      <c r="F1000" s="9"/>
      <c r="G1000" s="11">
        <v>0</v>
      </c>
      <c r="H1000" s="9"/>
      <c r="I1000" s="9" t="s">
        <v>129</v>
      </c>
      <c r="J1000" s="34" t="s">
        <v>8</v>
      </c>
      <c r="K1000" s="9"/>
      <c r="L1000" s="9"/>
      <c r="M1000" s="12">
        <f t="shared" si="64"/>
        <v>348</v>
      </c>
      <c r="N1000" s="13">
        <f t="shared" si="65"/>
        <v>610</v>
      </c>
      <c r="O1000" s="14">
        <f t="shared" si="66"/>
        <v>958</v>
      </c>
      <c r="P1000" s="15">
        <f t="shared" si="67"/>
        <v>1.1542168674698796</v>
      </c>
    </row>
    <row r="1001" spans="1:16" ht="15.75" hidden="1" customHeight="1" x14ac:dyDescent="0.3">
      <c r="A1001" s="9" t="s">
        <v>59</v>
      </c>
      <c r="B1001" s="21" t="s">
        <v>333</v>
      </c>
      <c r="C1001" s="21" t="s">
        <v>333</v>
      </c>
      <c r="D1001" s="21" t="s">
        <v>165</v>
      </c>
      <c r="E1001" s="10">
        <v>5</v>
      </c>
      <c r="F1001" s="9"/>
      <c r="G1001" s="11">
        <v>0</v>
      </c>
      <c r="H1001" s="9"/>
      <c r="I1001" s="35" t="s">
        <v>168</v>
      </c>
      <c r="J1001" s="9" t="s">
        <v>4</v>
      </c>
      <c r="K1001" s="9"/>
      <c r="L1001" s="9"/>
      <c r="M1001" s="12">
        <f t="shared" si="64"/>
        <v>456</v>
      </c>
      <c r="N1001" s="13">
        <f t="shared" si="65"/>
        <v>362</v>
      </c>
      <c r="O1001" s="14">
        <f t="shared" si="66"/>
        <v>818</v>
      </c>
      <c r="P1001" s="15">
        <f t="shared" si="67"/>
        <v>0.98554216867469879</v>
      </c>
    </row>
    <row r="1002" spans="1:16" ht="15.75" hidden="1" customHeight="1" x14ac:dyDescent="0.3">
      <c r="A1002" s="9" t="s">
        <v>59</v>
      </c>
      <c r="B1002" s="21" t="s">
        <v>333</v>
      </c>
      <c r="C1002" s="21" t="s">
        <v>333</v>
      </c>
      <c r="D1002" s="21" t="s">
        <v>165</v>
      </c>
      <c r="E1002" s="10">
        <v>5</v>
      </c>
      <c r="F1002" s="9"/>
      <c r="G1002" s="11">
        <v>0</v>
      </c>
      <c r="H1002" s="9"/>
      <c r="I1002" s="36" t="s">
        <v>92</v>
      </c>
      <c r="J1002" s="9" t="s">
        <v>4</v>
      </c>
      <c r="K1002" s="9"/>
      <c r="L1002" s="9"/>
      <c r="M1002" s="12">
        <f t="shared" si="64"/>
        <v>405</v>
      </c>
      <c r="N1002" s="13">
        <f t="shared" si="65"/>
        <v>532</v>
      </c>
      <c r="O1002" s="14">
        <f t="shared" si="66"/>
        <v>937</v>
      </c>
      <c r="P1002" s="15">
        <f t="shared" si="67"/>
        <v>1.1289156626506025</v>
      </c>
    </row>
    <row r="1003" spans="1:16" ht="15.75" hidden="1" customHeight="1" x14ac:dyDescent="0.3">
      <c r="A1003" s="9" t="s">
        <v>59</v>
      </c>
      <c r="B1003" s="21" t="s">
        <v>333</v>
      </c>
      <c r="C1003" s="21" t="s">
        <v>333</v>
      </c>
      <c r="D1003" s="21" t="s">
        <v>165</v>
      </c>
      <c r="E1003" s="10">
        <v>5</v>
      </c>
      <c r="F1003" s="9"/>
      <c r="G1003" s="11">
        <v>0</v>
      </c>
      <c r="H1003" s="9"/>
      <c r="I1003" s="9" t="s">
        <v>129</v>
      </c>
      <c r="J1003" s="34" t="s">
        <v>8</v>
      </c>
      <c r="K1003" s="9"/>
      <c r="L1003" s="9"/>
      <c r="M1003" s="12">
        <f t="shared" si="64"/>
        <v>348</v>
      </c>
      <c r="N1003" s="13">
        <f t="shared" si="65"/>
        <v>610</v>
      </c>
      <c r="O1003" s="14">
        <f t="shared" si="66"/>
        <v>958</v>
      </c>
      <c r="P1003" s="15">
        <f t="shared" si="67"/>
        <v>1.1542168674698796</v>
      </c>
    </row>
    <row r="1004" spans="1:16" ht="15.75" hidden="1" customHeight="1" x14ac:dyDescent="0.3">
      <c r="A1004" s="9" t="s">
        <v>59</v>
      </c>
      <c r="B1004" s="21" t="s">
        <v>333</v>
      </c>
      <c r="C1004" s="21" t="s">
        <v>333</v>
      </c>
      <c r="D1004" s="21" t="s">
        <v>237</v>
      </c>
      <c r="E1004" s="23">
        <v>3</v>
      </c>
      <c r="F1004" s="9"/>
      <c r="G1004" s="11"/>
      <c r="H1004" s="9"/>
      <c r="I1004" s="9" t="s">
        <v>99</v>
      </c>
      <c r="J1004" s="9" t="s">
        <v>4</v>
      </c>
      <c r="K1004" s="9"/>
      <c r="L1004" s="9"/>
      <c r="M1004" s="12">
        <f t="shared" si="64"/>
        <v>239</v>
      </c>
      <c r="N1004" s="13">
        <f t="shared" si="65"/>
        <v>196.5</v>
      </c>
      <c r="O1004" s="14">
        <f t="shared" si="66"/>
        <v>435.5</v>
      </c>
      <c r="P1004" s="15">
        <f t="shared" si="67"/>
        <v>0.52469879518072293</v>
      </c>
    </row>
    <row r="1005" spans="1:16" ht="15.75" hidden="1" customHeight="1" x14ac:dyDescent="0.3">
      <c r="A1005" s="9" t="s">
        <v>59</v>
      </c>
      <c r="B1005" s="21" t="s">
        <v>333</v>
      </c>
      <c r="C1005" s="21" t="s">
        <v>333</v>
      </c>
      <c r="D1005" s="21" t="s">
        <v>237</v>
      </c>
      <c r="E1005" s="23">
        <v>3</v>
      </c>
      <c r="F1005" s="9"/>
      <c r="G1005" s="11"/>
      <c r="H1005" s="9"/>
      <c r="I1005" s="9" t="s">
        <v>66</v>
      </c>
      <c r="J1005" s="37"/>
      <c r="K1005" s="9"/>
      <c r="L1005" s="9"/>
      <c r="M1005" s="12">
        <f t="shared" si="64"/>
        <v>291</v>
      </c>
      <c r="N1005" s="13">
        <f t="shared" si="65"/>
        <v>650.5</v>
      </c>
      <c r="O1005" s="14">
        <f t="shared" si="66"/>
        <v>941.5</v>
      </c>
      <c r="P1005" s="15">
        <f t="shared" si="67"/>
        <v>1.1343373493975903</v>
      </c>
    </row>
    <row r="1006" spans="1:16" ht="15.75" hidden="1" customHeight="1" x14ac:dyDescent="0.3">
      <c r="A1006" s="9" t="s">
        <v>59</v>
      </c>
      <c r="B1006" s="21" t="s">
        <v>333</v>
      </c>
      <c r="C1006" s="21" t="s">
        <v>333</v>
      </c>
      <c r="D1006" s="21" t="s">
        <v>237</v>
      </c>
      <c r="E1006" s="23">
        <v>3</v>
      </c>
      <c r="F1006" s="9"/>
      <c r="G1006" s="11"/>
      <c r="H1006" s="9"/>
      <c r="I1006" s="9" t="s">
        <v>273</v>
      </c>
      <c r="J1006" s="37"/>
      <c r="K1006" s="9"/>
      <c r="L1006" s="9"/>
      <c r="M1006" s="12">
        <f t="shared" si="64"/>
        <v>552</v>
      </c>
      <c r="N1006" s="13">
        <f t="shared" si="65"/>
        <v>171</v>
      </c>
      <c r="O1006" s="14">
        <f t="shared" si="66"/>
        <v>723</v>
      </c>
      <c r="P1006" s="15">
        <f t="shared" si="67"/>
        <v>0.87108433734939761</v>
      </c>
    </row>
    <row r="1007" spans="1:16" ht="15.75" hidden="1" customHeight="1" x14ac:dyDescent="0.3">
      <c r="A1007" s="9" t="s">
        <v>59</v>
      </c>
      <c r="B1007" s="21" t="s">
        <v>333</v>
      </c>
      <c r="C1007" s="21" t="s">
        <v>333</v>
      </c>
      <c r="D1007" s="21" t="s">
        <v>237</v>
      </c>
      <c r="E1007" s="23">
        <v>12</v>
      </c>
      <c r="F1007" s="9"/>
      <c r="G1007" s="11"/>
      <c r="H1007" s="9"/>
      <c r="I1007" s="38" t="s">
        <v>71</v>
      </c>
      <c r="J1007" s="37"/>
      <c r="K1007" s="9"/>
      <c r="L1007" s="9"/>
      <c r="M1007" s="12">
        <f t="shared" si="64"/>
        <v>391</v>
      </c>
      <c r="N1007" s="13">
        <f t="shared" si="65"/>
        <v>436.5</v>
      </c>
      <c r="O1007" s="14">
        <f t="shared" si="66"/>
        <v>827.5</v>
      </c>
      <c r="P1007" s="15">
        <f t="shared" si="67"/>
        <v>0.99698795180722888</v>
      </c>
    </row>
    <row r="1008" spans="1:16" ht="15.75" hidden="1" customHeight="1" x14ac:dyDescent="0.3">
      <c r="A1008" s="9" t="s">
        <v>59</v>
      </c>
      <c r="B1008" s="21" t="s">
        <v>333</v>
      </c>
      <c r="C1008" s="21" t="s">
        <v>333</v>
      </c>
      <c r="D1008" s="21" t="s">
        <v>152</v>
      </c>
      <c r="E1008" s="10">
        <v>5</v>
      </c>
      <c r="F1008" s="9"/>
      <c r="G1008" s="11">
        <v>0</v>
      </c>
      <c r="H1008" s="9"/>
      <c r="I1008" s="39" t="s">
        <v>95</v>
      </c>
      <c r="J1008" s="9"/>
      <c r="K1008" s="9"/>
      <c r="L1008" s="9"/>
      <c r="M1008" s="12">
        <f t="shared" si="64"/>
        <v>295.8</v>
      </c>
      <c r="N1008" s="13">
        <f t="shared" si="65"/>
        <v>488</v>
      </c>
      <c r="O1008" s="14">
        <f t="shared" si="66"/>
        <v>783.8</v>
      </c>
      <c r="P1008" s="15">
        <f t="shared" si="67"/>
        <v>0.94433734939759029</v>
      </c>
    </row>
    <row r="1009" spans="1:16" ht="15.75" hidden="1" customHeight="1" x14ac:dyDescent="0.3">
      <c r="A1009" s="9" t="s">
        <v>59</v>
      </c>
      <c r="B1009" s="21" t="s">
        <v>333</v>
      </c>
      <c r="C1009" s="21" t="s">
        <v>333</v>
      </c>
      <c r="D1009" s="21" t="s">
        <v>152</v>
      </c>
      <c r="E1009" s="10">
        <v>10</v>
      </c>
      <c r="F1009" s="9"/>
      <c r="G1009" s="11">
        <v>0</v>
      </c>
      <c r="H1009" s="9"/>
      <c r="I1009" s="39" t="s">
        <v>258</v>
      </c>
      <c r="J1009" s="9"/>
      <c r="K1009" s="9"/>
      <c r="L1009" s="9"/>
      <c r="M1009" s="12">
        <f t="shared" si="64"/>
        <v>331</v>
      </c>
      <c r="N1009" s="13">
        <f t="shared" si="65"/>
        <v>520</v>
      </c>
      <c r="O1009" s="14">
        <f t="shared" si="66"/>
        <v>851</v>
      </c>
      <c r="P1009" s="15">
        <f t="shared" si="67"/>
        <v>1.0253012048192771</v>
      </c>
    </row>
    <row r="1010" spans="1:16" ht="15.75" hidden="1" customHeight="1" x14ac:dyDescent="0.3">
      <c r="A1010" s="9" t="s">
        <v>59</v>
      </c>
      <c r="B1010" s="21" t="s">
        <v>333</v>
      </c>
      <c r="C1010" s="21" t="s">
        <v>333</v>
      </c>
      <c r="D1010" s="21" t="s">
        <v>152</v>
      </c>
      <c r="E1010" s="10">
        <v>5</v>
      </c>
      <c r="F1010" s="9"/>
      <c r="G1010" s="11">
        <v>0</v>
      </c>
      <c r="H1010" s="9"/>
      <c r="I1010" s="39" t="s">
        <v>97</v>
      </c>
      <c r="J1010" s="9"/>
      <c r="K1010" s="9"/>
      <c r="L1010" s="9"/>
      <c r="M1010" s="12">
        <f t="shared" si="64"/>
        <v>501</v>
      </c>
      <c r="N1010" s="13">
        <f t="shared" si="65"/>
        <v>486.5</v>
      </c>
      <c r="O1010" s="14">
        <f t="shared" si="66"/>
        <v>987.5</v>
      </c>
      <c r="P1010" s="15">
        <f t="shared" si="67"/>
        <v>1.1897590361445782</v>
      </c>
    </row>
    <row r="1011" spans="1:16" ht="15.75" hidden="1" customHeight="1" x14ac:dyDescent="0.3">
      <c r="A1011" s="9" t="s">
        <v>59</v>
      </c>
      <c r="B1011" s="21" t="s">
        <v>333</v>
      </c>
      <c r="C1011" s="21" t="s">
        <v>333</v>
      </c>
      <c r="D1011" s="21" t="s">
        <v>152</v>
      </c>
      <c r="E1011" s="10">
        <v>5</v>
      </c>
      <c r="F1011" s="9"/>
      <c r="G1011" s="11">
        <v>0</v>
      </c>
      <c r="H1011" s="9"/>
      <c r="I1011" s="39" t="s">
        <v>77</v>
      </c>
      <c r="J1011" s="9"/>
      <c r="K1011" s="9"/>
      <c r="L1011" s="9"/>
      <c r="M1011" s="12">
        <f t="shared" si="64"/>
        <v>249</v>
      </c>
      <c r="N1011" s="13">
        <f t="shared" si="65"/>
        <v>294</v>
      </c>
      <c r="O1011" s="14">
        <f t="shared" si="66"/>
        <v>543</v>
      </c>
      <c r="P1011" s="15">
        <f t="shared" si="67"/>
        <v>0.6542168674698795</v>
      </c>
    </row>
    <row r="1012" spans="1:16" ht="15.75" hidden="1" customHeight="1" x14ac:dyDescent="0.3">
      <c r="A1012" s="9" t="s">
        <v>59</v>
      </c>
      <c r="B1012" s="21" t="s">
        <v>333</v>
      </c>
      <c r="C1012" s="21" t="s">
        <v>333</v>
      </c>
      <c r="D1012" s="21" t="s">
        <v>144</v>
      </c>
      <c r="E1012" s="23">
        <v>8</v>
      </c>
      <c r="F1012" s="9"/>
      <c r="G1012" s="11">
        <v>0</v>
      </c>
      <c r="H1012" s="9"/>
      <c r="I1012" s="40" t="s">
        <v>147</v>
      </c>
      <c r="J1012" s="34" t="s">
        <v>8</v>
      </c>
      <c r="K1012" s="9"/>
      <c r="L1012" s="9"/>
      <c r="M1012" s="12">
        <f t="shared" si="64"/>
        <v>279</v>
      </c>
      <c r="N1012" s="13">
        <f t="shared" si="65"/>
        <v>427.5</v>
      </c>
      <c r="O1012" s="14">
        <f t="shared" si="66"/>
        <v>706.5</v>
      </c>
      <c r="P1012" s="15">
        <f t="shared" si="67"/>
        <v>0.85120481927710845</v>
      </c>
    </row>
    <row r="1013" spans="1:16" ht="15.75" hidden="1" customHeight="1" x14ac:dyDescent="0.3">
      <c r="A1013" s="9" t="s">
        <v>59</v>
      </c>
      <c r="B1013" s="21" t="s">
        <v>333</v>
      </c>
      <c r="C1013" s="21" t="s">
        <v>333</v>
      </c>
      <c r="D1013" s="21" t="s">
        <v>144</v>
      </c>
      <c r="E1013" s="23">
        <v>8</v>
      </c>
      <c r="F1013" s="9"/>
      <c r="G1013" s="11">
        <v>0</v>
      </c>
      <c r="H1013" s="9"/>
      <c r="I1013" s="40" t="s">
        <v>246</v>
      </c>
      <c r="J1013" s="34" t="s">
        <v>8</v>
      </c>
      <c r="K1013" s="9"/>
      <c r="L1013" s="9"/>
      <c r="M1013" s="12">
        <f t="shared" si="64"/>
        <v>200</v>
      </c>
      <c r="N1013" s="13">
        <f t="shared" si="65"/>
        <v>271</v>
      </c>
      <c r="O1013" s="14">
        <f t="shared" si="66"/>
        <v>471</v>
      </c>
      <c r="P1013" s="15">
        <f t="shared" si="67"/>
        <v>0.56746987951807226</v>
      </c>
    </row>
    <row r="1014" spans="1:16" ht="15.75" hidden="1" customHeight="1" x14ac:dyDescent="0.3">
      <c r="A1014" s="9" t="s">
        <v>59</v>
      </c>
      <c r="B1014" s="21" t="s">
        <v>333</v>
      </c>
      <c r="C1014" s="21" t="s">
        <v>333</v>
      </c>
      <c r="D1014" s="21" t="s">
        <v>144</v>
      </c>
      <c r="E1014" s="23">
        <v>8</v>
      </c>
      <c r="F1014" s="9"/>
      <c r="G1014" s="11">
        <v>0</v>
      </c>
      <c r="H1014" s="9"/>
      <c r="I1014" s="40" t="s">
        <v>95</v>
      </c>
      <c r="J1014" s="34" t="s">
        <v>8</v>
      </c>
      <c r="K1014" s="9"/>
      <c r="L1014" s="9"/>
      <c r="M1014" s="12">
        <f t="shared" si="64"/>
        <v>295.8</v>
      </c>
      <c r="N1014" s="13">
        <f t="shared" si="65"/>
        <v>488</v>
      </c>
      <c r="O1014" s="14">
        <f t="shared" si="66"/>
        <v>783.8</v>
      </c>
      <c r="P1014" s="15">
        <f t="shared" si="67"/>
        <v>0.94433734939759029</v>
      </c>
    </row>
    <row r="1015" spans="1:16" ht="15.75" hidden="1" customHeight="1" x14ac:dyDescent="0.3">
      <c r="A1015" s="9" t="s">
        <v>59</v>
      </c>
      <c r="B1015" s="21" t="s">
        <v>333</v>
      </c>
      <c r="C1015" s="21" t="s">
        <v>333</v>
      </c>
      <c r="D1015" s="21" t="s">
        <v>144</v>
      </c>
      <c r="E1015" s="23">
        <v>8</v>
      </c>
      <c r="F1015" s="9"/>
      <c r="G1015" s="11">
        <v>0</v>
      </c>
      <c r="H1015" s="9"/>
      <c r="I1015" s="40" t="s">
        <v>77</v>
      </c>
      <c r="J1015" s="34" t="s">
        <v>8</v>
      </c>
      <c r="K1015" s="9"/>
      <c r="L1015" s="9"/>
      <c r="M1015" s="12">
        <f t="shared" si="64"/>
        <v>249</v>
      </c>
      <c r="N1015" s="13">
        <f t="shared" si="65"/>
        <v>294</v>
      </c>
      <c r="O1015" s="14">
        <f t="shared" si="66"/>
        <v>543</v>
      </c>
      <c r="P1015" s="15">
        <f t="shared" si="67"/>
        <v>0.6542168674698795</v>
      </c>
    </row>
    <row r="1016" spans="1:16" ht="15.75" hidden="1" customHeight="1" x14ac:dyDescent="0.3">
      <c r="A1016" s="9" t="s">
        <v>59</v>
      </c>
      <c r="B1016" s="21" t="s">
        <v>410</v>
      </c>
      <c r="C1016" s="21" t="s">
        <v>406</v>
      </c>
      <c r="D1016" s="21" t="s">
        <v>88</v>
      </c>
      <c r="E1016" s="10">
        <v>30</v>
      </c>
      <c r="F1016" s="9"/>
      <c r="G1016" s="11">
        <v>0</v>
      </c>
      <c r="H1016" s="21" t="s">
        <v>316</v>
      </c>
      <c r="I1016" s="21" t="s">
        <v>358</v>
      </c>
      <c r="J1016" s="21"/>
      <c r="K1016" s="9"/>
      <c r="L1016" s="9"/>
      <c r="M1016" s="12">
        <f t="shared" si="64"/>
        <v>0</v>
      </c>
      <c r="N1016" s="13">
        <f t="shared" si="65"/>
        <v>233</v>
      </c>
      <c r="O1016" s="14">
        <f t="shared" si="66"/>
        <v>233</v>
      </c>
      <c r="P1016" s="15">
        <f t="shared" si="67"/>
        <v>0.28072289156626506</v>
      </c>
    </row>
    <row r="1017" spans="1:16" ht="15.75" hidden="1" customHeight="1" x14ac:dyDescent="0.3">
      <c r="A1017" s="9" t="s">
        <v>59</v>
      </c>
      <c r="B1017" s="21" t="s">
        <v>410</v>
      </c>
      <c r="C1017" s="21" t="s">
        <v>406</v>
      </c>
      <c r="D1017" s="21" t="s">
        <v>90</v>
      </c>
      <c r="E1017" s="10">
        <v>30</v>
      </c>
      <c r="F1017" s="9"/>
      <c r="G1017" s="11">
        <v>0</v>
      </c>
      <c r="H1017" s="21" t="s">
        <v>316</v>
      </c>
      <c r="I1017" s="21" t="s">
        <v>358</v>
      </c>
      <c r="J1017" s="21"/>
      <c r="K1017" s="9"/>
      <c r="L1017" s="9"/>
      <c r="M1017" s="12">
        <f t="shared" si="64"/>
        <v>0</v>
      </c>
      <c r="N1017" s="13">
        <f t="shared" si="65"/>
        <v>233</v>
      </c>
      <c r="O1017" s="14">
        <f t="shared" si="66"/>
        <v>233</v>
      </c>
      <c r="P1017" s="15">
        <f t="shared" si="67"/>
        <v>0.28072289156626506</v>
      </c>
    </row>
    <row r="1018" spans="1:16" ht="15.75" hidden="1" customHeight="1" x14ac:dyDescent="0.3">
      <c r="A1018" s="9" t="s">
        <v>59</v>
      </c>
      <c r="B1018" s="9" t="s">
        <v>410</v>
      </c>
      <c r="C1018" s="9" t="s">
        <v>406</v>
      </c>
      <c r="D1018" s="9" t="s">
        <v>126</v>
      </c>
      <c r="E1018" s="10">
        <v>30</v>
      </c>
      <c r="F1018" s="9"/>
      <c r="G1018" s="11">
        <v>0</v>
      </c>
      <c r="H1018" s="9" t="s">
        <v>200</v>
      </c>
      <c r="I1018" s="9" t="s">
        <v>201</v>
      </c>
      <c r="J1018" s="9" t="s">
        <v>4</v>
      </c>
      <c r="K1018" s="9"/>
      <c r="L1018" s="9"/>
      <c r="M1018" s="12">
        <f t="shared" si="64"/>
        <v>687</v>
      </c>
      <c r="N1018" s="13">
        <f t="shared" si="65"/>
        <v>461.5</v>
      </c>
      <c r="O1018" s="14">
        <f t="shared" si="66"/>
        <v>1148.5</v>
      </c>
      <c r="P1018" s="15">
        <f t="shared" si="67"/>
        <v>1.3837349397590362</v>
      </c>
    </row>
    <row r="1019" spans="1:16" ht="15.75" hidden="1" customHeight="1" x14ac:dyDescent="0.3">
      <c r="A1019" s="9" t="s">
        <v>59</v>
      </c>
      <c r="B1019" s="9" t="s">
        <v>411</v>
      </c>
      <c r="C1019" s="9" t="s">
        <v>333</v>
      </c>
      <c r="D1019" s="9" t="s">
        <v>344</v>
      </c>
      <c r="E1019" s="10">
        <v>4</v>
      </c>
      <c r="F1019" s="9"/>
      <c r="G1019" s="11">
        <v>0</v>
      </c>
      <c r="H1019" s="9" t="s">
        <v>76</v>
      </c>
      <c r="I1019" s="9" t="s">
        <v>77</v>
      </c>
      <c r="J1019" s="9"/>
      <c r="K1019" s="9"/>
      <c r="L1019" s="9" t="s">
        <v>345</v>
      </c>
      <c r="M1019" s="12">
        <f t="shared" si="64"/>
        <v>249</v>
      </c>
      <c r="N1019" s="13">
        <f t="shared" si="65"/>
        <v>294</v>
      </c>
      <c r="O1019" s="14">
        <f t="shared" si="66"/>
        <v>543</v>
      </c>
      <c r="P1019" s="15">
        <f t="shared" si="67"/>
        <v>0.6542168674698795</v>
      </c>
    </row>
    <row r="1020" spans="1:16" ht="15.75" hidden="1" customHeight="1" x14ac:dyDescent="0.3">
      <c r="A1020" s="9" t="s">
        <v>59</v>
      </c>
      <c r="B1020" s="9" t="s">
        <v>411</v>
      </c>
      <c r="C1020" s="9" t="s">
        <v>333</v>
      </c>
      <c r="D1020" s="9" t="s">
        <v>346</v>
      </c>
      <c r="E1020" s="10">
        <v>2</v>
      </c>
      <c r="F1020" s="9"/>
      <c r="G1020" s="11">
        <v>0</v>
      </c>
      <c r="H1020" s="9" t="s">
        <v>257</v>
      </c>
      <c r="I1020" s="9" t="s">
        <v>258</v>
      </c>
      <c r="J1020" s="9" t="s">
        <v>8</v>
      </c>
      <c r="K1020" s="9"/>
      <c r="L1020" s="9" t="s">
        <v>347</v>
      </c>
      <c r="M1020" s="12">
        <f t="shared" si="64"/>
        <v>331</v>
      </c>
      <c r="N1020" s="13">
        <f t="shared" si="65"/>
        <v>520</v>
      </c>
      <c r="O1020" s="14">
        <f t="shared" si="66"/>
        <v>851</v>
      </c>
      <c r="P1020" s="15">
        <f t="shared" si="67"/>
        <v>1.0253012048192771</v>
      </c>
    </row>
    <row r="1021" spans="1:16" ht="15.75" hidden="1" customHeight="1" x14ac:dyDescent="0.3">
      <c r="A1021" s="9" t="s">
        <v>59</v>
      </c>
      <c r="B1021" s="9" t="s">
        <v>412</v>
      </c>
      <c r="C1021" s="9" t="s">
        <v>333</v>
      </c>
      <c r="D1021" s="9" t="s">
        <v>344</v>
      </c>
      <c r="E1021" s="10">
        <v>8</v>
      </c>
      <c r="F1021" s="9"/>
      <c r="G1021" s="11">
        <v>0</v>
      </c>
      <c r="H1021" s="9" t="s">
        <v>76</v>
      </c>
      <c r="I1021" s="9" t="s">
        <v>77</v>
      </c>
      <c r="J1021" s="9"/>
      <c r="K1021" s="9"/>
      <c r="L1021" s="9" t="s">
        <v>345</v>
      </c>
      <c r="M1021" s="12">
        <f t="shared" si="64"/>
        <v>249</v>
      </c>
      <c r="N1021" s="13">
        <f t="shared" si="65"/>
        <v>294</v>
      </c>
      <c r="O1021" s="14">
        <f t="shared" si="66"/>
        <v>543</v>
      </c>
      <c r="P1021" s="15">
        <f t="shared" si="67"/>
        <v>0.6542168674698795</v>
      </c>
    </row>
    <row r="1022" spans="1:16" ht="15.75" hidden="1" customHeight="1" x14ac:dyDescent="0.3">
      <c r="A1022" s="9" t="s">
        <v>59</v>
      </c>
      <c r="B1022" s="9" t="s">
        <v>412</v>
      </c>
      <c r="C1022" s="9" t="s">
        <v>333</v>
      </c>
      <c r="D1022" s="9" t="s">
        <v>346</v>
      </c>
      <c r="E1022" s="10">
        <v>4</v>
      </c>
      <c r="F1022" s="9"/>
      <c r="G1022" s="11">
        <v>0</v>
      </c>
      <c r="H1022" s="9" t="s">
        <v>257</v>
      </c>
      <c r="I1022" s="9" t="s">
        <v>258</v>
      </c>
      <c r="J1022" s="9" t="s">
        <v>8</v>
      </c>
      <c r="K1022" s="9"/>
      <c r="L1022" s="9" t="s">
        <v>347</v>
      </c>
      <c r="M1022" s="12">
        <f t="shared" si="64"/>
        <v>331</v>
      </c>
      <c r="N1022" s="13">
        <f t="shared" si="65"/>
        <v>520</v>
      </c>
      <c r="O1022" s="14">
        <f t="shared" si="66"/>
        <v>851</v>
      </c>
      <c r="P1022" s="15">
        <f t="shared" si="67"/>
        <v>1.0253012048192771</v>
      </c>
    </row>
    <row r="1023" spans="1:16" ht="15.75" hidden="1" customHeight="1" x14ac:dyDescent="0.3">
      <c r="A1023" s="9" t="s">
        <v>59</v>
      </c>
      <c r="B1023" s="9" t="s">
        <v>413</v>
      </c>
      <c r="C1023" s="9" t="s">
        <v>333</v>
      </c>
      <c r="D1023" s="9" t="s">
        <v>344</v>
      </c>
      <c r="E1023" s="10">
        <v>4</v>
      </c>
      <c r="F1023" s="9"/>
      <c r="G1023" s="11">
        <v>0</v>
      </c>
      <c r="H1023" s="9" t="s">
        <v>76</v>
      </c>
      <c r="I1023" s="9" t="s">
        <v>77</v>
      </c>
      <c r="J1023" s="9"/>
      <c r="K1023" s="9"/>
      <c r="L1023" s="9" t="s">
        <v>345</v>
      </c>
      <c r="M1023" s="12">
        <f t="shared" si="64"/>
        <v>249</v>
      </c>
      <c r="N1023" s="13">
        <f t="shared" si="65"/>
        <v>294</v>
      </c>
      <c r="O1023" s="14">
        <f t="shared" si="66"/>
        <v>543</v>
      </c>
      <c r="P1023" s="15">
        <f t="shared" si="67"/>
        <v>0.6542168674698795</v>
      </c>
    </row>
    <row r="1024" spans="1:16" ht="15.75" hidden="1" customHeight="1" x14ac:dyDescent="0.3">
      <c r="A1024" s="9" t="s">
        <v>59</v>
      </c>
      <c r="B1024" s="9" t="s">
        <v>413</v>
      </c>
      <c r="C1024" s="9" t="s">
        <v>333</v>
      </c>
      <c r="D1024" s="9" t="s">
        <v>346</v>
      </c>
      <c r="E1024" s="10">
        <v>2</v>
      </c>
      <c r="F1024" s="9"/>
      <c r="G1024" s="11">
        <v>0</v>
      </c>
      <c r="H1024" s="9" t="s">
        <v>257</v>
      </c>
      <c r="I1024" s="9" t="s">
        <v>258</v>
      </c>
      <c r="J1024" s="9" t="s">
        <v>8</v>
      </c>
      <c r="K1024" s="9"/>
      <c r="L1024" s="9" t="s">
        <v>347</v>
      </c>
      <c r="M1024" s="12">
        <f t="shared" si="64"/>
        <v>331</v>
      </c>
      <c r="N1024" s="13">
        <f t="shared" si="65"/>
        <v>520</v>
      </c>
      <c r="O1024" s="14">
        <f t="shared" si="66"/>
        <v>851</v>
      </c>
      <c r="P1024" s="15">
        <f t="shared" si="67"/>
        <v>1.0253012048192771</v>
      </c>
    </row>
    <row r="1025" spans="1:16" ht="15.75" hidden="1" customHeight="1" x14ac:dyDescent="0.3">
      <c r="A1025" s="22" t="s">
        <v>59</v>
      </c>
      <c r="B1025" s="21" t="s">
        <v>336</v>
      </c>
      <c r="C1025" s="21" t="s">
        <v>336</v>
      </c>
      <c r="D1025" s="21" t="s">
        <v>134</v>
      </c>
      <c r="E1025" s="23">
        <v>30</v>
      </c>
      <c r="F1025" s="24"/>
      <c r="G1025" s="25"/>
      <c r="H1025" s="24" t="s">
        <v>230</v>
      </c>
      <c r="I1025" s="24" t="s">
        <v>231</v>
      </c>
      <c r="J1025" s="24" t="s">
        <v>4</v>
      </c>
      <c r="K1025" s="24"/>
      <c r="L1025" s="24" t="s">
        <v>337</v>
      </c>
      <c r="M1025" s="12">
        <f t="shared" si="64"/>
        <v>116</v>
      </c>
      <c r="N1025" s="13">
        <f t="shared" si="65"/>
        <v>105</v>
      </c>
      <c r="O1025" s="14">
        <f t="shared" si="66"/>
        <v>221</v>
      </c>
      <c r="P1025" s="15">
        <f t="shared" si="67"/>
        <v>0.26626506024096386</v>
      </c>
    </row>
    <row r="1026" spans="1:16" ht="15.75" hidden="1" customHeight="1" x14ac:dyDescent="0.3">
      <c r="A1026" s="22" t="s">
        <v>59</v>
      </c>
      <c r="B1026" s="21" t="s">
        <v>336</v>
      </c>
      <c r="C1026" s="21" t="s">
        <v>336</v>
      </c>
      <c r="D1026" s="21" t="s">
        <v>134</v>
      </c>
      <c r="E1026" s="23">
        <v>30</v>
      </c>
      <c r="F1026" s="24"/>
      <c r="G1026" s="25"/>
      <c r="H1026" s="24" t="s">
        <v>128</v>
      </c>
      <c r="I1026" s="24" t="s">
        <v>129</v>
      </c>
      <c r="J1026" s="24" t="s">
        <v>8</v>
      </c>
      <c r="K1026" s="24"/>
      <c r="L1026" s="24" t="s">
        <v>337</v>
      </c>
      <c r="M1026" s="12">
        <f t="shared" si="64"/>
        <v>348</v>
      </c>
      <c r="N1026" s="13">
        <f t="shared" si="65"/>
        <v>610</v>
      </c>
      <c r="O1026" s="14">
        <f t="shared" si="66"/>
        <v>958</v>
      </c>
      <c r="P1026" s="15">
        <f t="shared" si="67"/>
        <v>1.1542168674698796</v>
      </c>
    </row>
    <row r="1027" spans="1:16" ht="15.75" hidden="1" customHeight="1" x14ac:dyDescent="0.3">
      <c r="A1027" s="22" t="s">
        <v>59</v>
      </c>
      <c r="B1027" s="21" t="s">
        <v>336</v>
      </c>
      <c r="C1027" s="21" t="s">
        <v>336</v>
      </c>
      <c r="D1027" s="21" t="s">
        <v>134</v>
      </c>
      <c r="E1027" s="23">
        <v>15</v>
      </c>
      <c r="F1027" s="24"/>
      <c r="G1027" s="25"/>
      <c r="H1027" s="24" t="s">
        <v>171</v>
      </c>
      <c r="I1027" s="24" t="s">
        <v>172</v>
      </c>
      <c r="J1027" s="24" t="s">
        <v>8</v>
      </c>
      <c r="K1027" s="24"/>
      <c r="L1027" s="24" t="s">
        <v>338</v>
      </c>
      <c r="M1027" s="12">
        <f t="shared" si="64"/>
        <v>339</v>
      </c>
      <c r="N1027" s="13">
        <f t="shared" si="65"/>
        <v>296</v>
      </c>
      <c r="O1027" s="14">
        <f t="shared" si="66"/>
        <v>635</v>
      </c>
      <c r="P1027" s="15">
        <f t="shared" si="67"/>
        <v>0.76506024096385539</v>
      </c>
    </row>
    <row r="1028" spans="1:16" ht="15.75" hidden="1" customHeight="1" x14ac:dyDescent="0.3">
      <c r="A1028" s="22" t="s">
        <v>59</v>
      </c>
      <c r="B1028" s="21" t="s">
        <v>336</v>
      </c>
      <c r="C1028" s="21" t="s">
        <v>336</v>
      </c>
      <c r="D1028" s="21" t="s">
        <v>134</v>
      </c>
      <c r="E1028" s="23">
        <v>15</v>
      </c>
      <c r="F1028" s="24"/>
      <c r="G1028" s="25">
        <v>0</v>
      </c>
      <c r="H1028" s="24" t="s">
        <v>174</v>
      </c>
      <c r="I1028" s="24" t="s">
        <v>175</v>
      </c>
      <c r="J1028" s="24" t="s">
        <v>8</v>
      </c>
      <c r="K1028" s="24"/>
      <c r="L1028" s="24" t="s">
        <v>338</v>
      </c>
      <c r="M1028" s="12">
        <f t="shared" si="64"/>
        <v>320</v>
      </c>
      <c r="N1028" s="13">
        <f t="shared" si="65"/>
        <v>169</v>
      </c>
      <c r="O1028" s="14">
        <f t="shared" si="66"/>
        <v>489</v>
      </c>
      <c r="P1028" s="15">
        <f t="shared" si="67"/>
        <v>0.58915662650602407</v>
      </c>
    </row>
    <row r="1029" spans="1:16" ht="15.75" hidden="1" customHeight="1" x14ac:dyDescent="0.3">
      <c r="A1029" s="22" t="s">
        <v>59</v>
      </c>
      <c r="B1029" s="21" t="s">
        <v>336</v>
      </c>
      <c r="C1029" s="21" t="s">
        <v>336</v>
      </c>
      <c r="D1029" s="21" t="s">
        <v>139</v>
      </c>
      <c r="E1029" s="23">
        <v>15</v>
      </c>
      <c r="F1029" s="9"/>
      <c r="G1029" s="11">
        <v>0</v>
      </c>
      <c r="H1029" s="9" t="s">
        <v>65</v>
      </c>
      <c r="I1029" s="9" t="s">
        <v>66</v>
      </c>
      <c r="J1029" s="9" t="s">
        <v>4</v>
      </c>
      <c r="K1029" s="9"/>
      <c r="L1029" s="9" t="s">
        <v>338</v>
      </c>
      <c r="M1029" s="12">
        <f t="shared" si="64"/>
        <v>291</v>
      </c>
      <c r="N1029" s="13">
        <f t="shared" si="65"/>
        <v>650.5</v>
      </c>
      <c r="O1029" s="14">
        <f t="shared" si="66"/>
        <v>941.5</v>
      </c>
      <c r="P1029" s="15">
        <f t="shared" si="67"/>
        <v>1.1343373493975903</v>
      </c>
    </row>
    <row r="1030" spans="1:16" ht="15.75" hidden="1" customHeight="1" x14ac:dyDescent="0.3">
      <c r="A1030" s="22" t="s">
        <v>59</v>
      </c>
      <c r="B1030" s="21" t="s">
        <v>336</v>
      </c>
      <c r="C1030" s="21" t="s">
        <v>336</v>
      </c>
      <c r="D1030" s="21" t="s">
        <v>139</v>
      </c>
      <c r="E1030" s="23">
        <v>15</v>
      </c>
      <c r="F1030" s="9"/>
      <c r="G1030" s="11">
        <v>0</v>
      </c>
      <c r="H1030" s="9" t="s">
        <v>272</v>
      </c>
      <c r="I1030" s="9" t="s">
        <v>273</v>
      </c>
      <c r="J1030" s="9" t="s">
        <v>8</v>
      </c>
      <c r="K1030" s="9"/>
      <c r="L1030" s="9" t="s">
        <v>338</v>
      </c>
      <c r="M1030" s="12">
        <f t="shared" si="64"/>
        <v>552</v>
      </c>
      <c r="N1030" s="13">
        <f t="shared" si="65"/>
        <v>171</v>
      </c>
      <c r="O1030" s="14">
        <f t="shared" si="66"/>
        <v>723</v>
      </c>
      <c r="P1030" s="15">
        <f t="shared" si="67"/>
        <v>0.87108433734939761</v>
      </c>
    </row>
    <row r="1031" spans="1:16" ht="15.75" hidden="1" customHeight="1" x14ac:dyDescent="0.3">
      <c r="A1031" s="22" t="s">
        <v>59</v>
      </c>
      <c r="B1031" s="21" t="s">
        <v>336</v>
      </c>
      <c r="C1031" s="21" t="s">
        <v>336</v>
      </c>
      <c r="D1031" s="21" t="s">
        <v>139</v>
      </c>
      <c r="E1031" s="23">
        <v>15</v>
      </c>
      <c r="F1031" s="9"/>
      <c r="G1031" s="11">
        <v>0</v>
      </c>
      <c r="H1031" s="9" t="s">
        <v>63</v>
      </c>
      <c r="I1031" s="9" t="s">
        <v>64</v>
      </c>
      <c r="J1031" s="9" t="s">
        <v>4</v>
      </c>
      <c r="K1031" s="9"/>
      <c r="L1031" s="9" t="s">
        <v>338</v>
      </c>
      <c r="M1031" s="12">
        <f t="shared" si="64"/>
        <v>284</v>
      </c>
      <c r="N1031" s="13">
        <f t="shared" si="65"/>
        <v>140</v>
      </c>
      <c r="O1031" s="14">
        <f t="shared" si="66"/>
        <v>424</v>
      </c>
      <c r="P1031" s="15">
        <f t="shared" si="67"/>
        <v>0.51084337349397591</v>
      </c>
    </row>
    <row r="1032" spans="1:16" ht="15.75" hidden="1" customHeight="1" x14ac:dyDescent="0.3">
      <c r="A1032" s="22" t="s">
        <v>59</v>
      </c>
      <c r="B1032" s="21" t="s">
        <v>336</v>
      </c>
      <c r="C1032" s="21" t="s">
        <v>336</v>
      </c>
      <c r="D1032" s="21" t="s">
        <v>139</v>
      </c>
      <c r="E1032" s="23">
        <v>15</v>
      </c>
      <c r="F1032" s="9"/>
      <c r="G1032" s="11">
        <v>0</v>
      </c>
      <c r="H1032" s="9" t="s">
        <v>70</v>
      </c>
      <c r="I1032" s="9" t="s">
        <v>71</v>
      </c>
      <c r="J1032" s="9"/>
      <c r="K1032" s="9"/>
      <c r="L1032" s="9" t="s">
        <v>338</v>
      </c>
      <c r="M1032" s="12">
        <f t="shared" si="64"/>
        <v>391</v>
      </c>
      <c r="N1032" s="13">
        <f t="shared" si="65"/>
        <v>436.5</v>
      </c>
      <c r="O1032" s="14">
        <f t="shared" si="66"/>
        <v>827.5</v>
      </c>
      <c r="P1032" s="15">
        <f t="shared" si="67"/>
        <v>0.99698795180722888</v>
      </c>
    </row>
    <row r="1033" spans="1:16" ht="15.75" hidden="1" customHeight="1" x14ac:dyDescent="0.3">
      <c r="A1033" s="22" t="s">
        <v>59</v>
      </c>
      <c r="B1033" s="21" t="s">
        <v>336</v>
      </c>
      <c r="C1033" s="21" t="s">
        <v>336</v>
      </c>
      <c r="D1033" s="21" t="s">
        <v>139</v>
      </c>
      <c r="E1033" s="23">
        <v>15</v>
      </c>
      <c r="F1033" s="9"/>
      <c r="G1033" s="11">
        <v>0</v>
      </c>
      <c r="H1033" s="9" t="s">
        <v>115</v>
      </c>
      <c r="I1033" s="9" t="s">
        <v>116</v>
      </c>
      <c r="J1033" s="9" t="s">
        <v>4</v>
      </c>
      <c r="K1033" s="9"/>
      <c r="L1033" s="9" t="s">
        <v>338</v>
      </c>
      <c r="M1033" s="12">
        <f t="shared" si="64"/>
        <v>381</v>
      </c>
      <c r="N1033" s="13">
        <f t="shared" si="65"/>
        <v>367</v>
      </c>
      <c r="O1033" s="14">
        <f t="shared" si="66"/>
        <v>748</v>
      </c>
      <c r="P1033" s="15">
        <f t="shared" si="67"/>
        <v>0.90120481927710838</v>
      </c>
    </row>
    <row r="1034" spans="1:16" ht="15.75" hidden="1" customHeight="1" x14ac:dyDescent="0.3">
      <c r="A1034" s="22" t="s">
        <v>59</v>
      </c>
      <c r="B1034" s="21" t="s">
        <v>336</v>
      </c>
      <c r="C1034" s="21" t="s">
        <v>336</v>
      </c>
      <c r="D1034" s="21" t="s">
        <v>140</v>
      </c>
      <c r="E1034" s="23">
        <v>30</v>
      </c>
      <c r="F1034" s="9"/>
      <c r="G1034" s="11">
        <v>0</v>
      </c>
      <c r="H1034" s="9" t="s">
        <v>154</v>
      </c>
      <c r="I1034" s="9" t="s">
        <v>155</v>
      </c>
      <c r="J1034" s="9"/>
      <c r="K1034" s="9" t="s">
        <v>337</v>
      </c>
      <c r="L1034" s="9"/>
      <c r="M1034" s="12">
        <f t="shared" si="64"/>
        <v>302</v>
      </c>
      <c r="N1034" s="13">
        <f t="shared" si="65"/>
        <v>124.5</v>
      </c>
      <c r="O1034" s="14">
        <f t="shared" si="66"/>
        <v>426.5</v>
      </c>
      <c r="P1034" s="15">
        <f t="shared" si="67"/>
        <v>0.51385542168674703</v>
      </c>
    </row>
    <row r="1035" spans="1:16" ht="15.75" hidden="1" customHeight="1" x14ac:dyDescent="0.3">
      <c r="A1035" s="22" t="s">
        <v>59</v>
      </c>
      <c r="B1035" s="21" t="s">
        <v>336</v>
      </c>
      <c r="C1035" s="21" t="s">
        <v>336</v>
      </c>
      <c r="D1035" s="21" t="s">
        <v>140</v>
      </c>
      <c r="E1035" s="23">
        <v>30</v>
      </c>
      <c r="F1035" s="9"/>
      <c r="G1035" s="11">
        <v>0</v>
      </c>
      <c r="H1035" s="9" t="s">
        <v>96</v>
      </c>
      <c r="I1035" s="9" t="s">
        <v>97</v>
      </c>
      <c r="J1035" s="9" t="s">
        <v>8</v>
      </c>
      <c r="K1035" s="9" t="s">
        <v>337</v>
      </c>
      <c r="L1035" s="9"/>
      <c r="M1035" s="12">
        <f t="shared" si="64"/>
        <v>501</v>
      </c>
      <c r="N1035" s="13">
        <f t="shared" si="65"/>
        <v>486.5</v>
      </c>
      <c r="O1035" s="14">
        <f t="shared" si="66"/>
        <v>987.5</v>
      </c>
      <c r="P1035" s="15">
        <f t="shared" si="67"/>
        <v>1.1897590361445782</v>
      </c>
    </row>
    <row r="1036" spans="1:16" ht="15.75" hidden="1" customHeight="1" x14ac:dyDescent="0.3">
      <c r="A1036" s="22" t="s">
        <v>59</v>
      </c>
      <c r="B1036" s="21" t="s">
        <v>336</v>
      </c>
      <c r="C1036" s="21" t="s">
        <v>336</v>
      </c>
      <c r="D1036" s="21" t="s">
        <v>140</v>
      </c>
      <c r="E1036" s="23">
        <v>15</v>
      </c>
      <c r="F1036" s="9"/>
      <c r="G1036" s="11">
        <v>0</v>
      </c>
      <c r="H1036" s="9" t="s">
        <v>250</v>
      </c>
      <c r="I1036" s="9" t="s">
        <v>251</v>
      </c>
      <c r="J1036" s="9"/>
      <c r="K1036" s="9" t="s">
        <v>338</v>
      </c>
      <c r="L1036" s="9"/>
      <c r="M1036" s="12">
        <f t="shared" si="64"/>
        <v>179</v>
      </c>
      <c r="N1036" s="13">
        <f t="shared" si="65"/>
        <v>72</v>
      </c>
      <c r="O1036" s="14">
        <f t="shared" si="66"/>
        <v>251</v>
      </c>
      <c r="P1036" s="15">
        <f t="shared" si="67"/>
        <v>0.30240963855421688</v>
      </c>
    </row>
    <row r="1037" spans="1:16" ht="15.75" hidden="1" customHeight="1" x14ac:dyDescent="0.3">
      <c r="A1037" s="22" t="s">
        <v>59</v>
      </c>
      <c r="B1037" s="21" t="s">
        <v>336</v>
      </c>
      <c r="C1037" s="21" t="s">
        <v>336</v>
      </c>
      <c r="D1037" s="21" t="s">
        <v>141</v>
      </c>
      <c r="E1037" s="10">
        <v>30</v>
      </c>
      <c r="F1037" s="9"/>
      <c r="G1037" s="11">
        <v>0</v>
      </c>
      <c r="H1037" s="9" t="s">
        <v>146</v>
      </c>
      <c r="I1037" s="9" t="s">
        <v>147</v>
      </c>
      <c r="J1037" s="9"/>
      <c r="K1037" s="9" t="s">
        <v>337</v>
      </c>
      <c r="L1037" s="9"/>
      <c r="M1037" s="12">
        <f t="shared" si="64"/>
        <v>279</v>
      </c>
      <c r="N1037" s="13">
        <f t="shared" si="65"/>
        <v>427.5</v>
      </c>
      <c r="O1037" s="14">
        <f t="shared" si="66"/>
        <v>706.5</v>
      </c>
      <c r="P1037" s="15">
        <f t="shared" si="67"/>
        <v>0.85120481927710845</v>
      </c>
    </row>
    <row r="1038" spans="1:16" ht="15.75" hidden="1" customHeight="1" x14ac:dyDescent="0.3">
      <c r="A1038" s="22" t="s">
        <v>59</v>
      </c>
      <c r="B1038" s="21" t="s">
        <v>336</v>
      </c>
      <c r="C1038" s="21" t="s">
        <v>336</v>
      </c>
      <c r="D1038" s="21" t="s">
        <v>141</v>
      </c>
      <c r="E1038" s="10">
        <v>30</v>
      </c>
      <c r="F1038" s="9"/>
      <c r="G1038" s="11">
        <v>0</v>
      </c>
      <c r="H1038" s="9" t="s">
        <v>94</v>
      </c>
      <c r="I1038" s="9" t="s">
        <v>95</v>
      </c>
      <c r="J1038" s="9"/>
      <c r="K1038" s="9" t="s">
        <v>337</v>
      </c>
      <c r="L1038" s="9"/>
      <c r="M1038" s="12">
        <f t="shared" si="64"/>
        <v>295.8</v>
      </c>
      <c r="N1038" s="13">
        <f t="shared" si="65"/>
        <v>488</v>
      </c>
      <c r="O1038" s="14">
        <f t="shared" si="66"/>
        <v>783.8</v>
      </c>
      <c r="P1038" s="15">
        <f t="shared" si="67"/>
        <v>0.94433734939759029</v>
      </c>
    </row>
    <row r="1039" spans="1:16" ht="15.75" hidden="1" customHeight="1" x14ac:dyDescent="0.3">
      <c r="A1039" s="22" t="s">
        <v>59</v>
      </c>
      <c r="B1039" s="21" t="s">
        <v>336</v>
      </c>
      <c r="C1039" s="21" t="s">
        <v>336</v>
      </c>
      <c r="D1039" s="21" t="s">
        <v>141</v>
      </c>
      <c r="E1039" s="10">
        <v>15</v>
      </c>
      <c r="F1039" s="9"/>
      <c r="G1039" s="11">
        <v>0</v>
      </c>
      <c r="H1039" s="9" t="s">
        <v>76</v>
      </c>
      <c r="I1039" s="9" t="s">
        <v>77</v>
      </c>
      <c r="J1039" s="9"/>
      <c r="K1039" s="9" t="s">
        <v>338</v>
      </c>
      <c r="L1039" s="9"/>
      <c r="M1039" s="12">
        <f t="shared" si="64"/>
        <v>249</v>
      </c>
      <c r="N1039" s="13">
        <f t="shared" si="65"/>
        <v>294</v>
      </c>
      <c r="O1039" s="14">
        <f t="shared" si="66"/>
        <v>543</v>
      </c>
      <c r="P1039" s="15">
        <f t="shared" si="67"/>
        <v>0.6542168674698795</v>
      </c>
    </row>
    <row r="1040" spans="1:16" ht="15.75" hidden="1" customHeight="1" x14ac:dyDescent="0.3">
      <c r="A1040" s="22" t="s">
        <v>59</v>
      </c>
      <c r="B1040" s="21" t="s">
        <v>336</v>
      </c>
      <c r="C1040" s="21" t="s">
        <v>336</v>
      </c>
      <c r="D1040" s="21" t="s">
        <v>141</v>
      </c>
      <c r="E1040" s="10">
        <v>15</v>
      </c>
      <c r="F1040" s="9"/>
      <c r="G1040" s="11">
        <v>0</v>
      </c>
      <c r="H1040" s="9" t="s">
        <v>245</v>
      </c>
      <c r="I1040" s="9" t="s">
        <v>246</v>
      </c>
      <c r="J1040" s="9"/>
      <c r="K1040" s="9" t="s">
        <v>338</v>
      </c>
      <c r="L1040" s="9"/>
      <c r="M1040" s="12">
        <f t="shared" si="64"/>
        <v>200</v>
      </c>
      <c r="N1040" s="13">
        <f t="shared" si="65"/>
        <v>271</v>
      </c>
      <c r="O1040" s="14">
        <f t="shared" si="66"/>
        <v>471</v>
      </c>
      <c r="P1040" s="15">
        <f t="shared" si="67"/>
        <v>0.56746987951807226</v>
      </c>
    </row>
    <row r="1041" spans="1:16" ht="15.75" hidden="1" customHeight="1" x14ac:dyDescent="0.3">
      <c r="A1041" s="9" t="s">
        <v>59</v>
      </c>
      <c r="B1041" s="9" t="s">
        <v>341</v>
      </c>
      <c r="C1041" s="9" t="s">
        <v>341</v>
      </c>
      <c r="D1041" s="9" t="s">
        <v>342</v>
      </c>
      <c r="E1041" s="10">
        <v>50</v>
      </c>
      <c r="F1041" s="9"/>
      <c r="G1041" s="11">
        <v>0</v>
      </c>
      <c r="H1041" s="9" t="s">
        <v>257</v>
      </c>
      <c r="I1041" s="9" t="s">
        <v>258</v>
      </c>
      <c r="J1041" s="9" t="s">
        <v>8</v>
      </c>
      <c r="K1041" s="9"/>
      <c r="L1041" s="21" t="s">
        <v>343</v>
      </c>
      <c r="M1041" s="12">
        <f t="shared" si="64"/>
        <v>331</v>
      </c>
      <c r="N1041" s="13">
        <f t="shared" si="65"/>
        <v>520</v>
      </c>
      <c r="O1041" s="14">
        <f t="shared" si="66"/>
        <v>851</v>
      </c>
      <c r="P1041" s="15">
        <f t="shared" si="67"/>
        <v>1.0253012048192771</v>
      </c>
    </row>
    <row r="1042" spans="1:16" ht="15.75" hidden="1" customHeight="1" x14ac:dyDescent="0.3">
      <c r="A1042" s="9" t="s">
        <v>59</v>
      </c>
      <c r="B1042" s="9" t="s">
        <v>341</v>
      </c>
      <c r="C1042" s="9" t="s">
        <v>341</v>
      </c>
      <c r="D1042" s="9" t="s">
        <v>321</v>
      </c>
      <c r="E1042" s="10">
        <v>25</v>
      </c>
      <c r="F1042" s="9"/>
      <c r="G1042" s="11">
        <v>0</v>
      </c>
      <c r="H1042" s="21" t="s">
        <v>171</v>
      </c>
      <c r="I1042" s="21" t="s">
        <v>172</v>
      </c>
      <c r="J1042" s="21" t="s">
        <v>8</v>
      </c>
      <c r="K1042" s="21"/>
      <c r="L1042" s="21" t="s">
        <v>323</v>
      </c>
      <c r="M1042" s="12">
        <f t="shared" si="64"/>
        <v>339</v>
      </c>
      <c r="N1042" s="13">
        <f t="shared" si="65"/>
        <v>296</v>
      </c>
      <c r="O1042" s="14">
        <f t="shared" si="66"/>
        <v>635</v>
      </c>
      <c r="P1042" s="15">
        <f t="shared" si="67"/>
        <v>0.76506024096385539</v>
      </c>
    </row>
    <row r="1043" spans="1:16" ht="15.75" hidden="1" customHeight="1" x14ac:dyDescent="0.3">
      <c r="A1043" s="9" t="s">
        <v>59</v>
      </c>
      <c r="B1043" s="9" t="s">
        <v>341</v>
      </c>
      <c r="C1043" s="9" t="s">
        <v>341</v>
      </c>
      <c r="D1043" s="9" t="s">
        <v>289</v>
      </c>
      <c r="E1043" s="10">
        <v>25</v>
      </c>
      <c r="F1043" s="9"/>
      <c r="G1043" s="11">
        <v>0</v>
      </c>
      <c r="H1043" s="9" t="s">
        <v>76</v>
      </c>
      <c r="I1043" s="9" t="s">
        <v>77</v>
      </c>
      <c r="J1043" s="9"/>
      <c r="K1043" s="9"/>
      <c r="L1043" s="9" t="s">
        <v>290</v>
      </c>
      <c r="M1043" s="12">
        <f t="shared" si="64"/>
        <v>249</v>
      </c>
      <c r="N1043" s="13">
        <f t="shared" si="65"/>
        <v>294</v>
      </c>
      <c r="O1043" s="14">
        <f t="shared" si="66"/>
        <v>543</v>
      </c>
      <c r="P1043" s="15">
        <f t="shared" si="67"/>
        <v>0.6542168674698795</v>
      </c>
    </row>
    <row r="1044" spans="1:16" ht="15.75" hidden="1" customHeight="1" x14ac:dyDescent="0.3">
      <c r="A1044" s="9" t="s">
        <v>59</v>
      </c>
      <c r="B1044" s="9" t="s">
        <v>341</v>
      </c>
      <c r="C1044" s="9" t="s">
        <v>341</v>
      </c>
      <c r="D1044" s="9" t="s">
        <v>325</v>
      </c>
      <c r="E1044" s="10">
        <v>75</v>
      </c>
      <c r="F1044" s="9"/>
      <c r="G1044" s="11">
        <v>0</v>
      </c>
      <c r="H1044" s="9" t="s">
        <v>257</v>
      </c>
      <c r="I1044" s="9" t="s">
        <v>258</v>
      </c>
      <c r="J1044" s="9" t="s">
        <v>8</v>
      </c>
      <c r="K1044" s="9"/>
      <c r="L1044" s="9" t="s">
        <v>326</v>
      </c>
      <c r="M1044" s="12">
        <f t="shared" si="64"/>
        <v>331</v>
      </c>
      <c r="N1044" s="13">
        <f t="shared" si="65"/>
        <v>520</v>
      </c>
      <c r="O1044" s="14">
        <f t="shared" si="66"/>
        <v>851</v>
      </c>
      <c r="P1044" s="15">
        <f t="shared" si="67"/>
        <v>1.0253012048192771</v>
      </c>
    </row>
    <row r="1045" spans="1:16" ht="15.75" hidden="1" customHeight="1" x14ac:dyDescent="0.3">
      <c r="A1045" s="9" t="s">
        <v>59</v>
      </c>
      <c r="B1045" s="9" t="s">
        <v>341</v>
      </c>
      <c r="C1045" s="9" t="s">
        <v>341</v>
      </c>
      <c r="D1045" s="9" t="s">
        <v>74</v>
      </c>
      <c r="E1045" s="10">
        <v>25</v>
      </c>
      <c r="F1045" s="9"/>
      <c r="G1045" s="11">
        <v>0</v>
      </c>
      <c r="H1045" s="9" t="s">
        <v>76</v>
      </c>
      <c r="I1045" s="9" t="s">
        <v>77</v>
      </c>
      <c r="J1045" s="9"/>
      <c r="K1045" s="9"/>
      <c r="L1045" s="9" t="s">
        <v>78</v>
      </c>
      <c r="M1045" s="12">
        <f t="shared" si="64"/>
        <v>249</v>
      </c>
      <c r="N1045" s="13">
        <f t="shared" si="65"/>
        <v>294</v>
      </c>
      <c r="O1045" s="14">
        <f t="shared" si="66"/>
        <v>543</v>
      </c>
      <c r="P1045" s="15">
        <f t="shared" si="67"/>
        <v>0.6542168674698795</v>
      </c>
    </row>
    <row r="1046" spans="1:16" ht="15.75" hidden="1" customHeight="1" x14ac:dyDescent="0.3">
      <c r="A1046" s="9" t="s">
        <v>59</v>
      </c>
      <c r="B1046" s="9" t="s">
        <v>341</v>
      </c>
      <c r="C1046" s="9" t="s">
        <v>341</v>
      </c>
      <c r="D1046" s="9" t="s">
        <v>318</v>
      </c>
      <c r="E1046" s="10">
        <v>25</v>
      </c>
      <c r="F1046" s="9"/>
      <c r="G1046" s="11">
        <v>0</v>
      </c>
      <c r="H1046" s="9" t="s">
        <v>257</v>
      </c>
      <c r="I1046" s="9" t="s">
        <v>258</v>
      </c>
      <c r="J1046" s="9" t="s">
        <v>8</v>
      </c>
      <c r="K1046" s="9"/>
      <c r="L1046" s="9" t="s">
        <v>348</v>
      </c>
      <c r="M1046" s="12">
        <f t="shared" si="64"/>
        <v>331</v>
      </c>
      <c r="N1046" s="13">
        <f t="shared" si="65"/>
        <v>520</v>
      </c>
      <c r="O1046" s="14">
        <f t="shared" si="66"/>
        <v>851</v>
      </c>
      <c r="P1046" s="15">
        <f t="shared" si="67"/>
        <v>1.0253012048192771</v>
      </c>
    </row>
    <row r="1047" spans="1:16" ht="15.75" hidden="1" customHeight="1" x14ac:dyDescent="0.3">
      <c r="A1047" s="9" t="s">
        <v>59</v>
      </c>
      <c r="B1047" s="9" t="s">
        <v>341</v>
      </c>
      <c r="C1047" s="9" t="s">
        <v>341</v>
      </c>
      <c r="D1047" s="9" t="s">
        <v>318</v>
      </c>
      <c r="E1047" s="10">
        <v>50</v>
      </c>
      <c r="F1047" s="9"/>
      <c r="G1047" s="11">
        <v>0</v>
      </c>
      <c r="H1047" s="9" t="s">
        <v>96</v>
      </c>
      <c r="I1047" s="9" t="s">
        <v>97</v>
      </c>
      <c r="J1047" s="9" t="s">
        <v>8</v>
      </c>
      <c r="K1047" s="9"/>
      <c r="L1047" s="9" t="s">
        <v>414</v>
      </c>
      <c r="M1047" s="12">
        <f t="shared" si="64"/>
        <v>501</v>
      </c>
      <c r="N1047" s="13">
        <f t="shared" si="65"/>
        <v>486.5</v>
      </c>
      <c r="O1047" s="14">
        <f t="shared" si="66"/>
        <v>987.5</v>
      </c>
      <c r="P1047" s="15">
        <f t="shared" si="67"/>
        <v>1.1897590361445782</v>
      </c>
    </row>
    <row r="1048" spans="1:16" ht="15.75" hidden="1" customHeight="1" x14ac:dyDescent="0.3">
      <c r="A1048" s="41" t="s">
        <v>59</v>
      </c>
      <c r="B1048" s="9" t="s">
        <v>415</v>
      </c>
      <c r="C1048" s="9" t="s">
        <v>415</v>
      </c>
      <c r="D1048" s="42" t="s">
        <v>103</v>
      </c>
      <c r="E1048" s="43"/>
      <c r="F1048" s="10">
        <v>425</v>
      </c>
      <c r="G1048" s="11">
        <v>0</v>
      </c>
      <c r="H1048" s="9"/>
      <c r="I1048" s="44" t="s">
        <v>416</v>
      </c>
      <c r="J1048" s="44" t="s">
        <v>417</v>
      </c>
      <c r="K1048" s="41"/>
      <c r="L1048" s="9"/>
      <c r="M1048" s="12">
        <f t="shared" si="64"/>
        <v>0</v>
      </c>
      <c r="N1048" s="13">
        <f t="shared" si="65"/>
        <v>0</v>
      </c>
      <c r="O1048" s="14">
        <f t="shared" si="66"/>
        <v>0</v>
      </c>
      <c r="P1048" s="15">
        <f t="shared" si="67"/>
        <v>0</v>
      </c>
    </row>
    <row r="1049" spans="1:16" ht="15.75" hidden="1" customHeight="1" x14ac:dyDescent="0.3">
      <c r="A1049" s="41" t="s">
        <v>59</v>
      </c>
      <c r="B1049" s="9" t="s">
        <v>415</v>
      </c>
      <c r="C1049" s="9" t="s">
        <v>415</v>
      </c>
      <c r="D1049" s="42" t="s">
        <v>103</v>
      </c>
      <c r="E1049" s="45">
        <v>40</v>
      </c>
      <c r="F1049" s="36"/>
      <c r="G1049" s="36"/>
      <c r="H1049" s="36"/>
      <c r="I1049" s="24" t="s">
        <v>231</v>
      </c>
      <c r="J1049" s="24" t="s">
        <v>4</v>
      </c>
      <c r="K1049" s="31" t="s">
        <v>337</v>
      </c>
      <c r="L1049" s="36"/>
      <c r="M1049" s="12">
        <f t="shared" si="64"/>
        <v>116</v>
      </c>
      <c r="N1049" s="13">
        <f t="shared" si="65"/>
        <v>105</v>
      </c>
      <c r="O1049" s="14">
        <f t="shared" si="66"/>
        <v>221</v>
      </c>
      <c r="P1049" s="15">
        <f t="shared" si="67"/>
        <v>0.26626506024096386</v>
      </c>
    </row>
    <row r="1050" spans="1:16" ht="15.75" hidden="1" customHeight="1" x14ac:dyDescent="0.3">
      <c r="A1050" s="41" t="s">
        <v>59</v>
      </c>
      <c r="B1050" s="9" t="s">
        <v>415</v>
      </c>
      <c r="C1050" s="9" t="s">
        <v>415</v>
      </c>
      <c r="D1050" s="42" t="s">
        <v>103</v>
      </c>
      <c r="E1050" s="45">
        <v>60</v>
      </c>
      <c r="F1050" s="36"/>
      <c r="G1050" s="36"/>
      <c r="H1050" s="36"/>
      <c r="I1050" s="31" t="s">
        <v>172</v>
      </c>
      <c r="J1050" s="31" t="s">
        <v>8</v>
      </c>
      <c r="K1050" s="31" t="s">
        <v>340</v>
      </c>
      <c r="L1050" s="36" t="s">
        <v>303</v>
      </c>
      <c r="M1050" s="12">
        <f t="shared" si="64"/>
        <v>339</v>
      </c>
      <c r="N1050" s="13">
        <f t="shared" si="65"/>
        <v>296</v>
      </c>
      <c r="O1050" s="14">
        <f t="shared" si="66"/>
        <v>635</v>
      </c>
      <c r="P1050" s="15">
        <f t="shared" si="67"/>
        <v>0.76506024096385539</v>
      </c>
    </row>
    <row r="1051" spans="1:16" ht="15.75" hidden="1" customHeight="1" x14ac:dyDescent="0.3">
      <c r="A1051" s="41" t="s">
        <v>59</v>
      </c>
      <c r="B1051" s="9" t="s">
        <v>415</v>
      </c>
      <c r="C1051" s="9" t="s">
        <v>415</v>
      </c>
      <c r="D1051" s="42" t="s">
        <v>103</v>
      </c>
      <c r="E1051" s="45">
        <v>20</v>
      </c>
      <c r="F1051" s="36"/>
      <c r="G1051" s="36"/>
      <c r="H1051" s="36"/>
      <c r="I1051" s="9" t="s">
        <v>223</v>
      </c>
      <c r="J1051" s="31" t="s">
        <v>4</v>
      </c>
      <c r="K1051" s="31" t="s">
        <v>338</v>
      </c>
      <c r="L1051" s="36"/>
      <c r="M1051" s="12">
        <f t="shared" si="64"/>
        <v>41</v>
      </c>
      <c r="N1051" s="13">
        <f t="shared" si="65"/>
        <v>124</v>
      </c>
      <c r="O1051" s="14">
        <f t="shared" si="66"/>
        <v>165</v>
      </c>
      <c r="P1051" s="15">
        <f t="shared" si="67"/>
        <v>0.19879518072289157</v>
      </c>
    </row>
    <row r="1052" spans="1:16" ht="15.75" hidden="1" customHeight="1" x14ac:dyDescent="0.3">
      <c r="A1052" s="41" t="s">
        <v>59</v>
      </c>
      <c r="B1052" s="9" t="s">
        <v>415</v>
      </c>
      <c r="C1052" s="9" t="s">
        <v>415</v>
      </c>
      <c r="D1052" s="42" t="s">
        <v>103</v>
      </c>
      <c r="E1052" s="45">
        <f>40+5</f>
        <v>45</v>
      </c>
      <c r="F1052" s="36"/>
      <c r="G1052" s="36"/>
      <c r="H1052" s="36"/>
      <c r="I1052" s="31" t="s">
        <v>85</v>
      </c>
      <c r="J1052" s="31" t="s">
        <v>4</v>
      </c>
      <c r="K1052" s="31" t="s">
        <v>418</v>
      </c>
      <c r="L1052" s="36"/>
      <c r="M1052" s="12">
        <f t="shared" si="64"/>
        <v>256</v>
      </c>
      <c r="N1052" s="13">
        <f t="shared" si="65"/>
        <v>691.5</v>
      </c>
      <c r="O1052" s="14">
        <f t="shared" si="66"/>
        <v>947.5</v>
      </c>
      <c r="P1052" s="15">
        <f t="shared" si="67"/>
        <v>1.1415662650602409</v>
      </c>
    </row>
    <row r="1053" spans="1:16" ht="15.75" hidden="1" customHeight="1" x14ac:dyDescent="0.3">
      <c r="A1053" s="41" t="s">
        <v>59</v>
      </c>
      <c r="B1053" s="9" t="s">
        <v>415</v>
      </c>
      <c r="C1053" s="9" t="s">
        <v>415</v>
      </c>
      <c r="D1053" s="42" t="s">
        <v>103</v>
      </c>
      <c r="E1053" s="45">
        <v>20</v>
      </c>
      <c r="F1053" s="36"/>
      <c r="G1053" s="36"/>
      <c r="H1053" s="36"/>
      <c r="I1053" s="31" t="s">
        <v>211</v>
      </c>
      <c r="J1053" s="31" t="s">
        <v>4</v>
      </c>
      <c r="K1053" s="31" t="s">
        <v>338</v>
      </c>
      <c r="L1053" s="36"/>
      <c r="M1053" s="12">
        <f t="shared" si="64"/>
        <v>213</v>
      </c>
      <c r="N1053" s="13">
        <f t="shared" si="65"/>
        <v>399</v>
      </c>
      <c r="O1053" s="14">
        <f t="shared" si="66"/>
        <v>612</v>
      </c>
      <c r="P1053" s="15">
        <f t="shared" si="67"/>
        <v>0.73734939759036144</v>
      </c>
    </row>
    <row r="1054" spans="1:16" ht="15.75" hidden="1" customHeight="1" x14ac:dyDescent="0.3">
      <c r="A1054" s="41" t="s">
        <v>59</v>
      </c>
      <c r="B1054" s="9" t="s">
        <v>415</v>
      </c>
      <c r="C1054" s="9" t="s">
        <v>415</v>
      </c>
      <c r="D1054" s="42" t="s">
        <v>103</v>
      </c>
      <c r="E1054" s="45">
        <f>20+5+10</f>
        <v>35</v>
      </c>
      <c r="F1054" s="36"/>
      <c r="G1054" s="36"/>
      <c r="H1054" s="36"/>
      <c r="I1054" s="31" t="s">
        <v>92</v>
      </c>
      <c r="J1054" s="31" t="s">
        <v>4</v>
      </c>
      <c r="K1054" s="31" t="s">
        <v>419</v>
      </c>
      <c r="L1054" s="36" t="s">
        <v>197</v>
      </c>
      <c r="M1054" s="12">
        <f t="shared" ref="M1054:M1117" si="68">SUMIFS($E$2:$E$1130,$A$2:$A$1130,"осень",$I$2:$I$1130,I1054)</f>
        <v>405</v>
      </c>
      <c r="N1054" s="13">
        <f t="shared" ref="N1054:N1117" si="69">SUMIFS($E$2:$E$1130,$A$2:$A$1130,"весна",$I$2:$I$1130,I1054)</f>
        <v>532</v>
      </c>
      <c r="O1054" s="14">
        <f t="shared" ref="O1054:O1117" si="70">M1054+N1054</f>
        <v>937</v>
      </c>
      <c r="P1054" s="15">
        <f t="shared" ref="P1054:P1117" si="71">O1054/$P$1</f>
        <v>1.1289156626506025</v>
      </c>
    </row>
    <row r="1055" spans="1:16" ht="15.75" hidden="1" customHeight="1" x14ac:dyDescent="0.3">
      <c r="A1055" s="41" t="s">
        <v>59</v>
      </c>
      <c r="B1055" s="9" t="s">
        <v>415</v>
      </c>
      <c r="C1055" s="9" t="s">
        <v>415</v>
      </c>
      <c r="D1055" s="42" t="s">
        <v>103</v>
      </c>
      <c r="E1055" s="45">
        <v>5</v>
      </c>
      <c r="F1055" s="36"/>
      <c r="G1055" s="36"/>
      <c r="H1055" s="36"/>
      <c r="I1055" s="31" t="s">
        <v>187</v>
      </c>
      <c r="J1055" s="31" t="s">
        <v>4</v>
      </c>
      <c r="K1055" s="31" t="s">
        <v>420</v>
      </c>
      <c r="L1055" s="36"/>
      <c r="M1055" s="12">
        <f t="shared" si="68"/>
        <v>87</v>
      </c>
      <c r="N1055" s="13">
        <f t="shared" si="69"/>
        <v>111.5</v>
      </c>
      <c r="O1055" s="14">
        <f t="shared" si="70"/>
        <v>198.5</v>
      </c>
      <c r="P1055" s="15">
        <f t="shared" si="71"/>
        <v>0.23915662650602409</v>
      </c>
    </row>
    <row r="1056" spans="1:16" ht="15.75" hidden="1" customHeight="1" x14ac:dyDescent="0.3">
      <c r="A1056" s="41" t="s">
        <v>59</v>
      </c>
      <c r="B1056" s="9" t="s">
        <v>415</v>
      </c>
      <c r="C1056" s="9" t="s">
        <v>415</v>
      </c>
      <c r="D1056" s="42" t="s">
        <v>103</v>
      </c>
      <c r="E1056" s="45">
        <v>5</v>
      </c>
      <c r="F1056" s="36"/>
      <c r="G1056" s="36"/>
      <c r="H1056" s="36"/>
      <c r="I1056" s="31" t="s">
        <v>168</v>
      </c>
      <c r="J1056" s="31" t="s">
        <v>4</v>
      </c>
      <c r="K1056" s="31" t="s">
        <v>421</v>
      </c>
      <c r="L1056" s="36"/>
      <c r="M1056" s="12">
        <f t="shared" si="68"/>
        <v>456</v>
      </c>
      <c r="N1056" s="13">
        <f t="shared" si="69"/>
        <v>362</v>
      </c>
      <c r="O1056" s="14">
        <f t="shared" si="70"/>
        <v>818</v>
      </c>
      <c r="P1056" s="15">
        <f t="shared" si="71"/>
        <v>0.98554216867469879</v>
      </c>
    </row>
    <row r="1057" spans="1:16" ht="15.75" hidden="1" customHeight="1" x14ac:dyDescent="0.3">
      <c r="A1057" s="41" t="s">
        <v>59</v>
      </c>
      <c r="B1057" s="9" t="s">
        <v>415</v>
      </c>
      <c r="C1057" s="9" t="s">
        <v>415</v>
      </c>
      <c r="D1057" s="42" t="s">
        <v>422</v>
      </c>
      <c r="E1057" s="46">
        <f>40+3.5</f>
        <v>43.5</v>
      </c>
      <c r="F1057" s="36"/>
      <c r="G1057" s="36">
        <v>0</v>
      </c>
      <c r="H1057" s="36"/>
      <c r="I1057" s="31" t="s">
        <v>147</v>
      </c>
      <c r="J1057" s="31" t="s">
        <v>8</v>
      </c>
      <c r="K1057" s="31" t="s">
        <v>423</v>
      </c>
      <c r="L1057" s="36" t="s">
        <v>424</v>
      </c>
      <c r="M1057" s="12">
        <f t="shared" si="68"/>
        <v>279</v>
      </c>
      <c r="N1057" s="13">
        <f t="shared" si="69"/>
        <v>427.5</v>
      </c>
      <c r="O1057" s="14">
        <f t="shared" si="70"/>
        <v>706.5</v>
      </c>
      <c r="P1057" s="15">
        <f t="shared" si="71"/>
        <v>0.85120481927710845</v>
      </c>
    </row>
    <row r="1058" spans="1:16" ht="15.75" hidden="1" customHeight="1" x14ac:dyDescent="0.3">
      <c r="A1058" s="41" t="s">
        <v>59</v>
      </c>
      <c r="B1058" s="9" t="s">
        <v>415</v>
      </c>
      <c r="C1058" s="9" t="s">
        <v>415</v>
      </c>
      <c r="D1058" s="42" t="s">
        <v>422</v>
      </c>
      <c r="E1058" s="46">
        <f>20+7+3.5</f>
        <v>30.5</v>
      </c>
      <c r="F1058" s="36"/>
      <c r="G1058" s="36">
        <v>0</v>
      </c>
      <c r="H1058" s="36"/>
      <c r="I1058" s="31" t="s">
        <v>246</v>
      </c>
      <c r="J1058" s="31" t="s">
        <v>8</v>
      </c>
      <c r="K1058" s="31" t="s">
        <v>425</v>
      </c>
      <c r="L1058" s="36" t="s">
        <v>424</v>
      </c>
      <c r="M1058" s="12">
        <f t="shared" si="68"/>
        <v>200</v>
      </c>
      <c r="N1058" s="13">
        <f t="shared" si="69"/>
        <v>271</v>
      </c>
      <c r="O1058" s="14">
        <f t="shared" si="70"/>
        <v>471</v>
      </c>
      <c r="P1058" s="15">
        <f t="shared" si="71"/>
        <v>0.56746987951807226</v>
      </c>
    </row>
    <row r="1059" spans="1:16" ht="15.75" hidden="1" customHeight="1" x14ac:dyDescent="0.3">
      <c r="A1059" s="41" t="s">
        <v>59</v>
      </c>
      <c r="B1059" s="9" t="s">
        <v>415</v>
      </c>
      <c r="C1059" s="9" t="s">
        <v>415</v>
      </c>
      <c r="D1059" s="42" t="s">
        <v>422</v>
      </c>
      <c r="E1059" s="46">
        <f>40+3.5</f>
        <v>43.5</v>
      </c>
      <c r="F1059" s="36"/>
      <c r="G1059" s="36">
        <v>0</v>
      </c>
      <c r="H1059" s="36"/>
      <c r="I1059" s="31" t="s">
        <v>95</v>
      </c>
      <c r="J1059" s="31" t="s">
        <v>8</v>
      </c>
      <c r="K1059" s="31" t="s">
        <v>423</v>
      </c>
      <c r="L1059" s="36" t="s">
        <v>424</v>
      </c>
      <c r="M1059" s="12">
        <f t="shared" si="68"/>
        <v>295.8</v>
      </c>
      <c r="N1059" s="13">
        <f t="shared" si="69"/>
        <v>488</v>
      </c>
      <c r="O1059" s="14">
        <f t="shared" si="70"/>
        <v>783.8</v>
      </c>
      <c r="P1059" s="15">
        <f t="shared" si="71"/>
        <v>0.94433734939759029</v>
      </c>
    </row>
    <row r="1060" spans="1:16" ht="15.75" hidden="1" customHeight="1" x14ac:dyDescent="0.3">
      <c r="A1060" s="41" t="s">
        <v>59</v>
      </c>
      <c r="B1060" s="9" t="s">
        <v>415</v>
      </c>
      <c r="C1060" s="9" t="s">
        <v>415</v>
      </c>
      <c r="D1060" s="42" t="s">
        <v>422</v>
      </c>
      <c r="E1060" s="47">
        <v>3.5</v>
      </c>
      <c r="F1060" s="48"/>
      <c r="G1060" s="48">
        <v>0</v>
      </c>
      <c r="H1060" s="48"/>
      <c r="I1060" s="49" t="s">
        <v>137</v>
      </c>
      <c r="J1060" s="49" t="s">
        <v>426</v>
      </c>
      <c r="K1060" s="49" t="s">
        <v>420</v>
      </c>
      <c r="L1060" s="48" t="s">
        <v>424</v>
      </c>
      <c r="M1060" s="12">
        <f t="shared" si="68"/>
        <v>212</v>
      </c>
      <c r="N1060" s="13">
        <f t="shared" si="69"/>
        <v>8</v>
      </c>
      <c r="O1060" s="14">
        <f t="shared" si="70"/>
        <v>220</v>
      </c>
      <c r="P1060" s="15">
        <f t="shared" si="71"/>
        <v>0.26506024096385544</v>
      </c>
    </row>
    <row r="1061" spans="1:16" ht="15.75" hidden="1" customHeight="1" x14ac:dyDescent="0.3">
      <c r="A1061" s="41" t="s">
        <v>59</v>
      </c>
      <c r="B1061" s="9" t="s">
        <v>415</v>
      </c>
      <c r="C1061" s="9" t="s">
        <v>415</v>
      </c>
      <c r="D1061" s="42" t="s">
        <v>422</v>
      </c>
      <c r="E1061" s="50">
        <v>20</v>
      </c>
      <c r="F1061" s="9"/>
      <c r="G1061" s="9"/>
      <c r="H1061" s="9"/>
      <c r="I1061" s="41" t="s">
        <v>109</v>
      </c>
      <c r="J1061" s="31" t="s">
        <v>8</v>
      </c>
      <c r="K1061" s="41" t="s">
        <v>338</v>
      </c>
      <c r="L1061" s="9"/>
      <c r="M1061" s="12">
        <f t="shared" si="68"/>
        <v>232.8</v>
      </c>
      <c r="N1061" s="13">
        <f t="shared" si="69"/>
        <v>220</v>
      </c>
      <c r="O1061" s="14">
        <f t="shared" si="70"/>
        <v>452.8</v>
      </c>
      <c r="P1061" s="15">
        <f t="shared" si="71"/>
        <v>0.54554216867469885</v>
      </c>
    </row>
    <row r="1062" spans="1:16" ht="15.75" hidden="1" customHeight="1" x14ac:dyDescent="0.3">
      <c r="A1062" s="41" t="s">
        <v>59</v>
      </c>
      <c r="B1062" s="9" t="s">
        <v>415</v>
      </c>
      <c r="C1062" s="9" t="s">
        <v>415</v>
      </c>
      <c r="D1062" s="42" t="s">
        <v>422</v>
      </c>
      <c r="E1062" s="51">
        <v>20</v>
      </c>
      <c r="F1062" s="9"/>
      <c r="G1062" s="9"/>
      <c r="H1062" s="9"/>
      <c r="I1062" s="41" t="s">
        <v>292</v>
      </c>
      <c r="J1062" s="31" t="s">
        <v>8</v>
      </c>
      <c r="K1062" s="41" t="s">
        <v>338</v>
      </c>
      <c r="L1062" s="9"/>
      <c r="M1062" s="12">
        <f t="shared" si="68"/>
        <v>44</v>
      </c>
      <c r="N1062" s="13">
        <f t="shared" si="69"/>
        <v>61</v>
      </c>
      <c r="O1062" s="14">
        <f t="shared" si="70"/>
        <v>105</v>
      </c>
      <c r="P1062" s="15">
        <f t="shared" si="71"/>
        <v>0.12650602409638553</v>
      </c>
    </row>
    <row r="1063" spans="1:16" ht="15.75" hidden="1" customHeight="1" x14ac:dyDescent="0.3">
      <c r="A1063" s="41" t="s">
        <v>59</v>
      </c>
      <c r="B1063" s="9" t="s">
        <v>415</v>
      </c>
      <c r="C1063" s="9" t="s">
        <v>415</v>
      </c>
      <c r="D1063" s="42" t="s">
        <v>422</v>
      </c>
      <c r="E1063" s="50">
        <v>34</v>
      </c>
      <c r="F1063" s="9"/>
      <c r="G1063" s="9"/>
      <c r="H1063" s="9"/>
      <c r="I1063" s="52" t="s">
        <v>427</v>
      </c>
      <c r="J1063" s="41"/>
      <c r="K1063" s="41"/>
      <c r="L1063" s="9"/>
      <c r="M1063" s="12">
        <f t="shared" si="68"/>
        <v>0</v>
      </c>
      <c r="N1063" s="13">
        <f t="shared" si="69"/>
        <v>34</v>
      </c>
      <c r="O1063" s="14">
        <f t="shared" si="70"/>
        <v>34</v>
      </c>
      <c r="P1063" s="15">
        <f t="shared" si="71"/>
        <v>4.0963855421686748E-2</v>
      </c>
    </row>
    <row r="1064" spans="1:16" ht="15.75" hidden="1" customHeight="1" x14ac:dyDescent="0.3">
      <c r="A1064" s="9" t="s">
        <v>59</v>
      </c>
      <c r="B1064" s="9" t="s">
        <v>415</v>
      </c>
      <c r="C1064" s="9" t="s">
        <v>415</v>
      </c>
      <c r="D1064" s="9" t="s">
        <v>199</v>
      </c>
      <c r="E1064" s="53"/>
      <c r="F1064" s="54">
        <v>575</v>
      </c>
      <c r="G1064" s="55">
        <v>0</v>
      </c>
      <c r="H1064" s="56"/>
      <c r="I1064" s="57" t="s">
        <v>428</v>
      </c>
      <c r="J1064" s="57" t="s">
        <v>429</v>
      </c>
      <c r="K1064" s="58"/>
      <c r="L1064" s="56"/>
      <c r="M1064" s="12">
        <f t="shared" si="68"/>
        <v>0</v>
      </c>
      <c r="N1064" s="13">
        <f t="shared" si="69"/>
        <v>0</v>
      </c>
      <c r="O1064" s="14">
        <f t="shared" si="70"/>
        <v>0</v>
      </c>
      <c r="P1064" s="15">
        <f t="shared" si="71"/>
        <v>0</v>
      </c>
    </row>
    <row r="1065" spans="1:16" ht="15.75" hidden="1" customHeight="1" x14ac:dyDescent="0.3">
      <c r="A1065" s="36" t="s">
        <v>59</v>
      </c>
      <c r="B1065" s="36" t="s">
        <v>415</v>
      </c>
      <c r="C1065" s="9" t="s">
        <v>415</v>
      </c>
      <c r="D1065" s="9" t="s">
        <v>199</v>
      </c>
      <c r="E1065" s="10">
        <v>140</v>
      </c>
      <c r="F1065" s="9"/>
      <c r="G1065" s="9"/>
      <c r="H1065" s="9"/>
      <c r="I1065" s="32" t="s">
        <v>129</v>
      </c>
      <c r="J1065" s="32" t="s">
        <v>8</v>
      </c>
      <c r="K1065" s="32" t="s">
        <v>430</v>
      </c>
      <c r="L1065" s="9" t="s">
        <v>431</v>
      </c>
      <c r="M1065" s="12">
        <f t="shared" si="68"/>
        <v>348</v>
      </c>
      <c r="N1065" s="13">
        <f t="shared" si="69"/>
        <v>610</v>
      </c>
      <c r="O1065" s="14">
        <f t="shared" si="70"/>
        <v>958</v>
      </c>
      <c r="P1065" s="15">
        <f t="shared" si="71"/>
        <v>1.1542168674698796</v>
      </c>
    </row>
    <row r="1066" spans="1:16" ht="15.75" hidden="1" customHeight="1" x14ac:dyDescent="0.3">
      <c r="A1066" s="36" t="s">
        <v>59</v>
      </c>
      <c r="B1066" s="36" t="s">
        <v>415</v>
      </c>
      <c r="C1066" s="9" t="s">
        <v>415</v>
      </c>
      <c r="D1066" s="9" t="s">
        <v>199</v>
      </c>
      <c r="E1066" s="10">
        <v>120</v>
      </c>
      <c r="F1066" s="9"/>
      <c r="G1066" s="9"/>
      <c r="H1066" s="9"/>
      <c r="I1066" s="32" t="s">
        <v>211</v>
      </c>
      <c r="J1066" s="32" t="s">
        <v>4</v>
      </c>
      <c r="K1066" s="32" t="s">
        <v>432</v>
      </c>
      <c r="L1066" s="9"/>
      <c r="M1066" s="12">
        <f t="shared" si="68"/>
        <v>213</v>
      </c>
      <c r="N1066" s="13">
        <f t="shared" si="69"/>
        <v>399</v>
      </c>
      <c r="O1066" s="14">
        <f t="shared" si="70"/>
        <v>612</v>
      </c>
      <c r="P1066" s="15">
        <f t="shared" si="71"/>
        <v>0.73734939759036144</v>
      </c>
    </row>
    <row r="1067" spans="1:16" ht="15.75" hidden="1" customHeight="1" x14ac:dyDescent="0.3">
      <c r="A1067" s="36" t="s">
        <v>59</v>
      </c>
      <c r="B1067" s="36" t="s">
        <v>415</v>
      </c>
      <c r="C1067" s="9" t="s">
        <v>415</v>
      </c>
      <c r="D1067" s="9" t="s">
        <v>199</v>
      </c>
      <c r="E1067" s="10">
        <v>80</v>
      </c>
      <c r="F1067" s="9"/>
      <c r="G1067" s="9"/>
      <c r="H1067" s="9"/>
      <c r="I1067" s="32" t="s">
        <v>168</v>
      </c>
      <c r="J1067" s="32" t="s">
        <v>4</v>
      </c>
      <c r="K1067" s="32" t="s">
        <v>433</v>
      </c>
      <c r="L1067" s="9"/>
      <c r="M1067" s="12">
        <f t="shared" si="68"/>
        <v>456</v>
      </c>
      <c r="N1067" s="13">
        <f t="shared" si="69"/>
        <v>362</v>
      </c>
      <c r="O1067" s="14">
        <f t="shared" si="70"/>
        <v>818</v>
      </c>
      <c r="P1067" s="15">
        <f t="shared" si="71"/>
        <v>0.98554216867469879</v>
      </c>
    </row>
    <row r="1068" spans="1:16" ht="15.75" hidden="1" customHeight="1" x14ac:dyDescent="0.3">
      <c r="A1068" s="36" t="s">
        <v>59</v>
      </c>
      <c r="B1068" s="36" t="s">
        <v>415</v>
      </c>
      <c r="C1068" s="9" t="s">
        <v>415</v>
      </c>
      <c r="D1068" s="9" t="s">
        <v>199</v>
      </c>
      <c r="E1068" s="10">
        <v>71.5</v>
      </c>
      <c r="F1068" s="9"/>
      <c r="G1068" s="9"/>
      <c r="H1068" s="9"/>
      <c r="I1068" s="32" t="s">
        <v>85</v>
      </c>
      <c r="J1068" s="32" t="s">
        <v>4</v>
      </c>
      <c r="K1068" s="32" t="s">
        <v>434</v>
      </c>
      <c r="L1068" s="9"/>
      <c r="M1068" s="12">
        <f t="shared" si="68"/>
        <v>256</v>
      </c>
      <c r="N1068" s="13">
        <f t="shared" si="69"/>
        <v>691.5</v>
      </c>
      <c r="O1068" s="14">
        <f t="shared" si="70"/>
        <v>947.5</v>
      </c>
      <c r="P1068" s="15">
        <f t="shared" si="71"/>
        <v>1.1415662650602409</v>
      </c>
    </row>
    <row r="1069" spans="1:16" ht="15.75" hidden="1" customHeight="1" x14ac:dyDescent="0.3">
      <c r="A1069" s="36" t="s">
        <v>59</v>
      </c>
      <c r="B1069" s="36" t="s">
        <v>415</v>
      </c>
      <c r="C1069" s="9" t="s">
        <v>415</v>
      </c>
      <c r="D1069" s="9" t="s">
        <v>199</v>
      </c>
      <c r="E1069" s="10">
        <v>71.5</v>
      </c>
      <c r="F1069" s="9"/>
      <c r="G1069" s="9"/>
      <c r="H1069" s="9"/>
      <c r="I1069" s="32" t="s">
        <v>180</v>
      </c>
      <c r="J1069" s="32" t="s">
        <v>4</v>
      </c>
      <c r="K1069" s="32" t="s">
        <v>434</v>
      </c>
      <c r="L1069" s="9" t="s">
        <v>181</v>
      </c>
      <c r="M1069" s="12">
        <f t="shared" si="68"/>
        <v>703</v>
      </c>
      <c r="N1069" s="13">
        <f t="shared" si="69"/>
        <v>201.5</v>
      </c>
      <c r="O1069" s="14">
        <f t="shared" si="70"/>
        <v>904.5</v>
      </c>
      <c r="P1069" s="15">
        <f t="shared" si="71"/>
        <v>1.0897590361445784</v>
      </c>
    </row>
    <row r="1070" spans="1:16" ht="15.75" hidden="1" customHeight="1" x14ac:dyDescent="0.3">
      <c r="A1070" s="36" t="s">
        <v>59</v>
      </c>
      <c r="B1070" s="36" t="s">
        <v>415</v>
      </c>
      <c r="C1070" s="9" t="s">
        <v>415</v>
      </c>
      <c r="D1070" s="9" t="s">
        <v>199</v>
      </c>
      <c r="E1070" s="10">
        <v>11.5</v>
      </c>
      <c r="F1070" s="59"/>
      <c r="G1070" s="59"/>
      <c r="H1070" s="59"/>
      <c r="I1070" s="32" t="s">
        <v>201</v>
      </c>
      <c r="J1070" s="32" t="s">
        <v>4</v>
      </c>
      <c r="K1070" s="58" t="s">
        <v>435</v>
      </c>
      <c r="L1070" s="56"/>
      <c r="M1070" s="12">
        <f t="shared" si="68"/>
        <v>687</v>
      </c>
      <c r="N1070" s="13">
        <f t="shared" si="69"/>
        <v>461.5</v>
      </c>
      <c r="O1070" s="14">
        <f t="shared" si="70"/>
        <v>1148.5</v>
      </c>
      <c r="P1070" s="15">
        <f t="shared" si="71"/>
        <v>1.3837349397590362</v>
      </c>
    </row>
    <row r="1071" spans="1:16" ht="15.75" hidden="1" customHeight="1" x14ac:dyDescent="0.3">
      <c r="A1071" s="36" t="s">
        <v>59</v>
      </c>
      <c r="B1071" s="36" t="s">
        <v>415</v>
      </c>
      <c r="C1071" s="9" t="s">
        <v>415</v>
      </c>
      <c r="D1071" s="9" t="s">
        <v>199</v>
      </c>
      <c r="E1071" s="10">
        <v>11.5</v>
      </c>
      <c r="F1071" s="59"/>
      <c r="G1071" s="59"/>
      <c r="H1071" s="59"/>
      <c r="I1071" s="32" t="s">
        <v>187</v>
      </c>
      <c r="J1071" s="32" t="s">
        <v>21</v>
      </c>
      <c r="K1071" s="32" t="s">
        <v>420</v>
      </c>
      <c r="L1071" s="9"/>
      <c r="M1071" s="12">
        <f t="shared" si="68"/>
        <v>87</v>
      </c>
      <c r="N1071" s="13">
        <f t="shared" si="69"/>
        <v>111.5</v>
      </c>
      <c r="O1071" s="14">
        <f t="shared" si="70"/>
        <v>198.5</v>
      </c>
      <c r="P1071" s="15">
        <f t="shared" si="71"/>
        <v>0.23915662650602409</v>
      </c>
    </row>
    <row r="1072" spans="1:16" ht="15.75" hidden="1" customHeight="1" x14ac:dyDescent="0.3">
      <c r="A1072" s="9" t="s">
        <v>59</v>
      </c>
      <c r="B1072" s="9" t="s">
        <v>415</v>
      </c>
      <c r="C1072" s="9" t="s">
        <v>415</v>
      </c>
      <c r="D1072" s="9" t="s">
        <v>199</v>
      </c>
      <c r="E1072" s="10">
        <v>46</v>
      </c>
      <c r="F1072" s="9"/>
      <c r="G1072" s="9"/>
      <c r="H1072" s="9"/>
      <c r="I1072" s="60" t="s">
        <v>436</v>
      </c>
      <c r="J1072" s="32"/>
      <c r="K1072" s="32" t="s">
        <v>437</v>
      </c>
      <c r="L1072" s="9"/>
      <c r="M1072" s="12">
        <f t="shared" si="68"/>
        <v>0</v>
      </c>
      <c r="N1072" s="13">
        <f t="shared" si="69"/>
        <v>46</v>
      </c>
      <c r="O1072" s="14">
        <f t="shared" si="70"/>
        <v>46</v>
      </c>
      <c r="P1072" s="15">
        <f t="shared" si="71"/>
        <v>5.5421686746987948E-2</v>
      </c>
    </row>
    <row r="1073" spans="1:16" ht="15.75" hidden="1" customHeight="1" x14ac:dyDescent="0.3">
      <c r="A1073" s="9" t="s">
        <v>59</v>
      </c>
      <c r="B1073" s="9" t="s">
        <v>415</v>
      </c>
      <c r="C1073" s="9" t="s">
        <v>415</v>
      </c>
      <c r="D1073" s="9" t="s">
        <v>199</v>
      </c>
      <c r="E1073" s="10">
        <v>23</v>
      </c>
      <c r="F1073" s="9"/>
      <c r="G1073" s="9"/>
      <c r="H1073" s="9"/>
      <c r="I1073" s="32" t="s">
        <v>92</v>
      </c>
      <c r="J1073" s="32" t="s">
        <v>4</v>
      </c>
      <c r="K1073" s="32" t="s">
        <v>438</v>
      </c>
      <c r="L1073" s="9" t="s">
        <v>197</v>
      </c>
      <c r="M1073" s="12">
        <f t="shared" si="68"/>
        <v>405</v>
      </c>
      <c r="N1073" s="13">
        <f t="shared" si="69"/>
        <v>532</v>
      </c>
      <c r="O1073" s="14">
        <f t="shared" si="70"/>
        <v>937</v>
      </c>
      <c r="P1073" s="15">
        <f t="shared" si="71"/>
        <v>1.1289156626506025</v>
      </c>
    </row>
    <row r="1074" spans="1:16" ht="15.75" hidden="1" customHeight="1" x14ac:dyDescent="0.3">
      <c r="A1074" s="41" t="s">
        <v>59</v>
      </c>
      <c r="B1074" s="9" t="s">
        <v>415</v>
      </c>
      <c r="C1074" s="9" t="s">
        <v>415</v>
      </c>
      <c r="D1074" s="9" t="s">
        <v>119</v>
      </c>
      <c r="E1074" s="53"/>
      <c r="F1074" s="10">
        <v>350</v>
      </c>
      <c r="G1074" s="11">
        <v>0</v>
      </c>
      <c r="H1074" s="9"/>
      <c r="I1074" s="61" t="s">
        <v>439</v>
      </c>
      <c r="J1074" s="61" t="s">
        <v>440</v>
      </c>
      <c r="K1074" s="14"/>
      <c r="L1074" s="9"/>
      <c r="M1074" s="12">
        <f t="shared" si="68"/>
        <v>0</v>
      </c>
      <c r="N1074" s="13">
        <f t="shared" si="69"/>
        <v>0</v>
      </c>
      <c r="O1074" s="14">
        <f t="shared" si="70"/>
        <v>0</v>
      </c>
      <c r="P1074" s="15">
        <f t="shared" si="71"/>
        <v>0</v>
      </c>
    </row>
    <row r="1075" spans="1:16" ht="15.75" hidden="1" customHeight="1" x14ac:dyDescent="0.3">
      <c r="A1075" s="31" t="s">
        <v>59</v>
      </c>
      <c r="B1075" s="36" t="s">
        <v>415</v>
      </c>
      <c r="C1075" s="36" t="s">
        <v>415</v>
      </c>
      <c r="D1075" s="36" t="s">
        <v>441</v>
      </c>
      <c r="E1075" s="62">
        <f>60+3+6</f>
        <v>69</v>
      </c>
      <c r="F1075" s="36"/>
      <c r="G1075" s="36">
        <v>0</v>
      </c>
      <c r="H1075" s="36"/>
      <c r="I1075" s="33" t="s">
        <v>97</v>
      </c>
      <c r="J1075" s="33" t="s">
        <v>8</v>
      </c>
      <c r="K1075" s="33" t="s">
        <v>442</v>
      </c>
      <c r="L1075" s="36" t="s">
        <v>443</v>
      </c>
      <c r="M1075" s="12">
        <f t="shared" si="68"/>
        <v>501</v>
      </c>
      <c r="N1075" s="13">
        <f t="shared" si="69"/>
        <v>486.5</v>
      </c>
      <c r="O1075" s="14">
        <f t="shared" si="70"/>
        <v>987.5</v>
      </c>
      <c r="P1075" s="15">
        <f t="shared" si="71"/>
        <v>1.1897590361445782</v>
      </c>
    </row>
    <row r="1076" spans="1:16" ht="15.75" hidden="1" customHeight="1" x14ac:dyDescent="0.3">
      <c r="A1076" s="31" t="s">
        <v>59</v>
      </c>
      <c r="B1076" s="36" t="s">
        <v>415</v>
      </c>
      <c r="C1076" s="36" t="s">
        <v>415</v>
      </c>
      <c r="D1076" s="36" t="s">
        <v>441</v>
      </c>
      <c r="E1076" s="62">
        <f>40+3</f>
        <v>43</v>
      </c>
      <c r="F1076" s="36"/>
      <c r="G1076" s="36">
        <v>0</v>
      </c>
      <c r="H1076" s="36"/>
      <c r="I1076" s="33" t="s">
        <v>155</v>
      </c>
      <c r="J1076" s="33" t="s">
        <v>8</v>
      </c>
      <c r="K1076" s="33" t="s">
        <v>444</v>
      </c>
      <c r="L1076" s="36" t="s">
        <v>443</v>
      </c>
      <c r="M1076" s="12">
        <f t="shared" si="68"/>
        <v>302</v>
      </c>
      <c r="N1076" s="13">
        <f t="shared" si="69"/>
        <v>124.5</v>
      </c>
      <c r="O1076" s="14">
        <f t="shared" si="70"/>
        <v>426.5</v>
      </c>
      <c r="P1076" s="15">
        <f t="shared" si="71"/>
        <v>0.51385542168674703</v>
      </c>
    </row>
    <row r="1077" spans="1:16" ht="15.75" hidden="1" customHeight="1" x14ac:dyDescent="0.3">
      <c r="A1077" s="31" t="s">
        <v>59</v>
      </c>
      <c r="B1077" s="36" t="s">
        <v>415</v>
      </c>
      <c r="C1077" s="36" t="s">
        <v>415</v>
      </c>
      <c r="D1077" s="36" t="s">
        <v>441</v>
      </c>
      <c r="E1077" s="62">
        <v>20</v>
      </c>
      <c r="F1077" s="36"/>
      <c r="G1077" s="36">
        <v>0</v>
      </c>
      <c r="H1077" s="36"/>
      <c r="I1077" s="33" t="s">
        <v>251</v>
      </c>
      <c r="J1077" s="33" t="s">
        <v>8</v>
      </c>
      <c r="K1077" s="33" t="s">
        <v>445</v>
      </c>
      <c r="L1077" s="36" t="s">
        <v>443</v>
      </c>
      <c r="M1077" s="12">
        <f t="shared" si="68"/>
        <v>179</v>
      </c>
      <c r="N1077" s="13">
        <f t="shared" si="69"/>
        <v>72</v>
      </c>
      <c r="O1077" s="14">
        <f t="shared" si="70"/>
        <v>251</v>
      </c>
      <c r="P1077" s="15">
        <f t="shared" si="71"/>
        <v>0.30240963855421688</v>
      </c>
    </row>
    <row r="1078" spans="1:16" ht="15.75" hidden="1" customHeight="1" x14ac:dyDescent="0.3">
      <c r="A1078" s="31" t="s">
        <v>59</v>
      </c>
      <c r="B1078" s="36" t="s">
        <v>415</v>
      </c>
      <c r="C1078" s="36" t="s">
        <v>415</v>
      </c>
      <c r="D1078" s="36" t="s">
        <v>441</v>
      </c>
      <c r="E1078" s="62">
        <v>3</v>
      </c>
      <c r="F1078" s="36"/>
      <c r="G1078" s="36">
        <v>0</v>
      </c>
      <c r="H1078" s="9" t="s">
        <v>259</v>
      </c>
      <c r="I1078" s="9" t="s">
        <v>260</v>
      </c>
      <c r="J1078" s="33" t="s">
        <v>21</v>
      </c>
      <c r="K1078" s="33" t="s">
        <v>420</v>
      </c>
      <c r="L1078" s="36" t="s">
        <v>443</v>
      </c>
      <c r="M1078" s="12">
        <f t="shared" si="68"/>
        <v>144</v>
      </c>
      <c r="N1078" s="13">
        <f t="shared" si="69"/>
        <v>88.5</v>
      </c>
      <c r="O1078" s="14">
        <f t="shared" si="70"/>
        <v>232.5</v>
      </c>
      <c r="P1078" s="15">
        <f t="shared" si="71"/>
        <v>0.28012048192771083</v>
      </c>
    </row>
    <row r="1079" spans="1:16" ht="15.75" hidden="1" customHeight="1" x14ac:dyDescent="0.3">
      <c r="A1079" s="31" t="s">
        <v>59</v>
      </c>
      <c r="B1079" s="36" t="s">
        <v>415</v>
      </c>
      <c r="C1079" s="36" t="s">
        <v>415</v>
      </c>
      <c r="D1079" s="36" t="s">
        <v>441</v>
      </c>
      <c r="E1079" s="62">
        <v>3</v>
      </c>
      <c r="F1079" s="36"/>
      <c r="G1079" s="36">
        <v>0</v>
      </c>
      <c r="H1079" s="36"/>
      <c r="I1079" s="33" t="s">
        <v>258</v>
      </c>
      <c r="J1079" s="33" t="s">
        <v>8</v>
      </c>
      <c r="K1079" s="33" t="s">
        <v>421</v>
      </c>
      <c r="L1079" s="48" t="s">
        <v>443</v>
      </c>
      <c r="M1079" s="12">
        <f t="shared" si="68"/>
        <v>331</v>
      </c>
      <c r="N1079" s="13">
        <f t="shared" si="69"/>
        <v>520</v>
      </c>
      <c r="O1079" s="14">
        <f t="shared" si="70"/>
        <v>851</v>
      </c>
      <c r="P1079" s="15">
        <f t="shared" si="71"/>
        <v>1.0253012048192771</v>
      </c>
    </row>
    <row r="1080" spans="1:16" ht="15.75" hidden="1" customHeight="1" x14ac:dyDescent="0.3">
      <c r="A1080" s="31" t="s">
        <v>59</v>
      </c>
      <c r="B1080" s="36" t="s">
        <v>415</v>
      </c>
      <c r="C1080" s="36" t="s">
        <v>415</v>
      </c>
      <c r="D1080" s="36" t="s">
        <v>119</v>
      </c>
      <c r="E1080" s="62">
        <f>40+8</f>
        <v>48</v>
      </c>
      <c r="F1080" s="36"/>
      <c r="G1080" s="36">
        <v>0</v>
      </c>
      <c r="H1080" s="36" t="s">
        <v>272</v>
      </c>
      <c r="I1080" s="33" t="s">
        <v>273</v>
      </c>
      <c r="J1080" s="33" t="s">
        <v>8</v>
      </c>
      <c r="K1080" s="33" t="s">
        <v>446</v>
      </c>
      <c r="L1080" s="63"/>
      <c r="M1080" s="12">
        <f t="shared" si="68"/>
        <v>552</v>
      </c>
      <c r="N1080" s="13">
        <f t="shared" si="69"/>
        <v>171</v>
      </c>
      <c r="O1080" s="14">
        <f t="shared" si="70"/>
        <v>723</v>
      </c>
      <c r="P1080" s="15">
        <f t="shared" si="71"/>
        <v>0.87108433734939761</v>
      </c>
    </row>
    <row r="1081" spans="1:16" ht="15.75" hidden="1" customHeight="1" x14ac:dyDescent="0.3">
      <c r="A1081" s="31" t="s">
        <v>59</v>
      </c>
      <c r="B1081" s="36" t="s">
        <v>415</v>
      </c>
      <c r="C1081" s="36" t="s">
        <v>415</v>
      </c>
      <c r="D1081" s="36" t="s">
        <v>119</v>
      </c>
      <c r="E1081" s="62">
        <v>20</v>
      </c>
      <c r="F1081" s="36"/>
      <c r="G1081" s="36">
        <v>0</v>
      </c>
      <c r="H1081" s="36" t="s">
        <v>328</v>
      </c>
      <c r="I1081" s="33" t="s">
        <v>64</v>
      </c>
      <c r="J1081" s="33" t="s">
        <v>4</v>
      </c>
      <c r="K1081" s="33" t="s">
        <v>338</v>
      </c>
      <c r="L1081" s="63"/>
      <c r="M1081" s="12">
        <f t="shared" si="68"/>
        <v>284</v>
      </c>
      <c r="N1081" s="13">
        <f t="shared" si="69"/>
        <v>140</v>
      </c>
      <c r="O1081" s="14">
        <f t="shared" si="70"/>
        <v>424</v>
      </c>
      <c r="P1081" s="15">
        <f t="shared" si="71"/>
        <v>0.51084337349397591</v>
      </c>
    </row>
    <row r="1082" spans="1:16" ht="15.75" hidden="1" customHeight="1" x14ac:dyDescent="0.3">
      <c r="A1082" s="31" t="s">
        <v>59</v>
      </c>
      <c r="B1082" s="36" t="s">
        <v>415</v>
      </c>
      <c r="C1082" s="36" t="s">
        <v>415</v>
      </c>
      <c r="D1082" s="36" t="s">
        <v>119</v>
      </c>
      <c r="E1082" s="62">
        <v>4</v>
      </c>
      <c r="F1082" s="36"/>
      <c r="G1082" s="36">
        <v>0</v>
      </c>
      <c r="H1082" s="36" t="s">
        <v>98</v>
      </c>
      <c r="I1082" s="33" t="s">
        <v>99</v>
      </c>
      <c r="J1082" s="33" t="s">
        <v>4</v>
      </c>
      <c r="K1082" s="33" t="s">
        <v>420</v>
      </c>
      <c r="L1082" s="63"/>
      <c r="M1082" s="12">
        <f t="shared" si="68"/>
        <v>239</v>
      </c>
      <c r="N1082" s="13">
        <f t="shared" si="69"/>
        <v>196.5</v>
      </c>
      <c r="O1082" s="14">
        <f t="shared" si="70"/>
        <v>435.5</v>
      </c>
      <c r="P1082" s="15">
        <f t="shared" si="71"/>
        <v>0.52469879518072293</v>
      </c>
    </row>
    <row r="1083" spans="1:16" ht="15.75" hidden="1" customHeight="1" x14ac:dyDescent="0.3">
      <c r="A1083" s="31" t="s">
        <v>59</v>
      </c>
      <c r="B1083" s="36" t="s">
        <v>415</v>
      </c>
      <c r="C1083" s="36" t="s">
        <v>415</v>
      </c>
      <c r="D1083" s="36" t="s">
        <v>119</v>
      </c>
      <c r="E1083" s="62">
        <v>24</v>
      </c>
      <c r="F1083" s="36"/>
      <c r="G1083" s="36"/>
      <c r="H1083" s="36" t="s">
        <v>70</v>
      </c>
      <c r="I1083" s="33" t="s">
        <v>71</v>
      </c>
      <c r="J1083" s="33" t="s">
        <v>447</v>
      </c>
      <c r="K1083" s="33" t="s">
        <v>448</v>
      </c>
      <c r="L1083" s="63"/>
      <c r="M1083" s="12">
        <f t="shared" si="68"/>
        <v>391</v>
      </c>
      <c r="N1083" s="13">
        <f t="shared" si="69"/>
        <v>436.5</v>
      </c>
      <c r="O1083" s="14">
        <f t="shared" si="70"/>
        <v>827.5</v>
      </c>
      <c r="P1083" s="15">
        <f t="shared" si="71"/>
        <v>0.99698795180722888</v>
      </c>
    </row>
    <row r="1084" spans="1:16" ht="15.75" hidden="1" customHeight="1" x14ac:dyDescent="0.3">
      <c r="A1084" s="31" t="s">
        <v>59</v>
      </c>
      <c r="B1084" s="36" t="s">
        <v>415</v>
      </c>
      <c r="C1084" s="36" t="s">
        <v>415</v>
      </c>
      <c r="D1084" s="36" t="s">
        <v>119</v>
      </c>
      <c r="E1084" s="62">
        <v>44</v>
      </c>
      <c r="F1084" s="36"/>
      <c r="G1084" s="36"/>
      <c r="H1084" s="36" t="s">
        <v>65</v>
      </c>
      <c r="I1084" s="33" t="s">
        <v>66</v>
      </c>
      <c r="J1084" s="33" t="s">
        <v>4</v>
      </c>
      <c r="K1084" s="33" t="s">
        <v>423</v>
      </c>
      <c r="L1084" s="63"/>
      <c r="M1084" s="12">
        <f t="shared" si="68"/>
        <v>291</v>
      </c>
      <c r="N1084" s="13">
        <f t="shared" si="69"/>
        <v>650.5</v>
      </c>
      <c r="O1084" s="14">
        <f t="shared" si="70"/>
        <v>941.5</v>
      </c>
      <c r="P1084" s="15">
        <f t="shared" si="71"/>
        <v>1.1343373493975903</v>
      </c>
    </row>
    <row r="1085" spans="1:16" ht="15.75" hidden="1" customHeight="1" x14ac:dyDescent="0.3">
      <c r="A1085" s="64" t="s">
        <v>59</v>
      </c>
      <c r="B1085" s="36" t="s">
        <v>415</v>
      </c>
      <c r="C1085" s="36" t="s">
        <v>415</v>
      </c>
      <c r="D1085" s="36" t="s">
        <v>119</v>
      </c>
      <c r="E1085" s="62">
        <v>44</v>
      </c>
      <c r="F1085" s="36"/>
      <c r="G1085" s="36"/>
      <c r="H1085" s="36" t="s">
        <v>115</v>
      </c>
      <c r="I1085" s="33" t="s">
        <v>116</v>
      </c>
      <c r="J1085" s="33" t="s">
        <v>4</v>
      </c>
      <c r="K1085" s="33" t="s">
        <v>423</v>
      </c>
      <c r="L1085" s="63"/>
      <c r="M1085" s="12">
        <f t="shared" si="68"/>
        <v>381</v>
      </c>
      <c r="N1085" s="13">
        <f t="shared" si="69"/>
        <v>367</v>
      </c>
      <c r="O1085" s="14">
        <f t="shared" si="70"/>
        <v>748</v>
      </c>
      <c r="P1085" s="15">
        <f t="shared" si="71"/>
        <v>0.90120481927710838</v>
      </c>
    </row>
    <row r="1086" spans="1:16" ht="15.75" hidden="1" customHeight="1" x14ac:dyDescent="0.3">
      <c r="A1086" s="31" t="s">
        <v>59</v>
      </c>
      <c r="B1086" s="36" t="s">
        <v>415</v>
      </c>
      <c r="C1086" s="36" t="s">
        <v>415</v>
      </c>
      <c r="D1086" s="36" t="s">
        <v>441</v>
      </c>
      <c r="E1086" s="62">
        <v>28</v>
      </c>
      <c r="F1086" s="36"/>
      <c r="G1086" s="36"/>
      <c r="H1086" s="36" t="s">
        <v>115</v>
      </c>
      <c r="I1086" s="33" t="s">
        <v>449</v>
      </c>
      <c r="J1086" s="33"/>
      <c r="K1086" s="33" t="s">
        <v>450</v>
      </c>
      <c r="L1086" s="63"/>
      <c r="M1086" s="12">
        <f t="shared" si="68"/>
        <v>0</v>
      </c>
      <c r="N1086" s="13">
        <f t="shared" si="69"/>
        <v>28</v>
      </c>
      <c r="O1086" s="14">
        <f t="shared" si="70"/>
        <v>28</v>
      </c>
      <c r="P1086" s="15">
        <f t="shared" si="71"/>
        <v>3.3734939759036145E-2</v>
      </c>
    </row>
    <row r="1087" spans="1:16" ht="15.75" hidden="1" customHeight="1" x14ac:dyDescent="0.3">
      <c r="A1087" s="41" t="s">
        <v>59</v>
      </c>
      <c r="B1087" s="18" t="s">
        <v>415</v>
      </c>
      <c r="C1087" s="18" t="s">
        <v>415</v>
      </c>
      <c r="D1087" s="18" t="s">
        <v>119</v>
      </c>
      <c r="E1087" s="19">
        <v>50</v>
      </c>
      <c r="F1087" s="19">
        <v>50</v>
      </c>
      <c r="G1087" s="27"/>
      <c r="H1087" s="18"/>
      <c r="I1087" s="20" t="s">
        <v>71</v>
      </c>
      <c r="J1087" s="18"/>
      <c r="K1087" s="18"/>
      <c r="L1087" s="18" t="s">
        <v>451</v>
      </c>
      <c r="M1087" s="12">
        <f t="shared" si="68"/>
        <v>391</v>
      </c>
      <c r="N1087" s="13">
        <f t="shared" si="69"/>
        <v>436.5</v>
      </c>
      <c r="O1087" s="14">
        <f t="shared" si="70"/>
        <v>827.5</v>
      </c>
      <c r="P1087" s="15">
        <f t="shared" si="71"/>
        <v>0.99698795180722888</v>
      </c>
    </row>
    <row r="1088" spans="1:16" ht="15.75" hidden="1" customHeight="1" x14ac:dyDescent="0.3">
      <c r="A1088" s="9" t="s">
        <v>59</v>
      </c>
      <c r="B1088" s="9" t="s">
        <v>415</v>
      </c>
      <c r="C1088" s="9" t="s">
        <v>415</v>
      </c>
      <c r="D1088" s="9" t="s">
        <v>344</v>
      </c>
      <c r="E1088" s="10">
        <v>50</v>
      </c>
      <c r="F1088" s="9"/>
      <c r="G1088" s="11">
        <v>0</v>
      </c>
      <c r="H1088" s="9" t="s">
        <v>76</v>
      </c>
      <c r="I1088" s="9" t="s">
        <v>77</v>
      </c>
      <c r="J1088" s="9"/>
      <c r="K1088" s="9"/>
      <c r="L1088" s="9" t="s">
        <v>345</v>
      </c>
      <c r="M1088" s="12">
        <f t="shared" si="68"/>
        <v>249</v>
      </c>
      <c r="N1088" s="13">
        <f t="shared" si="69"/>
        <v>294</v>
      </c>
      <c r="O1088" s="14">
        <f t="shared" si="70"/>
        <v>543</v>
      </c>
      <c r="P1088" s="15">
        <f t="shared" si="71"/>
        <v>0.6542168674698795</v>
      </c>
    </row>
    <row r="1089" spans="1:16" ht="15.75" hidden="1" customHeight="1" x14ac:dyDescent="0.3">
      <c r="A1089" s="9" t="s">
        <v>59</v>
      </c>
      <c r="B1089" s="9" t="s">
        <v>415</v>
      </c>
      <c r="C1089" s="9" t="s">
        <v>415</v>
      </c>
      <c r="D1089" s="9" t="s">
        <v>346</v>
      </c>
      <c r="E1089" s="10">
        <v>25</v>
      </c>
      <c r="F1089" s="9"/>
      <c r="G1089" s="11">
        <v>0</v>
      </c>
      <c r="H1089" s="9" t="s">
        <v>257</v>
      </c>
      <c r="I1089" s="9" t="s">
        <v>258</v>
      </c>
      <c r="J1089" s="9" t="s">
        <v>8</v>
      </c>
      <c r="K1089" s="9"/>
      <c r="L1089" s="9" t="s">
        <v>347</v>
      </c>
      <c r="M1089" s="12">
        <f t="shared" si="68"/>
        <v>331</v>
      </c>
      <c r="N1089" s="13">
        <f t="shared" si="69"/>
        <v>520</v>
      </c>
      <c r="O1089" s="14">
        <f t="shared" si="70"/>
        <v>851</v>
      </c>
      <c r="P1089" s="15">
        <f t="shared" si="71"/>
        <v>1.0253012048192771</v>
      </c>
    </row>
    <row r="1090" spans="1:16" ht="15.75" hidden="1" customHeight="1" x14ac:dyDescent="0.3">
      <c r="A1090" s="41" t="s">
        <v>59</v>
      </c>
      <c r="B1090" s="9" t="s">
        <v>415</v>
      </c>
      <c r="C1090" s="9" t="s">
        <v>415</v>
      </c>
      <c r="D1090" s="9" t="s">
        <v>189</v>
      </c>
      <c r="E1090" s="65"/>
      <c r="F1090" s="10">
        <v>150</v>
      </c>
      <c r="G1090" s="11">
        <v>0</v>
      </c>
      <c r="H1090" s="9"/>
      <c r="I1090" s="66" t="s">
        <v>452</v>
      </c>
      <c r="J1090" s="9"/>
      <c r="K1090" s="9"/>
      <c r="L1090" s="9"/>
      <c r="M1090" s="12">
        <f t="shared" si="68"/>
        <v>0</v>
      </c>
      <c r="N1090" s="13">
        <f t="shared" si="69"/>
        <v>0</v>
      </c>
      <c r="O1090" s="14">
        <f t="shared" si="70"/>
        <v>0</v>
      </c>
      <c r="P1090" s="15">
        <f t="shared" si="71"/>
        <v>0</v>
      </c>
    </row>
    <row r="1091" spans="1:16" ht="15.75" hidden="1" customHeight="1" x14ac:dyDescent="0.3">
      <c r="A1091" s="41" t="s">
        <v>59</v>
      </c>
      <c r="B1091" s="9" t="s">
        <v>415</v>
      </c>
      <c r="C1091" s="9" t="s">
        <v>415</v>
      </c>
      <c r="D1091" s="9" t="s">
        <v>189</v>
      </c>
      <c r="E1091" s="67">
        <v>43</v>
      </c>
      <c r="F1091" s="10"/>
      <c r="G1091" s="11"/>
      <c r="H1091" s="9"/>
      <c r="I1091" s="9" t="s">
        <v>172</v>
      </c>
      <c r="J1091" s="9"/>
      <c r="K1091" s="9" t="s">
        <v>453</v>
      </c>
      <c r="L1091" s="9"/>
      <c r="M1091" s="12">
        <f t="shared" si="68"/>
        <v>339</v>
      </c>
      <c r="N1091" s="13">
        <f t="shared" si="69"/>
        <v>296</v>
      </c>
      <c r="O1091" s="14">
        <f t="shared" si="70"/>
        <v>635</v>
      </c>
      <c r="P1091" s="15">
        <f t="shared" si="71"/>
        <v>0.76506024096385539</v>
      </c>
    </row>
    <row r="1092" spans="1:16" ht="15.75" hidden="1" customHeight="1" x14ac:dyDescent="0.3">
      <c r="A1092" s="41" t="s">
        <v>59</v>
      </c>
      <c r="B1092" s="9" t="s">
        <v>415</v>
      </c>
      <c r="C1092" s="9" t="s">
        <v>415</v>
      </c>
      <c r="D1092" s="9" t="s">
        <v>189</v>
      </c>
      <c r="E1092" s="67">
        <v>46</v>
      </c>
      <c r="F1092" s="10"/>
      <c r="G1092" s="11"/>
      <c r="H1092" s="9"/>
      <c r="I1092" s="9" t="s">
        <v>92</v>
      </c>
      <c r="J1092" s="9"/>
      <c r="K1092" s="9" t="s">
        <v>454</v>
      </c>
      <c r="L1092" s="9"/>
      <c r="M1092" s="12">
        <f t="shared" si="68"/>
        <v>405</v>
      </c>
      <c r="N1092" s="13">
        <f t="shared" si="69"/>
        <v>532</v>
      </c>
      <c r="O1092" s="14">
        <f t="shared" si="70"/>
        <v>937</v>
      </c>
      <c r="P1092" s="15">
        <f t="shared" si="71"/>
        <v>1.1289156626506025</v>
      </c>
    </row>
    <row r="1093" spans="1:16" ht="15.75" hidden="1" customHeight="1" x14ac:dyDescent="0.3">
      <c r="A1093" s="41" t="s">
        <v>59</v>
      </c>
      <c r="B1093" s="9" t="s">
        <v>415</v>
      </c>
      <c r="C1093" s="9" t="s">
        <v>415</v>
      </c>
      <c r="D1093" s="9" t="s">
        <v>189</v>
      </c>
      <c r="E1093" s="67">
        <v>23</v>
      </c>
      <c r="F1093" s="10"/>
      <c r="G1093" s="11"/>
      <c r="H1093" s="9"/>
      <c r="I1093" s="9" t="s">
        <v>168</v>
      </c>
      <c r="J1093" s="9"/>
      <c r="K1093" s="9" t="s">
        <v>455</v>
      </c>
      <c r="L1093" s="9"/>
      <c r="M1093" s="12">
        <f t="shared" si="68"/>
        <v>456</v>
      </c>
      <c r="N1093" s="13">
        <f t="shared" si="69"/>
        <v>362</v>
      </c>
      <c r="O1093" s="14">
        <f t="shared" si="70"/>
        <v>818</v>
      </c>
      <c r="P1093" s="15">
        <f t="shared" si="71"/>
        <v>0.98554216867469879</v>
      </c>
    </row>
    <row r="1094" spans="1:16" ht="15.75" hidden="1" customHeight="1" x14ac:dyDescent="0.3">
      <c r="A1094" s="41" t="s">
        <v>59</v>
      </c>
      <c r="B1094" s="9" t="s">
        <v>415</v>
      </c>
      <c r="C1094" s="9" t="s">
        <v>415</v>
      </c>
      <c r="D1094" s="9" t="s">
        <v>189</v>
      </c>
      <c r="E1094" s="67">
        <v>3</v>
      </c>
      <c r="F1094" s="10"/>
      <c r="G1094" s="11"/>
      <c r="H1094" s="9"/>
      <c r="I1094" s="9" t="s">
        <v>187</v>
      </c>
      <c r="J1094" s="9"/>
      <c r="K1094" s="9" t="s">
        <v>456</v>
      </c>
      <c r="L1094" s="9"/>
      <c r="M1094" s="12">
        <f t="shared" si="68"/>
        <v>87</v>
      </c>
      <c r="N1094" s="13">
        <f t="shared" si="69"/>
        <v>111.5</v>
      </c>
      <c r="O1094" s="14">
        <f t="shared" si="70"/>
        <v>198.5</v>
      </c>
      <c r="P1094" s="15">
        <f t="shared" si="71"/>
        <v>0.23915662650602409</v>
      </c>
    </row>
    <row r="1095" spans="1:16" ht="15.75" hidden="1" customHeight="1" x14ac:dyDescent="0.3">
      <c r="A1095" s="41" t="s">
        <v>59</v>
      </c>
      <c r="B1095" s="9" t="s">
        <v>415</v>
      </c>
      <c r="C1095" s="9" t="s">
        <v>415</v>
      </c>
      <c r="D1095" s="9" t="s">
        <v>189</v>
      </c>
      <c r="E1095" s="67">
        <v>23</v>
      </c>
      <c r="F1095" s="10"/>
      <c r="G1095" s="11"/>
      <c r="H1095" s="9"/>
      <c r="I1095" s="9" t="s">
        <v>223</v>
      </c>
      <c r="J1095" s="9"/>
      <c r="K1095" s="9" t="s">
        <v>457</v>
      </c>
      <c r="L1095" s="9"/>
      <c r="M1095" s="12">
        <f t="shared" si="68"/>
        <v>41</v>
      </c>
      <c r="N1095" s="13">
        <f t="shared" si="69"/>
        <v>124</v>
      </c>
      <c r="O1095" s="14">
        <f t="shared" si="70"/>
        <v>165</v>
      </c>
      <c r="P1095" s="15">
        <f t="shared" si="71"/>
        <v>0.19879518072289157</v>
      </c>
    </row>
    <row r="1096" spans="1:16" ht="15.75" hidden="1" customHeight="1" x14ac:dyDescent="0.3">
      <c r="A1096" s="41" t="s">
        <v>59</v>
      </c>
      <c r="B1096" s="9" t="s">
        <v>415</v>
      </c>
      <c r="C1096" s="9" t="s">
        <v>415</v>
      </c>
      <c r="D1096" s="9" t="s">
        <v>189</v>
      </c>
      <c r="E1096" s="67">
        <v>12</v>
      </c>
      <c r="F1096" s="10"/>
      <c r="G1096" s="11"/>
      <c r="H1096" s="9"/>
      <c r="I1096" s="9" t="s">
        <v>458</v>
      </c>
      <c r="J1096" s="9"/>
      <c r="K1096" s="9" t="s">
        <v>459</v>
      </c>
      <c r="L1096" s="9"/>
      <c r="M1096" s="12">
        <f t="shared" si="68"/>
        <v>0</v>
      </c>
      <c r="N1096" s="13">
        <f t="shared" si="69"/>
        <v>12</v>
      </c>
      <c r="O1096" s="14">
        <f t="shared" si="70"/>
        <v>12</v>
      </c>
      <c r="P1096" s="15">
        <f t="shared" si="71"/>
        <v>1.4457831325301205E-2</v>
      </c>
    </row>
    <row r="1097" spans="1:16" ht="15.75" hidden="1" customHeight="1" x14ac:dyDescent="0.3">
      <c r="A1097" s="41" t="s">
        <v>59</v>
      </c>
      <c r="B1097" s="9" t="s">
        <v>415</v>
      </c>
      <c r="C1097" s="9" t="s">
        <v>415</v>
      </c>
      <c r="D1097" s="9" t="s">
        <v>165</v>
      </c>
      <c r="E1097" s="53"/>
      <c r="F1097" s="10">
        <v>245</v>
      </c>
      <c r="G1097" s="11">
        <v>0</v>
      </c>
      <c r="H1097" s="9"/>
      <c r="I1097" s="66" t="s">
        <v>460</v>
      </c>
      <c r="J1097" s="9"/>
      <c r="K1097" s="9"/>
      <c r="L1097" s="9"/>
      <c r="M1097" s="12">
        <f t="shared" si="68"/>
        <v>0</v>
      </c>
      <c r="N1097" s="13">
        <f t="shared" si="69"/>
        <v>0</v>
      </c>
      <c r="O1097" s="14">
        <f t="shared" si="70"/>
        <v>0</v>
      </c>
      <c r="P1097" s="15">
        <f t="shared" si="71"/>
        <v>0</v>
      </c>
    </row>
    <row r="1098" spans="1:16" ht="15.75" hidden="1" customHeight="1" x14ac:dyDescent="0.3">
      <c r="A1098" s="41" t="s">
        <v>59</v>
      </c>
      <c r="B1098" s="9" t="s">
        <v>415</v>
      </c>
      <c r="C1098" s="9" t="s">
        <v>415</v>
      </c>
      <c r="D1098" s="35" t="s">
        <v>165</v>
      </c>
      <c r="E1098" s="68">
        <v>30</v>
      </c>
      <c r="F1098" s="35"/>
      <c r="G1098" s="35"/>
      <c r="H1098" s="35"/>
      <c r="I1098" s="24" t="s">
        <v>231</v>
      </c>
      <c r="J1098" s="24" t="s">
        <v>4</v>
      </c>
      <c r="K1098" s="9" t="s">
        <v>338</v>
      </c>
      <c r="L1098" s="35" t="s">
        <v>232</v>
      </c>
      <c r="M1098" s="12">
        <f t="shared" si="68"/>
        <v>116</v>
      </c>
      <c r="N1098" s="13">
        <f t="shared" si="69"/>
        <v>105</v>
      </c>
      <c r="O1098" s="14">
        <f t="shared" si="70"/>
        <v>221</v>
      </c>
      <c r="P1098" s="15">
        <f t="shared" si="71"/>
        <v>0.26626506024096386</v>
      </c>
    </row>
    <row r="1099" spans="1:16" ht="15.75" hidden="1" customHeight="1" x14ac:dyDescent="0.3">
      <c r="A1099" s="41" t="s">
        <v>59</v>
      </c>
      <c r="B1099" s="9" t="s">
        <v>415</v>
      </c>
      <c r="C1099" s="9" t="s">
        <v>415</v>
      </c>
      <c r="D1099" s="35" t="s">
        <v>165</v>
      </c>
      <c r="E1099" s="68">
        <v>33</v>
      </c>
      <c r="F1099" s="35"/>
      <c r="G1099" s="35"/>
      <c r="H1099" s="35"/>
      <c r="I1099" s="9" t="s">
        <v>129</v>
      </c>
      <c r="J1099" s="34" t="s">
        <v>8</v>
      </c>
      <c r="K1099" s="24" t="s">
        <v>461</v>
      </c>
      <c r="L1099" s="35" t="s">
        <v>431</v>
      </c>
      <c r="M1099" s="12">
        <f t="shared" si="68"/>
        <v>348</v>
      </c>
      <c r="N1099" s="13">
        <f t="shared" si="69"/>
        <v>610</v>
      </c>
      <c r="O1099" s="14">
        <f t="shared" si="70"/>
        <v>958</v>
      </c>
      <c r="P1099" s="15">
        <f t="shared" si="71"/>
        <v>1.1542168674698796</v>
      </c>
    </row>
    <row r="1100" spans="1:16" ht="15.75" hidden="1" customHeight="1" x14ac:dyDescent="0.3">
      <c r="A1100" s="41" t="s">
        <v>59</v>
      </c>
      <c r="B1100" s="9" t="s">
        <v>415</v>
      </c>
      <c r="C1100" s="9" t="s">
        <v>415</v>
      </c>
      <c r="D1100" s="35" t="s">
        <v>165</v>
      </c>
      <c r="E1100" s="68">
        <v>33</v>
      </c>
      <c r="F1100" s="35"/>
      <c r="G1100" s="35"/>
      <c r="H1100" s="35"/>
      <c r="I1100" s="35" t="s">
        <v>172</v>
      </c>
      <c r="J1100" s="35" t="s">
        <v>8</v>
      </c>
      <c r="K1100" s="24" t="s">
        <v>461</v>
      </c>
      <c r="L1100" s="69" t="s">
        <v>303</v>
      </c>
      <c r="M1100" s="12">
        <f t="shared" si="68"/>
        <v>339</v>
      </c>
      <c r="N1100" s="13">
        <f t="shared" si="69"/>
        <v>296</v>
      </c>
      <c r="O1100" s="14">
        <f t="shared" si="70"/>
        <v>635</v>
      </c>
      <c r="P1100" s="15">
        <f t="shared" si="71"/>
        <v>0.76506024096385539</v>
      </c>
    </row>
    <row r="1101" spans="1:16" ht="15.75" hidden="1" customHeight="1" x14ac:dyDescent="0.3">
      <c r="A1101" s="41" t="s">
        <v>59</v>
      </c>
      <c r="B1101" s="9" t="s">
        <v>415</v>
      </c>
      <c r="C1101" s="9" t="s">
        <v>415</v>
      </c>
      <c r="D1101" s="35" t="s">
        <v>165</v>
      </c>
      <c r="E1101" s="68">
        <v>63</v>
      </c>
      <c r="F1101" s="35"/>
      <c r="G1101" s="35"/>
      <c r="H1101" s="35"/>
      <c r="I1101" s="35" t="s">
        <v>175</v>
      </c>
      <c r="J1101" s="9" t="s">
        <v>8</v>
      </c>
      <c r="K1101" s="24" t="s">
        <v>462</v>
      </c>
      <c r="L1101" s="53"/>
      <c r="M1101" s="12">
        <f t="shared" si="68"/>
        <v>320</v>
      </c>
      <c r="N1101" s="13">
        <f t="shared" si="69"/>
        <v>169</v>
      </c>
      <c r="O1101" s="14">
        <f t="shared" si="70"/>
        <v>489</v>
      </c>
      <c r="P1101" s="15">
        <f t="shared" si="71"/>
        <v>0.58915662650602407</v>
      </c>
    </row>
    <row r="1102" spans="1:16" ht="15.75" hidden="1" customHeight="1" x14ac:dyDescent="0.3">
      <c r="A1102" s="41" t="s">
        <v>59</v>
      </c>
      <c r="B1102" s="9" t="s">
        <v>415</v>
      </c>
      <c r="C1102" s="9" t="s">
        <v>415</v>
      </c>
      <c r="D1102" s="35" t="s">
        <v>165</v>
      </c>
      <c r="E1102" s="68">
        <v>30</v>
      </c>
      <c r="F1102" s="35"/>
      <c r="G1102" s="35"/>
      <c r="H1102" s="35"/>
      <c r="I1102" s="35" t="s">
        <v>168</v>
      </c>
      <c r="J1102" s="9" t="s">
        <v>4</v>
      </c>
      <c r="K1102" s="24" t="s">
        <v>338</v>
      </c>
      <c r="L1102" s="35" t="s">
        <v>197</v>
      </c>
      <c r="M1102" s="12">
        <f t="shared" si="68"/>
        <v>456</v>
      </c>
      <c r="N1102" s="13">
        <f t="shared" si="69"/>
        <v>362</v>
      </c>
      <c r="O1102" s="14">
        <f t="shared" si="70"/>
        <v>818</v>
      </c>
      <c r="P1102" s="15">
        <f t="shared" si="71"/>
        <v>0.98554216867469879</v>
      </c>
    </row>
    <row r="1103" spans="1:16" ht="15.75" hidden="1" customHeight="1" x14ac:dyDescent="0.3">
      <c r="A1103" s="41" t="s">
        <v>59</v>
      </c>
      <c r="B1103" s="9" t="s">
        <v>415</v>
      </c>
      <c r="C1103" s="9" t="s">
        <v>415</v>
      </c>
      <c r="D1103" s="35" t="s">
        <v>165</v>
      </c>
      <c r="E1103" s="68">
        <v>6</v>
      </c>
      <c r="F1103" s="35"/>
      <c r="G1103" s="35"/>
      <c r="H1103" s="35"/>
      <c r="I1103" s="36" t="s">
        <v>92</v>
      </c>
      <c r="J1103" s="9" t="s">
        <v>4</v>
      </c>
      <c r="K1103" s="24" t="s">
        <v>409</v>
      </c>
      <c r="L1103" s="37"/>
      <c r="M1103" s="12">
        <f t="shared" si="68"/>
        <v>405</v>
      </c>
      <c r="N1103" s="13">
        <f t="shared" si="69"/>
        <v>532</v>
      </c>
      <c r="O1103" s="14">
        <f t="shared" si="70"/>
        <v>937</v>
      </c>
      <c r="P1103" s="15">
        <f t="shared" si="71"/>
        <v>1.1289156626506025</v>
      </c>
    </row>
    <row r="1104" spans="1:16" ht="15.75" hidden="1" customHeight="1" x14ac:dyDescent="0.3">
      <c r="A1104" s="41" t="s">
        <v>59</v>
      </c>
      <c r="B1104" s="9" t="s">
        <v>415</v>
      </c>
      <c r="C1104" s="9" t="s">
        <v>415</v>
      </c>
      <c r="D1104" s="35" t="s">
        <v>165</v>
      </c>
      <c r="E1104" s="68">
        <v>15</v>
      </c>
      <c r="F1104" s="35"/>
      <c r="G1104" s="35"/>
      <c r="H1104" s="35"/>
      <c r="I1104" s="70" t="s">
        <v>463</v>
      </c>
      <c r="J1104" s="9"/>
      <c r="K1104" s="24" t="s">
        <v>464</v>
      </c>
      <c r="L1104" s="37"/>
      <c r="M1104" s="12">
        <f t="shared" si="68"/>
        <v>0</v>
      </c>
      <c r="N1104" s="13">
        <f t="shared" si="69"/>
        <v>15</v>
      </c>
      <c r="O1104" s="14">
        <f t="shared" si="70"/>
        <v>15</v>
      </c>
      <c r="P1104" s="15">
        <f t="shared" si="71"/>
        <v>1.8072289156626505E-2</v>
      </c>
    </row>
    <row r="1105" spans="1:16" ht="15.75" hidden="1" customHeight="1" x14ac:dyDescent="0.3">
      <c r="A1105" s="41" t="s">
        <v>59</v>
      </c>
      <c r="B1105" s="18" t="s">
        <v>415</v>
      </c>
      <c r="C1105" s="18" t="s">
        <v>415</v>
      </c>
      <c r="D1105" s="71" t="s">
        <v>165</v>
      </c>
      <c r="E1105" s="72">
        <v>35</v>
      </c>
      <c r="F1105" s="71"/>
      <c r="G1105" s="71"/>
      <c r="H1105" s="71"/>
      <c r="I1105" s="73" t="s">
        <v>465</v>
      </c>
      <c r="J1105" s="74"/>
      <c r="K1105" s="75" t="s">
        <v>338</v>
      </c>
      <c r="L1105" s="76"/>
      <c r="M1105" s="12">
        <f t="shared" si="68"/>
        <v>0</v>
      </c>
      <c r="N1105" s="13">
        <f t="shared" si="69"/>
        <v>140</v>
      </c>
      <c r="O1105" s="14">
        <f t="shared" si="70"/>
        <v>140</v>
      </c>
      <c r="P1105" s="15">
        <f t="shared" si="71"/>
        <v>0.16867469879518071</v>
      </c>
    </row>
    <row r="1106" spans="1:16" ht="15.75" hidden="1" customHeight="1" x14ac:dyDescent="0.3">
      <c r="A1106" s="41" t="s">
        <v>59</v>
      </c>
      <c r="B1106" s="9" t="s">
        <v>415</v>
      </c>
      <c r="C1106" s="9" t="s">
        <v>415</v>
      </c>
      <c r="D1106" s="9" t="s">
        <v>237</v>
      </c>
      <c r="E1106" s="53"/>
      <c r="F1106" s="10">
        <v>210</v>
      </c>
      <c r="G1106" s="11">
        <v>0</v>
      </c>
      <c r="H1106" s="9"/>
      <c r="I1106" s="66" t="s">
        <v>466</v>
      </c>
      <c r="J1106" s="9"/>
      <c r="K1106" s="9"/>
      <c r="L1106" s="9"/>
      <c r="M1106" s="12">
        <f t="shared" si="68"/>
        <v>0</v>
      </c>
      <c r="N1106" s="13">
        <f t="shared" si="69"/>
        <v>0</v>
      </c>
      <c r="O1106" s="14">
        <f t="shared" si="70"/>
        <v>0</v>
      </c>
      <c r="P1106" s="15">
        <f t="shared" si="71"/>
        <v>0</v>
      </c>
    </row>
    <row r="1107" spans="1:16" ht="15.75" hidden="1" customHeight="1" x14ac:dyDescent="0.3">
      <c r="A1107" s="41" t="s">
        <v>59</v>
      </c>
      <c r="B1107" s="9" t="s">
        <v>415</v>
      </c>
      <c r="C1107" s="9" t="s">
        <v>415</v>
      </c>
      <c r="D1107" s="9" t="s">
        <v>237</v>
      </c>
      <c r="E1107" s="10">
        <v>32.5</v>
      </c>
      <c r="F1107" s="9"/>
      <c r="G1107" s="11">
        <v>0</v>
      </c>
      <c r="H1107" s="9"/>
      <c r="I1107" s="9" t="s">
        <v>99</v>
      </c>
      <c r="J1107" s="9" t="s">
        <v>4</v>
      </c>
      <c r="K1107" s="26" t="s">
        <v>467</v>
      </c>
      <c r="L1107" s="26"/>
      <c r="M1107" s="12">
        <f t="shared" si="68"/>
        <v>239</v>
      </c>
      <c r="N1107" s="13">
        <f t="shared" si="69"/>
        <v>196.5</v>
      </c>
      <c r="O1107" s="14">
        <f t="shared" si="70"/>
        <v>435.5</v>
      </c>
      <c r="P1107" s="15">
        <f t="shared" si="71"/>
        <v>0.52469879518072293</v>
      </c>
    </row>
    <row r="1108" spans="1:16" ht="15.75" hidden="1" customHeight="1" x14ac:dyDescent="0.3">
      <c r="A1108" s="41" t="s">
        <v>59</v>
      </c>
      <c r="B1108" s="9" t="s">
        <v>415</v>
      </c>
      <c r="C1108" s="9" t="s">
        <v>415</v>
      </c>
      <c r="D1108" s="9" t="s">
        <v>237</v>
      </c>
      <c r="E1108" s="10">
        <v>32.5</v>
      </c>
      <c r="F1108" s="9"/>
      <c r="G1108" s="11">
        <v>0</v>
      </c>
      <c r="H1108" s="9"/>
      <c r="I1108" s="9" t="s">
        <v>66</v>
      </c>
      <c r="J1108" s="9"/>
      <c r="K1108" s="26" t="s">
        <v>468</v>
      </c>
      <c r="L1108" s="26"/>
      <c r="M1108" s="12">
        <f t="shared" si="68"/>
        <v>291</v>
      </c>
      <c r="N1108" s="13">
        <f t="shared" si="69"/>
        <v>650.5</v>
      </c>
      <c r="O1108" s="14">
        <f t="shared" si="70"/>
        <v>941.5</v>
      </c>
      <c r="P1108" s="15">
        <f t="shared" si="71"/>
        <v>1.1343373493975903</v>
      </c>
    </row>
    <row r="1109" spans="1:16" ht="15.75" hidden="1" customHeight="1" x14ac:dyDescent="0.3">
      <c r="A1109" s="41" t="s">
        <v>59</v>
      </c>
      <c r="B1109" s="9" t="s">
        <v>415</v>
      </c>
      <c r="C1109" s="9" t="s">
        <v>415</v>
      </c>
      <c r="D1109" s="9" t="s">
        <v>237</v>
      </c>
      <c r="E1109" s="10">
        <v>30</v>
      </c>
      <c r="F1109" s="9"/>
      <c r="G1109" s="11">
        <v>0</v>
      </c>
      <c r="H1109" s="9"/>
      <c r="I1109" s="9" t="s">
        <v>116</v>
      </c>
      <c r="J1109" s="9" t="s">
        <v>4</v>
      </c>
      <c r="K1109" s="26" t="s">
        <v>338</v>
      </c>
      <c r="L1109" s="26"/>
      <c r="M1109" s="12">
        <f t="shared" si="68"/>
        <v>381</v>
      </c>
      <c r="N1109" s="13">
        <f t="shared" si="69"/>
        <v>367</v>
      </c>
      <c r="O1109" s="14">
        <f t="shared" si="70"/>
        <v>748</v>
      </c>
      <c r="P1109" s="15">
        <f t="shared" si="71"/>
        <v>0.90120481927710838</v>
      </c>
    </row>
    <row r="1110" spans="1:16" ht="15.75" hidden="1" customHeight="1" x14ac:dyDescent="0.3">
      <c r="A1110" s="41" t="s">
        <v>59</v>
      </c>
      <c r="B1110" s="9" t="s">
        <v>415</v>
      </c>
      <c r="C1110" s="9" t="s">
        <v>415</v>
      </c>
      <c r="D1110" s="9" t="s">
        <v>237</v>
      </c>
      <c r="E1110" s="10">
        <v>35</v>
      </c>
      <c r="F1110" s="9"/>
      <c r="G1110" s="11">
        <v>0</v>
      </c>
      <c r="H1110" s="9"/>
      <c r="I1110" s="9" t="s">
        <v>273</v>
      </c>
      <c r="J1110" s="9"/>
      <c r="K1110" s="26" t="s">
        <v>468</v>
      </c>
      <c r="L1110" s="26"/>
      <c r="M1110" s="12">
        <f t="shared" si="68"/>
        <v>552</v>
      </c>
      <c r="N1110" s="13">
        <f t="shared" si="69"/>
        <v>171</v>
      </c>
      <c r="O1110" s="14">
        <f t="shared" si="70"/>
        <v>723</v>
      </c>
      <c r="P1110" s="15">
        <f t="shared" si="71"/>
        <v>0.87108433734939761</v>
      </c>
    </row>
    <row r="1111" spans="1:16" ht="15.75" hidden="1" customHeight="1" x14ac:dyDescent="0.3">
      <c r="A1111" s="41" t="s">
        <v>59</v>
      </c>
      <c r="B1111" s="9" t="s">
        <v>415</v>
      </c>
      <c r="C1111" s="9" t="s">
        <v>415</v>
      </c>
      <c r="D1111" s="9" t="s">
        <v>237</v>
      </c>
      <c r="E1111" s="10">
        <v>30</v>
      </c>
      <c r="F1111" s="9"/>
      <c r="G1111" s="11">
        <v>0</v>
      </c>
      <c r="H1111" s="9"/>
      <c r="I1111" s="9" t="s">
        <v>64</v>
      </c>
      <c r="J1111" s="9"/>
      <c r="K1111" s="26" t="s">
        <v>338</v>
      </c>
      <c r="L1111" s="26"/>
      <c r="M1111" s="12">
        <f t="shared" si="68"/>
        <v>284</v>
      </c>
      <c r="N1111" s="13">
        <f t="shared" si="69"/>
        <v>140</v>
      </c>
      <c r="O1111" s="14">
        <f t="shared" si="70"/>
        <v>424</v>
      </c>
      <c r="P1111" s="15">
        <f t="shared" si="71"/>
        <v>0.51084337349397591</v>
      </c>
    </row>
    <row r="1112" spans="1:16" ht="15.75" hidden="1" customHeight="1" x14ac:dyDescent="0.3">
      <c r="A1112" s="41" t="s">
        <v>59</v>
      </c>
      <c r="B1112" s="9" t="s">
        <v>415</v>
      </c>
      <c r="C1112" s="9" t="s">
        <v>415</v>
      </c>
      <c r="D1112" s="9" t="s">
        <v>237</v>
      </c>
      <c r="E1112" s="10">
        <v>2.5</v>
      </c>
      <c r="F1112" s="9"/>
      <c r="G1112" s="11"/>
      <c r="H1112" s="9"/>
      <c r="I1112" s="38" t="s">
        <v>71</v>
      </c>
      <c r="J1112" s="77" t="s">
        <v>447</v>
      </c>
      <c r="K1112" s="78" t="s">
        <v>421</v>
      </c>
      <c r="L1112" s="78"/>
      <c r="M1112" s="12">
        <f t="shared" si="68"/>
        <v>391</v>
      </c>
      <c r="N1112" s="13">
        <f t="shared" si="69"/>
        <v>436.5</v>
      </c>
      <c r="O1112" s="14">
        <f t="shared" si="70"/>
        <v>827.5</v>
      </c>
      <c r="P1112" s="15">
        <f t="shared" si="71"/>
        <v>0.99698795180722888</v>
      </c>
    </row>
    <row r="1113" spans="1:16" ht="15.75" hidden="1" customHeight="1" x14ac:dyDescent="0.3">
      <c r="A1113" s="41" t="s">
        <v>59</v>
      </c>
      <c r="B1113" s="9" t="s">
        <v>415</v>
      </c>
      <c r="C1113" s="9" t="s">
        <v>415</v>
      </c>
      <c r="D1113" s="9" t="s">
        <v>237</v>
      </c>
      <c r="E1113" s="10">
        <v>12.5</v>
      </c>
      <c r="F1113" s="9"/>
      <c r="G1113" s="11"/>
      <c r="H1113" s="9"/>
      <c r="I1113" s="9" t="s">
        <v>469</v>
      </c>
      <c r="J1113" s="79"/>
      <c r="K1113" s="63" t="s">
        <v>464</v>
      </c>
      <c r="L1113" s="26"/>
      <c r="M1113" s="12">
        <f t="shared" si="68"/>
        <v>0</v>
      </c>
      <c r="N1113" s="13">
        <f t="shared" si="69"/>
        <v>12.5</v>
      </c>
      <c r="O1113" s="14">
        <f t="shared" si="70"/>
        <v>12.5</v>
      </c>
      <c r="P1113" s="15">
        <f t="shared" si="71"/>
        <v>1.5060240963855422E-2</v>
      </c>
    </row>
    <row r="1114" spans="1:16" ht="15.75" hidden="1" customHeight="1" x14ac:dyDescent="0.3">
      <c r="A1114" s="80" t="s">
        <v>59</v>
      </c>
      <c r="B1114" s="81" t="s">
        <v>415</v>
      </c>
      <c r="C1114" s="81" t="s">
        <v>415</v>
      </c>
      <c r="D1114" s="74" t="s">
        <v>237</v>
      </c>
      <c r="E1114" s="82">
        <v>35</v>
      </c>
      <c r="F1114" s="74"/>
      <c r="G1114" s="74">
        <v>0</v>
      </c>
      <c r="H1114" s="83"/>
      <c r="I1114" s="20" t="s">
        <v>465</v>
      </c>
      <c r="J1114" s="81"/>
      <c r="K1114" s="81" t="s">
        <v>470</v>
      </c>
      <c r="L1114" s="28"/>
      <c r="M1114" s="12">
        <f t="shared" si="68"/>
        <v>0</v>
      </c>
      <c r="N1114" s="13">
        <f t="shared" si="69"/>
        <v>140</v>
      </c>
      <c r="O1114" s="14">
        <f t="shared" si="70"/>
        <v>140</v>
      </c>
      <c r="P1114" s="15">
        <f t="shared" si="71"/>
        <v>0.16867469879518071</v>
      </c>
    </row>
    <row r="1115" spans="1:16" ht="15.75" hidden="1" customHeight="1" x14ac:dyDescent="0.3">
      <c r="A1115" s="41" t="s">
        <v>59</v>
      </c>
      <c r="B1115" s="9" t="s">
        <v>415</v>
      </c>
      <c r="C1115" s="9" t="s">
        <v>415</v>
      </c>
      <c r="D1115" s="9" t="s">
        <v>152</v>
      </c>
      <c r="E1115" s="53"/>
      <c r="F1115" s="10">
        <v>245</v>
      </c>
      <c r="G1115" s="11">
        <v>0</v>
      </c>
      <c r="H1115" s="9"/>
      <c r="I1115" s="66" t="s">
        <v>471</v>
      </c>
      <c r="J1115" s="9"/>
      <c r="K1115" s="9"/>
      <c r="L1115" s="9"/>
      <c r="M1115" s="12">
        <f t="shared" si="68"/>
        <v>0</v>
      </c>
      <c r="N1115" s="13">
        <f t="shared" si="69"/>
        <v>0</v>
      </c>
      <c r="O1115" s="14">
        <f t="shared" si="70"/>
        <v>0</v>
      </c>
      <c r="P1115" s="15">
        <f t="shared" si="71"/>
        <v>0</v>
      </c>
    </row>
    <row r="1116" spans="1:16" ht="15.75" hidden="1" customHeight="1" x14ac:dyDescent="0.3">
      <c r="A1116" s="41" t="s">
        <v>59</v>
      </c>
      <c r="B1116" s="9" t="s">
        <v>415</v>
      </c>
      <c r="C1116" s="9" t="s">
        <v>415</v>
      </c>
      <c r="D1116" s="9" t="s">
        <v>152</v>
      </c>
      <c r="E1116" s="68">
        <v>35</v>
      </c>
      <c r="F1116" s="35"/>
      <c r="G1116" s="84">
        <v>0</v>
      </c>
      <c r="H1116" s="35"/>
      <c r="I1116" s="39" t="s">
        <v>258</v>
      </c>
      <c r="J1116" s="34" t="s">
        <v>8</v>
      </c>
      <c r="K1116" s="36" t="s">
        <v>472</v>
      </c>
      <c r="L1116" s="53"/>
      <c r="M1116" s="12">
        <f t="shared" si="68"/>
        <v>331</v>
      </c>
      <c r="N1116" s="13">
        <f t="shared" si="69"/>
        <v>520</v>
      </c>
      <c r="O1116" s="14">
        <f t="shared" si="70"/>
        <v>851</v>
      </c>
      <c r="P1116" s="15">
        <f t="shared" si="71"/>
        <v>1.0253012048192771</v>
      </c>
    </row>
    <row r="1117" spans="1:16" ht="15.75" hidden="1" customHeight="1" x14ac:dyDescent="0.3">
      <c r="A1117" s="41" t="s">
        <v>59</v>
      </c>
      <c r="B1117" s="9" t="s">
        <v>415</v>
      </c>
      <c r="C1117" s="9" t="s">
        <v>415</v>
      </c>
      <c r="D1117" s="9" t="s">
        <v>152</v>
      </c>
      <c r="E1117" s="68">
        <v>62.5</v>
      </c>
      <c r="F1117" s="35"/>
      <c r="G1117" s="84">
        <v>0</v>
      </c>
      <c r="H1117" s="35"/>
      <c r="I1117" s="39" t="s">
        <v>97</v>
      </c>
      <c r="J1117" s="34" t="s">
        <v>8</v>
      </c>
      <c r="K1117" s="36" t="s">
        <v>473</v>
      </c>
      <c r="L1117" s="53"/>
      <c r="M1117" s="12">
        <f t="shared" si="68"/>
        <v>501</v>
      </c>
      <c r="N1117" s="13">
        <f t="shared" si="69"/>
        <v>486.5</v>
      </c>
      <c r="O1117" s="14">
        <f t="shared" si="70"/>
        <v>987.5</v>
      </c>
      <c r="P1117" s="15">
        <f t="shared" si="71"/>
        <v>1.1897590361445782</v>
      </c>
    </row>
    <row r="1118" spans="1:16" ht="15.75" hidden="1" customHeight="1" x14ac:dyDescent="0.3">
      <c r="A1118" s="41" t="s">
        <v>59</v>
      </c>
      <c r="B1118" s="9" t="s">
        <v>415</v>
      </c>
      <c r="C1118" s="9" t="s">
        <v>415</v>
      </c>
      <c r="D1118" s="9" t="s">
        <v>152</v>
      </c>
      <c r="E1118" s="68">
        <v>30</v>
      </c>
      <c r="F1118" s="35"/>
      <c r="G1118" s="84">
        <v>0</v>
      </c>
      <c r="H1118" s="35"/>
      <c r="I1118" s="39" t="s">
        <v>77</v>
      </c>
      <c r="J1118" s="34" t="s">
        <v>8</v>
      </c>
      <c r="K1118" s="34" t="s">
        <v>338</v>
      </c>
      <c r="L1118" s="39"/>
      <c r="M1118" s="12">
        <f t="shared" ref="M1118:M1130" si="72">SUMIFS($E$2:$E$1130,$A$2:$A$1130,"осень",$I$2:$I$1130,I1118)</f>
        <v>249</v>
      </c>
      <c r="N1118" s="13">
        <f t="shared" ref="N1118:N1130" si="73">SUMIFS($E$2:$E$1130,$A$2:$A$1130,"весна",$I$2:$I$1130,I1118)</f>
        <v>294</v>
      </c>
      <c r="O1118" s="14">
        <f t="shared" ref="O1118:O1130" si="74">M1118+N1118</f>
        <v>543</v>
      </c>
      <c r="P1118" s="15">
        <f t="shared" ref="P1118:P1130" si="75">O1118/$P$1</f>
        <v>0.6542168674698795</v>
      </c>
    </row>
    <row r="1119" spans="1:16" ht="15.75" hidden="1" customHeight="1" x14ac:dyDescent="0.3">
      <c r="A1119" s="41" t="s">
        <v>59</v>
      </c>
      <c r="B1119" s="9" t="s">
        <v>415</v>
      </c>
      <c r="C1119" s="9" t="s">
        <v>415</v>
      </c>
      <c r="D1119" s="9" t="s">
        <v>152</v>
      </c>
      <c r="E1119" s="68">
        <v>2.5</v>
      </c>
      <c r="F1119" s="35"/>
      <c r="G1119" s="84"/>
      <c r="H1119" s="9" t="s">
        <v>259</v>
      </c>
      <c r="I1119" s="9" t="s">
        <v>260</v>
      </c>
      <c r="J1119" s="34" t="s">
        <v>21</v>
      </c>
      <c r="K1119" s="34" t="s">
        <v>420</v>
      </c>
      <c r="L1119" s="39"/>
      <c r="M1119" s="12">
        <f t="shared" si="72"/>
        <v>144</v>
      </c>
      <c r="N1119" s="13">
        <f t="shared" si="73"/>
        <v>88.5</v>
      </c>
      <c r="O1119" s="14">
        <f t="shared" si="74"/>
        <v>232.5</v>
      </c>
      <c r="P1119" s="15">
        <f t="shared" si="75"/>
        <v>0.28012048192771083</v>
      </c>
    </row>
    <row r="1120" spans="1:16" ht="15.75" hidden="1" customHeight="1" x14ac:dyDescent="0.3">
      <c r="A1120" s="41" t="s">
        <v>59</v>
      </c>
      <c r="B1120" s="9" t="s">
        <v>415</v>
      </c>
      <c r="C1120" s="9" t="s">
        <v>415</v>
      </c>
      <c r="D1120" s="9" t="s">
        <v>152</v>
      </c>
      <c r="E1120" s="68">
        <v>2.5</v>
      </c>
      <c r="F1120" s="35"/>
      <c r="G1120" s="84"/>
      <c r="H1120" s="35"/>
      <c r="I1120" s="39" t="s">
        <v>155</v>
      </c>
      <c r="J1120" s="34" t="s">
        <v>8</v>
      </c>
      <c r="K1120" s="34" t="s">
        <v>421</v>
      </c>
      <c r="L1120" s="39"/>
      <c r="M1120" s="12">
        <f t="shared" si="72"/>
        <v>302</v>
      </c>
      <c r="N1120" s="13">
        <f t="shared" si="73"/>
        <v>124.5</v>
      </c>
      <c r="O1120" s="14">
        <f t="shared" si="74"/>
        <v>426.5</v>
      </c>
      <c r="P1120" s="15">
        <f t="shared" si="75"/>
        <v>0.51385542168674703</v>
      </c>
    </row>
    <row r="1121" spans="1:36" ht="15.75" hidden="1" customHeight="1" x14ac:dyDescent="0.3">
      <c r="A1121" s="41" t="s">
        <v>59</v>
      </c>
      <c r="B1121" s="9" t="s">
        <v>415</v>
      </c>
      <c r="C1121" s="9" t="s">
        <v>415</v>
      </c>
      <c r="D1121" s="9" t="s">
        <v>152</v>
      </c>
      <c r="E1121" s="68">
        <v>30</v>
      </c>
      <c r="F1121" s="35"/>
      <c r="G1121" s="84">
        <v>0</v>
      </c>
      <c r="H1121" s="35"/>
      <c r="I1121" s="39" t="s">
        <v>95</v>
      </c>
      <c r="J1121" s="34" t="s">
        <v>8</v>
      </c>
      <c r="K1121" s="35" t="s">
        <v>338</v>
      </c>
      <c r="L1121" s="39"/>
      <c r="M1121" s="12">
        <f t="shared" si="72"/>
        <v>295.8</v>
      </c>
      <c r="N1121" s="13">
        <f t="shared" si="73"/>
        <v>488</v>
      </c>
      <c r="O1121" s="14">
        <f t="shared" si="74"/>
        <v>783.8</v>
      </c>
      <c r="P1121" s="15">
        <f t="shared" si="75"/>
        <v>0.94433734939759029</v>
      </c>
    </row>
    <row r="1122" spans="1:36" ht="15.75" hidden="1" customHeight="1" x14ac:dyDescent="0.3">
      <c r="A1122" s="41" t="s">
        <v>59</v>
      </c>
      <c r="B1122" s="9" t="s">
        <v>415</v>
      </c>
      <c r="C1122" s="9" t="s">
        <v>415</v>
      </c>
      <c r="D1122" s="9" t="s">
        <v>152</v>
      </c>
      <c r="E1122" s="10">
        <v>12.5</v>
      </c>
      <c r="F1122" s="63"/>
      <c r="G1122" s="63"/>
      <c r="H1122" s="63"/>
      <c r="I1122" s="9" t="s">
        <v>474</v>
      </c>
      <c r="J1122" s="63"/>
      <c r="K1122" s="63" t="s">
        <v>464</v>
      </c>
      <c r="L1122" s="63"/>
      <c r="M1122" s="12">
        <f t="shared" si="72"/>
        <v>0</v>
      </c>
      <c r="N1122" s="13">
        <f t="shared" si="73"/>
        <v>12.5</v>
      </c>
      <c r="O1122" s="14">
        <f t="shared" si="74"/>
        <v>12.5</v>
      </c>
      <c r="P1122" s="15">
        <f t="shared" si="75"/>
        <v>1.5060240963855422E-2</v>
      </c>
    </row>
    <row r="1123" spans="1:36" ht="15.75" hidden="1" customHeight="1" x14ac:dyDescent="0.3">
      <c r="A1123" s="80" t="s">
        <v>59</v>
      </c>
      <c r="B1123" s="81" t="s">
        <v>415</v>
      </c>
      <c r="C1123" s="81" t="s">
        <v>415</v>
      </c>
      <c r="D1123" s="85" t="s">
        <v>152</v>
      </c>
      <c r="E1123" s="86">
        <v>70</v>
      </c>
      <c r="F1123" s="85"/>
      <c r="G1123" s="87">
        <v>0</v>
      </c>
      <c r="H1123" s="85"/>
      <c r="I1123" s="20" t="s">
        <v>465</v>
      </c>
      <c r="J1123" s="85"/>
      <c r="K1123" s="88" t="s">
        <v>337</v>
      </c>
      <c r="L1123" s="28" t="s">
        <v>339</v>
      </c>
      <c r="M1123" s="12">
        <f t="shared" si="72"/>
        <v>0</v>
      </c>
      <c r="N1123" s="13">
        <f t="shared" si="73"/>
        <v>140</v>
      </c>
      <c r="O1123" s="14">
        <f t="shared" si="74"/>
        <v>140</v>
      </c>
      <c r="P1123" s="15">
        <f t="shared" si="75"/>
        <v>0.16867469879518071</v>
      </c>
    </row>
    <row r="1124" spans="1:36" ht="15.75" hidden="1" customHeight="1" x14ac:dyDescent="0.3">
      <c r="A1124" s="89" t="s">
        <v>59</v>
      </c>
      <c r="B1124" s="90" t="s">
        <v>415</v>
      </c>
      <c r="C1124" s="90" t="s">
        <v>415</v>
      </c>
      <c r="D1124" s="90" t="s">
        <v>144</v>
      </c>
      <c r="E1124" s="53"/>
      <c r="F1124" s="10">
        <v>315</v>
      </c>
      <c r="G1124" s="11">
        <v>0</v>
      </c>
      <c r="H1124" s="91"/>
      <c r="I1124" s="66" t="s">
        <v>475</v>
      </c>
      <c r="J1124" s="90"/>
      <c r="K1124" s="90"/>
      <c r="L1124" s="90"/>
      <c r="M1124" s="12">
        <f t="shared" si="72"/>
        <v>0</v>
      </c>
      <c r="N1124" s="13">
        <f t="shared" si="73"/>
        <v>0</v>
      </c>
      <c r="O1124" s="14">
        <f t="shared" si="74"/>
        <v>0</v>
      </c>
      <c r="P1124" s="15">
        <f t="shared" si="75"/>
        <v>0</v>
      </c>
    </row>
    <row r="1125" spans="1:36" ht="15.75" hidden="1" customHeight="1" x14ac:dyDescent="0.3">
      <c r="A1125" s="89" t="s">
        <v>59</v>
      </c>
      <c r="B1125" s="90" t="s">
        <v>415</v>
      </c>
      <c r="C1125" s="90" t="s">
        <v>415</v>
      </c>
      <c r="D1125" s="90" t="s">
        <v>144</v>
      </c>
      <c r="E1125" s="10">
        <v>99</v>
      </c>
      <c r="F1125" s="9"/>
      <c r="G1125" s="11">
        <v>0</v>
      </c>
      <c r="H1125" s="92"/>
      <c r="I1125" s="40" t="s">
        <v>147</v>
      </c>
      <c r="J1125" s="34" t="s">
        <v>8</v>
      </c>
      <c r="K1125" s="9" t="s">
        <v>434</v>
      </c>
      <c r="L1125" s="53"/>
      <c r="M1125" s="12">
        <f t="shared" si="72"/>
        <v>279</v>
      </c>
      <c r="N1125" s="13">
        <f t="shared" si="73"/>
        <v>427.5</v>
      </c>
      <c r="O1125" s="14">
        <f t="shared" si="74"/>
        <v>706.5</v>
      </c>
      <c r="P1125" s="15">
        <f t="shared" si="75"/>
        <v>0.85120481927710845</v>
      </c>
    </row>
    <row r="1126" spans="1:36" ht="15.75" hidden="1" customHeight="1" x14ac:dyDescent="0.3">
      <c r="A1126" s="89" t="s">
        <v>59</v>
      </c>
      <c r="B1126" s="90" t="s">
        <v>415</v>
      </c>
      <c r="C1126" s="90" t="s">
        <v>415</v>
      </c>
      <c r="D1126" s="90" t="s">
        <v>144</v>
      </c>
      <c r="E1126" s="93">
        <v>64.5</v>
      </c>
      <c r="F1126" s="94"/>
      <c r="G1126" s="95">
        <v>0</v>
      </c>
      <c r="H1126" s="94"/>
      <c r="I1126" s="40" t="s">
        <v>246</v>
      </c>
      <c r="J1126" s="34" t="s">
        <v>8</v>
      </c>
      <c r="K1126" s="9" t="s">
        <v>462</v>
      </c>
      <c r="L1126" s="53"/>
      <c r="M1126" s="12">
        <f t="shared" si="72"/>
        <v>200</v>
      </c>
      <c r="N1126" s="13">
        <f t="shared" si="73"/>
        <v>271</v>
      </c>
      <c r="O1126" s="14">
        <f t="shared" si="74"/>
        <v>471</v>
      </c>
      <c r="P1126" s="15">
        <f t="shared" si="75"/>
        <v>0.56746987951807226</v>
      </c>
    </row>
    <row r="1127" spans="1:36" ht="15.75" hidden="1" customHeight="1" x14ac:dyDescent="0.3">
      <c r="A1127" s="89" t="s">
        <v>59</v>
      </c>
      <c r="B1127" s="90" t="s">
        <v>415</v>
      </c>
      <c r="C1127" s="90" t="s">
        <v>415</v>
      </c>
      <c r="D1127" s="90" t="s">
        <v>144</v>
      </c>
      <c r="E1127" s="93">
        <v>64.5</v>
      </c>
      <c r="F1127" s="94"/>
      <c r="G1127" s="95">
        <v>0</v>
      </c>
      <c r="H1127" s="94"/>
      <c r="I1127" s="40" t="s">
        <v>95</v>
      </c>
      <c r="J1127" s="34" t="s">
        <v>8</v>
      </c>
      <c r="K1127" s="9" t="s">
        <v>462</v>
      </c>
      <c r="L1127" s="53"/>
      <c r="M1127" s="12">
        <f t="shared" si="72"/>
        <v>295.8</v>
      </c>
      <c r="N1127" s="13">
        <f t="shared" si="73"/>
        <v>488</v>
      </c>
      <c r="O1127" s="14">
        <f t="shared" si="74"/>
        <v>783.8</v>
      </c>
      <c r="P1127" s="15">
        <f t="shared" si="75"/>
        <v>0.94433734939759029</v>
      </c>
    </row>
    <row r="1128" spans="1:36" ht="15.75" hidden="1" customHeight="1" x14ac:dyDescent="0.3">
      <c r="A1128" s="89" t="s">
        <v>59</v>
      </c>
      <c r="B1128" s="90" t="s">
        <v>415</v>
      </c>
      <c r="C1128" s="90" t="s">
        <v>415</v>
      </c>
      <c r="D1128" s="90" t="s">
        <v>144</v>
      </c>
      <c r="E1128" s="93">
        <v>60</v>
      </c>
      <c r="F1128" s="94"/>
      <c r="G1128" s="95">
        <v>0</v>
      </c>
      <c r="H1128" s="94"/>
      <c r="I1128" s="40" t="s">
        <v>77</v>
      </c>
      <c r="J1128" s="34" t="s">
        <v>8</v>
      </c>
      <c r="K1128" s="9" t="s">
        <v>337</v>
      </c>
      <c r="L1128" s="53"/>
      <c r="M1128" s="12">
        <f t="shared" si="72"/>
        <v>249</v>
      </c>
      <c r="N1128" s="13">
        <f t="shared" si="73"/>
        <v>294</v>
      </c>
      <c r="O1128" s="14">
        <f t="shared" si="74"/>
        <v>543</v>
      </c>
      <c r="P1128" s="15">
        <f t="shared" si="75"/>
        <v>0.6542168674698795</v>
      </c>
    </row>
    <row r="1129" spans="1:36" ht="15.75" hidden="1" customHeight="1" x14ac:dyDescent="0.3">
      <c r="A1129" s="41" t="s">
        <v>59</v>
      </c>
      <c r="B1129" s="9" t="s">
        <v>415</v>
      </c>
      <c r="C1129" s="9" t="s">
        <v>415</v>
      </c>
      <c r="D1129" s="9" t="s">
        <v>144</v>
      </c>
      <c r="E1129" s="53">
        <v>4.5</v>
      </c>
      <c r="F1129" s="10"/>
      <c r="G1129" s="11"/>
      <c r="H1129" s="9"/>
      <c r="I1129" s="96" t="s">
        <v>137</v>
      </c>
      <c r="J1129" s="9" t="s">
        <v>426</v>
      </c>
      <c r="K1129" s="9" t="s">
        <v>420</v>
      </c>
      <c r="L1129" s="9"/>
      <c r="M1129" s="12">
        <f t="shared" si="72"/>
        <v>212</v>
      </c>
      <c r="N1129" s="13">
        <f t="shared" si="73"/>
        <v>8</v>
      </c>
      <c r="O1129" s="14">
        <f t="shared" si="74"/>
        <v>220</v>
      </c>
      <c r="P1129" s="15">
        <f t="shared" si="75"/>
        <v>0.26506024096385544</v>
      </c>
      <c r="Q1129" s="53"/>
      <c r="R1129" s="53"/>
      <c r="S1129" s="53"/>
      <c r="T1129" s="53"/>
      <c r="U1129" s="53"/>
      <c r="V1129" s="53"/>
      <c r="W1129" s="53"/>
      <c r="X1129" s="53"/>
      <c r="Y1129" s="53"/>
      <c r="Z1129" s="53"/>
      <c r="AA1129" s="53"/>
      <c r="AB1129" s="53"/>
      <c r="AC1129" s="53"/>
      <c r="AD1129" s="53"/>
      <c r="AE1129" s="53"/>
      <c r="AF1129" s="53"/>
      <c r="AG1129" s="53"/>
      <c r="AH1129" s="53"/>
      <c r="AI1129" s="53"/>
      <c r="AJ1129" s="53"/>
    </row>
    <row r="1130" spans="1:36" ht="15.75" hidden="1" customHeight="1" x14ac:dyDescent="0.3">
      <c r="A1130" s="41" t="s">
        <v>59</v>
      </c>
      <c r="B1130" s="9" t="s">
        <v>415</v>
      </c>
      <c r="C1130" s="9" t="s">
        <v>415</v>
      </c>
      <c r="D1130" s="9" t="s">
        <v>144</v>
      </c>
      <c r="E1130" s="53">
        <v>22.5</v>
      </c>
      <c r="F1130" s="10"/>
      <c r="G1130" s="11"/>
      <c r="H1130" s="9"/>
      <c r="I1130" s="9" t="s">
        <v>476</v>
      </c>
      <c r="J1130" s="63"/>
      <c r="K1130" s="63" t="s">
        <v>464</v>
      </c>
      <c r="L1130" s="9"/>
      <c r="M1130" s="12">
        <f t="shared" si="72"/>
        <v>0</v>
      </c>
      <c r="N1130" s="13">
        <f t="shared" si="73"/>
        <v>22.5</v>
      </c>
      <c r="O1130" s="14">
        <f t="shared" si="74"/>
        <v>22.5</v>
      </c>
      <c r="P1130" s="15">
        <f t="shared" si="75"/>
        <v>2.710843373493976E-2</v>
      </c>
      <c r="Q1130" s="53"/>
      <c r="R1130" s="53"/>
      <c r="S1130" s="53"/>
      <c r="T1130" s="53"/>
      <c r="U1130" s="53"/>
      <c r="V1130" s="53"/>
      <c r="W1130" s="53"/>
      <c r="X1130" s="53"/>
      <c r="Y1130" s="53"/>
      <c r="Z1130" s="53"/>
      <c r="AA1130" s="53"/>
      <c r="AB1130" s="53"/>
      <c r="AC1130" s="53"/>
      <c r="AD1130" s="53"/>
      <c r="AE1130" s="53"/>
      <c r="AF1130" s="53"/>
      <c r="AG1130" s="53"/>
      <c r="AH1130" s="53"/>
      <c r="AI1130" s="53"/>
      <c r="AJ1130" s="53"/>
    </row>
    <row r="1131" spans="1:36" ht="15.75" customHeight="1" x14ac:dyDescent="0.3">
      <c r="B1131" s="97"/>
      <c r="C1131" s="97"/>
      <c r="D1131" s="97"/>
      <c r="E1131" s="98"/>
      <c r="F1131" s="97"/>
      <c r="G1131" s="97"/>
      <c r="H1131" s="97"/>
      <c r="I1131" s="97"/>
      <c r="J1131" s="97"/>
      <c r="K1131" s="97"/>
      <c r="L1131" s="97"/>
    </row>
    <row r="1132" spans="1:36" ht="15.75" customHeight="1" x14ac:dyDescent="0.3">
      <c r="B1132" s="97"/>
      <c r="C1132" s="97"/>
      <c r="D1132" s="97"/>
      <c r="E1132" s="98">
        <f>SUBTOTAL(9,E2:E1131)</f>
        <v>0</v>
      </c>
      <c r="F1132" s="97"/>
      <c r="G1132" s="97"/>
      <c r="H1132" s="97"/>
      <c r="I1132" s="97"/>
      <c r="J1132" s="97"/>
      <c r="K1132" s="97"/>
      <c r="L1132" s="97"/>
    </row>
    <row r="1133" spans="1:36" ht="15.75" customHeight="1" x14ac:dyDescent="0.3">
      <c r="B1133" s="97"/>
      <c r="C1133" s="97"/>
      <c r="D1133" s="97"/>
      <c r="E1133" s="98"/>
      <c r="F1133" s="97"/>
      <c r="G1133" s="97"/>
      <c r="H1133" s="97"/>
      <c r="I1133" s="97"/>
      <c r="J1133" s="97"/>
      <c r="K1133" s="97"/>
      <c r="L1133" s="97"/>
    </row>
    <row r="1134" spans="1:36" ht="15.75" customHeight="1" x14ac:dyDescent="0.3">
      <c r="B1134" s="97"/>
      <c r="C1134" s="97"/>
      <c r="D1134" s="97"/>
      <c r="E1134" s="98"/>
      <c r="F1134" s="97"/>
      <c r="G1134" s="97"/>
      <c r="H1134" s="97"/>
      <c r="I1134" s="97"/>
      <c r="J1134" s="97"/>
      <c r="K1134" s="97"/>
      <c r="L1134" s="97"/>
    </row>
    <row r="1135" spans="1:36" ht="15.75" customHeight="1" x14ac:dyDescent="0.3">
      <c r="B1135" s="97"/>
      <c r="C1135" s="97"/>
      <c r="D1135" s="97"/>
      <c r="E1135" s="98"/>
      <c r="F1135" s="97"/>
      <c r="G1135" s="97"/>
      <c r="H1135" s="97"/>
      <c r="I1135" s="97"/>
      <c r="J1135" s="99">
        <f>F1048-225</f>
        <v>200</v>
      </c>
      <c r="K1135" s="97"/>
      <c r="L1135" s="97"/>
    </row>
    <row r="1136" spans="1:36" ht="15.75" customHeight="1" x14ac:dyDescent="0.3">
      <c r="B1136" s="97"/>
      <c r="C1136" s="97"/>
      <c r="D1136" s="100"/>
      <c r="E1136" s="101" t="s">
        <v>477</v>
      </c>
      <c r="F1136" s="102" t="s">
        <v>478</v>
      </c>
      <c r="G1136" s="100"/>
      <c r="H1136" s="100"/>
      <c r="I1136" s="100"/>
      <c r="J1136" s="100"/>
      <c r="K1136" s="97"/>
      <c r="L1136" s="97"/>
    </row>
    <row r="1137" spans="2:13" ht="15.75" customHeight="1" x14ac:dyDescent="0.3">
      <c r="B1137" s="97"/>
      <c r="C1137" s="97"/>
      <c r="D1137" s="100"/>
      <c r="E1137" s="101">
        <v>150</v>
      </c>
      <c r="F1137" s="102">
        <f>E1137/25</f>
        <v>6</v>
      </c>
      <c r="G1137" s="100"/>
      <c r="H1137" s="103"/>
      <c r="I1137" s="100"/>
      <c r="J1137" s="100"/>
      <c r="K1137" s="97"/>
      <c r="L1137" s="97"/>
    </row>
    <row r="1138" spans="2:13" ht="15.75" customHeight="1" x14ac:dyDescent="0.3">
      <c r="B1138" s="97"/>
      <c r="C1138" s="97"/>
      <c r="D1138" s="103" t="s">
        <v>479</v>
      </c>
      <c r="E1138" s="104" t="s">
        <v>480</v>
      </c>
      <c r="F1138" s="100">
        <v>20</v>
      </c>
      <c r="G1138" s="100">
        <f>$F$1137*F1138</f>
        <v>120</v>
      </c>
      <c r="H1138" s="100"/>
      <c r="I1138" s="100"/>
      <c r="J1138" s="100"/>
      <c r="K1138" s="97"/>
      <c r="L1138" s="97"/>
    </row>
    <row r="1139" spans="2:13" ht="15.75" customHeight="1" x14ac:dyDescent="0.3">
      <c r="B1139" s="97"/>
      <c r="C1139" s="97"/>
      <c r="D1139" s="103"/>
      <c r="E1139" s="105" t="s">
        <v>481</v>
      </c>
      <c r="F1139" s="106">
        <v>1</v>
      </c>
      <c r="G1139" s="106">
        <f t="shared" ref="G1139:G1146" si="76">F1139*$F$1137</f>
        <v>6</v>
      </c>
      <c r="H1139" s="100"/>
      <c r="I1139" s="100"/>
      <c r="J1139" s="100"/>
      <c r="K1139" s="97">
        <v>230</v>
      </c>
      <c r="L1139" s="97"/>
    </row>
    <row r="1140" spans="2:13" ht="15.75" customHeight="1" x14ac:dyDescent="0.3">
      <c r="B1140" s="97"/>
      <c r="C1140" s="97"/>
      <c r="D1140" s="103"/>
      <c r="E1140" s="107" t="s">
        <v>420</v>
      </c>
      <c r="F1140" s="108">
        <v>0.5</v>
      </c>
      <c r="G1140" s="108">
        <f t="shared" si="76"/>
        <v>3</v>
      </c>
      <c r="H1140" s="100"/>
      <c r="I1140" s="100"/>
      <c r="J1140" s="100"/>
      <c r="K1140" s="97">
        <v>175</v>
      </c>
      <c r="L1140" s="97"/>
    </row>
    <row r="1141" spans="2:13" ht="15.75" customHeight="1" x14ac:dyDescent="0.3">
      <c r="B1141" s="97"/>
      <c r="C1141" s="97"/>
      <c r="D1141" s="103"/>
      <c r="E1141" s="109" t="s">
        <v>482</v>
      </c>
      <c r="F1141" s="110">
        <v>0.5</v>
      </c>
      <c r="G1141" s="109">
        <f t="shared" si="76"/>
        <v>3</v>
      </c>
      <c r="H1141" s="100"/>
      <c r="I1141" s="100"/>
      <c r="J1141" s="100"/>
      <c r="K1141" s="97"/>
      <c r="L1141" s="97"/>
      <c r="M1141">
        <v>1126</v>
      </c>
    </row>
    <row r="1142" spans="2:13" ht="15.75" customHeight="1" x14ac:dyDescent="0.3">
      <c r="B1142" s="97"/>
      <c r="C1142" s="97"/>
      <c r="D1142" s="103"/>
      <c r="E1142" s="109" t="s">
        <v>483</v>
      </c>
      <c r="F1142" s="110">
        <v>0.5</v>
      </c>
      <c r="G1142" s="109">
        <f t="shared" si="76"/>
        <v>3</v>
      </c>
      <c r="H1142" s="100"/>
      <c r="I1142" s="100"/>
      <c r="J1142" s="100"/>
      <c r="K1142" s="97"/>
      <c r="L1142" s="97"/>
      <c r="M1142">
        <f>M1141-830</f>
        <v>296</v>
      </c>
    </row>
    <row r="1143" spans="2:13" ht="15.75" customHeight="1" x14ac:dyDescent="0.3">
      <c r="B1143" s="97"/>
      <c r="C1143" s="97"/>
      <c r="D1143" s="103"/>
      <c r="E1143" s="105" t="s">
        <v>484</v>
      </c>
      <c r="F1143" s="106">
        <v>0.5</v>
      </c>
      <c r="G1143" s="106">
        <f t="shared" si="76"/>
        <v>3</v>
      </c>
      <c r="H1143" s="100"/>
      <c r="I1143" s="100"/>
      <c r="J1143" s="100"/>
      <c r="K1143" s="97"/>
      <c r="L1143" s="97"/>
    </row>
    <row r="1144" spans="2:13" ht="15.75" customHeight="1" x14ac:dyDescent="0.3">
      <c r="B1144" s="97"/>
      <c r="C1144" s="97"/>
      <c r="D1144" s="103"/>
      <c r="E1144" s="105" t="s">
        <v>485</v>
      </c>
      <c r="F1144" s="106">
        <v>0.5</v>
      </c>
      <c r="G1144" s="106">
        <f t="shared" si="76"/>
        <v>3</v>
      </c>
      <c r="H1144" s="100"/>
      <c r="I1144" s="100" t="s">
        <v>486</v>
      </c>
      <c r="J1144" s="100"/>
      <c r="K1144" s="97"/>
      <c r="L1144" s="97"/>
    </row>
    <row r="1145" spans="2:13" ht="15.75" customHeight="1" x14ac:dyDescent="0.3">
      <c r="B1145" s="97"/>
      <c r="C1145" s="97"/>
      <c r="D1145" s="103"/>
      <c r="E1145" s="105" t="s">
        <v>485</v>
      </c>
      <c r="F1145" s="106">
        <v>0.5</v>
      </c>
      <c r="G1145" s="106">
        <f t="shared" si="76"/>
        <v>3</v>
      </c>
      <c r="H1145" s="100"/>
      <c r="I1145" s="106">
        <f>G1143+G1144+G1145</f>
        <v>9</v>
      </c>
      <c r="J1145" s="111" t="s">
        <v>487</v>
      </c>
      <c r="K1145" s="97"/>
      <c r="L1145" s="97"/>
      <c r="M1145">
        <f>963-830</f>
        <v>133</v>
      </c>
    </row>
    <row r="1146" spans="2:13" ht="15.75" customHeight="1" x14ac:dyDescent="0.3">
      <c r="B1146" s="97"/>
      <c r="C1146" s="97"/>
      <c r="D1146" s="103"/>
      <c r="E1146" s="109" t="s">
        <v>409</v>
      </c>
      <c r="F1146" s="110">
        <v>1</v>
      </c>
      <c r="G1146" s="110">
        <f t="shared" si="76"/>
        <v>6</v>
      </c>
      <c r="H1146" s="112"/>
      <c r="I1146" s="109">
        <f>G1146+G1142+G1141</f>
        <v>12</v>
      </c>
      <c r="J1146" s="111" t="s">
        <v>488</v>
      </c>
      <c r="K1146" s="97"/>
      <c r="L1146" s="97"/>
    </row>
    <row r="1147" spans="2:13" ht="15.75" customHeight="1" x14ac:dyDescent="0.3">
      <c r="B1147" s="97"/>
      <c r="C1147" s="97"/>
      <c r="D1147" s="113"/>
      <c r="E1147" s="114"/>
      <c r="F1147" s="115">
        <f t="shared" ref="F1147:G1147" si="77">SUBTOTAL(9,F1138:F1146)</f>
        <v>25</v>
      </c>
      <c r="G1147" s="115">
        <f t="shared" si="77"/>
        <v>150</v>
      </c>
      <c r="H1147" s="115"/>
      <c r="I1147" s="100"/>
      <c r="J1147" s="111"/>
      <c r="K1147" s="97"/>
      <c r="L1147" s="97"/>
    </row>
    <row r="1148" spans="2:13" ht="15.75" customHeight="1" x14ac:dyDescent="0.3">
      <c r="B1148" s="97"/>
      <c r="C1148" s="97"/>
      <c r="D1148" s="103"/>
      <c r="E1148" s="100"/>
      <c r="F1148" s="100"/>
      <c r="G1148" s="100"/>
      <c r="H1148" s="100"/>
      <c r="I1148" s="100"/>
      <c r="J1148" s="111"/>
      <c r="K1148" s="97"/>
      <c r="L1148" s="97"/>
    </row>
    <row r="1149" spans="2:13" ht="15.75" customHeight="1" x14ac:dyDescent="0.3">
      <c r="B1149" s="97"/>
      <c r="C1149" s="97"/>
      <c r="D1149" s="103"/>
      <c r="E1149" s="101" t="s">
        <v>477</v>
      </c>
      <c r="F1149" s="102" t="s">
        <v>478</v>
      </c>
      <c r="G1149" s="100"/>
      <c r="H1149" s="100"/>
      <c r="I1149" s="100"/>
      <c r="J1149" s="111"/>
      <c r="K1149" s="97"/>
      <c r="L1149" s="97"/>
    </row>
    <row r="1150" spans="2:13" ht="15.75" customHeight="1" x14ac:dyDescent="0.3">
      <c r="B1150" s="97"/>
      <c r="C1150" s="97"/>
      <c r="D1150" s="103"/>
      <c r="E1150" s="101">
        <v>315</v>
      </c>
      <c r="F1150" s="102">
        <f>E1150/35</f>
        <v>9</v>
      </c>
      <c r="G1150" s="100"/>
      <c r="H1150" s="100"/>
      <c r="I1150" s="100"/>
      <c r="J1150" s="111"/>
      <c r="K1150" s="97"/>
      <c r="L1150" s="97"/>
    </row>
    <row r="1151" spans="2:13" ht="15.75" customHeight="1" x14ac:dyDescent="0.3">
      <c r="B1151" s="97"/>
      <c r="C1151" s="97"/>
      <c r="D1151" s="103" t="s">
        <v>489</v>
      </c>
      <c r="E1151" s="104" t="s">
        <v>480</v>
      </c>
      <c r="F1151" s="100">
        <v>30</v>
      </c>
      <c r="G1151" s="100">
        <f>$F$1150*F1151</f>
        <v>270</v>
      </c>
      <c r="H1151" s="100"/>
      <c r="I1151" s="100"/>
      <c r="J1151" s="111"/>
      <c r="K1151" s="97"/>
      <c r="L1151" s="97"/>
    </row>
    <row r="1152" spans="2:13" ht="15.75" customHeight="1" x14ac:dyDescent="0.3">
      <c r="B1152" s="97"/>
      <c r="C1152" s="97"/>
      <c r="D1152" s="103"/>
      <c r="E1152" s="105" t="s">
        <v>481</v>
      </c>
      <c r="F1152" s="106">
        <v>1</v>
      </c>
      <c r="G1152" s="106">
        <f t="shared" ref="G1152:G1159" si="78">F1152*$F$1150</f>
        <v>9</v>
      </c>
      <c r="H1152" s="100"/>
      <c r="I1152" s="100"/>
      <c r="J1152" s="111"/>
      <c r="K1152" s="97"/>
      <c r="L1152" s="97"/>
    </row>
    <row r="1153" spans="2:12" ht="15.75" customHeight="1" x14ac:dyDescent="0.3">
      <c r="B1153" s="97"/>
      <c r="C1153" s="97"/>
      <c r="D1153" s="103"/>
      <c r="E1153" s="107" t="s">
        <v>420</v>
      </c>
      <c r="F1153" s="108">
        <v>0.5</v>
      </c>
      <c r="G1153" s="108">
        <f t="shared" si="78"/>
        <v>4.5</v>
      </c>
      <c r="H1153" s="100"/>
      <c r="I1153" s="100"/>
      <c r="J1153" s="111"/>
      <c r="K1153" s="97"/>
      <c r="L1153" s="97"/>
    </row>
    <row r="1154" spans="2:12" ht="15.75" customHeight="1" x14ac:dyDescent="0.3">
      <c r="B1154" s="97"/>
      <c r="C1154" s="97"/>
      <c r="D1154" s="103"/>
      <c r="E1154" s="109" t="s">
        <v>482</v>
      </c>
      <c r="F1154" s="110">
        <v>0.5</v>
      </c>
      <c r="G1154" s="109">
        <f t="shared" si="78"/>
        <v>4.5</v>
      </c>
      <c r="H1154" s="100"/>
      <c r="I1154" s="100"/>
      <c r="J1154" s="111"/>
      <c r="K1154" s="97"/>
      <c r="L1154" s="97"/>
    </row>
    <row r="1155" spans="2:12" ht="15.75" customHeight="1" x14ac:dyDescent="0.3">
      <c r="B1155" s="97"/>
      <c r="C1155" s="97"/>
      <c r="D1155" s="103"/>
      <c r="E1155" s="109" t="s">
        <v>483</v>
      </c>
      <c r="F1155" s="110">
        <v>0.5</v>
      </c>
      <c r="G1155" s="109">
        <f t="shared" si="78"/>
        <v>4.5</v>
      </c>
      <c r="H1155" s="100"/>
      <c r="I1155" s="100"/>
      <c r="J1155" s="111"/>
      <c r="K1155" s="97"/>
      <c r="L1155" s="97"/>
    </row>
    <row r="1156" spans="2:12" ht="15.75" customHeight="1" x14ac:dyDescent="0.3">
      <c r="B1156" s="97"/>
      <c r="C1156" s="97"/>
      <c r="D1156" s="103"/>
      <c r="E1156" s="105" t="s">
        <v>484</v>
      </c>
      <c r="F1156" s="106">
        <v>0.5</v>
      </c>
      <c r="G1156" s="106">
        <f t="shared" si="78"/>
        <v>4.5</v>
      </c>
      <c r="H1156" s="100"/>
      <c r="I1156" s="100"/>
      <c r="J1156" s="111"/>
      <c r="K1156" s="97"/>
      <c r="L1156" s="97"/>
    </row>
    <row r="1157" spans="2:12" ht="15.75" customHeight="1" x14ac:dyDescent="0.3">
      <c r="B1157" s="97"/>
      <c r="C1157" s="97"/>
      <c r="D1157" s="103"/>
      <c r="E1157" s="105" t="s">
        <v>485</v>
      </c>
      <c r="F1157" s="106">
        <v>0.5</v>
      </c>
      <c r="G1157" s="106">
        <f t="shared" si="78"/>
        <v>4.5</v>
      </c>
      <c r="H1157" s="100"/>
      <c r="I1157" s="100" t="s">
        <v>486</v>
      </c>
      <c r="J1157" s="111"/>
      <c r="K1157" s="97"/>
      <c r="L1157" s="97"/>
    </row>
    <row r="1158" spans="2:12" ht="15.75" customHeight="1" x14ac:dyDescent="0.3">
      <c r="B1158" s="97"/>
      <c r="C1158" s="97"/>
      <c r="D1158" s="103"/>
      <c r="E1158" s="105" t="s">
        <v>485</v>
      </c>
      <c r="F1158" s="106">
        <v>0.5</v>
      </c>
      <c r="G1158" s="106">
        <f t="shared" si="78"/>
        <v>4.5</v>
      </c>
      <c r="H1158" s="100"/>
      <c r="I1158" s="106">
        <f>G1156+G1157+G1158</f>
        <v>13.5</v>
      </c>
      <c r="J1158" s="111" t="s">
        <v>487</v>
      </c>
      <c r="K1158" s="97"/>
      <c r="L1158" s="97"/>
    </row>
    <row r="1159" spans="2:12" ht="15.75" customHeight="1" x14ac:dyDescent="0.3">
      <c r="B1159" s="97"/>
      <c r="C1159" s="97"/>
      <c r="D1159" s="103"/>
      <c r="E1159" s="109" t="s">
        <v>409</v>
      </c>
      <c r="F1159" s="110">
        <v>1</v>
      </c>
      <c r="G1159" s="109">
        <f t="shared" si="78"/>
        <v>9</v>
      </c>
      <c r="H1159" s="112"/>
      <c r="I1159" s="109">
        <f>G1159+G1155+G1154</f>
        <v>18</v>
      </c>
      <c r="J1159" s="111" t="s">
        <v>488</v>
      </c>
      <c r="K1159" s="97"/>
      <c r="L1159" s="97"/>
    </row>
    <row r="1160" spans="2:12" ht="15.75" customHeight="1" x14ac:dyDescent="0.3">
      <c r="B1160" s="97"/>
      <c r="C1160" s="97"/>
      <c r="D1160" s="113"/>
      <c r="E1160" s="114"/>
      <c r="F1160" s="115">
        <f t="shared" ref="F1160:G1160" si="79">SUBTOTAL(9,F1151:F1159)</f>
        <v>35</v>
      </c>
      <c r="G1160" s="115">
        <f t="shared" si="79"/>
        <v>315</v>
      </c>
      <c r="H1160" s="115"/>
      <c r="I1160" s="100"/>
      <c r="J1160" s="100"/>
      <c r="K1160" s="97"/>
      <c r="L1160" s="97"/>
    </row>
    <row r="1161" spans="2:12" ht="15.75" customHeight="1" x14ac:dyDescent="0.3">
      <c r="B1161" s="97"/>
      <c r="C1161" s="97"/>
      <c r="D1161" s="97"/>
      <c r="E1161" s="98"/>
      <c r="F1161" s="97"/>
      <c r="G1161" s="97"/>
      <c r="H1161" s="97"/>
      <c r="I1161" s="97"/>
      <c r="J1161" s="97"/>
      <c r="K1161" s="97"/>
      <c r="L1161" s="97"/>
    </row>
    <row r="1162" spans="2:12" ht="15.75" customHeight="1" x14ac:dyDescent="0.3">
      <c r="B1162" s="97"/>
      <c r="C1162" s="97"/>
      <c r="D1162" s="97"/>
      <c r="E1162" s="98"/>
      <c r="F1162" s="97"/>
      <c r="G1162" s="97"/>
      <c r="H1162" s="97"/>
      <c r="I1162" s="97"/>
      <c r="J1162" s="97"/>
      <c r="K1162" s="97"/>
      <c r="L1162" s="97"/>
    </row>
    <row r="1163" spans="2:12" ht="15.75" customHeight="1" x14ac:dyDescent="0.3">
      <c r="B1163" s="97"/>
      <c r="C1163" s="97"/>
      <c r="D1163" s="103"/>
      <c r="E1163" s="101" t="s">
        <v>477</v>
      </c>
      <c r="F1163" s="102" t="s">
        <v>478</v>
      </c>
      <c r="G1163" s="100"/>
      <c r="H1163" s="97"/>
      <c r="I1163" s="97"/>
      <c r="J1163" s="97"/>
      <c r="K1163" s="97"/>
      <c r="L1163" s="97"/>
    </row>
    <row r="1164" spans="2:12" ht="15.75" customHeight="1" x14ac:dyDescent="0.3">
      <c r="B1164" s="97"/>
      <c r="C1164" s="97"/>
      <c r="D1164" s="103"/>
      <c r="E1164" s="101">
        <v>75</v>
      </c>
      <c r="F1164" s="102">
        <f>E1164/F1165</f>
        <v>5</v>
      </c>
      <c r="G1164" s="100"/>
      <c r="H1164" s="97"/>
      <c r="I1164" s="97"/>
      <c r="J1164" s="97"/>
      <c r="K1164" s="97"/>
      <c r="L1164" s="97"/>
    </row>
    <row r="1165" spans="2:12" ht="15.75" customHeight="1" x14ac:dyDescent="0.3">
      <c r="B1165" s="97"/>
      <c r="C1165" s="97"/>
      <c r="D1165" s="103" t="s">
        <v>490</v>
      </c>
      <c r="E1165" s="104" t="s">
        <v>480</v>
      </c>
      <c r="F1165" s="100">
        <v>15</v>
      </c>
      <c r="G1165" s="100"/>
      <c r="H1165" s="97"/>
      <c r="I1165" s="97"/>
      <c r="J1165" s="97"/>
      <c r="K1165" s="97"/>
      <c r="L1165" s="97"/>
    </row>
    <row r="1166" spans="2:12" ht="15.75" customHeight="1" x14ac:dyDescent="0.3">
      <c r="B1166" s="97"/>
      <c r="C1166" s="97"/>
      <c r="D1166" s="97"/>
      <c r="E1166" s="98"/>
      <c r="F1166" s="97"/>
      <c r="G1166" s="97"/>
      <c r="H1166" s="97"/>
      <c r="I1166" s="97"/>
      <c r="J1166" s="97"/>
      <c r="K1166" s="97"/>
      <c r="L1166" s="97"/>
    </row>
    <row r="1167" spans="2:12" ht="15.75" customHeight="1" x14ac:dyDescent="0.3">
      <c r="B1167" s="97"/>
      <c r="C1167" s="97"/>
      <c r="D1167" s="97"/>
      <c r="E1167" s="98"/>
      <c r="F1167" s="97"/>
      <c r="G1167" s="97"/>
      <c r="H1167" s="97"/>
      <c r="I1167" s="97"/>
      <c r="J1167" s="97"/>
      <c r="K1167" s="97"/>
      <c r="L1167" s="97"/>
    </row>
    <row r="1168" spans="2:12" ht="15.75" customHeight="1" x14ac:dyDescent="0.3">
      <c r="B1168" s="97"/>
      <c r="C1168" s="97"/>
      <c r="D1168" s="97"/>
      <c r="E1168" s="98"/>
      <c r="F1168" s="97"/>
      <c r="G1168" s="97"/>
      <c r="H1168" s="97"/>
      <c r="I1168" s="97"/>
      <c r="J1168" s="97"/>
      <c r="K1168" s="97"/>
      <c r="L1168" s="97"/>
    </row>
    <row r="1169" spans="2:12" ht="15.75" customHeight="1" x14ac:dyDescent="0.3">
      <c r="B1169" s="97"/>
      <c r="C1169" s="97"/>
      <c r="D1169" s="97"/>
      <c r="E1169" s="98"/>
      <c r="F1169" s="97"/>
      <c r="G1169" s="97"/>
      <c r="H1169" s="97"/>
      <c r="I1169" s="97"/>
      <c r="J1169" s="97"/>
      <c r="K1169" s="97"/>
      <c r="L1169" s="97"/>
    </row>
    <row r="1170" spans="2:12" ht="15.75" customHeight="1" x14ac:dyDescent="0.3">
      <c r="B1170" s="97"/>
      <c r="C1170" s="97"/>
      <c r="D1170" s="97"/>
      <c r="E1170" s="98"/>
      <c r="F1170" s="97"/>
      <c r="G1170" s="97"/>
      <c r="H1170" s="97"/>
      <c r="I1170" s="97"/>
      <c r="J1170" s="97"/>
      <c r="K1170" s="97"/>
      <c r="L1170" s="97"/>
    </row>
    <row r="1171" spans="2:12" ht="15.75" customHeight="1" x14ac:dyDescent="0.3">
      <c r="B1171" s="97"/>
      <c r="C1171" s="97"/>
      <c r="D1171" s="97"/>
      <c r="E1171" s="98"/>
      <c r="F1171" s="97"/>
      <c r="G1171" s="97"/>
      <c r="H1171" s="97"/>
      <c r="I1171" s="97"/>
      <c r="J1171" s="97"/>
      <c r="K1171" s="97"/>
      <c r="L1171" s="97"/>
    </row>
    <row r="1172" spans="2:12" ht="15.75" customHeight="1" x14ac:dyDescent="0.3">
      <c r="B1172" s="97"/>
      <c r="C1172" s="97"/>
      <c r="D1172" s="97"/>
      <c r="E1172" s="98"/>
      <c r="F1172" s="97"/>
      <c r="G1172" s="97"/>
      <c r="H1172" s="97"/>
      <c r="I1172" s="97"/>
      <c r="J1172" s="97"/>
      <c r="K1172" s="97"/>
      <c r="L1172" s="97"/>
    </row>
    <row r="1173" spans="2:12" ht="15.75" customHeight="1" x14ac:dyDescent="0.3">
      <c r="B1173" s="97"/>
      <c r="C1173" s="97"/>
      <c r="D1173" s="97"/>
      <c r="E1173" s="98"/>
      <c r="F1173" s="97"/>
      <c r="G1173" s="97"/>
      <c r="H1173" s="97"/>
      <c r="I1173" s="97"/>
      <c r="J1173" s="97"/>
      <c r="K1173" s="97"/>
      <c r="L1173" s="97"/>
    </row>
    <row r="1174" spans="2:12" ht="15.75" customHeight="1" x14ac:dyDescent="0.3">
      <c r="B1174" s="116"/>
      <c r="C1174" s="97"/>
      <c r="D1174" s="97"/>
      <c r="E1174" s="98"/>
      <c r="F1174" s="97"/>
      <c r="G1174" s="97"/>
      <c r="H1174" s="97"/>
      <c r="I1174" s="97"/>
      <c r="J1174" s="97"/>
      <c r="K1174" s="97"/>
      <c r="L1174" s="97"/>
    </row>
  </sheetData>
  <autoFilter ref="A1:Q1130" xr:uid="{00000000-0009-0000-0000-000001000000}">
    <filterColumn colId="1">
      <filters>
        <filter val="&quot;5E=&gt;;&gt;38O 8 &gt;1&gt;@C4&gt;20"/>
      </filters>
    </filterColumn>
  </autoFilter>
  <pageMargins left="0.7" right="0.7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174"/>
  <sheetViews>
    <sheetView workbookViewId="0"/>
  </sheetViews>
  <sheetFormatPr defaultColWidth="14.44140625" defaultRowHeight="15" customHeight="1" x14ac:dyDescent="0.3"/>
  <cols>
    <col min="1" max="1" width="6.88671875" customWidth="1"/>
    <col min="2" max="2" width="34.5546875" customWidth="1"/>
    <col min="3" max="3" width="11.6640625" customWidth="1"/>
    <col min="4" max="4" width="23.88671875" customWidth="1"/>
    <col min="5" max="5" width="8.88671875" customWidth="1"/>
    <col min="6" max="6" width="7.44140625" customWidth="1"/>
    <col min="7" max="7" width="7.33203125" customWidth="1"/>
    <col min="8" max="8" width="7.6640625" customWidth="1"/>
    <col min="9" max="9" width="29.5546875" customWidth="1"/>
    <col min="10" max="10" width="10.88671875" customWidth="1"/>
    <col min="11" max="11" width="7.6640625" customWidth="1"/>
    <col min="12" max="12" width="17.88671875" customWidth="1"/>
    <col min="13" max="13" width="6.33203125" customWidth="1"/>
    <col min="14" max="14" width="7.44140625" customWidth="1"/>
    <col min="15" max="15" width="6.109375" customWidth="1"/>
    <col min="16" max="16" width="6.6640625" customWidth="1"/>
    <col min="17" max="17" width="11.44140625" customWidth="1"/>
    <col min="18" max="36" width="9.109375" customWidth="1"/>
  </cols>
  <sheetData>
    <row r="1" spans="1:17" ht="14.4" x14ac:dyDescent="0.3">
      <c r="A1" s="3" t="s">
        <v>46</v>
      </c>
      <c r="B1" s="4" t="s">
        <v>47</v>
      </c>
      <c r="C1" s="4" t="s">
        <v>48</v>
      </c>
      <c r="D1" s="4" t="s">
        <v>49</v>
      </c>
      <c r="E1" s="5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6" t="s">
        <v>55</v>
      </c>
      <c r="K1" s="4" t="s">
        <v>56</v>
      </c>
      <c r="L1" s="4" t="s">
        <v>57</v>
      </c>
      <c r="M1" s="7" t="s">
        <v>58</v>
      </c>
      <c r="N1" s="7" t="s">
        <v>59</v>
      </c>
      <c r="O1" s="7" t="s">
        <v>60</v>
      </c>
      <c r="P1" s="7">
        <v>830</v>
      </c>
      <c r="Q1" s="7" t="s">
        <v>61</v>
      </c>
    </row>
    <row r="2" spans="1:17" ht="14.4" x14ac:dyDescent="0.3">
      <c r="A2" s="117" t="s">
        <v>58</v>
      </c>
      <c r="B2" s="9" t="s">
        <v>62</v>
      </c>
      <c r="C2" s="9" t="s">
        <v>62</v>
      </c>
      <c r="D2" s="9"/>
      <c r="E2" s="10">
        <v>75</v>
      </c>
      <c r="F2" s="9"/>
      <c r="G2" s="11">
        <v>0</v>
      </c>
      <c r="H2" s="9" t="s">
        <v>63</v>
      </c>
      <c r="I2" s="9" t="s">
        <v>64</v>
      </c>
      <c r="J2" s="9" t="s">
        <v>4</v>
      </c>
      <c r="K2" s="9"/>
      <c r="L2" s="9"/>
      <c r="M2" s="12">
        <f t="shared" ref="M2:M65" si="0">SUMIFS($E$2:$E$1130,$A$2:$A$1130,"осень",$I$2:$I$1130,I2)</f>
        <v>284</v>
      </c>
      <c r="N2" s="13">
        <f t="shared" ref="N2:N65" si="1">SUMIFS($E$2:$E$1130,$A$2:$A$1130,"весна",$I$2:$I$1130,I2)</f>
        <v>140</v>
      </c>
      <c r="O2" s="14">
        <f t="shared" ref="O2:O65" si="2">M2+N2</f>
        <v>424</v>
      </c>
      <c r="P2" s="15">
        <f t="shared" ref="P2:P65" si="3">O2/$P$1</f>
        <v>0.51084337349397591</v>
      </c>
    </row>
    <row r="3" spans="1:17" ht="14.4" x14ac:dyDescent="0.3">
      <c r="A3" s="117" t="s">
        <v>58</v>
      </c>
      <c r="B3" s="9" t="s">
        <v>62</v>
      </c>
      <c r="C3" s="9" t="s">
        <v>62</v>
      </c>
      <c r="D3" s="9"/>
      <c r="E3" s="10">
        <v>50</v>
      </c>
      <c r="F3" s="9"/>
      <c r="G3" s="11">
        <v>0</v>
      </c>
      <c r="H3" s="9" t="s">
        <v>65</v>
      </c>
      <c r="I3" s="9" t="s">
        <v>66</v>
      </c>
      <c r="J3" s="9" t="s">
        <v>4</v>
      </c>
      <c r="K3" s="9"/>
      <c r="L3" s="9"/>
      <c r="M3" s="12">
        <f t="shared" si="0"/>
        <v>291</v>
      </c>
      <c r="N3" s="13">
        <f t="shared" si="1"/>
        <v>650.5</v>
      </c>
      <c r="O3" s="14">
        <f t="shared" si="2"/>
        <v>941.5</v>
      </c>
      <c r="P3" s="15">
        <f t="shared" si="3"/>
        <v>1.1343373493975903</v>
      </c>
    </row>
    <row r="4" spans="1:17" ht="14.4" x14ac:dyDescent="0.3">
      <c r="A4" s="117" t="s">
        <v>58</v>
      </c>
      <c r="B4" s="9" t="s">
        <v>62</v>
      </c>
      <c r="C4" s="9" t="s">
        <v>62</v>
      </c>
      <c r="D4" s="9"/>
      <c r="E4" s="10">
        <v>25</v>
      </c>
      <c r="F4" s="9"/>
      <c r="G4" s="11">
        <v>0</v>
      </c>
      <c r="H4" s="9" t="s">
        <v>67</v>
      </c>
      <c r="I4" s="9" t="s">
        <v>68</v>
      </c>
      <c r="J4" s="9" t="s">
        <v>4</v>
      </c>
      <c r="K4" s="9"/>
      <c r="L4" s="9"/>
      <c r="M4" s="12">
        <f t="shared" si="0"/>
        <v>366</v>
      </c>
      <c r="N4" s="13">
        <f t="shared" si="1"/>
        <v>175</v>
      </c>
      <c r="O4" s="14">
        <f t="shared" si="2"/>
        <v>541</v>
      </c>
      <c r="P4" s="15">
        <f t="shared" si="3"/>
        <v>0.65180722891566267</v>
      </c>
    </row>
    <row r="5" spans="1:17" ht="14.4" x14ac:dyDescent="0.3">
      <c r="A5" s="117" t="s">
        <v>58</v>
      </c>
      <c r="B5" s="9" t="s">
        <v>69</v>
      </c>
      <c r="C5" s="9" t="s">
        <v>69</v>
      </c>
      <c r="D5" s="9"/>
      <c r="E5" s="10">
        <v>30</v>
      </c>
      <c r="F5" s="9"/>
      <c r="G5" s="11">
        <v>0</v>
      </c>
      <c r="H5" s="9" t="s">
        <v>70</v>
      </c>
      <c r="I5" s="9" t="s">
        <v>71</v>
      </c>
      <c r="J5" s="9"/>
      <c r="K5" s="9"/>
      <c r="L5" s="9"/>
      <c r="M5" s="12">
        <f t="shared" si="0"/>
        <v>391</v>
      </c>
      <c r="N5" s="13">
        <f t="shared" si="1"/>
        <v>436.5</v>
      </c>
      <c r="O5" s="14">
        <f t="shared" si="2"/>
        <v>827.5</v>
      </c>
      <c r="P5" s="15">
        <f t="shared" si="3"/>
        <v>0.99698795180722888</v>
      </c>
    </row>
    <row r="6" spans="1:17" ht="14.4" x14ac:dyDescent="0.3">
      <c r="A6" s="117" t="s">
        <v>58</v>
      </c>
      <c r="B6" s="9" t="s">
        <v>72</v>
      </c>
      <c r="C6" s="9" t="s">
        <v>73</v>
      </c>
      <c r="D6" s="9" t="s">
        <v>74</v>
      </c>
      <c r="E6" s="10">
        <v>24</v>
      </c>
      <c r="F6" s="9" t="s">
        <v>75</v>
      </c>
      <c r="G6" s="10">
        <v>24</v>
      </c>
      <c r="H6" s="9" t="s">
        <v>76</v>
      </c>
      <c r="I6" s="9" t="s">
        <v>77</v>
      </c>
      <c r="J6" s="9"/>
      <c r="K6" s="9"/>
      <c r="L6" s="9" t="s">
        <v>78</v>
      </c>
      <c r="M6" s="12">
        <f t="shared" si="0"/>
        <v>249</v>
      </c>
      <c r="N6" s="13">
        <f t="shared" si="1"/>
        <v>294</v>
      </c>
      <c r="O6" s="14">
        <f t="shared" si="2"/>
        <v>543</v>
      </c>
      <c r="P6" s="15">
        <f t="shared" si="3"/>
        <v>0.6542168674698795</v>
      </c>
    </row>
    <row r="7" spans="1:17" ht="14.4" x14ac:dyDescent="0.3">
      <c r="A7" s="117" t="s">
        <v>58</v>
      </c>
      <c r="B7" s="9" t="s">
        <v>72</v>
      </c>
      <c r="C7" s="9" t="s">
        <v>79</v>
      </c>
      <c r="D7" s="9" t="s">
        <v>74</v>
      </c>
      <c r="E7" s="10">
        <v>8</v>
      </c>
      <c r="F7" s="9" t="s">
        <v>75</v>
      </c>
      <c r="G7" s="10">
        <v>8</v>
      </c>
      <c r="H7" s="9" t="s">
        <v>76</v>
      </c>
      <c r="I7" s="9" t="s">
        <v>77</v>
      </c>
      <c r="J7" s="9"/>
      <c r="K7" s="9"/>
      <c r="L7" s="9" t="s">
        <v>78</v>
      </c>
      <c r="M7" s="12">
        <f t="shared" si="0"/>
        <v>249</v>
      </c>
      <c r="N7" s="13">
        <f t="shared" si="1"/>
        <v>294</v>
      </c>
      <c r="O7" s="14">
        <f t="shared" si="2"/>
        <v>543</v>
      </c>
      <c r="P7" s="15">
        <f t="shared" si="3"/>
        <v>0.6542168674698795</v>
      </c>
    </row>
    <row r="8" spans="1:17" ht="14.4" x14ac:dyDescent="0.3">
      <c r="A8" s="117" t="s">
        <v>58</v>
      </c>
      <c r="B8" s="9" t="s">
        <v>72</v>
      </c>
      <c r="C8" s="9" t="s">
        <v>80</v>
      </c>
      <c r="D8" s="9" t="s">
        <v>74</v>
      </c>
      <c r="E8" s="10">
        <v>1</v>
      </c>
      <c r="F8" s="9" t="s">
        <v>75</v>
      </c>
      <c r="G8" s="11">
        <v>0</v>
      </c>
      <c r="H8" s="9" t="s">
        <v>76</v>
      </c>
      <c r="I8" s="9" t="s">
        <v>77</v>
      </c>
      <c r="J8" s="9"/>
      <c r="K8" s="9"/>
      <c r="L8" s="9" t="s">
        <v>78</v>
      </c>
      <c r="M8" s="12">
        <f t="shared" si="0"/>
        <v>249</v>
      </c>
      <c r="N8" s="13">
        <f t="shared" si="1"/>
        <v>294</v>
      </c>
      <c r="O8" s="14">
        <f t="shared" si="2"/>
        <v>543</v>
      </c>
      <c r="P8" s="15">
        <f t="shared" si="3"/>
        <v>0.6542168674698795</v>
      </c>
    </row>
    <row r="9" spans="1:17" ht="14.4" x14ac:dyDescent="0.3">
      <c r="A9" s="117" t="s">
        <v>58</v>
      </c>
      <c r="B9" s="9" t="s">
        <v>81</v>
      </c>
      <c r="C9" s="9" t="s">
        <v>73</v>
      </c>
      <c r="D9" s="9" t="s">
        <v>82</v>
      </c>
      <c r="E9" s="10">
        <v>44</v>
      </c>
      <c r="F9" s="9" t="s">
        <v>83</v>
      </c>
      <c r="G9" s="10">
        <v>44</v>
      </c>
      <c r="H9" s="9" t="s">
        <v>84</v>
      </c>
      <c r="I9" s="9" t="s">
        <v>85</v>
      </c>
      <c r="J9" s="9"/>
      <c r="K9" s="9"/>
      <c r="L9" s="9" t="s">
        <v>86</v>
      </c>
      <c r="M9" s="12">
        <f t="shared" si="0"/>
        <v>284</v>
      </c>
      <c r="N9" s="13">
        <f t="shared" si="1"/>
        <v>691.5</v>
      </c>
      <c r="O9" s="14">
        <f t="shared" si="2"/>
        <v>975.5</v>
      </c>
      <c r="P9" s="15">
        <f t="shared" si="3"/>
        <v>1.175301204819277</v>
      </c>
    </row>
    <row r="10" spans="1:17" ht="14.4" x14ac:dyDescent="0.3">
      <c r="A10" s="117" t="s">
        <v>58</v>
      </c>
      <c r="B10" s="9" t="s">
        <v>81</v>
      </c>
      <c r="C10" s="9" t="s">
        <v>87</v>
      </c>
      <c r="D10" s="9" t="s">
        <v>88</v>
      </c>
      <c r="E10" s="10">
        <v>7</v>
      </c>
      <c r="F10" s="9" t="s">
        <v>83</v>
      </c>
      <c r="G10" s="11">
        <v>0</v>
      </c>
      <c r="H10" s="9" t="s">
        <v>84</v>
      </c>
      <c r="I10" s="9" t="s">
        <v>85</v>
      </c>
      <c r="J10" s="9"/>
      <c r="K10" s="9"/>
      <c r="L10" s="9" t="s">
        <v>89</v>
      </c>
      <c r="M10" s="12">
        <f t="shared" si="0"/>
        <v>284</v>
      </c>
      <c r="N10" s="13">
        <f t="shared" si="1"/>
        <v>691.5</v>
      </c>
      <c r="O10" s="14">
        <f t="shared" si="2"/>
        <v>975.5</v>
      </c>
      <c r="P10" s="15">
        <f t="shared" si="3"/>
        <v>1.175301204819277</v>
      </c>
    </row>
    <row r="11" spans="1:17" ht="14.4" x14ac:dyDescent="0.3">
      <c r="A11" s="117" t="s">
        <v>58</v>
      </c>
      <c r="B11" s="9" t="s">
        <v>81</v>
      </c>
      <c r="C11" s="9" t="s">
        <v>87</v>
      </c>
      <c r="D11" s="9" t="s">
        <v>90</v>
      </c>
      <c r="E11" s="10">
        <v>7</v>
      </c>
      <c r="F11" s="9" t="s">
        <v>83</v>
      </c>
      <c r="G11" s="11">
        <v>0</v>
      </c>
      <c r="H11" s="9" t="s">
        <v>84</v>
      </c>
      <c r="I11" s="9" t="s">
        <v>85</v>
      </c>
      <c r="J11" s="9"/>
      <c r="K11" s="9"/>
      <c r="L11" s="9" t="s">
        <v>89</v>
      </c>
      <c r="M11" s="12">
        <f t="shared" si="0"/>
        <v>284</v>
      </c>
      <c r="N11" s="13">
        <f t="shared" si="1"/>
        <v>691.5</v>
      </c>
      <c r="O11" s="14">
        <f t="shared" si="2"/>
        <v>975.5</v>
      </c>
      <c r="P11" s="15">
        <f t="shared" si="3"/>
        <v>1.175301204819277</v>
      </c>
    </row>
    <row r="12" spans="1:17" ht="14.4" x14ac:dyDescent="0.3">
      <c r="A12" s="117" t="s">
        <v>58</v>
      </c>
      <c r="B12" s="9" t="s">
        <v>81</v>
      </c>
      <c r="C12" s="9" t="s">
        <v>79</v>
      </c>
      <c r="D12" s="9" t="s">
        <v>88</v>
      </c>
      <c r="E12" s="10">
        <v>8</v>
      </c>
      <c r="F12" s="9" t="s">
        <v>83</v>
      </c>
      <c r="G12" s="10">
        <v>32</v>
      </c>
      <c r="H12" s="9" t="s">
        <v>91</v>
      </c>
      <c r="I12" s="9" t="s">
        <v>92</v>
      </c>
      <c r="J12" s="9" t="s">
        <v>4</v>
      </c>
      <c r="K12" s="9"/>
      <c r="L12" s="9" t="s">
        <v>93</v>
      </c>
      <c r="M12" s="12">
        <f t="shared" si="0"/>
        <v>405</v>
      </c>
      <c r="N12" s="13">
        <f t="shared" si="1"/>
        <v>478</v>
      </c>
      <c r="O12" s="14">
        <f t="shared" si="2"/>
        <v>883</v>
      </c>
      <c r="P12" s="15">
        <f t="shared" si="3"/>
        <v>1.0638554216867471</v>
      </c>
    </row>
    <row r="13" spans="1:17" ht="14.4" x14ac:dyDescent="0.3">
      <c r="A13" s="117" t="s">
        <v>58</v>
      </c>
      <c r="B13" s="9" t="s">
        <v>81</v>
      </c>
      <c r="C13" s="9" t="s">
        <v>79</v>
      </c>
      <c r="D13" s="9" t="s">
        <v>88</v>
      </c>
      <c r="E13" s="10">
        <v>8</v>
      </c>
      <c r="F13" s="9" t="s">
        <v>83</v>
      </c>
      <c r="G13" s="10">
        <v>32</v>
      </c>
      <c r="H13" s="9" t="s">
        <v>94</v>
      </c>
      <c r="I13" s="9" t="s">
        <v>95</v>
      </c>
      <c r="J13" s="9"/>
      <c r="K13" s="9"/>
      <c r="L13" s="9"/>
      <c r="M13" s="12">
        <f t="shared" si="0"/>
        <v>283</v>
      </c>
      <c r="N13" s="13">
        <f t="shared" si="1"/>
        <v>440</v>
      </c>
      <c r="O13" s="14">
        <f t="shared" si="2"/>
        <v>723</v>
      </c>
      <c r="P13" s="15">
        <f t="shared" si="3"/>
        <v>0.87108433734939761</v>
      </c>
    </row>
    <row r="14" spans="1:17" ht="14.4" x14ac:dyDescent="0.3">
      <c r="A14" s="117" t="s">
        <v>58</v>
      </c>
      <c r="B14" s="9" t="s">
        <v>81</v>
      </c>
      <c r="C14" s="9" t="s">
        <v>79</v>
      </c>
      <c r="D14" s="9" t="s">
        <v>88</v>
      </c>
      <c r="E14" s="10">
        <v>8</v>
      </c>
      <c r="F14" s="9" t="s">
        <v>83</v>
      </c>
      <c r="G14" s="10">
        <v>32</v>
      </c>
      <c r="H14" s="9" t="s">
        <v>96</v>
      </c>
      <c r="I14" s="9" t="s">
        <v>97</v>
      </c>
      <c r="J14" s="9" t="s">
        <v>8</v>
      </c>
      <c r="K14" s="9"/>
      <c r="L14" s="9"/>
      <c r="M14" s="12">
        <f t="shared" si="0"/>
        <v>501</v>
      </c>
      <c r="N14" s="13">
        <f t="shared" si="1"/>
        <v>486.5</v>
      </c>
      <c r="O14" s="14">
        <f t="shared" si="2"/>
        <v>987.5</v>
      </c>
      <c r="P14" s="15">
        <f t="shared" si="3"/>
        <v>1.1897590361445782</v>
      </c>
    </row>
    <row r="15" spans="1:17" ht="14.4" x14ac:dyDescent="0.3">
      <c r="A15" s="117" t="s">
        <v>58</v>
      </c>
      <c r="B15" s="9" t="s">
        <v>81</v>
      </c>
      <c r="C15" s="9" t="s">
        <v>79</v>
      </c>
      <c r="D15" s="9" t="s">
        <v>88</v>
      </c>
      <c r="E15" s="10">
        <v>8</v>
      </c>
      <c r="F15" s="9" t="s">
        <v>83</v>
      </c>
      <c r="G15" s="10">
        <v>32</v>
      </c>
      <c r="H15" s="9" t="s">
        <v>98</v>
      </c>
      <c r="I15" s="9" t="s">
        <v>99</v>
      </c>
      <c r="J15" s="9" t="s">
        <v>4</v>
      </c>
      <c r="K15" s="9"/>
      <c r="L15" s="9"/>
      <c r="M15" s="12">
        <f t="shared" si="0"/>
        <v>239</v>
      </c>
      <c r="N15" s="13">
        <f t="shared" si="1"/>
        <v>196.5</v>
      </c>
      <c r="O15" s="14">
        <f t="shared" si="2"/>
        <v>435.5</v>
      </c>
      <c r="P15" s="15">
        <f t="shared" si="3"/>
        <v>0.52469879518072293</v>
      </c>
    </row>
    <row r="16" spans="1:17" ht="14.4" x14ac:dyDescent="0.3">
      <c r="A16" s="117" t="s">
        <v>58</v>
      </c>
      <c r="B16" s="9" t="s">
        <v>81</v>
      </c>
      <c r="C16" s="9" t="s">
        <v>79</v>
      </c>
      <c r="D16" s="9" t="s">
        <v>90</v>
      </c>
      <c r="E16" s="10">
        <v>8</v>
      </c>
      <c r="F16" s="9" t="s">
        <v>83</v>
      </c>
      <c r="G16" s="10">
        <v>32</v>
      </c>
      <c r="H16" s="9" t="s">
        <v>94</v>
      </c>
      <c r="I16" s="9" t="s">
        <v>95</v>
      </c>
      <c r="J16" s="9"/>
      <c r="K16" s="9"/>
      <c r="L16" s="9"/>
      <c r="M16" s="12">
        <f t="shared" si="0"/>
        <v>283</v>
      </c>
      <c r="N16" s="13">
        <f t="shared" si="1"/>
        <v>440</v>
      </c>
      <c r="O16" s="14">
        <f t="shared" si="2"/>
        <v>723</v>
      </c>
      <c r="P16" s="15">
        <f t="shared" si="3"/>
        <v>0.87108433734939761</v>
      </c>
    </row>
    <row r="17" spans="1:36" ht="14.4" x14ac:dyDescent="0.3">
      <c r="A17" s="117" t="s">
        <v>58</v>
      </c>
      <c r="B17" s="9" t="s">
        <v>81</v>
      </c>
      <c r="C17" s="9" t="s">
        <v>79</v>
      </c>
      <c r="D17" s="9" t="s">
        <v>90</v>
      </c>
      <c r="E17" s="10">
        <v>8</v>
      </c>
      <c r="F17" s="9" t="s">
        <v>83</v>
      </c>
      <c r="G17" s="10">
        <v>32</v>
      </c>
      <c r="H17" s="9" t="s">
        <v>91</v>
      </c>
      <c r="I17" s="9" t="s">
        <v>92</v>
      </c>
      <c r="J17" s="9" t="s">
        <v>4</v>
      </c>
      <c r="K17" s="9"/>
      <c r="L17" s="9" t="s">
        <v>93</v>
      </c>
      <c r="M17" s="12">
        <f t="shared" si="0"/>
        <v>405</v>
      </c>
      <c r="N17" s="13">
        <f t="shared" si="1"/>
        <v>478</v>
      </c>
      <c r="O17" s="14">
        <f t="shared" si="2"/>
        <v>883</v>
      </c>
      <c r="P17" s="15">
        <f t="shared" si="3"/>
        <v>1.0638554216867471</v>
      </c>
    </row>
    <row r="18" spans="1:36" ht="14.4" x14ac:dyDescent="0.3">
      <c r="A18" s="117" t="s">
        <v>58</v>
      </c>
      <c r="B18" s="9" t="s">
        <v>81</v>
      </c>
      <c r="C18" s="9" t="s">
        <v>79</v>
      </c>
      <c r="D18" s="9" t="s">
        <v>90</v>
      </c>
      <c r="E18" s="10">
        <v>8</v>
      </c>
      <c r="F18" s="9" t="s">
        <v>83</v>
      </c>
      <c r="G18" s="10">
        <v>32</v>
      </c>
      <c r="H18" s="9" t="s">
        <v>98</v>
      </c>
      <c r="I18" s="9" t="s">
        <v>99</v>
      </c>
      <c r="J18" s="9" t="s">
        <v>4</v>
      </c>
      <c r="K18" s="9"/>
      <c r="L18" s="9"/>
      <c r="M18" s="12">
        <f t="shared" si="0"/>
        <v>239</v>
      </c>
      <c r="N18" s="13">
        <f t="shared" si="1"/>
        <v>196.5</v>
      </c>
      <c r="O18" s="14">
        <f t="shared" si="2"/>
        <v>435.5</v>
      </c>
      <c r="P18" s="15">
        <f t="shared" si="3"/>
        <v>0.52469879518072293</v>
      </c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</row>
    <row r="19" spans="1:36" ht="14.4" x14ac:dyDescent="0.3">
      <c r="A19" s="117" t="s">
        <v>58</v>
      </c>
      <c r="B19" s="9" t="s">
        <v>81</v>
      </c>
      <c r="C19" s="9" t="s">
        <v>79</v>
      </c>
      <c r="D19" s="9" t="s">
        <v>90</v>
      </c>
      <c r="E19" s="10">
        <v>8</v>
      </c>
      <c r="F19" s="9" t="s">
        <v>83</v>
      </c>
      <c r="G19" s="10">
        <v>32</v>
      </c>
      <c r="H19" s="9" t="s">
        <v>96</v>
      </c>
      <c r="I19" s="9" t="s">
        <v>97</v>
      </c>
      <c r="J19" s="9" t="s">
        <v>8</v>
      </c>
      <c r="K19" s="9"/>
      <c r="L19" s="9"/>
      <c r="M19" s="12">
        <f t="shared" si="0"/>
        <v>501</v>
      </c>
      <c r="N19" s="13">
        <f t="shared" si="1"/>
        <v>486.5</v>
      </c>
      <c r="O19" s="14">
        <f t="shared" si="2"/>
        <v>987.5</v>
      </c>
      <c r="P19" s="15">
        <f t="shared" si="3"/>
        <v>1.1897590361445782</v>
      </c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</row>
    <row r="20" spans="1:36" ht="14.4" x14ac:dyDescent="0.3">
      <c r="A20" s="117" t="s">
        <v>58</v>
      </c>
      <c r="B20" s="9" t="s">
        <v>81</v>
      </c>
      <c r="C20" s="9" t="s">
        <v>100</v>
      </c>
      <c r="D20" s="9" t="s">
        <v>88</v>
      </c>
      <c r="E20" s="10">
        <v>8</v>
      </c>
      <c r="F20" s="9" t="s">
        <v>83</v>
      </c>
      <c r="G20" s="10">
        <v>16</v>
      </c>
      <c r="H20" s="9" t="s">
        <v>91</v>
      </c>
      <c r="I20" s="9" t="s">
        <v>92</v>
      </c>
      <c r="J20" s="9" t="s">
        <v>4</v>
      </c>
      <c r="K20" s="9"/>
      <c r="L20" s="9" t="s">
        <v>93</v>
      </c>
      <c r="M20" s="12">
        <f t="shared" si="0"/>
        <v>405</v>
      </c>
      <c r="N20" s="13">
        <f t="shared" si="1"/>
        <v>478</v>
      </c>
      <c r="O20" s="14">
        <f t="shared" si="2"/>
        <v>883</v>
      </c>
      <c r="P20" s="15">
        <f t="shared" si="3"/>
        <v>1.0638554216867471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</row>
    <row r="21" spans="1:36" ht="15.75" customHeight="1" x14ac:dyDescent="0.3">
      <c r="A21" s="117" t="s">
        <v>58</v>
      </c>
      <c r="B21" s="9" t="s">
        <v>81</v>
      </c>
      <c r="C21" s="9" t="s">
        <v>100</v>
      </c>
      <c r="D21" s="9" t="s">
        <v>88</v>
      </c>
      <c r="E21" s="10">
        <v>8</v>
      </c>
      <c r="F21" s="9" t="s">
        <v>83</v>
      </c>
      <c r="G21" s="10">
        <v>16</v>
      </c>
      <c r="H21" s="9" t="s">
        <v>94</v>
      </c>
      <c r="I21" s="9" t="s">
        <v>95</v>
      </c>
      <c r="J21" s="9"/>
      <c r="K21" s="9"/>
      <c r="L21" s="9"/>
      <c r="M21" s="12">
        <f t="shared" si="0"/>
        <v>283</v>
      </c>
      <c r="N21" s="13">
        <f t="shared" si="1"/>
        <v>440</v>
      </c>
      <c r="O21" s="14">
        <f t="shared" si="2"/>
        <v>723</v>
      </c>
      <c r="P21" s="15">
        <f t="shared" si="3"/>
        <v>0.87108433734939761</v>
      </c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</row>
    <row r="22" spans="1:36" ht="15.75" customHeight="1" x14ac:dyDescent="0.3">
      <c r="A22" s="117" t="s">
        <v>58</v>
      </c>
      <c r="B22" s="9" t="s">
        <v>81</v>
      </c>
      <c r="C22" s="9" t="s">
        <v>100</v>
      </c>
      <c r="D22" s="9" t="s">
        <v>88</v>
      </c>
      <c r="E22" s="10">
        <v>8</v>
      </c>
      <c r="F22" s="9" t="s">
        <v>83</v>
      </c>
      <c r="G22" s="10">
        <v>16</v>
      </c>
      <c r="H22" s="9" t="s">
        <v>96</v>
      </c>
      <c r="I22" s="9" t="s">
        <v>97</v>
      </c>
      <c r="J22" s="9" t="s">
        <v>8</v>
      </c>
      <c r="K22" s="9"/>
      <c r="L22" s="9"/>
      <c r="M22" s="12">
        <f t="shared" si="0"/>
        <v>501</v>
      </c>
      <c r="N22" s="13">
        <f t="shared" si="1"/>
        <v>486.5</v>
      </c>
      <c r="O22" s="14">
        <f t="shared" si="2"/>
        <v>987.5</v>
      </c>
      <c r="P22" s="15">
        <f t="shared" si="3"/>
        <v>1.1897590361445782</v>
      </c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</row>
    <row r="23" spans="1:36" ht="15.75" customHeight="1" x14ac:dyDescent="0.3">
      <c r="A23" s="117" t="s">
        <v>58</v>
      </c>
      <c r="B23" s="9" t="s">
        <v>81</v>
      </c>
      <c r="C23" s="9" t="s">
        <v>100</v>
      </c>
      <c r="D23" s="9" t="s">
        <v>88</v>
      </c>
      <c r="E23" s="10">
        <v>8</v>
      </c>
      <c r="F23" s="9" t="s">
        <v>83</v>
      </c>
      <c r="G23" s="10">
        <v>16</v>
      </c>
      <c r="H23" s="9" t="s">
        <v>98</v>
      </c>
      <c r="I23" s="9" t="s">
        <v>99</v>
      </c>
      <c r="J23" s="9" t="s">
        <v>4</v>
      </c>
      <c r="K23" s="9"/>
      <c r="L23" s="9"/>
      <c r="M23" s="12">
        <f t="shared" si="0"/>
        <v>239</v>
      </c>
      <c r="N23" s="13">
        <f t="shared" si="1"/>
        <v>196.5</v>
      </c>
      <c r="O23" s="14">
        <f t="shared" si="2"/>
        <v>435.5</v>
      </c>
      <c r="P23" s="15">
        <f t="shared" si="3"/>
        <v>0.52469879518072293</v>
      </c>
    </row>
    <row r="24" spans="1:36" ht="15.75" customHeight="1" x14ac:dyDescent="0.3">
      <c r="A24" s="117" t="s">
        <v>58</v>
      </c>
      <c r="B24" s="9" t="s">
        <v>81</v>
      </c>
      <c r="C24" s="9" t="s">
        <v>100</v>
      </c>
      <c r="D24" s="9" t="s">
        <v>90</v>
      </c>
      <c r="E24" s="10">
        <v>8</v>
      </c>
      <c r="F24" s="9" t="s">
        <v>83</v>
      </c>
      <c r="G24" s="10">
        <v>16</v>
      </c>
      <c r="H24" s="9" t="s">
        <v>94</v>
      </c>
      <c r="I24" s="9" t="s">
        <v>95</v>
      </c>
      <c r="J24" s="9"/>
      <c r="K24" s="9"/>
      <c r="L24" s="9"/>
      <c r="M24" s="12">
        <f t="shared" si="0"/>
        <v>283</v>
      </c>
      <c r="N24" s="13">
        <f t="shared" si="1"/>
        <v>440</v>
      </c>
      <c r="O24" s="14">
        <f t="shared" si="2"/>
        <v>723</v>
      </c>
      <c r="P24" s="15">
        <f t="shared" si="3"/>
        <v>0.87108433734939761</v>
      </c>
    </row>
    <row r="25" spans="1:36" ht="15.75" customHeight="1" x14ac:dyDescent="0.3">
      <c r="A25" s="117" t="s">
        <v>58</v>
      </c>
      <c r="B25" s="9" t="s">
        <v>81</v>
      </c>
      <c r="C25" s="9" t="s">
        <v>100</v>
      </c>
      <c r="D25" s="9" t="s">
        <v>90</v>
      </c>
      <c r="E25" s="10">
        <v>8</v>
      </c>
      <c r="F25" s="9" t="s">
        <v>83</v>
      </c>
      <c r="G25" s="10">
        <v>16</v>
      </c>
      <c r="H25" s="9" t="s">
        <v>96</v>
      </c>
      <c r="I25" s="9" t="s">
        <v>97</v>
      </c>
      <c r="J25" s="9" t="s">
        <v>8</v>
      </c>
      <c r="K25" s="9"/>
      <c r="L25" s="9"/>
      <c r="M25" s="12">
        <f t="shared" si="0"/>
        <v>501</v>
      </c>
      <c r="N25" s="13">
        <f t="shared" si="1"/>
        <v>486.5</v>
      </c>
      <c r="O25" s="14">
        <f t="shared" si="2"/>
        <v>987.5</v>
      </c>
      <c r="P25" s="15">
        <f t="shared" si="3"/>
        <v>1.1897590361445782</v>
      </c>
    </row>
    <row r="26" spans="1:36" ht="15.75" customHeight="1" x14ac:dyDescent="0.3">
      <c r="A26" s="117" t="s">
        <v>58</v>
      </c>
      <c r="B26" s="9" t="s">
        <v>81</v>
      </c>
      <c r="C26" s="9" t="s">
        <v>100</v>
      </c>
      <c r="D26" s="9" t="s">
        <v>90</v>
      </c>
      <c r="E26" s="10">
        <v>8</v>
      </c>
      <c r="F26" s="9" t="s">
        <v>83</v>
      </c>
      <c r="G26" s="10">
        <v>16</v>
      </c>
      <c r="H26" s="9" t="s">
        <v>91</v>
      </c>
      <c r="I26" s="9" t="s">
        <v>92</v>
      </c>
      <c r="J26" s="9" t="s">
        <v>4</v>
      </c>
      <c r="K26" s="9"/>
      <c r="L26" s="9" t="s">
        <v>93</v>
      </c>
      <c r="M26" s="12">
        <f t="shared" si="0"/>
        <v>405</v>
      </c>
      <c r="N26" s="13">
        <f t="shared" si="1"/>
        <v>478</v>
      </c>
      <c r="O26" s="14">
        <f t="shared" si="2"/>
        <v>883</v>
      </c>
      <c r="P26" s="15">
        <f t="shared" si="3"/>
        <v>1.0638554216867471</v>
      </c>
    </row>
    <row r="27" spans="1:36" ht="15.75" customHeight="1" x14ac:dyDescent="0.3">
      <c r="A27" s="117" t="s">
        <v>58</v>
      </c>
      <c r="B27" s="9" t="s">
        <v>81</v>
      </c>
      <c r="C27" s="9" t="s">
        <v>100</v>
      </c>
      <c r="D27" s="9" t="s">
        <v>90</v>
      </c>
      <c r="E27" s="10">
        <v>8</v>
      </c>
      <c r="F27" s="9" t="s">
        <v>83</v>
      </c>
      <c r="G27" s="10">
        <v>16</v>
      </c>
      <c r="H27" s="9" t="s">
        <v>98</v>
      </c>
      <c r="I27" s="9" t="s">
        <v>99</v>
      </c>
      <c r="J27" s="9" t="s">
        <v>4</v>
      </c>
      <c r="K27" s="9"/>
      <c r="L27" s="9"/>
      <c r="M27" s="12">
        <f t="shared" si="0"/>
        <v>239</v>
      </c>
      <c r="N27" s="13">
        <f t="shared" si="1"/>
        <v>196.5</v>
      </c>
      <c r="O27" s="14">
        <f t="shared" si="2"/>
        <v>435.5</v>
      </c>
      <c r="P27" s="15">
        <f t="shared" si="3"/>
        <v>0.52469879518072293</v>
      </c>
    </row>
    <row r="28" spans="1:36" ht="15.75" customHeight="1" x14ac:dyDescent="0.3">
      <c r="A28" s="117" t="s">
        <v>58</v>
      </c>
      <c r="B28" s="9" t="s">
        <v>81</v>
      </c>
      <c r="C28" s="9" t="s">
        <v>80</v>
      </c>
      <c r="D28" s="9" t="s">
        <v>88</v>
      </c>
      <c r="E28" s="10">
        <v>2</v>
      </c>
      <c r="F28" s="9" t="s">
        <v>83</v>
      </c>
      <c r="G28" s="11">
        <v>0</v>
      </c>
      <c r="H28" s="9" t="s">
        <v>84</v>
      </c>
      <c r="I28" s="9" t="s">
        <v>85</v>
      </c>
      <c r="J28" s="9"/>
      <c r="K28" s="9"/>
      <c r="L28" s="9" t="s">
        <v>89</v>
      </c>
      <c r="M28" s="12">
        <f t="shared" si="0"/>
        <v>284</v>
      </c>
      <c r="N28" s="13">
        <f t="shared" si="1"/>
        <v>691.5</v>
      </c>
      <c r="O28" s="14">
        <f t="shared" si="2"/>
        <v>975.5</v>
      </c>
      <c r="P28" s="15">
        <f t="shared" si="3"/>
        <v>1.175301204819277</v>
      </c>
    </row>
    <row r="29" spans="1:36" ht="15.75" customHeight="1" x14ac:dyDescent="0.3">
      <c r="A29" s="117" t="s">
        <v>58</v>
      </c>
      <c r="B29" s="9" t="s">
        <v>81</v>
      </c>
      <c r="C29" s="9" t="s">
        <v>80</v>
      </c>
      <c r="D29" s="9" t="s">
        <v>90</v>
      </c>
      <c r="E29" s="10">
        <v>2</v>
      </c>
      <c r="F29" s="9" t="s">
        <v>83</v>
      </c>
      <c r="G29" s="11">
        <v>0</v>
      </c>
      <c r="H29" s="9" t="s">
        <v>84</v>
      </c>
      <c r="I29" s="9" t="s">
        <v>85</v>
      </c>
      <c r="J29" s="9"/>
      <c r="K29" s="9"/>
      <c r="L29" s="9" t="s">
        <v>89</v>
      </c>
      <c r="M29" s="12">
        <f t="shared" si="0"/>
        <v>284</v>
      </c>
      <c r="N29" s="13">
        <f t="shared" si="1"/>
        <v>691.5</v>
      </c>
      <c r="O29" s="14">
        <f t="shared" si="2"/>
        <v>975.5</v>
      </c>
      <c r="P29" s="15">
        <f t="shared" si="3"/>
        <v>1.175301204819277</v>
      </c>
    </row>
    <row r="30" spans="1:36" ht="15.75" customHeight="1" x14ac:dyDescent="0.3">
      <c r="A30" s="117" t="s">
        <v>58</v>
      </c>
      <c r="B30" s="9" t="s">
        <v>101</v>
      </c>
      <c r="C30" s="9" t="s">
        <v>102</v>
      </c>
      <c r="D30" s="9" t="s">
        <v>103</v>
      </c>
      <c r="E30" s="10">
        <v>64</v>
      </c>
      <c r="F30" s="9" t="s">
        <v>107</v>
      </c>
      <c r="G30" s="11">
        <v>0</v>
      </c>
      <c r="H30" s="9" t="s">
        <v>108</v>
      </c>
      <c r="I30" s="9" t="s">
        <v>109</v>
      </c>
      <c r="J30" s="9"/>
      <c r="K30" s="9"/>
      <c r="L30" s="9" t="s">
        <v>110</v>
      </c>
      <c r="M30" s="12">
        <f t="shared" si="0"/>
        <v>284</v>
      </c>
      <c r="N30" s="13">
        <f t="shared" si="1"/>
        <v>193</v>
      </c>
      <c r="O30" s="14">
        <f t="shared" si="2"/>
        <v>477</v>
      </c>
      <c r="P30" s="15">
        <f t="shared" si="3"/>
        <v>0.57469879518072287</v>
      </c>
    </row>
    <row r="31" spans="1:36" ht="15.75" customHeight="1" x14ac:dyDescent="0.3">
      <c r="A31" s="117" t="s">
        <v>58</v>
      </c>
      <c r="B31" s="9" t="s">
        <v>101</v>
      </c>
      <c r="C31" s="9" t="s">
        <v>73</v>
      </c>
      <c r="D31" s="9" t="s">
        <v>103</v>
      </c>
      <c r="E31" s="10">
        <v>44</v>
      </c>
      <c r="F31" s="9" t="s">
        <v>107</v>
      </c>
      <c r="G31" s="10">
        <v>44</v>
      </c>
      <c r="H31" s="9" t="s">
        <v>108</v>
      </c>
      <c r="I31" s="9" t="s">
        <v>109</v>
      </c>
      <c r="J31" s="9"/>
      <c r="K31" s="9"/>
      <c r="L31" s="9" t="s">
        <v>110</v>
      </c>
      <c r="M31" s="12">
        <f t="shared" si="0"/>
        <v>284</v>
      </c>
      <c r="N31" s="13">
        <f t="shared" si="1"/>
        <v>193</v>
      </c>
      <c r="O31" s="14">
        <f t="shared" si="2"/>
        <v>477</v>
      </c>
      <c r="P31" s="15">
        <f t="shared" si="3"/>
        <v>0.57469879518072287</v>
      </c>
    </row>
    <row r="32" spans="1:36" ht="15.75" customHeight="1" x14ac:dyDescent="0.3">
      <c r="A32" s="117" t="s">
        <v>58</v>
      </c>
      <c r="B32" s="9" t="s">
        <v>101</v>
      </c>
      <c r="C32" s="9" t="s">
        <v>79</v>
      </c>
      <c r="D32" s="9" t="s">
        <v>103</v>
      </c>
      <c r="E32" s="10">
        <v>64</v>
      </c>
      <c r="F32" s="9" t="s">
        <v>107</v>
      </c>
      <c r="G32" s="10">
        <v>64</v>
      </c>
      <c r="H32" s="9" t="s">
        <v>108</v>
      </c>
      <c r="I32" s="9" t="s">
        <v>109</v>
      </c>
      <c r="J32" s="9"/>
      <c r="K32" s="9"/>
      <c r="L32" s="9" t="s">
        <v>110</v>
      </c>
      <c r="M32" s="12">
        <f t="shared" si="0"/>
        <v>284</v>
      </c>
      <c r="N32" s="13">
        <f t="shared" si="1"/>
        <v>193</v>
      </c>
      <c r="O32" s="14">
        <f t="shared" si="2"/>
        <v>477</v>
      </c>
      <c r="P32" s="15">
        <f t="shared" si="3"/>
        <v>0.57469879518072287</v>
      </c>
    </row>
    <row r="33" spans="1:16" ht="15.75" customHeight="1" x14ac:dyDescent="0.3">
      <c r="A33" s="117" t="s">
        <v>58</v>
      </c>
      <c r="B33" s="9" t="s">
        <v>101</v>
      </c>
      <c r="C33" s="9" t="s">
        <v>100</v>
      </c>
      <c r="D33" s="9" t="s">
        <v>103</v>
      </c>
      <c r="E33" s="10">
        <v>72</v>
      </c>
      <c r="F33" s="9" t="s">
        <v>107</v>
      </c>
      <c r="G33" s="10">
        <v>36</v>
      </c>
      <c r="H33" s="9" t="s">
        <v>108</v>
      </c>
      <c r="I33" s="9" t="s">
        <v>109</v>
      </c>
      <c r="J33" s="9"/>
      <c r="K33" s="9"/>
      <c r="L33" s="9" t="s">
        <v>110</v>
      </c>
      <c r="M33" s="12">
        <f t="shared" si="0"/>
        <v>284</v>
      </c>
      <c r="N33" s="13">
        <f t="shared" si="1"/>
        <v>193</v>
      </c>
      <c r="O33" s="14">
        <f t="shared" si="2"/>
        <v>477</v>
      </c>
      <c r="P33" s="15">
        <f t="shared" si="3"/>
        <v>0.57469879518072287</v>
      </c>
    </row>
    <row r="34" spans="1:16" ht="15.75" customHeight="1" x14ac:dyDescent="0.3">
      <c r="A34" s="117" t="s">
        <v>58</v>
      </c>
      <c r="B34" s="9" t="s">
        <v>101</v>
      </c>
      <c r="C34" s="9" t="s">
        <v>111</v>
      </c>
      <c r="D34" s="9" t="s">
        <v>103</v>
      </c>
      <c r="E34" s="10">
        <v>8</v>
      </c>
      <c r="F34" s="9" t="s">
        <v>107</v>
      </c>
      <c r="G34" s="11">
        <v>0</v>
      </c>
      <c r="H34" s="9" t="s">
        <v>108</v>
      </c>
      <c r="I34" s="9" t="s">
        <v>109</v>
      </c>
      <c r="J34" s="9"/>
      <c r="K34" s="9"/>
      <c r="L34" s="9" t="s">
        <v>110</v>
      </c>
      <c r="M34" s="12">
        <f t="shared" si="0"/>
        <v>284</v>
      </c>
      <c r="N34" s="13">
        <f t="shared" si="1"/>
        <v>193</v>
      </c>
      <c r="O34" s="14">
        <f t="shared" si="2"/>
        <v>477</v>
      </c>
      <c r="P34" s="15">
        <f t="shared" si="3"/>
        <v>0.57469879518072287</v>
      </c>
    </row>
    <row r="35" spans="1:16" ht="15.75" customHeight="1" x14ac:dyDescent="0.3">
      <c r="A35" s="117" t="s">
        <v>58</v>
      </c>
      <c r="B35" s="9" t="s">
        <v>101</v>
      </c>
      <c r="C35" s="9" t="s">
        <v>80</v>
      </c>
      <c r="D35" s="9" t="s">
        <v>103</v>
      </c>
      <c r="E35" s="10">
        <v>4</v>
      </c>
      <c r="F35" s="9" t="s">
        <v>107</v>
      </c>
      <c r="G35" s="11">
        <v>0</v>
      </c>
      <c r="H35" s="9" t="s">
        <v>108</v>
      </c>
      <c r="I35" s="9" t="s">
        <v>109</v>
      </c>
      <c r="J35" s="9"/>
      <c r="K35" s="9"/>
      <c r="L35" s="9" t="s">
        <v>110</v>
      </c>
      <c r="M35" s="12">
        <f t="shared" si="0"/>
        <v>284</v>
      </c>
      <c r="N35" s="13">
        <f t="shared" si="1"/>
        <v>193</v>
      </c>
      <c r="O35" s="14">
        <f t="shared" si="2"/>
        <v>477</v>
      </c>
      <c r="P35" s="15">
        <f t="shared" si="3"/>
        <v>0.57469879518072287</v>
      </c>
    </row>
    <row r="36" spans="1:16" ht="15.75" customHeight="1" x14ac:dyDescent="0.3">
      <c r="A36" s="117" t="s">
        <v>58</v>
      </c>
      <c r="B36" s="9" t="s">
        <v>112</v>
      </c>
      <c r="C36" s="9" t="s">
        <v>73</v>
      </c>
      <c r="D36" s="9" t="s">
        <v>113</v>
      </c>
      <c r="E36" s="10">
        <v>24</v>
      </c>
      <c r="F36" s="9" t="s">
        <v>114</v>
      </c>
      <c r="G36" s="10">
        <v>24</v>
      </c>
      <c r="H36" s="9" t="s">
        <v>115</v>
      </c>
      <c r="I36" s="9" t="s">
        <v>116</v>
      </c>
      <c r="J36" s="9" t="s">
        <v>4</v>
      </c>
      <c r="K36" s="9"/>
      <c r="L36" s="9" t="s">
        <v>117</v>
      </c>
      <c r="M36" s="12">
        <f t="shared" si="0"/>
        <v>353</v>
      </c>
      <c r="N36" s="13">
        <f t="shared" si="1"/>
        <v>367</v>
      </c>
      <c r="O36" s="14">
        <f t="shared" si="2"/>
        <v>720</v>
      </c>
      <c r="P36" s="15">
        <f t="shared" si="3"/>
        <v>0.86746987951807231</v>
      </c>
    </row>
    <row r="37" spans="1:16" ht="15.75" customHeight="1" x14ac:dyDescent="0.3">
      <c r="A37" s="117" t="s">
        <v>58</v>
      </c>
      <c r="B37" s="9" t="s">
        <v>112</v>
      </c>
      <c r="C37" s="9" t="s">
        <v>87</v>
      </c>
      <c r="D37" s="9" t="s">
        <v>118</v>
      </c>
      <c r="E37" s="10">
        <v>7</v>
      </c>
      <c r="F37" s="9" t="s">
        <v>114</v>
      </c>
      <c r="G37" s="11">
        <v>0</v>
      </c>
      <c r="H37" s="9" t="s">
        <v>115</v>
      </c>
      <c r="I37" s="9" t="s">
        <v>116</v>
      </c>
      <c r="J37" s="9" t="s">
        <v>4</v>
      </c>
      <c r="K37" s="9"/>
      <c r="L37" s="9" t="s">
        <v>117</v>
      </c>
      <c r="M37" s="12">
        <f t="shared" si="0"/>
        <v>353</v>
      </c>
      <c r="N37" s="13">
        <f t="shared" si="1"/>
        <v>367</v>
      </c>
      <c r="O37" s="14">
        <f t="shared" si="2"/>
        <v>720</v>
      </c>
      <c r="P37" s="15">
        <f t="shared" si="3"/>
        <v>0.86746987951807231</v>
      </c>
    </row>
    <row r="38" spans="1:16" ht="15.75" customHeight="1" x14ac:dyDescent="0.3">
      <c r="A38" s="117" t="s">
        <v>58</v>
      </c>
      <c r="B38" s="9" t="s">
        <v>112</v>
      </c>
      <c r="C38" s="9" t="s">
        <v>87</v>
      </c>
      <c r="D38" s="9" t="s">
        <v>119</v>
      </c>
      <c r="E38" s="10">
        <v>6</v>
      </c>
      <c r="F38" s="9" t="s">
        <v>114</v>
      </c>
      <c r="G38" s="11">
        <v>0</v>
      </c>
      <c r="H38" s="9" t="s">
        <v>115</v>
      </c>
      <c r="I38" s="9" t="s">
        <v>116</v>
      </c>
      <c r="J38" s="9" t="s">
        <v>4</v>
      </c>
      <c r="K38" s="9"/>
      <c r="L38" s="9" t="s">
        <v>117</v>
      </c>
      <c r="M38" s="12">
        <f t="shared" si="0"/>
        <v>353</v>
      </c>
      <c r="N38" s="13">
        <f t="shared" si="1"/>
        <v>367</v>
      </c>
      <c r="O38" s="14">
        <f t="shared" si="2"/>
        <v>720</v>
      </c>
      <c r="P38" s="15">
        <f t="shared" si="3"/>
        <v>0.86746987951807231</v>
      </c>
    </row>
    <row r="39" spans="1:16" ht="15.75" customHeight="1" x14ac:dyDescent="0.3">
      <c r="A39" s="117" t="s">
        <v>58</v>
      </c>
      <c r="B39" s="9" t="s">
        <v>112</v>
      </c>
      <c r="C39" s="9" t="s">
        <v>79</v>
      </c>
      <c r="D39" s="9" t="s">
        <v>118</v>
      </c>
      <c r="E39" s="10">
        <v>32</v>
      </c>
      <c r="F39" s="9" t="s">
        <v>114</v>
      </c>
      <c r="G39" s="10">
        <v>32</v>
      </c>
      <c r="H39" s="9" t="s">
        <v>115</v>
      </c>
      <c r="I39" s="9" t="s">
        <v>116</v>
      </c>
      <c r="J39" s="9" t="s">
        <v>4</v>
      </c>
      <c r="K39" s="9"/>
      <c r="L39" s="9" t="s">
        <v>117</v>
      </c>
      <c r="M39" s="12">
        <f t="shared" si="0"/>
        <v>353</v>
      </c>
      <c r="N39" s="13">
        <f t="shared" si="1"/>
        <v>367</v>
      </c>
      <c r="O39" s="14">
        <f t="shared" si="2"/>
        <v>720</v>
      </c>
      <c r="P39" s="15">
        <f t="shared" si="3"/>
        <v>0.86746987951807231</v>
      </c>
    </row>
    <row r="40" spans="1:16" ht="15.75" customHeight="1" x14ac:dyDescent="0.3">
      <c r="A40" s="117" t="s">
        <v>58</v>
      </c>
      <c r="B40" s="9" t="s">
        <v>112</v>
      </c>
      <c r="C40" s="9" t="s">
        <v>79</v>
      </c>
      <c r="D40" s="9" t="s">
        <v>119</v>
      </c>
      <c r="E40" s="10">
        <v>28</v>
      </c>
      <c r="F40" s="9" t="s">
        <v>114</v>
      </c>
      <c r="G40" s="10">
        <v>28</v>
      </c>
      <c r="H40" s="9" t="s">
        <v>115</v>
      </c>
      <c r="I40" s="9" t="s">
        <v>116</v>
      </c>
      <c r="J40" s="9" t="s">
        <v>4</v>
      </c>
      <c r="K40" s="9"/>
      <c r="L40" s="9" t="s">
        <v>117</v>
      </c>
      <c r="M40" s="12">
        <f t="shared" si="0"/>
        <v>353</v>
      </c>
      <c r="N40" s="13">
        <f t="shared" si="1"/>
        <v>367</v>
      </c>
      <c r="O40" s="14">
        <f t="shared" si="2"/>
        <v>720</v>
      </c>
      <c r="P40" s="15">
        <f t="shared" si="3"/>
        <v>0.86746987951807231</v>
      </c>
    </row>
    <row r="41" spans="1:16" ht="15.75" customHeight="1" x14ac:dyDescent="0.3">
      <c r="A41" s="117" t="s">
        <v>58</v>
      </c>
      <c r="B41" s="9" t="s">
        <v>112</v>
      </c>
      <c r="C41" s="9" t="s">
        <v>100</v>
      </c>
      <c r="D41" s="9" t="s">
        <v>118</v>
      </c>
      <c r="E41" s="10">
        <v>16</v>
      </c>
      <c r="F41" s="9" t="s">
        <v>114</v>
      </c>
      <c r="G41" s="10">
        <v>8</v>
      </c>
      <c r="H41" s="9" t="s">
        <v>115</v>
      </c>
      <c r="I41" s="9" t="s">
        <v>116</v>
      </c>
      <c r="J41" s="9" t="s">
        <v>4</v>
      </c>
      <c r="K41" s="9"/>
      <c r="L41" s="9" t="s">
        <v>117</v>
      </c>
      <c r="M41" s="12">
        <f t="shared" si="0"/>
        <v>353</v>
      </c>
      <c r="N41" s="13">
        <f t="shared" si="1"/>
        <v>367</v>
      </c>
      <c r="O41" s="14">
        <f t="shared" si="2"/>
        <v>720</v>
      </c>
      <c r="P41" s="15">
        <f t="shared" si="3"/>
        <v>0.86746987951807231</v>
      </c>
    </row>
    <row r="42" spans="1:16" ht="15.75" customHeight="1" x14ac:dyDescent="0.3">
      <c r="A42" s="117" t="s">
        <v>58</v>
      </c>
      <c r="B42" s="9" t="s">
        <v>112</v>
      </c>
      <c r="C42" s="9" t="s">
        <v>100</v>
      </c>
      <c r="D42" s="9" t="s">
        <v>119</v>
      </c>
      <c r="E42" s="10">
        <v>16</v>
      </c>
      <c r="F42" s="9" t="s">
        <v>114</v>
      </c>
      <c r="G42" s="10">
        <v>8</v>
      </c>
      <c r="H42" s="9" t="s">
        <v>115</v>
      </c>
      <c r="I42" s="9" t="s">
        <v>116</v>
      </c>
      <c r="J42" s="9" t="s">
        <v>4</v>
      </c>
      <c r="K42" s="9"/>
      <c r="L42" s="9" t="s">
        <v>117</v>
      </c>
      <c r="M42" s="12">
        <f t="shared" si="0"/>
        <v>353</v>
      </c>
      <c r="N42" s="13">
        <f t="shared" si="1"/>
        <v>367</v>
      </c>
      <c r="O42" s="14">
        <f t="shared" si="2"/>
        <v>720</v>
      </c>
      <c r="P42" s="15">
        <f t="shared" si="3"/>
        <v>0.86746987951807231</v>
      </c>
    </row>
    <row r="43" spans="1:16" ht="15.75" customHeight="1" x14ac:dyDescent="0.3">
      <c r="A43" s="117" t="s">
        <v>58</v>
      </c>
      <c r="B43" s="9" t="s">
        <v>112</v>
      </c>
      <c r="C43" s="9" t="s">
        <v>80</v>
      </c>
      <c r="D43" s="9" t="s">
        <v>118</v>
      </c>
      <c r="E43" s="10">
        <v>1</v>
      </c>
      <c r="F43" s="9" t="s">
        <v>114</v>
      </c>
      <c r="G43" s="11">
        <v>0</v>
      </c>
      <c r="H43" s="9" t="s">
        <v>115</v>
      </c>
      <c r="I43" s="9" t="s">
        <v>116</v>
      </c>
      <c r="J43" s="9" t="s">
        <v>4</v>
      </c>
      <c r="K43" s="9"/>
      <c r="L43" s="9" t="s">
        <v>117</v>
      </c>
      <c r="M43" s="12">
        <f t="shared" si="0"/>
        <v>353</v>
      </c>
      <c r="N43" s="13">
        <f t="shared" si="1"/>
        <v>367</v>
      </c>
      <c r="O43" s="14">
        <f t="shared" si="2"/>
        <v>720</v>
      </c>
      <c r="P43" s="15">
        <f t="shared" si="3"/>
        <v>0.86746987951807231</v>
      </c>
    </row>
    <row r="44" spans="1:16" ht="15.75" customHeight="1" x14ac:dyDescent="0.3">
      <c r="A44" s="117" t="s">
        <v>58</v>
      </c>
      <c r="B44" s="9" t="s">
        <v>112</v>
      </c>
      <c r="C44" s="9" t="s">
        <v>80</v>
      </c>
      <c r="D44" s="9" t="s">
        <v>119</v>
      </c>
      <c r="E44" s="10">
        <v>1</v>
      </c>
      <c r="F44" s="9" t="s">
        <v>114</v>
      </c>
      <c r="G44" s="11">
        <v>0</v>
      </c>
      <c r="H44" s="9" t="s">
        <v>115</v>
      </c>
      <c r="I44" s="9" t="s">
        <v>116</v>
      </c>
      <c r="J44" s="9" t="s">
        <v>4</v>
      </c>
      <c r="K44" s="9"/>
      <c r="L44" s="9" t="s">
        <v>117</v>
      </c>
      <c r="M44" s="12">
        <f t="shared" si="0"/>
        <v>353</v>
      </c>
      <c r="N44" s="13">
        <f t="shared" si="1"/>
        <v>367</v>
      </c>
      <c r="O44" s="14">
        <f t="shared" si="2"/>
        <v>720</v>
      </c>
      <c r="P44" s="15">
        <f t="shared" si="3"/>
        <v>0.86746987951807231</v>
      </c>
    </row>
    <row r="45" spans="1:16" ht="15.75" customHeight="1" x14ac:dyDescent="0.3">
      <c r="A45" s="117" t="s">
        <v>58</v>
      </c>
      <c r="B45" s="9" t="s">
        <v>120</v>
      </c>
      <c r="C45" s="9" t="s">
        <v>73</v>
      </c>
      <c r="D45" s="9" t="s">
        <v>119</v>
      </c>
      <c r="E45" s="10">
        <v>44</v>
      </c>
      <c r="F45" s="9" t="s">
        <v>121</v>
      </c>
      <c r="G45" s="10">
        <v>44</v>
      </c>
      <c r="H45" s="9" t="s">
        <v>63</v>
      </c>
      <c r="I45" s="9" t="s">
        <v>64</v>
      </c>
      <c r="J45" s="9" t="s">
        <v>4</v>
      </c>
      <c r="K45" s="9"/>
      <c r="L45" s="9" t="s">
        <v>122</v>
      </c>
      <c r="M45" s="12">
        <f t="shared" si="0"/>
        <v>284</v>
      </c>
      <c r="N45" s="13">
        <f t="shared" si="1"/>
        <v>140</v>
      </c>
      <c r="O45" s="14">
        <f t="shared" si="2"/>
        <v>424</v>
      </c>
      <c r="P45" s="15">
        <f t="shared" si="3"/>
        <v>0.51084337349397591</v>
      </c>
    </row>
    <row r="46" spans="1:16" ht="15.75" customHeight="1" x14ac:dyDescent="0.3">
      <c r="A46" s="117" t="s">
        <v>58</v>
      </c>
      <c r="B46" s="9" t="s">
        <v>120</v>
      </c>
      <c r="C46" s="9" t="s">
        <v>123</v>
      </c>
      <c r="D46" s="9" t="s">
        <v>119</v>
      </c>
      <c r="E46" s="10">
        <v>51</v>
      </c>
      <c r="F46" s="9" t="s">
        <v>121</v>
      </c>
      <c r="G46" s="11">
        <v>0</v>
      </c>
      <c r="H46" s="9" t="s">
        <v>63</v>
      </c>
      <c r="I46" s="9" t="s">
        <v>64</v>
      </c>
      <c r="J46" s="9" t="s">
        <v>4</v>
      </c>
      <c r="K46" s="9"/>
      <c r="L46" s="9" t="s">
        <v>122</v>
      </c>
      <c r="M46" s="12">
        <f t="shared" si="0"/>
        <v>284</v>
      </c>
      <c r="N46" s="13">
        <f t="shared" si="1"/>
        <v>140</v>
      </c>
      <c r="O46" s="14">
        <f t="shared" si="2"/>
        <v>424</v>
      </c>
      <c r="P46" s="15">
        <f t="shared" si="3"/>
        <v>0.51084337349397591</v>
      </c>
    </row>
    <row r="47" spans="1:16" ht="15.75" customHeight="1" x14ac:dyDescent="0.3">
      <c r="A47" s="117" t="s">
        <v>58</v>
      </c>
      <c r="B47" s="9" t="s">
        <v>120</v>
      </c>
      <c r="C47" s="9" t="s">
        <v>79</v>
      </c>
      <c r="D47" s="9" t="s">
        <v>119</v>
      </c>
      <c r="E47" s="10">
        <v>32</v>
      </c>
      <c r="F47" s="9" t="s">
        <v>121</v>
      </c>
      <c r="G47" s="10">
        <v>32</v>
      </c>
      <c r="H47" s="9" t="s">
        <v>63</v>
      </c>
      <c r="I47" s="9" t="s">
        <v>64</v>
      </c>
      <c r="J47" s="9" t="s">
        <v>4</v>
      </c>
      <c r="K47" s="9"/>
      <c r="L47" s="9" t="s">
        <v>122</v>
      </c>
      <c r="M47" s="12">
        <f t="shared" si="0"/>
        <v>284</v>
      </c>
      <c r="N47" s="13">
        <f t="shared" si="1"/>
        <v>140</v>
      </c>
      <c r="O47" s="14">
        <f t="shared" si="2"/>
        <v>424</v>
      </c>
      <c r="P47" s="15">
        <f t="shared" si="3"/>
        <v>0.51084337349397591</v>
      </c>
    </row>
    <row r="48" spans="1:16" ht="15.75" customHeight="1" x14ac:dyDescent="0.3">
      <c r="A48" s="117" t="s">
        <v>58</v>
      </c>
      <c r="B48" s="9" t="s">
        <v>120</v>
      </c>
      <c r="C48" s="9" t="s">
        <v>100</v>
      </c>
      <c r="D48" s="9" t="s">
        <v>119</v>
      </c>
      <c r="E48" s="10">
        <v>32</v>
      </c>
      <c r="F48" s="9" t="s">
        <v>121</v>
      </c>
      <c r="G48" s="10">
        <v>32</v>
      </c>
      <c r="H48" s="9" t="s">
        <v>98</v>
      </c>
      <c r="I48" s="9" t="s">
        <v>99</v>
      </c>
      <c r="J48" s="9" t="s">
        <v>4</v>
      </c>
      <c r="K48" s="9"/>
      <c r="L48" s="9" t="s">
        <v>124</v>
      </c>
      <c r="M48" s="12">
        <f t="shared" si="0"/>
        <v>239</v>
      </c>
      <c r="N48" s="13">
        <f t="shared" si="1"/>
        <v>196.5</v>
      </c>
      <c r="O48" s="14">
        <f t="shared" si="2"/>
        <v>435.5</v>
      </c>
      <c r="P48" s="15">
        <f t="shared" si="3"/>
        <v>0.52469879518072293</v>
      </c>
    </row>
    <row r="49" spans="1:16" ht="15.75" customHeight="1" x14ac:dyDescent="0.3">
      <c r="A49" s="117" t="s">
        <v>58</v>
      </c>
      <c r="B49" s="18" t="s">
        <v>120</v>
      </c>
      <c r="C49" s="18" t="s">
        <v>100</v>
      </c>
      <c r="D49" s="18" t="s">
        <v>119</v>
      </c>
      <c r="E49" s="19">
        <v>32</v>
      </c>
      <c r="F49" s="18" t="s">
        <v>121</v>
      </c>
      <c r="G49" s="19">
        <v>32</v>
      </c>
      <c r="H49" s="18"/>
      <c r="I49" s="20" t="s">
        <v>71</v>
      </c>
      <c r="J49" s="18"/>
      <c r="K49" s="9"/>
      <c r="L49" s="9" t="s">
        <v>124</v>
      </c>
      <c r="M49" s="12">
        <f t="shared" si="0"/>
        <v>391</v>
      </c>
      <c r="N49" s="13">
        <f t="shared" si="1"/>
        <v>436.5</v>
      </c>
      <c r="O49" s="14">
        <f t="shared" si="2"/>
        <v>827.5</v>
      </c>
      <c r="P49" s="15">
        <f t="shared" si="3"/>
        <v>0.99698795180722888</v>
      </c>
    </row>
    <row r="50" spans="1:16" ht="15.75" customHeight="1" x14ac:dyDescent="0.3">
      <c r="A50" s="117" t="s">
        <v>58</v>
      </c>
      <c r="B50" s="9" t="s">
        <v>120</v>
      </c>
      <c r="C50" s="9" t="s">
        <v>111</v>
      </c>
      <c r="D50" s="9" t="s">
        <v>119</v>
      </c>
      <c r="E50" s="10">
        <v>9</v>
      </c>
      <c r="F50" s="9" t="s">
        <v>121</v>
      </c>
      <c r="G50" s="11">
        <v>0</v>
      </c>
      <c r="H50" s="9" t="s">
        <v>63</v>
      </c>
      <c r="I50" s="9" t="s">
        <v>64</v>
      </c>
      <c r="J50" s="9" t="s">
        <v>4</v>
      </c>
      <c r="K50" s="9"/>
      <c r="L50" s="9" t="s">
        <v>122</v>
      </c>
      <c r="M50" s="12">
        <f t="shared" si="0"/>
        <v>284</v>
      </c>
      <c r="N50" s="13">
        <f t="shared" si="1"/>
        <v>140</v>
      </c>
      <c r="O50" s="14">
        <f t="shared" si="2"/>
        <v>424</v>
      </c>
      <c r="P50" s="15">
        <f t="shared" si="3"/>
        <v>0.51084337349397591</v>
      </c>
    </row>
    <row r="51" spans="1:16" ht="15.75" customHeight="1" x14ac:dyDescent="0.3">
      <c r="A51" s="117" t="s">
        <v>58</v>
      </c>
      <c r="B51" s="9" t="s">
        <v>120</v>
      </c>
      <c r="C51" s="9" t="s">
        <v>80</v>
      </c>
      <c r="D51" s="9" t="s">
        <v>119</v>
      </c>
      <c r="E51" s="10">
        <v>4</v>
      </c>
      <c r="F51" s="9" t="s">
        <v>121</v>
      </c>
      <c r="G51" s="11">
        <v>0</v>
      </c>
      <c r="H51" s="9" t="s">
        <v>63</v>
      </c>
      <c r="I51" s="9" t="s">
        <v>64</v>
      </c>
      <c r="J51" s="9" t="s">
        <v>4</v>
      </c>
      <c r="K51" s="9"/>
      <c r="L51" s="9" t="s">
        <v>122</v>
      </c>
      <c r="M51" s="12">
        <f t="shared" si="0"/>
        <v>284</v>
      </c>
      <c r="N51" s="13">
        <f t="shared" si="1"/>
        <v>140</v>
      </c>
      <c r="O51" s="14">
        <f t="shared" si="2"/>
        <v>424</v>
      </c>
      <c r="P51" s="15">
        <f t="shared" si="3"/>
        <v>0.51084337349397591</v>
      </c>
    </row>
    <row r="52" spans="1:16" ht="15.75" customHeight="1" x14ac:dyDescent="0.3">
      <c r="A52" s="117" t="s">
        <v>58</v>
      </c>
      <c r="B52" s="9" t="s">
        <v>125</v>
      </c>
      <c r="C52" s="9" t="s">
        <v>73</v>
      </c>
      <c r="D52" s="9" t="s">
        <v>126</v>
      </c>
      <c r="E52" s="10">
        <v>16</v>
      </c>
      <c r="F52" s="9" t="s">
        <v>127</v>
      </c>
      <c r="G52" s="10">
        <v>16</v>
      </c>
      <c r="H52" s="9" t="s">
        <v>128</v>
      </c>
      <c r="I52" s="9" t="s">
        <v>129</v>
      </c>
      <c r="J52" s="9" t="s">
        <v>8</v>
      </c>
      <c r="K52" s="9"/>
      <c r="L52" s="9" t="s">
        <v>130</v>
      </c>
      <c r="M52" s="12">
        <f t="shared" si="0"/>
        <v>348</v>
      </c>
      <c r="N52" s="13">
        <f t="shared" si="1"/>
        <v>583</v>
      </c>
      <c r="O52" s="14">
        <f t="shared" si="2"/>
        <v>931</v>
      </c>
      <c r="P52" s="15">
        <f t="shared" si="3"/>
        <v>1.1216867469879519</v>
      </c>
    </row>
    <row r="53" spans="1:16" ht="15.75" customHeight="1" x14ac:dyDescent="0.3">
      <c r="A53" s="117" t="s">
        <v>58</v>
      </c>
      <c r="B53" s="9" t="s">
        <v>125</v>
      </c>
      <c r="C53" s="9" t="s">
        <v>87</v>
      </c>
      <c r="D53" s="9" t="s">
        <v>126</v>
      </c>
      <c r="E53" s="10">
        <v>5</v>
      </c>
      <c r="F53" s="9" t="s">
        <v>127</v>
      </c>
      <c r="G53" s="11">
        <v>0</v>
      </c>
      <c r="H53" s="9" t="s">
        <v>128</v>
      </c>
      <c r="I53" s="9" t="s">
        <v>129</v>
      </c>
      <c r="J53" s="9" t="s">
        <v>8</v>
      </c>
      <c r="K53" s="9"/>
      <c r="L53" s="9" t="s">
        <v>130</v>
      </c>
      <c r="M53" s="12">
        <f t="shared" si="0"/>
        <v>348</v>
      </c>
      <c r="N53" s="13">
        <f t="shared" si="1"/>
        <v>583</v>
      </c>
      <c r="O53" s="14">
        <f t="shared" si="2"/>
        <v>931</v>
      </c>
      <c r="P53" s="15">
        <f t="shared" si="3"/>
        <v>1.1216867469879519</v>
      </c>
    </row>
    <row r="54" spans="1:16" ht="15.75" customHeight="1" x14ac:dyDescent="0.3">
      <c r="A54" s="117" t="s">
        <v>58</v>
      </c>
      <c r="B54" s="9" t="s">
        <v>125</v>
      </c>
      <c r="C54" s="9" t="s">
        <v>79</v>
      </c>
      <c r="D54" s="9" t="s">
        <v>126</v>
      </c>
      <c r="E54" s="10">
        <v>8</v>
      </c>
      <c r="F54" s="9" t="s">
        <v>127</v>
      </c>
      <c r="G54" s="10">
        <v>8</v>
      </c>
      <c r="H54" s="9" t="s">
        <v>128</v>
      </c>
      <c r="I54" s="9" t="s">
        <v>129</v>
      </c>
      <c r="J54" s="9" t="s">
        <v>8</v>
      </c>
      <c r="K54" s="9"/>
      <c r="L54" s="9" t="s">
        <v>130</v>
      </c>
      <c r="M54" s="12">
        <f t="shared" si="0"/>
        <v>348</v>
      </c>
      <c r="N54" s="13">
        <f t="shared" si="1"/>
        <v>583</v>
      </c>
      <c r="O54" s="14">
        <f t="shared" si="2"/>
        <v>931</v>
      </c>
      <c r="P54" s="15">
        <f t="shared" si="3"/>
        <v>1.1216867469879519</v>
      </c>
    </row>
    <row r="55" spans="1:16" ht="15.75" customHeight="1" x14ac:dyDescent="0.3">
      <c r="A55" s="117" t="s">
        <v>58</v>
      </c>
      <c r="B55" s="9" t="s">
        <v>125</v>
      </c>
      <c r="C55" s="9" t="s">
        <v>100</v>
      </c>
      <c r="D55" s="9" t="s">
        <v>126</v>
      </c>
      <c r="E55" s="10">
        <v>12</v>
      </c>
      <c r="F55" s="9" t="s">
        <v>127</v>
      </c>
      <c r="G55" s="10">
        <v>12</v>
      </c>
      <c r="H55" s="9" t="s">
        <v>128</v>
      </c>
      <c r="I55" s="9" t="s">
        <v>129</v>
      </c>
      <c r="J55" s="9" t="s">
        <v>8</v>
      </c>
      <c r="K55" s="9"/>
      <c r="L55" s="9" t="s">
        <v>130</v>
      </c>
      <c r="M55" s="12">
        <f t="shared" si="0"/>
        <v>348</v>
      </c>
      <c r="N55" s="13">
        <f t="shared" si="1"/>
        <v>583</v>
      </c>
      <c r="O55" s="14">
        <f t="shared" si="2"/>
        <v>931</v>
      </c>
      <c r="P55" s="15">
        <f t="shared" si="3"/>
        <v>1.1216867469879519</v>
      </c>
    </row>
    <row r="56" spans="1:16" ht="15.75" customHeight="1" x14ac:dyDescent="0.3">
      <c r="A56" s="117" t="s">
        <v>58</v>
      </c>
      <c r="B56" s="9" t="s">
        <v>125</v>
      </c>
      <c r="C56" s="9" t="s">
        <v>80</v>
      </c>
      <c r="D56" s="9" t="s">
        <v>126</v>
      </c>
      <c r="E56" s="10">
        <v>1</v>
      </c>
      <c r="F56" s="9" t="s">
        <v>127</v>
      </c>
      <c r="G56" s="11">
        <v>0</v>
      </c>
      <c r="H56" s="9" t="s">
        <v>128</v>
      </c>
      <c r="I56" s="9" t="s">
        <v>129</v>
      </c>
      <c r="J56" s="9" t="s">
        <v>8</v>
      </c>
      <c r="K56" s="9"/>
      <c r="L56" s="9" t="s">
        <v>130</v>
      </c>
      <c r="M56" s="12">
        <f t="shared" si="0"/>
        <v>348</v>
      </c>
      <c r="N56" s="13">
        <f t="shared" si="1"/>
        <v>583</v>
      </c>
      <c r="O56" s="14">
        <f t="shared" si="2"/>
        <v>931</v>
      </c>
      <c r="P56" s="15">
        <f t="shared" si="3"/>
        <v>1.1216867469879519</v>
      </c>
    </row>
    <row r="57" spans="1:16" ht="15.75" customHeight="1" x14ac:dyDescent="0.3">
      <c r="A57" s="117" t="s">
        <v>58</v>
      </c>
      <c r="B57" s="9" t="s">
        <v>131</v>
      </c>
      <c r="C57" s="9" t="s">
        <v>73</v>
      </c>
      <c r="D57" s="9" t="s">
        <v>132</v>
      </c>
      <c r="E57" s="10">
        <v>18</v>
      </c>
      <c r="F57" s="9" t="s">
        <v>133</v>
      </c>
      <c r="G57" s="10">
        <v>18</v>
      </c>
      <c r="H57" s="9" t="s">
        <v>108</v>
      </c>
      <c r="I57" s="9" t="s">
        <v>109</v>
      </c>
      <c r="J57" s="9"/>
      <c r="K57" s="9"/>
      <c r="L57" s="9"/>
      <c r="M57" s="12">
        <f t="shared" si="0"/>
        <v>284</v>
      </c>
      <c r="N57" s="13">
        <f t="shared" si="1"/>
        <v>193</v>
      </c>
      <c r="O57" s="14">
        <f t="shared" si="2"/>
        <v>477</v>
      </c>
      <c r="P57" s="15">
        <f t="shared" si="3"/>
        <v>0.57469879518072287</v>
      </c>
    </row>
    <row r="58" spans="1:16" ht="15.75" customHeight="1" x14ac:dyDescent="0.3">
      <c r="A58" s="117" t="s">
        <v>58</v>
      </c>
      <c r="B58" s="9" t="s">
        <v>131</v>
      </c>
      <c r="C58" s="9" t="s">
        <v>79</v>
      </c>
      <c r="D58" s="9" t="s">
        <v>134</v>
      </c>
      <c r="E58" s="10">
        <v>28</v>
      </c>
      <c r="F58" s="9" t="s">
        <v>135</v>
      </c>
      <c r="G58" s="10">
        <v>28</v>
      </c>
      <c r="H58" s="9" t="s">
        <v>136</v>
      </c>
      <c r="I58" s="9" t="s">
        <v>137</v>
      </c>
      <c r="J58" s="9"/>
      <c r="K58" s="9"/>
      <c r="L58" s="9" t="s">
        <v>138</v>
      </c>
      <c r="M58" s="12">
        <f t="shared" si="0"/>
        <v>212</v>
      </c>
      <c r="N58" s="13">
        <f t="shared" si="1"/>
        <v>8</v>
      </c>
      <c r="O58" s="14">
        <f t="shared" si="2"/>
        <v>220</v>
      </c>
      <c r="P58" s="15">
        <f t="shared" si="3"/>
        <v>0.26506024096385544</v>
      </c>
    </row>
    <row r="59" spans="1:16" ht="15.75" customHeight="1" x14ac:dyDescent="0.3">
      <c r="A59" s="117" t="s">
        <v>58</v>
      </c>
      <c r="B59" s="9" t="s">
        <v>131</v>
      </c>
      <c r="C59" s="9" t="s">
        <v>79</v>
      </c>
      <c r="D59" s="9" t="s">
        <v>139</v>
      </c>
      <c r="E59" s="10">
        <v>28</v>
      </c>
      <c r="F59" s="9" t="s">
        <v>135</v>
      </c>
      <c r="G59" s="10">
        <v>28</v>
      </c>
      <c r="H59" s="9" t="s">
        <v>136</v>
      </c>
      <c r="I59" s="9" t="s">
        <v>137</v>
      </c>
      <c r="J59" s="9"/>
      <c r="K59" s="9"/>
      <c r="L59" s="9" t="s">
        <v>138</v>
      </c>
      <c r="M59" s="12">
        <f t="shared" si="0"/>
        <v>212</v>
      </c>
      <c r="N59" s="13">
        <f t="shared" si="1"/>
        <v>8</v>
      </c>
      <c r="O59" s="14">
        <f t="shared" si="2"/>
        <v>220</v>
      </c>
      <c r="P59" s="15">
        <f t="shared" si="3"/>
        <v>0.26506024096385544</v>
      </c>
    </row>
    <row r="60" spans="1:16" ht="15.75" customHeight="1" x14ac:dyDescent="0.3">
      <c r="A60" s="117" t="s">
        <v>58</v>
      </c>
      <c r="B60" s="9" t="s">
        <v>131</v>
      </c>
      <c r="C60" s="9" t="s">
        <v>79</v>
      </c>
      <c r="D60" s="9" t="s">
        <v>140</v>
      </c>
      <c r="E60" s="10">
        <v>28</v>
      </c>
      <c r="F60" s="9" t="s">
        <v>135</v>
      </c>
      <c r="G60" s="10">
        <v>28</v>
      </c>
      <c r="H60" s="9" t="s">
        <v>136</v>
      </c>
      <c r="I60" s="9" t="s">
        <v>137</v>
      </c>
      <c r="J60" s="9"/>
      <c r="K60" s="9"/>
      <c r="L60" s="9" t="s">
        <v>138</v>
      </c>
      <c r="M60" s="12">
        <f t="shared" si="0"/>
        <v>212</v>
      </c>
      <c r="N60" s="13">
        <f t="shared" si="1"/>
        <v>8</v>
      </c>
      <c r="O60" s="14">
        <f t="shared" si="2"/>
        <v>220</v>
      </c>
      <c r="P60" s="15">
        <f t="shared" si="3"/>
        <v>0.26506024096385544</v>
      </c>
    </row>
    <row r="61" spans="1:16" ht="15.75" customHeight="1" x14ac:dyDescent="0.3">
      <c r="A61" s="117" t="s">
        <v>58</v>
      </c>
      <c r="B61" s="9" t="s">
        <v>131</v>
      </c>
      <c r="C61" s="9" t="s">
        <v>79</v>
      </c>
      <c r="D61" s="9" t="s">
        <v>141</v>
      </c>
      <c r="E61" s="10">
        <v>28</v>
      </c>
      <c r="F61" s="9" t="s">
        <v>135</v>
      </c>
      <c r="G61" s="10">
        <v>28</v>
      </c>
      <c r="H61" s="9" t="s">
        <v>136</v>
      </c>
      <c r="I61" s="9" t="s">
        <v>137</v>
      </c>
      <c r="J61" s="9"/>
      <c r="K61" s="9"/>
      <c r="L61" s="9" t="s">
        <v>138</v>
      </c>
      <c r="M61" s="12">
        <f t="shared" si="0"/>
        <v>212</v>
      </c>
      <c r="N61" s="13">
        <f t="shared" si="1"/>
        <v>8</v>
      </c>
      <c r="O61" s="14">
        <f t="shared" si="2"/>
        <v>220</v>
      </c>
      <c r="P61" s="15">
        <f t="shared" si="3"/>
        <v>0.26506024096385544</v>
      </c>
    </row>
    <row r="62" spans="1:16" ht="15.75" customHeight="1" x14ac:dyDescent="0.3">
      <c r="A62" s="117" t="s">
        <v>58</v>
      </c>
      <c r="B62" s="9" t="s">
        <v>131</v>
      </c>
      <c r="C62" s="9" t="s">
        <v>79</v>
      </c>
      <c r="D62" s="9" t="s">
        <v>132</v>
      </c>
      <c r="E62" s="10">
        <v>28</v>
      </c>
      <c r="F62" s="9" t="s">
        <v>133</v>
      </c>
      <c r="G62" s="10">
        <v>28</v>
      </c>
      <c r="H62" s="9" t="s">
        <v>136</v>
      </c>
      <c r="I62" s="9" t="s">
        <v>137</v>
      </c>
      <c r="J62" s="9"/>
      <c r="K62" s="9"/>
      <c r="L62" s="9"/>
      <c r="M62" s="12">
        <f t="shared" si="0"/>
        <v>212</v>
      </c>
      <c r="N62" s="13">
        <f t="shared" si="1"/>
        <v>8</v>
      </c>
      <c r="O62" s="14">
        <f t="shared" si="2"/>
        <v>220</v>
      </c>
      <c r="P62" s="15">
        <f t="shared" si="3"/>
        <v>0.26506024096385544</v>
      </c>
    </row>
    <row r="63" spans="1:16" ht="15.75" customHeight="1" x14ac:dyDescent="0.3">
      <c r="A63" s="117" t="s">
        <v>58</v>
      </c>
      <c r="B63" s="9" t="s">
        <v>131</v>
      </c>
      <c r="C63" s="9" t="s">
        <v>142</v>
      </c>
      <c r="D63" s="9" t="s">
        <v>134</v>
      </c>
      <c r="E63" s="10">
        <v>2</v>
      </c>
      <c r="F63" s="9" t="s">
        <v>135</v>
      </c>
      <c r="G63" s="11">
        <v>0</v>
      </c>
      <c r="H63" s="9" t="s">
        <v>108</v>
      </c>
      <c r="I63" s="9" t="s">
        <v>109</v>
      </c>
      <c r="J63" s="9"/>
      <c r="K63" s="9"/>
      <c r="L63" s="9" t="s">
        <v>110</v>
      </c>
      <c r="M63" s="12">
        <f t="shared" si="0"/>
        <v>284</v>
      </c>
      <c r="N63" s="13">
        <f t="shared" si="1"/>
        <v>193</v>
      </c>
      <c r="O63" s="14">
        <f t="shared" si="2"/>
        <v>477</v>
      </c>
      <c r="P63" s="15">
        <f t="shared" si="3"/>
        <v>0.57469879518072287</v>
      </c>
    </row>
    <row r="64" spans="1:16" ht="15.75" customHeight="1" x14ac:dyDescent="0.3">
      <c r="A64" s="117" t="s">
        <v>58</v>
      </c>
      <c r="B64" s="9" t="s">
        <v>131</v>
      </c>
      <c r="C64" s="9" t="s">
        <v>142</v>
      </c>
      <c r="D64" s="9" t="s">
        <v>139</v>
      </c>
      <c r="E64" s="10">
        <v>2</v>
      </c>
      <c r="F64" s="9" t="s">
        <v>135</v>
      </c>
      <c r="G64" s="11">
        <v>0</v>
      </c>
      <c r="H64" s="9" t="s">
        <v>108</v>
      </c>
      <c r="I64" s="9" t="s">
        <v>109</v>
      </c>
      <c r="J64" s="9"/>
      <c r="K64" s="9"/>
      <c r="L64" s="9" t="s">
        <v>110</v>
      </c>
      <c r="M64" s="12">
        <f t="shared" si="0"/>
        <v>284</v>
      </c>
      <c r="N64" s="13">
        <f t="shared" si="1"/>
        <v>193</v>
      </c>
      <c r="O64" s="14">
        <f t="shared" si="2"/>
        <v>477</v>
      </c>
      <c r="P64" s="15">
        <f t="shared" si="3"/>
        <v>0.57469879518072287</v>
      </c>
    </row>
    <row r="65" spans="1:16" ht="15.75" customHeight="1" x14ac:dyDescent="0.3">
      <c r="A65" s="117" t="s">
        <v>58</v>
      </c>
      <c r="B65" s="9" t="s">
        <v>131</v>
      </c>
      <c r="C65" s="9" t="s">
        <v>142</v>
      </c>
      <c r="D65" s="9" t="s">
        <v>140</v>
      </c>
      <c r="E65" s="10">
        <v>2</v>
      </c>
      <c r="F65" s="9" t="s">
        <v>135</v>
      </c>
      <c r="G65" s="11">
        <v>0</v>
      </c>
      <c r="H65" s="9" t="s">
        <v>108</v>
      </c>
      <c r="I65" s="9" t="s">
        <v>109</v>
      </c>
      <c r="J65" s="9"/>
      <c r="K65" s="9"/>
      <c r="L65" s="9" t="s">
        <v>110</v>
      </c>
      <c r="M65" s="12">
        <f t="shared" si="0"/>
        <v>284</v>
      </c>
      <c r="N65" s="13">
        <f t="shared" si="1"/>
        <v>193</v>
      </c>
      <c r="O65" s="14">
        <f t="shared" si="2"/>
        <v>477</v>
      </c>
      <c r="P65" s="15">
        <f t="shared" si="3"/>
        <v>0.57469879518072287</v>
      </c>
    </row>
    <row r="66" spans="1:16" ht="15.75" customHeight="1" x14ac:dyDescent="0.3">
      <c r="A66" s="117" t="s">
        <v>58</v>
      </c>
      <c r="B66" s="9" t="s">
        <v>131</v>
      </c>
      <c r="C66" s="9" t="s">
        <v>142</v>
      </c>
      <c r="D66" s="9" t="s">
        <v>141</v>
      </c>
      <c r="E66" s="10">
        <v>2</v>
      </c>
      <c r="F66" s="9" t="s">
        <v>135</v>
      </c>
      <c r="G66" s="11">
        <v>0</v>
      </c>
      <c r="H66" s="9" t="s">
        <v>108</v>
      </c>
      <c r="I66" s="9" t="s">
        <v>109</v>
      </c>
      <c r="J66" s="9"/>
      <c r="K66" s="9"/>
      <c r="L66" s="9" t="s">
        <v>110</v>
      </c>
      <c r="M66" s="12">
        <f t="shared" ref="M66:M129" si="4">SUMIFS($E$2:$E$1130,$A$2:$A$1130,"осень",$I$2:$I$1130,I66)</f>
        <v>284</v>
      </c>
      <c r="N66" s="13">
        <f t="shared" ref="N66:N129" si="5">SUMIFS($E$2:$E$1130,$A$2:$A$1130,"весна",$I$2:$I$1130,I66)</f>
        <v>193</v>
      </c>
      <c r="O66" s="14">
        <f t="shared" ref="O66:O129" si="6">M66+N66</f>
        <v>477</v>
      </c>
      <c r="P66" s="15">
        <f t="shared" ref="P66:P129" si="7">O66/$P$1</f>
        <v>0.57469879518072287</v>
      </c>
    </row>
    <row r="67" spans="1:16" ht="15.75" customHeight="1" x14ac:dyDescent="0.3">
      <c r="A67" s="117" t="s">
        <v>58</v>
      </c>
      <c r="B67" s="9" t="s">
        <v>131</v>
      </c>
      <c r="C67" s="9" t="s">
        <v>142</v>
      </c>
      <c r="D67" s="9" t="s">
        <v>132</v>
      </c>
      <c r="E67" s="10">
        <v>2</v>
      </c>
      <c r="F67" s="9" t="s">
        <v>133</v>
      </c>
      <c r="G67" s="11">
        <v>0</v>
      </c>
      <c r="H67" s="9" t="s">
        <v>108</v>
      </c>
      <c r="I67" s="9" t="s">
        <v>109</v>
      </c>
      <c r="J67" s="9"/>
      <c r="K67" s="9"/>
      <c r="L67" s="9"/>
      <c r="M67" s="12">
        <f t="shared" si="4"/>
        <v>284</v>
      </c>
      <c r="N67" s="13">
        <f t="shared" si="5"/>
        <v>193</v>
      </c>
      <c r="O67" s="14">
        <f t="shared" si="6"/>
        <v>477</v>
      </c>
      <c r="P67" s="15">
        <f t="shared" si="7"/>
        <v>0.57469879518072287</v>
      </c>
    </row>
    <row r="68" spans="1:16" ht="15.75" customHeight="1" x14ac:dyDescent="0.3">
      <c r="A68" s="117" t="s">
        <v>58</v>
      </c>
      <c r="B68" s="9" t="s">
        <v>131</v>
      </c>
      <c r="C68" s="9" t="s">
        <v>80</v>
      </c>
      <c r="D68" s="9" t="s">
        <v>134</v>
      </c>
      <c r="E68" s="10">
        <v>1</v>
      </c>
      <c r="F68" s="9" t="s">
        <v>135</v>
      </c>
      <c r="G68" s="11">
        <v>0</v>
      </c>
      <c r="H68" s="9" t="s">
        <v>136</v>
      </c>
      <c r="I68" s="9" t="s">
        <v>137</v>
      </c>
      <c r="J68" s="9"/>
      <c r="K68" s="9"/>
      <c r="L68" s="9" t="s">
        <v>138</v>
      </c>
      <c r="M68" s="12">
        <f t="shared" si="4"/>
        <v>212</v>
      </c>
      <c r="N68" s="13">
        <f t="shared" si="5"/>
        <v>8</v>
      </c>
      <c r="O68" s="14">
        <f t="shared" si="6"/>
        <v>220</v>
      </c>
      <c r="P68" s="15">
        <f t="shared" si="7"/>
        <v>0.26506024096385544</v>
      </c>
    </row>
    <row r="69" spans="1:16" ht="15.75" customHeight="1" x14ac:dyDescent="0.3">
      <c r="A69" s="117" t="s">
        <v>58</v>
      </c>
      <c r="B69" s="9" t="s">
        <v>131</v>
      </c>
      <c r="C69" s="9" t="s">
        <v>80</v>
      </c>
      <c r="D69" s="9" t="s">
        <v>139</v>
      </c>
      <c r="E69" s="10">
        <v>1</v>
      </c>
      <c r="F69" s="9" t="s">
        <v>135</v>
      </c>
      <c r="G69" s="11">
        <v>0</v>
      </c>
      <c r="H69" s="9" t="s">
        <v>136</v>
      </c>
      <c r="I69" s="9" t="s">
        <v>137</v>
      </c>
      <c r="J69" s="9"/>
      <c r="K69" s="9"/>
      <c r="L69" s="9" t="s">
        <v>138</v>
      </c>
      <c r="M69" s="12">
        <f t="shared" si="4"/>
        <v>212</v>
      </c>
      <c r="N69" s="13">
        <f t="shared" si="5"/>
        <v>8</v>
      </c>
      <c r="O69" s="14">
        <f t="shared" si="6"/>
        <v>220</v>
      </c>
      <c r="P69" s="15">
        <f t="shared" si="7"/>
        <v>0.26506024096385544</v>
      </c>
    </row>
    <row r="70" spans="1:16" ht="15.75" customHeight="1" x14ac:dyDescent="0.3">
      <c r="A70" s="117" t="s">
        <v>58</v>
      </c>
      <c r="B70" s="9" t="s">
        <v>131</v>
      </c>
      <c r="C70" s="9" t="s">
        <v>80</v>
      </c>
      <c r="D70" s="9" t="s">
        <v>140</v>
      </c>
      <c r="E70" s="10">
        <v>1</v>
      </c>
      <c r="F70" s="9" t="s">
        <v>135</v>
      </c>
      <c r="G70" s="11">
        <v>0</v>
      </c>
      <c r="H70" s="9" t="s">
        <v>136</v>
      </c>
      <c r="I70" s="9" t="s">
        <v>137</v>
      </c>
      <c r="J70" s="9"/>
      <c r="K70" s="9"/>
      <c r="L70" s="9" t="s">
        <v>138</v>
      </c>
      <c r="M70" s="12">
        <f t="shared" si="4"/>
        <v>212</v>
      </c>
      <c r="N70" s="13">
        <f t="shared" si="5"/>
        <v>8</v>
      </c>
      <c r="O70" s="14">
        <f t="shared" si="6"/>
        <v>220</v>
      </c>
      <c r="P70" s="15">
        <f t="shared" si="7"/>
        <v>0.26506024096385544</v>
      </c>
    </row>
    <row r="71" spans="1:16" ht="15.75" customHeight="1" x14ac:dyDescent="0.3">
      <c r="A71" s="117" t="s">
        <v>58</v>
      </c>
      <c r="B71" s="9" t="s">
        <v>131</v>
      </c>
      <c r="C71" s="9" t="s">
        <v>80</v>
      </c>
      <c r="D71" s="9" t="s">
        <v>141</v>
      </c>
      <c r="E71" s="10">
        <v>1</v>
      </c>
      <c r="F71" s="9" t="s">
        <v>135</v>
      </c>
      <c r="G71" s="11">
        <v>0</v>
      </c>
      <c r="H71" s="9" t="s">
        <v>136</v>
      </c>
      <c r="I71" s="9" t="s">
        <v>137</v>
      </c>
      <c r="J71" s="9"/>
      <c r="K71" s="9"/>
      <c r="L71" s="9" t="s">
        <v>138</v>
      </c>
      <c r="M71" s="12">
        <f t="shared" si="4"/>
        <v>212</v>
      </c>
      <c r="N71" s="13">
        <f t="shared" si="5"/>
        <v>8</v>
      </c>
      <c r="O71" s="14">
        <f t="shared" si="6"/>
        <v>220</v>
      </c>
      <c r="P71" s="15">
        <f t="shared" si="7"/>
        <v>0.26506024096385544</v>
      </c>
    </row>
    <row r="72" spans="1:16" ht="15.75" customHeight="1" x14ac:dyDescent="0.3">
      <c r="A72" s="117" t="s">
        <v>58</v>
      </c>
      <c r="B72" s="9" t="s">
        <v>131</v>
      </c>
      <c r="C72" s="9" t="s">
        <v>80</v>
      </c>
      <c r="D72" s="9" t="s">
        <v>132</v>
      </c>
      <c r="E72" s="10">
        <v>1</v>
      </c>
      <c r="F72" s="9" t="s">
        <v>133</v>
      </c>
      <c r="G72" s="11">
        <v>0</v>
      </c>
      <c r="H72" s="9" t="s">
        <v>136</v>
      </c>
      <c r="I72" s="9" t="s">
        <v>137</v>
      </c>
      <c r="J72" s="9"/>
      <c r="K72" s="9"/>
      <c r="L72" s="9"/>
      <c r="M72" s="12">
        <f t="shared" si="4"/>
        <v>212</v>
      </c>
      <c r="N72" s="13">
        <f t="shared" si="5"/>
        <v>8</v>
      </c>
      <c r="O72" s="14">
        <f t="shared" si="6"/>
        <v>220</v>
      </c>
      <c r="P72" s="15">
        <f t="shared" si="7"/>
        <v>0.26506024096385544</v>
      </c>
    </row>
    <row r="73" spans="1:16" ht="15.75" customHeight="1" x14ac:dyDescent="0.3">
      <c r="A73" s="117" t="s">
        <v>58</v>
      </c>
      <c r="B73" s="9" t="s">
        <v>143</v>
      </c>
      <c r="C73" s="9" t="s">
        <v>73</v>
      </c>
      <c r="D73" s="9" t="s">
        <v>144</v>
      </c>
      <c r="E73" s="10">
        <v>8</v>
      </c>
      <c r="F73" s="9" t="s">
        <v>145</v>
      </c>
      <c r="G73" s="10">
        <v>8</v>
      </c>
      <c r="H73" s="9" t="s">
        <v>146</v>
      </c>
      <c r="I73" s="9" t="s">
        <v>147</v>
      </c>
      <c r="J73" s="9"/>
      <c r="K73" s="9"/>
      <c r="L73" s="9" t="s">
        <v>148</v>
      </c>
      <c r="M73" s="12">
        <f t="shared" si="4"/>
        <v>279</v>
      </c>
      <c r="N73" s="13">
        <f t="shared" si="5"/>
        <v>475.5</v>
      </c>
      <c r="O73" s="14">
        <f t="shared" si="6"/>
        <v>754.5</v>
      </c>
      <c r="P73" s="15">
        <f t="shared" si="7"/>
        <v>0.90903614457831328</v>
      </c>
    </row>
    <row r="74" spans="1:16" ht="15.75" customHeight="1" x14ac:dyDescent="0.3">
      <c r="A74" s="117" t="s">
        <v>58</v>
      </c>
      <c r="B74" s="9" t="s">
        <v>143</v>
      </c>
      <c r="C74" s="9" t="s">
        <v>123</v>
      </c>
      <c r="D74" s="9" t="s">
        <v>144</v>
      </c>
      <c r="E74" s="10">
        <v>27</v>
      </c>
      <c r="F74" s="9" t="s">
        <v>145</v>
      </c>
      <c r="G74" s="11">
        <v>0</v>
      </c>
      <c r="H74" s="9" t="s">
        <v>146</v>
      </c>
      <c r="I74" s="9" t="s">
        <v>147</v>
      </c>
      <c r="J74" s="9"/>
      <c r="K74" s="9"/>
      <c r="L74" s="9" t="s">
        <v>148</v>
      </c>
      <c r="M74" s="12">
        <f t="shared" si="4"/>
        <v>279</v>
      </c>
      <c r="N74" s="13">
        <f t="shared" si="5"/>
        <v>475.5</v>
      </c>
      <c r="O74" s="14">
        <f t="shared" si="6"/>
        <v>754.5</v>
      </c>
      <c r="P74" s="15">
        <f t="shared" si="7"/>
        <v>0.90903614457831328</v>
      </c>
    </row>
    <row r="75" spans="1:16" ht="15.75" customHeight="1" x14ac:dyDescent="0.3">
      <c r="A75" s="117" t="s">
        <v>58</v>
      </c>
      <c r="B75" s="9" t="s">
        <v>143</v>
      </c>
      <c r="C75" s="9" t="s">
        <v>79</v>
      </c>
      <c r="D75" s="9" t="s">
        <v>144</v>
      </c>
      <c r="E75" s="10">
        <v>36</v>
      </c>
      <c r="F75" s="9" t="s">
        <v>145</v>
      </c>
      <c r="G75" s="10">
        <v>36</v>
      </c>
      <c r="H75" s="9" t="s">
        <v>146</v>
      </c>
      <c r="I75" s="9" t="s">
        <v>147</v>
      </c>
      <c r="J75" s="9"/>
      <c r="K75" s="9"/>
      <c r="L75" s="9" t="s">
        <v>148</v>
      </c>
      <c r="M75" s="12">
        <f t="shared" si="4"/>
        <v>279</v>
      </c>
      <c r="N75" s="13">
        <f t="shared" si="5"/>
        <v>475.5</v>
      </c>
      <c r="O75" s="14">
        <f t="shared" si="6"/>
        <v>754.5</v>
      </c>
      <c r="P75" s="15">
        <f t="shared" si="7"/>
        <v>0.90903614457831328</v>
      </c>
    </row>
    <row r="76" spans="1:16" ht="15.75" customHeight="1" x14ac:dyDescent="0.3">
      <c r="A76" s="117" t="s">
        <v>58</v>
      </c>
      <c r="B76" s="9" t="s">
        <v>143</v>
      </c>
      <c r="C76" s="9" t="s">
        <v>111</v>
      </c>
      <c r="D76" s="9" t="s">
        <v>144</v>
      </c>
      <c r="E76" s="10">
        <v>5</v>
      </c>
      <c r="F76" s="9" t="s">
        <v>145</v>
      </c>
      <c r="G76" s="11">
        <v>0</v>
      </c>
      <c r="H76" s="9" t="s">
        <v>146</v>
      </c>
      <c r="I76" s="9" t="s">
        <v>147</v>
      </c>
      <c r="J76" s="9"/>
      <c r="K76" s="9"/>
      <c r="L76" s="9" t="s">
        <v>148</v>
      </c>
      <c r="M76" s="12">
        <f t="shared" si="4"/>
        <v>279</v>
      </c>
      <c r="N76" s="13">
        <f t="shared" si="5"/>
        <v>475.5</v>
      </c>
      <c r="O76" s="14">
        <f t="shared" si="6"/>
        <v>754.5</v>
      </c>
      <c r="P76" s="15">
        <f t="shared" si="7"/>
        <v>0.90903614457831328</v>
      </c>
    </row>
    <row r="77" spans="1:16" ht="15.75" customHeight="1" x14ac:dyDescent="0.3">
      <c r="A77" s="117" t="s">
        <v>58</v>
      </c>
      <c r="B77" s="9" t="s">
        <v>143</v>
      </c>
      <c r="C77" s="9" t="s">
        <v>80</v>
      </c>
      <c r="D77" s="9" t="s">
        <v>144</v>
      </c>
      <c r="E77" s="10">
        <v>2</v>
      </c>
      <c r="F77" s="9" t="s">
        <v>145</v>
      </c>
      <c r="G77" s="11">
        <v>0</v>
      </c>
      <c r="H77" s="9" t="s">
        <v>146</v>
      </c>
      <c r="I77" s="9" t="s">
        <v>147</v>
      </c>
      <c r="J77" s="9"/>
      <c r="K77" s="9"/>
      <c r="L77" s="9" t="s">
        <v>148</v>
      </c>
      <c r="M77" s="12">
        <f t="shared" si="4"/>
        <v>279</v>
      </c>
      <c r="N77" s="13">
        <f t="shared" si="5"/>
        <v>475.5</v>
      </c>
      <c r="O77" s="14">
        <f t="shared" si="6"/>
        <v>754.5</v>
      </c>
      <c r="P77" s="15">
        <f t="shared" si="7"/>
        <v>0.90903614457831328</v>
      </c>
    </row>
    <row r="78" spans="1:16" ht="15.75" customHeight="1" x14ac:dyDescent="0.3">
      <c r="A78" s="117" t="s">
        <v>58</v>
      </c>
      <c r="B78" s="9" t="s">
        <v>149</v>
      </c>
      <c r="C78" s="9" t="s">
        <v>73</v>
      </c>
      <c r="D78" s="9" t="s">
        <v>141</v>
      </c>
      <c r="E78" s="10">
        <v>8</v>
      </c>
      <c r="F78" s="9" t="s">
        <v>145</v>
      </c>
      <c r="G78" s="10">
        <v>8</v>
      </c>
      <c r="H78" s="9" t="s">
        <v>94</v>
      </c>
      <c r="I78" s="9" t="s">
        <v>95</v>
      </c>
      <c r="J78" s="9"/>
      <c r="K78" s="9"/>
      <c r="L78" s="9"/>
      <c r="M78" s="12">
        <f t="shared" si="4"/>
        <v>283</v>
      </c>
      <c r="N78" s="13">
        <f t="shared" si="5"/>
        <v>440</v>
      </c>
      <c r="O78" s="14">
        <f t="shared" si="6"/>
        <v>723</v>
      </c>
      <c r="P78" s="15">
        <f t="shared" si="7"/>
        <v>0.87108433734939761</v>
      </c>
    </row>
    <row r="79" spans="1:16" ht="15.75" customHeight="1" x14ac:dyDescent="0.3">
      <c r="A79" s="117" t="s">
        <v>58</v>
      </c>
      <c r="B79" s="9" t="s">
        <v>149</v>
      </c>
      <c r="C79" s="9" t="s">
        <v>123</v>
      </c>
      <c r="D79" s="9" t="s">
        <v>141</v>
      </c>
      <c r="E79" s="10">
        <v>18</v>
      </c>
      <c r="F79" s="9" t="s">
        <v>145</v>
      </c>
      <c r="G79" s="11">
        <v>0</v>
      </c>
      <c r="H79" s="9" t="s">
        <v>94</v>
      </c>
      <c r="I79" s="9" t="s">
        <v>95</v>
      </c>
      <c r="J79" s="9"/>
      <c r="K79" s="9"/>
      <c r="L79" s="9"/>
      <c r="M79" s="12">
        <f t="shared" si="4"/>
        <v>283</v>
      </c>
      <c r="N79" s="13">
        <f t="shared" si="5"/>
        <v>440</v>
      </c>
      <c r="O79" s="14">
        <f t="shared" si="6"/>
        <v>723</v>
      </c>
      <c r="P79" s="15">
        <f t="shared" si="7"/>
        <v>0.87108433734939761</v>
      </c>
    </row>
    <row r="80" spans="1:16" ht="15.75" customHeight="1" x14ac:dyDescent="0.3">
      <c r="A80" s="117" t="s">
        <v>58</v>
      </c>
      <c r="B80" s="9" t="s">
        <v>149</v>
      </c>
      <c r="C80" s="9" t="s">
        <v>87</v>
      </c>
      <c r="D80" s="9" t="s">
        <v>141</v>
      </c>
      <c r="E80" s="10">
        <v>2</v>
      </c>
      <c r="F80" s="9" t="s">
        <v>145</v>
      </c>
      <c r="G80" s="11">
        <v>0</v>
      </c>
      <c r="H80" s="9" t="s">
        <v>94</v>
      </c>
      <c r="I80" s="9" t="s">
        <v>95</v>
      </c>
      <c r="J80" s="9"/>
      <c r="K80" s="9"/>
      <c r="L80" s="9"/>
      <c r="M80" s="12">
        <f t="shared" si="4"/>
        <v>283</v>
      </c>
      <c r="N80" s="13">
        <f t="shared" si="5"/>
        <v>440</v>
      </c>
      <c r="O80" s="14">
        <f t="shared" si="6"/>
        <v>723</v>
      </c>
      <c r="P80" s="15">
        <f t="shared" si="7"/>
        <v>0.87108433734939761</v>
      </c>
    </row>
    <row r="81" spans="1:16" ht="15.75" customHeight="1" x14ac:dyDescent="0.3">
      <c r="A81" s="117" t="s">
        <v>58</v>
      </c>
      <c r="B81" s="9" t="s">
        <v>149</v>
      </c>
      <c r="C81" s="9" t="s">
        <v>79</v>
      </c>
      <c r="D81" s="9" t="s">
        <v>141</v>
      </c>
      <c r="E81" s="10">
        <v>36</v>
      </c>
      <c r="F81" s="9" t="s">
        <v>145</v>
      </c>
      <c r="G81" s="10">
        <v>36</v>
      </c>
      <c r="H81" s="9" t="s">
        <v>94</v>
      </c>
      <c r="I81" s="9" t="s">
        <v>95</v>
      </c>
      <c r="J81" s="9"/>
      <c r="K81" s="9"/>
      <c r="L81" s="9"/>
      <c r="M81" s="12">
        <f t="shared" si="4"/>
        <v>283</v>
      </c>
      <c r="N81" s="13">
        <f t="shared" si="5"/>
        <v>440</v>
      </c>
      <c r="O81" s="14">
        <f t="shared" si="6"/>
        <v>723</v>
      </c>
      <c r="P81" s="15">
        <f t="shared" si="7"/>
        <v>0.87108433734939761</v>
      </c>
    </row>
    <row r="82" spans="1:16" ht="15.75" customHeight="1" x14ac:dyDescent="0.3">
      <c r="A82" s="117" t="s">
        <v>58</v>
      </c>
      <c r="B82" s="9" t="s">
        <v>150</v>
      </c>
      <c r="C82" s="9" t="s">
        <v>73</v>
      </c>
      <c r="D82" s="9" t="s">
        <v>144</v>
      </c>
      <c r="E82" s="10">
        <v>12</v>
      </c>
      <c r="F82" s="9" t="s">
        <v>145</v>
      </c>
      <c r="G82" s="10">
        <v>12</v>
      </c>
      <c r="H82" s="9" t="s">
        <v>76</v>
      </c>
      <c r="I82" s="9" t="s">
        <v>77</v>
      </c>
      <c r="J82" s="9"/>
      <c r="K82" s="9"/>
      <c r="L82" s="9"/>
      <c r="M82" s="12">
        <f t="shared" si="4"/>
        <v>249</v>
      </c>
      <c r="N82" s="13">
        <f t="shared" si="5"/>
        <v>294</v>
      </c>
      <c r="O82" s="14">
        <f t="shared" si="6"/>
        <v>543</v>
      </c>
      <c r="P82" s="15">
        <f t="shared" si="7"/>
        <v>0.6542168674698795</v>
      </c>
    </row>
    <row r="83" spans="1:16" ht="15.75" customHeight="1" x14ac:dyDescent="0.3">
      <c r="A83" s="117" t="s">
        <v>58</v>
      </c>
      <c r="B83" s="9" t="s">
        <v>150</v>
      </c>
      <c r="C83" s="9" t="s">
        <v>87</v>
      </c>
      <c r="D83" s="9" t="s">
        <v>144</v>
      </c>
      <c r="E83" s="10">
        <v>3</v>
      </c>
      <c r="F83" s="9" t="s">
        <v>145</v>
      </c>
      <c r="G83" s="11">
        <v>0</v>
      </c>
      <c r="H83" s="9" t="s">
        <v>76</v>
      </c>
      <c r="I83" s="9" t="s">
        <v>77</v>
      </c>
      <c r="J83" s="9"/>
      <c r="K83" s="9"/>
      <c r="L83" s="9"/>
      <c r="M83" s="12">
        <f t="shared" si="4"/>
        <v>249</v>
      </c>
      <c r="N83" s="13">
        <f t="shared" si="5"/>
        <v>294</v>
      </c>
      <c r="O83" s="14">
        <f t="shared" si="6"/>
        <v>543</v>
      </c>
      <c r="P83" s="15">
        <f t="shared" si="7"/>
        <v>0.6542168674698795</v>
      </c>
    </row>
    <row r="84" spans="1:16" ht="15.75" customHeight="1" x14ac:dyDescent="0.3">
      <c r="A84" s="117" t="s">
        <v>58</v>
      </c>
      <c r="B84" s="9" t="s">
        <v>150</v>
      </c>
      <c r="C84" s="9" t="s">
        <v>79</v>
      </c>
      <c r="D84" s="9" t="s">
        <v>144</v>
      </c>
      <c r="E84" s="10">
        <v>40</v>
      </c>
      <c r="F84" s="9" t="s">
        <v>145</v>
      </c>
      <c r="G84" s="10">
        <v>40</v>
      </c>
      <c r="H84" s="9" t="s">
        <v>76</v>
      </c>
      <c r="I84" s="9" t="s">
        <v>77</v>
      </c>
      <c r="J84" s="9"/>
      <c r="K84" s="9"/>
      <c r="L84" s="9"/>
      <c r="M84" s="12">
        <f t="shared" si="4"/>
        <v>249</v>
      </c>
      <c r="N84" s="13">
        <f t="shared" si="5"/>
        <v>294</v>
      </c>
      <c r="O84" s="14">
        <f t="shared" si="6"/>
        <v>543</v>
      </c>
      <c r="P84" s="15">
        <f t="shared" si="7"/>
        <v>0.6542168674698795</v>
      </c>
    </row>
    <row r="85" spans="1:16" ht="15.75" customHeight="1" x14ac:dyDescent="0.3">
      <c r="A85" s="117" t="s">
        <v>58</v>
      </c>
      <c r="B85" s="9" t="s">
        <v>150</v>
      </c>
      <c r="C85" s="9" t="s">
        <v>80</v>
      </c>
      <c r="D85" s="9" t="s">
        <v>144</v>
      </c>
      <c r="E85" s="10">
        <v>1</v>
      </c>
      <c r="F85" s="9" t="s">
        <v>145</v>
      </c>
      <c r="G85" s="11">
        <v>0</v>
      </c>
      <c r="H85" s="9" t="s">
        <v>76</v>
      </c>
      <c r="I85" s="9" t="s">
        <v>77</v>
      </c>
      <c r="J85" s="9"/>
      <c r="K85" s="9"/>
      <c r="L85" s="9"/>
      <c r="M85" s="12">
        <f t="shared" si="4"/>
        <v>249</v>
      </c>
      <c r="N85" s="13">
        <f t="shared" si="5"/>
        <v>294</v>
      </c>
      <c r="O85" s="14">
        <f t="shared" si="6"/>
        <v>543</v>
      </c>
      <c r="P85" s="15">
        <f t="shared" si="7"/>
        <v>0.6542168674698795</v>
      </c>
    </row>
    <row r="86" spans="1:16" ht="15.75" customHeight="1" x14ac:dyDescent="0.3">
      <c r="A86" s="117" t="s">
        <v>58</v>
      </c>
      <c r="B86" s="9" t="s">
        <v>151</v>
      </c>
      <c r="C86" s="9" t="s">
        <v>73</v>
      </c>
      <c r="D86" s="9" t="s">
        <v>152</v>
      </c>
      <c r="E86" s="10">
        <v>16</v>
      </c>
      <c r="F86" s="9" t="s">
        <v>153</v>
      </c>
      <c r="G86" s="10">
        <v>16</v>
      </c>
      <c r="H86" s="9" t="s">
        <v>154</v>
      </c>
      <c r="I86" s="9" t="s">
        <v>155</v>
      </c>
      <c r="J86" s="9"/>
      <c r="K86" s="9"/>
      <c r="L86" s="9" t="s">
        <v>156</v>
      </c>
      <c r="M86" s="12">
        <f t="shared" si="4"/>
        <v>370</v>
      </c>
      <c r="N86" s="13">
        <f t="shared" si="5"/>
        <v>124.5</v>
      </c>
      <c r="O86" s="14">
        <f t="shared" si="6"/>
        <v>494.5</v>
      </c>
      <c r="P86" s="15">
        <f t="shared" si="7"/>
        <v>0.5957831325301205</v>
      </c>
    </row>
    <row r="87" spans="1:16" ht="15.75" customHeight="1" x14ac:dyDescent="0.3">
      <c r="A87" s="117" t="s">
        <v>58</v>
      </c>
      <c r="B87" s="9" t="s">
        <v>151</v>
      </c>
      <c r="C87" s="9" t="s">
        <v>79</v>
      </c>
      <c r="D87" s="9" t="s">
        <v>152</v>
      </c>
      <c r="E87" s="10">
        <v>36</v>
      </c>
      <c r="F87" s="9" t="s">
        <v>153</v>
      </c>
      <c r="G87" s="10">
        <v>36</v>
      </c>
      <c r="H87" s="9" t="s">
        <v>154</v>
      </c>
      <c r="I87" s="9" t="s">
        <v>155</v>
      </c>
      <c r="J87" s="9"/>
      <c r="K87" s="9"/>
      <c r="L87" s="9" t="s">
        <v>156</v>
      </c>
      <c r="M87" s="12">
        <f t="shared" si="4"/>
        <v>370</v>
      </c>
      <c r="N87" s="13">
        <f t="shared" si="5"/>
        <v>124.5</v>
      </c>
      <c r="O87" s="14">
        <f t="shared" si="6"/>
        <v>494.5</v>
      </c>
      <c r="P87" s="15">
        <f t="shared" si="7"/>
        <v>0.5957831325301205</v>
      </c>
    </row>
    <row r="88" spans="1:16" ht="15.75" customHeight="1" x14ac:dyDescent="0.3">
      <c r="A88" s="117" t="s">
        <v>58</v>
      </c>
      <c r="B88" s="9" t="s">
        <v>151</v>
      </c>
      <c r="C88" s="9" t="s">
        <v>142</v>
      </c>
      <c r="D88" s="9" t="s">
        <v>152</v>
      </c>
      <c r="E88" s="10">
        <v>2</v>
      </c>
      <c r="F88" s="9" t="s">
        <v>153</v>
      </c>
      <c r="G88" s="11">
        <v>0</v>
      </c>
      <c r="H88" s="9" t="s">
        <v>154</v>
      </c>
      <c r="I88" s="9" t="s">
        <v>155</v>
      </c>
      <c r="J88" s="9"/>
      <c r="K88" s="9"/>
      <c r="L88" s="9" t="s">
        <v>156</v>
      </c>
      <c r="M88" s="12">
        <f t="shared" si="4"/>
        <v>370</v>
      </c>
      <c r="N88" s="13">
        <f t="shared" si="5"/>
        <v>124.5</v>
      </c>
      <c r="O88" s="14">
        <f t="shared" si="6"/>
        <v>494.5</v>
      </c>
      <c r="P88" s="15">
        <f t="shared" si="7"/>
        <v>0.5957831325301205</v>
      </c>
    </row>
    <row r="89" spans="1:16" ht="15.75" customHeight="1" x14ac:dyDescent="0.3">
      <c r="A89" s="117" t="s">
        <v>58</v>
      </c>
      <c r="B89" s="9" t="s">
        <v>151</v>
      </c>
      <c r="C89" s="9" t="s">
        <v>80</v>
      </c>
      <c r="D89" s="9" t="s">
        <v>152</v>
      </c>
      <c r="E89" s="10">
        <v>1</v>
      </c>
      <c r="F89" s="9" t="s">
        <v>153</v>
      </c>
      <c r="G89" s="11">
        <v>0</v>
      </c>
      <c r="H89" s="9" t="s">
        <v>154</v>
      </c>
      <c r="I89" s="9" t="s">
        <v>155</v>
      </c>
      <c r="J89" s="9"/>
      <c r="K89" s="9"/>
      <c r="L89" s="9" t="s">
        <v>156</v>
      </c>
      <c r="M89" s="12">
        <f t="shared" si="4"/>
        <v>370</v>
      </c>
      <c r="N89" s="13">
        <f t="shared" si="5"/>
        <v>124.5</v>
      </c>
      <c r="O89" s="14">
        <f t="shared" si="6"/>
        <v>494.5</v>
      </c>
      <c r="P89" s="15">
        <f t="shared" si="7"/>
        <v>0.5957831325301205</v>
      </c>
    </row>
    <row r="90" spans="1:16" ht="15.75" customHeight="1" x14ac:dyDescent="0.3">
      <c r="A90" s="117" t="s">
        <v>58</v>
      </c>
      <c r="B90" s="9" t="s">
        <v>157</v>
      </c>
      <c r="C90" s="9" t="s">
        <v>73</v>
      </c>
      <c r="D90" s="9" t="s">
        <v>140</v>
      </c>
      <c r="E90" s="10">
        <v>12</v>
      </c>
      <c r="F90" s="9" t="s">
        <v>153</v>
      </c>
      <c r="G90" s="10">
        <v>12</v>
      </c>
      <c r="H90" s="9" t="s">
        <v>154</v>
      </c>
      <c r="I90" s="9" t="s">
        <v>155</v>
      </c>
      <c r="J90" s="9"/>
      <c r="K90" s="9"/>
      <c r="L90" s="9" t="s">
        <v>158</v>
      </c>
      <c r="M90" s="12">
        <f t="shared" si="4"/>
        <v>370</v>
      </c>
      <c r="N90" s="13">
        <f t="shared" si="5"/>
        <v>124.5</v>
      </c>
      <c r="O90" s="14">
        <f t="shared" si="6"/>
        <v>494.5</v>
      </c>
      <c r="P90" s="15">
        <f t="shared" si="7"/>
        <v>0.5957831325301205</v>
      </c>
    </row>
    <row r="91" spans="1:16" ht="15.75" customHeight="1" x14ac:dyDescent="0.3">
      <c r="A91" s="117" t="s">
        <v>58</v>
      </c>
      <c r="B91" s="9" t="s">
        <v>157</v>
      </c>
      <c r="C91" s="9" t="s">
        <v>87</v>
      </c>
      <c r="D91" s="9" t="s">
        <v>140</v>
      </c>
      <c r="E91" s="10">
        <v>2</v>
      </c>
      <c r="F91" s="9" t="s">
        <v>153</v>
      </c>
      <c r="G91" s="11">
        <v>0</v>
      </c>
      <c r="H91" s="9" t="s">
        <v>154</v>
      </c>
      <c r="I91" s="9" t="s">
        <v>155</v>
      </c>
      <c r="J91" s="9"/>
      <c r="K91" s="9"/>
      <c r="L91" s="9" t="s">
        <v>158</v>
      </c>
      <c r="M91" s="12">
        <f t="shared" si="4"/>
        <v>370</v>
      </c>
      <c r="N91" s="13">
        <f t="shared" si="5"/>
        <v>124.5</v>
      </c>
      <c r="O91" s="14">
        <f t="shared" si="6"/>
        <v>494.5</v>
      </c>
      <c r="P91" s="15">
        <f t="shared" si="7"/>
        <v>0.5957831325301205</v>
      </c>
    </row>
    <row r="92" spans="1:16" ht="15.75" customHeight="1" x14ac:dyDescent="0.3">
      <c r="A92" s="117" t="s">
        <v>58</v>
      </c>
      <c r="B92" s="9" t="s">
        <v>157</v>
      </c>
      <c r="C92" s="9" t="s">
        <v>79</v>
      </c>
      <c r="D92" s="9" t="s">
        <v>140</v>
      </c>
      <c r="E92" s="10">
        <v>26</v>
      </c>
      <c r="F92" s="9" t="s">
        <v>153</v>
      </c>
      <c r="G92" s="10">
        <v>26</v>
      </c>
      <c r="H92" s="9" t="s">
        <v>154</v>
      </c>
      <c r="I92" s="9" t="s">
        <v>155</v>
      </c>
      <c r="J92" s="9"/>
      <c r="K92" s="9"/>
      <c r="L92" s="9" t="s">
        <v>158</v>
      </c>
      <c r="M92" s="12">
        <f t="shared" si="4"/>
        <v>370</v>
      </c>
      <c r="N92" s="13">
        <f t="shared" si="5"/>
        <v>124.5</v>
      </c>
      <c r="O92" s="14">
        <f t="shared" si="6"/>
        <v>494.5</v>
      </c>
      <c r="P92" s="15">
        <f t="shared" si="7"/>
        <v>0.5957831325301205</v>
      </c>
    </row>
    <row r="93" spans="1:16" ht="15.75" customHeight="1" x14ac:dyDescent="0.3">
      <c r="A93" s="117" t="s">
        <v>58</v>
      </c>
      <c r="B93" s="9" t="s">
        <v>157</v>
      </c>
      <c r="C93" s="9" t="s">
        <v>80</v>
      </c>
      <c r="D93" s="9" t="s">
        <v>140</v>
      </c>
      <c r="E93" s="10">
        <v>1</v>
      </c>
      <c r="F93" s="9" t="s">
        <v>153</v>
      </c>
      <c r="G93" s="11">
        <v>0</v>
      </c>
      <c r="H93" s="9" t="s">
        <v>154</v>
      </c>
      <c r="I93" s="9" t="s">
        <v>155</v>
      </c>
      <c r="J93" s="9"/>
      <c r="K93" s="9"/>
      <c r="L93" s="9" t="s">
        <v>158</v>
      </c>
      <c r="M93" s="12">
        <f t="shared" si="4"/>
        <v>370</v>
      </c>
      <c r="N93" s="13">
        <f t="shared" si="5"/>
        <v>124.5</v>
      </c>
      <c r="O93" s="14">
        <f t="shared" si="6"/>
        <v>494.5</v>
      </c>
      <c r="P93" s="15">
        <f t="shared" si="7"/>
        <v>0.5957831325301205</v>
      </c>
    </row>
    <row r="94" spans="1:16" ht="15.75" customHeight="1" x14ac:dyDescent="0.3">
      <c r="A94" s="117" t="s">
        <v>58</v>
      </c>
      <c r="B94" s="9" t="s">
        <v>159</v>
      </c>
      <c r="C94" s="9" t="s">
        <v>73</v>
      </c>
      <c r="D94" s="9" t="s">
        <v>160</v>
      </c>
      <c r="E94" s="10">
        <v>18</v>
      </c>
      <c r="F94" s="9" t="s">
        <v>161</v>
      </c>
      <c r="G94" s="10">
        <v>18</v>
      </c>
      <c r="H94" s="9" t="s">
        <v>136</v>
      </c>
      <c r="I94" s="9" t="s">
        <v>137</v>
      </c>
      <c r="J94" s="9"/>
      <c r="K94" s="9"/>
      <c r="L94" s="9" t="s">
        <v>138</v>
      </c>
      <c r="M94" s="12">
        <f t="shared" si="4"/>
        <v>212</v>
      </c>
      <c r="N94" s="13">
        <f t="shared" si="5"/>
        <v>8</v>
      </c>
      <c r="O94" s="14">
        <f t="shared" si="6"/>
        <v>220</v>
      </c>
      <c r="P94" s="15">
        <f t="shared" si="7"/>
        <v>0.26506024096385544</v>
      </c>
    </row>
    <row r="95" spans="1:16" ht="15.75" customHeight="1" x14ac:dyDescent="0.3">
      <c r="A95" s="117" t="s">
        <v>58</v>
      </c>
      <c r="B95" s="9" t="s">
        <v>159</v>
      </c>
      <c r="C95" s="9" t="s">
        <v>79</v>
      </c>
      <c r="D95" s="9" t="s">
        <v>162</v>
      </c>
      <c r="E95" s="10">
        <v>18</v>
      </c>
      <c r="F95" s="9" t="s">
        <v>161</v>
      </c>
      <c r="G95" s="10">
        <v>18</v>
      </c>
      <c r="H95" s="9" t="s">
        <v>136</v>
      </c>
      <c r="I95" s="9" t="s">
        <v>137</v>
      </c>
      <c r="J95" s="9"/>
      <c r="K95" s="9"/>
      <c r="L95" s="9" t="s">
        <v>138</v>
      </c>
      <c r="M95" s="12">
        <f t="shared" si="4"/>
        <v>212</v>
      </c>
      <c r="N95" s="13">
        <f t="shared" si="5"/>
        <v>8</v>
      </c>
      <c r="O95" s="14">
        <f t="shared" si="6"/>
        <v>220</v>
      </c>
      <c r="P95" s="15">
        <f t="shared" si="7"/>
        <v>0.26506024096385544</v>
      </c>
    </row>
    <row r="96" spans="1:16" ht="15.75" customHeight="1" x14ac:dyDescent="0.3">
      <c r="A96" s="117" t="s">
        <v>58</v>
      </c>
      <c r="B96" s="9" t="s">
        <v>159</v>
      </c>
      <c r="C96" s="9" t="s">
        <v>79</v>
      </c>
      <c r="D96" s="9" t="s">
        <v>163</v>
      </c>
      <c r="E96" s="10">
        <v>18</v>
      </c>
      <c r="F96" s="9" t="s">
        <v>161</v>
      </c>
      <c r="G96" s="10">
        <v>18</v>
      </c>
      <c r="H96" s="9" t="s">
        <v>136</v>
      </c>
      <c r="I96" s="9" t="s">
        <v>137</v>
      </c>
      <c r="J96" s="9"/>
      <c r="K96" s="9"/>
      <c r="L96" s="9" t="s">
        <v>138</v>
      </c>
      <c r="M96" s="12">
        <f t="shared" si="4"/>
        <v>212</v>
      </c>
      <c r="N96" s="13">
        <f t="shared" si="5"/>
        <v>8</v>
      </c>
      <c r="O96" s="14">
        <f t="shared" si="6"/>
        <v>220</v>
      </c>
      <c r="P96" s="15">
        <f t="shared" si="7"/>
        <v>0.26506024096385544</v>
      </c>
    </row>
    <row r="97" spans="1:16" ht="15.75" customHeight="1" x14ac:dyDescent="0.3">
      <c r="A97" s="117" t="s">
        <v>58</v>
      </c>
      <c r="B97" s="9" t="s">
        <v>159</v>
      </c>
      <c r="C97" s="9" t="s">
        <v>142</v>
      </c>
      <c r="D97" s="9" t="s">
        <v>162</v>
      </c>
      <c r="E97" s="10">
        <v>6</v>
      </c>
      <c r="F97" s="9" t="s">
        <v>161</v>
      </c>
      <c r="G97" s="11">
        <v>0</v>
      </c>
      <c r="H97" s="9" t="s">
        <v>136</v>
      </c>
      <c r="I97" s="9" t="s">
        <v>137</v>
      </c>
      <c r="J97" s="9"/>
      <c r="K97" s="9"/>
      <c r="L97" s="9" t="s">
        <v>138</v>
      </c>
      <c r="M97" s="12">
        <f t="shared" si="4"/>
        <v>212</v>
      </c>
      <c r="N97" s="13">
        <f t="shared" si="5"/>
        <v>8</v>
      </c>
      <c r="O97" s="14">
        <f t="shared" si="6"/>
        <v>220</v>
      </c>
      <c r="P97" s="15">
        <f t="shared" si="7"/>
        <v>0.26506024096385544</v>
      </c>
    </row>
    <row r="98" spans="1:16" ht="15.75" customHeight="1" x14ac:dyDescent="0.3">
      <c r="A98" s="117" t="s">
        <v>58</v>
      </c>
      <c r="B98" s="9" t="s">
        <v>159</v>
      </c>
      <c r="C98" s="9" t="s">
        <v>142</v>
      </c>
      <c r="D98" s="9" t="s">
        <v>163</v>
      </c>
      <c r="E98" s="10">
        <v>5</v>
      </c>
      <c r="F98" s="9" t="s">
        <v>161</v>
      </c>
      <c r="G98" s="11">
        <v>0</v>
      </c>
      <c r="H98" s="9" t="s">
        <v>136</v>
      </c>
      <c r="I98" s="9" t="s">
        <v>137</v>
      </c>
      <c r="J98" s="9"/>
      <c r="K98" s="9"/>
      <c r="L98" s="9" t="s">
        <v>138</v>
      </c>
      <c r="M98" s="12">
        <f t="shared" si="4"/>
        <v>212</v>
      </c>
      <c r="N98" s="13">
        <f t="shared" si="5"/>
        <v>8</v>
      </c>
      <c r="O98" s="14">
        <f t="shared" si="6"/>
        <v>220</v>
      </c>
      <c r="P98" s="15">
        <f t="shared" si="7"/>
        <v>0.26506024096385544</v>
      </c>
    </row>
    <row r="99" spans="1:16" ht="15.75" customHeight="1" x14ac:dyDescent="0.3">
      <c r="A99" s="117" t="s">
        <v>58</v>
      </c>
      <c r="B99" s="9" t="s">
        <v>159</v>
      </c>
      <c r="C99" s="9" t="s">
        <v>80</v>
      </c>
      <c r="D99" s="9" t="s">
        <v>162</v>
      </c>
      <c r="E99" s="10">
        <v>1</v>
      </c>
      <c r="F99" s="9" t="s">
        <v>161</v>
      </c>
      <c r="G99" s="11">
        <v>0</v>
      </c>
      <c r="H99" s="9" t="s">
        <v>136</v>
      </c>
      <c r="I99" s="9" t="s">
        <v>137</v>
      </c>
      <c r="J99" s="9"/>
      <c r="K99" s="9"/>
      <c r="L99" s="9" t="s">
        <v>138</v>
      </c>
      <c r="M99" s="12">
        <f t="shared" si="4"/>
        <v>212</v>
      </c>
      <c r="N99" s="13">
        <f t="shared" si="5"/>
        <v>8</v>
      </c>
      <c r="O99" s="14">
        <f t="shared" si="6"/>
        <v>220</v>
      </c>
      <c r="P99" s="15">
        <f t="shared" si="7"/>
        <v>0.26506024096385544</v>
      </c>
    </row>
    <row r="100" spans="1:16" ht="15.75" customHeight="1" x14ac:dyDescent="0.3">
      <c r="A100" s="117" t="s">
        <v>58</v>
      </c>
      <c r="B100" s="9" t="s">
        <v>159</v>
      </c>
      <c r="C100" s="9" t="s">
        <v>80</v>
      </c>
      <c r="D100" s="9" t="s">
        <v>163</v>
      </c>
      <c r="E100" s="10">
        <v>1</v>
      </c>
      <c r="F100" s="9" t="s">
        <v>161</v>
      </c>
      <c r="G100" s="11">
        <v>0</v>
      </c>
      <c r="H100" s="9" t="s">
        <v>136</v>
      </c>
      <c r="I100" s="9" t="s">
        <v>137</v>
      </c>
      <c r="J100" s="9"/>
      <c r="K100" s="9"/>
      <c r="L100" s="9" t="s">
        <v>138</v>
      </c>
      <c r="M100" s="12">
        <f t="shared" si="4"/>
        <v>212</v>
      </c>
      <c r="N100" s="13">
        <f t="shared" si="5"/>
        <v>8</v>
      </c>
      <c r="O100" s="14">
        <f t="shared" si="6"/>
        <v>220</v>
      </c>
      <c r="P100" s="15">
        <f t="shared" si="7"/>
        <v>0.26506024096385544</v>
      </c>
    </row>
    <row r="101" spans="1:16" ht="15.75" customHeight="1" x14ac:dyDescent="0.3">
      <c r="A101" s="117" t="s">
        <v>58</v>
      </c>
      <c r="B101" s="9" t="s">
        <v>164</v>
      </c>
      <c r="C101" s="9" t="s">
        <v>73</v>
      </c>
      <c r="D101" s="9" t="s">
        <v>165</v>
      </c>
      <c r="E101" s="10">
        <v>18</v>
      </c>
      <c r="F101" s="9" t="s">
        <v>166</v>
      </c>
      <c r="G101" s="10">
        <v>18</v>
      </c>
      <c r="H101" s="9" t="s">
        <v>167</v>
      </c>
      <c r="I101" s="9" t="s">
        <v>168</v>
      </c>
      <c r="J101" s="9" t="s">
        <v>4</v>
      </c>
      <c r="K101" s="9"/>
      <c r="L101" s="9" t="s">
        <v>169</v>
      </c>
      <c r="M101" s="12">
        <f t="shared" si="4"/>
        <v>456</v>
      </c>
      <c r="N101" s="13">
        <f t="shared" si="5"/>
        <v>362</v>
      </c>
      <c r="O101" s="14">
        <f t="shared" si="6"/>
        <v>818</v>
      </c>
      <c r="P101" s="15">
        <f t="shared" si="7"/>
        <v>0.98554216867469879</v>
      </c>
    </row>
    <row r="102" spans="1:16" ht="15.75" customHeight="1" x14ac:dyDescent="0.3">
      <c r="A102" s="117" t="s">
        <v>58</v>
      </c>
      <c r="B102" s="9" t="s">
        <v>164</v>
      </c>
      <c r="C102" s="9" t="s">
        <v>123</v>
      </c>
      <c r="D102" s="9" t="s">
        <v>165</v>
      </c>
      <c r="E102" s="10">
        <v>21</v>
      </c>
      <c r="F102" s="9" t="s">
        <v>166</v>
      </c>
      <c r="G102" s="11">
        <v>0</v>
      </c>
      <c r="H102" s="9" t="s">
        <v>167</v>
      </c>
      <c r="I102" s="9" t="s">
        <v>168</v>
      </c>
      <c r="J102" s="9" t="s">
        <v>4</v>
      </c>
      <c r="K102" s="9"/>
      <c r="L102" s="9" t="s">
        <v>169</v>
      </c>
      <c r="M102" s="12">
        <f t="shared" si="4"/>
        <v>456</v>
      </c>
      <c r="N102" s="13">
        <f t="shared" si="5"/>
        <v>362</v>
      </c>
      <c r="O102" s="14">
        <f t="shared" si="6"/>
        <v>818</v>
      </c>
      <c r="P102" s="15">
        <f t="shared" si="7"/>
        <v>0.98554216867469879</v>
      </c>
    </row>
    <row r="103" spans="1:16" ht="15.75" customHeight="1" x14ac:dyDescent="0.3">
      <c r="A103" s="117" t="s">
        <v>58</v>
      </c>
      <c r="B103" s="9" t="s">
        <v>164</v>
      </c>
      <c r="C103" s="9" t="s">
        <v>87</v>
      </c>
      <c r="D103" s="9" t="s">
        <v>165</v>
      </c>
      <c r="E103" s="10">
        <v>2</v>
      </c>
      <c r="F103" s="9" t="s">
        <v>166</v>
      </c>
      <c r="G103" s="11">
        <v>0</v>
      </c>
      <c r="H103" s="9" t="s">
        <v>167</v>
      </c>
      <c r="I103" s="9" t="s">
        <v>168</v>
      </c>
      <c r="J103" s="9" t="s">
        <v>4</v>
      </c>
      <c r="K103" s="9"/>
      <c r="L103" s="9" t="s">
        <v>169</v>
      </c>
      <c r="M103" s="12">
        <f t="shared" si="4"/>
        <v>456</v>
      </c>
      <c r="N103" s="13">
        <f t="shared" si="5"/>
        <v>362</v>
      </c>
      <c r="O103" s="14">
        <f t="shared" si="6"/>
        <v>818</v>
      </c>
      <c r="P103" s="15">
        <f t="shared" si="7"/>
        <v>0.98554216867469879</v>
      </c>
    </row>
    <row r="104" spans="1:16" ht="15.75" customHeight="1" x14ac:dyDescent="0.3">
      <c r="A104" s="117" t="s">
        <v>58</v>
      </c>
      <c r="B104" s="9" t="s">
        <v>164</v>
      </c>
      <c r="C104" s="9" t="s">
        <v>79</v>
      </c>
      <c r="D104" s="9" t="s">
        <v>165</v>
      </c>
      <c r="E104" s="10">
        <v>62</v>
      </c>
      <c r="F104" s="9" t="s">
        <v>166</v>
      </c>
      <c r="G104" s="10">
        <v>62</v>
      </c>
      <c r="H104" s="9" t="s">
        <v>167</v>
      </c>
      <c r="I104" s="9" t="s">
        <v>168</v>
      </c>
      <c r="J104" s="9" t="s">
        <v>4</v>
      </c>
      <c r="K104" s="9"/>
      <c r="L104" s="9" t="s">
        <v>169</v>
      </c>
      <c r="M104" s="12">
        <f t="shared" si="4"/>
        <v>456</v>
      </c>
      <c r="N104" s="13">
        <f t="shared" si="5"/>
        <v>362</v>
      </c>
      <c r="O104" s="14">
        <f t="shared" si="6"/>
        <v>818</v>
      </c>
      <c r="P104" s="15">
        <f t="shared" si="7"/>
        <v>0.98554216867469879</v>
      </c>
    </row>
    <row r="105" spans="1:16" ht="15.75" customHeight="1" x14ac:dyDescent="0.3">
      <c r="A105" s="117" t="s">
        <v>58</v>
      </c>
      <c r="B105" s="9" t="s">
        <v>164</v>
      </c>
      <c r="C105" s="9" t="s">
        <v>80</v>
      </c>
      <c r="D105" s="9" t="s">
        <v>165</v>
      </c>
      <c r="E105" s="10">
        <v>1</v>
      </c>
      <c r="F105" s="9" t="s">
        <v>166</v>
      </c>
      <c r="G105" s="11">
        <v>0</v>
      </c>
      <c r="H105" s="9" t="s">
        <v>167</v>
      </c>
      <c r="I105" s="9" t="s">
        <v>168</v>
      </c>
      <c r="J105" s="9" t="s">
        <v>4</v>
      </c>
      <c r="K105" s="9"/>
      <c r="L105" s="9" t="s">
        <v>169</v>
      </c>
      <c r="M105" s="12">
        <f t="shared" si="4"/>
        <v>456</v>
      </c>
      <c r="N105" s="13">
        <f t="shared" si="5"/>
        <v>362</v>
      </c>
      <c r="O105" s="14">
        <f t="shared" si="6"/>
        <v>818</v>
      </c>
      <c r="P105" s="15">
        <f t="shared" si="7"/>
        <v>0.98554216867469879</v>
      </c>
    </row>
    <row r="106" spans="1:16" ht="15.75" customHeight="1" x14ac:dyDescent="0.3">
      <c r="A106" s="117" t="s">
        <v>58</v>
      </c>
      <c r="B106" s="9" t="s">
        <v>170</v>
      </c>
      <c r="C106" s="9" t="s">
        <v>73</v>
      </c>
      <c r="D106" s="9" t="s">
        <v>165</v>
      </c>
      <c r="E106" s="10">
        <v>12</v>
      </c>
      <c r="F106" s="9" t="s">
        <v>166</v>
      </c>
      <c r="G106" s="10">
        <v>12</v>
      </c>
      <c r="H106" s="9" t="s">
        <v>171</v>
      </c>
      <c r="I106" s="9" t="s">
        <v>172</v>
      </c>
      <c r="J106" s="9" t="s">
        <v>8</v>
      </c>
      <c r="K106" s="9"/>
      <c r="L106" s="9" t="s">
        <v>130</v>
      </c>
      <c r="M106" s="12">
        <f t="shared" si="4"/>
        <v>339</v>
      </c>
      <c r="N106" s="13">
        <f t="shared" si="5"/>
        <v>296</v>
      </c>
      <c r="O106" s="14">
        <f t="shared" si="6"/>
        <v>635</v>
      </c>
      <c r="P106" s="15">
        <f t="shared" si="7"/>
        <v>0.76506024096385539</v>
      </c>
    </row>
    <row r="107" spans="1:16" ht="15.75" customHeight="1" x14ac:dyDescent="0.3">
      <c r="A107" s="117" t="s">
        <v>58</v>
      </c>
      <c r="B107" s="9" t="s">
        <v>170</v>
      </c>
      <c r="C107" s="9" t="s">
        <v>79</v>
      </c>
      <c r="D107" s="9" t="s">
        <v>165</v>
      </c>
      <c r="E107" s="10">
        <v>42</v>
      </c>
      <c r="F107" s="9" t="s">
        <v>166</v>
      </c>
      <c r="G107" s="10">
        <v>42</v>
      </c>
      <c r="H107" s="9" t="s">
        <v>171</v>
      </c>
      <c r="I107" s="9" t="s">
        <v>172</v>
      </c>
      <c r="J107" s="9" t="s">
        <v>8</v>
      </c>
      <c r="K107" s="9"/>
      <c r="L107" s="9" t="s">
        <v>130</v>
      </c>
      <c r="M107" s="12">
        <f t="shared" si="4"/>
        <v>339</v>
      </c>
      <c r="N107" s="13">
        <f t="shared" si="5"/>
        <v>296</v>
      </c>
      <c r="O107" s="14">
        <f t="shared" si="6"/>
        <v>635</v>
      </c>
      <c r="P107" s="15">
        <f t="shared" si="7"/>
        <v>0.76506024096385539</v>
      </c>
    </row>
    <row r="108" spans="1:16" ht="15.75" customHeight="1" x14ac:dyDescent="0.3">
      <c r="A108" s="117" t="s">
        <v>58</v>
      </c>
      <c r="B108" s="9" t="s">
        <v>170</v>
      </c>
      <c r="C108" s="9" t="s">
        <v>111</v>
      </c>
      <c r="D108" s="9" t="s">
        <v>165</v>
      </c>
      <c r="E108" s="10">
        <v>4</v>
      </c>
      <c r="F108" s="9" t="s">
        <v>166</v>
      </c>
      <c r="G108" s="11">
        <v>0</v>
      </c>
      <c r="H108" s="9" t="s">
        <v>171</v>
      </c>
      <c r="I108" s="9" t="s">
        <v>172</v>
      </c>
      <c r="J108" s="9" t="s">
        <v>8</v>
      </c>
      <c r="K108" s="9"/>
      <c r="L108" s="9" t="s">
        <v>130</v>
      </c>
      <c r="M108" s="12">
        <f t="shared" si="4"/>
        <v>339</v>
      </c>
      <c r="N108" s="13">
        <f t="shared" si="5"/>
        <v>296</v>
      </c>
      <c r="O108" s="14">
        <f t="shared" si="6"/>
        <v>635</v>
      </c>
      <c r="P108" s="15">
        <f t="shared" si="7"/>
        <v>0.76506024096385539</v>
      </c>
    </row>
    <row r="109" spans="1:16" ht="15.75" customHeight="1" x14ac:dyDescent="0.3">
      <c r="A109" s="117" t="s">
        <v>58</v>
      </c>
      <c r="B109" s="9" t="s">
        <v>170</v>
      </c>
      <c r="C109" s="9" t="s">
        <v>80</v>
      </c>
      <c r="D109" s="9" t="s">
        <v>165</v>
      </c>
      <c r="E109" s="10">
        <v>3</v>
      </c>
      <c r="F109" s="9" t="s">
        <v>166</v>
      </c>
      <c r="G109" s="11">
        <v>0</v>
      </c>
      <c r="H109" s="9" t="s">
        <v>171</v>
      </c>
      <c r="I109" s="9" t="s">
        <v>172</v>
      </c>
      <c r="J109" s="9" t="s">
        <v>8</v>
      </c>
      <c r="K109" s="9"/>
      <c r="L109" s="9" t="s">
        <v>130</v>
      </c>
      <c r="M109" s="12">
        <f t="shared" si="4"/>
        <v>339</v>
      </c>
      <c r="N109" s="13">
        <f t="shared" si="5"/>
        <v>296</v>
      </c>
      <c r="O109" s="14">
        <f t="shared" si="6"/>
        <v>635</v>
      </c>
      <c r="P109" s="15">
        <f t="shared" si="7"/>
        <v>0.76506024096385539</v>
      </c>
    </row>
    <row r="110" spans="1:16" ht="15.75" customHeight="1" x14ac:dyDescent="0.3">
      <c r="A110" s="117" t="s">
        <v>58</v>
      </c>
      <c r="B110" s="9" t="s">
        <v>173</v>
      </c>
      <c r="C110" s="9" t="s">
        <v>73</v>
      </c>
      <c r="D110" s="9" t="s">
        <v>165</v>
      </c>
      <c r="E110" s="10">
        <v>18</v>
      </c>
      <c r="F110" s="9" t="s">
        <v>166</v>
      </c>
      <c r="G110" s="10">
        <v>18</v>
      </c>
      <c r="H110" s="9" t="s">
        <v>174</v>
      </c>
      <c r="I110" s="9" t="s">
        <v>175</v>
      </c>
      <c r="J110" s="9" t="s">
        <v>8</v>
      </c>
      <c r="K110" s="9"/>
      <c r="L110" s="9"/>
      <c r="M110" s="12">
        <f t="shared" si="4"/>
        <v>320</v>
      </c>
      <c r="N110" s="13">
        <f t="shared" si="5"/>
        <v>169</v>
      </c>
      <c r="O110" s="14">
        <f t="shared" si="6"/>
        <v>489</v>
      </c>
      <c r="P110" s="15">
        <f t="shared" si="7"/>
        <v>0.58915662650602407</v>
      </c>
    </row>
    <row r="111" spans="1:16" ht="15.75" customHeight="1" x14ac:dyDescent="0.3">
      <c r="A111" s="117" t="s">
        <v>58</v>
      </c>
      <c r="B111" s="9" t="s">
        <v>173</v>
      </c>
      <c r="C111" s="9" t="s">
        <v>79</v>
      </c>
      <c r="D111" s="9" t="s">
        <v>165</v>
      </c>
      <c r="E111" s="10">
        <v>36</v>
      </c>
      <c r="F111" s="9" t="s">
        <v>166</v>
      </c>
      <c r="G111" s="10">
        <v>36</v>
      </c>
      <c r="H111" s="9" t="s">
        <v>174</v>
      </c>
      <c r="I111" s="9" t="s">
        <v>175</v>
      </c>
      <c r="J111" s="9" t="s">
        <v>8</v>
      </c>
      <c r="K111" s="9"/>
      <c r="L111" s="9"/>
      <c r="M111" s="12">
        <f t="shared" si="4"/>
        <v>320</v>
      </c>
      <c r="N111" s="13">
        <f t="shared" si="5"/>
        <v>169</v>
      </c>
      <c r="O111" s="14">
        <f t="shared" si="6"/>
        <v>489</v>
      </c>
      <c r="P111" s="15">
        <f t="shared" si="7"/>
        <v>0.58915662650602407</v>
      </c>
    </row>
    <row r="112" spans="1:16" ht="15.75" customHeight="1" x14ac:dyDescent="0.3">
      <c r="A112" s="117" t="s">
        <v>58</v>
      </c>
      <c r="B112" s="9" t="s">
        <v>173</v>
      </c>
      <c r="C112" s="9" t="s">
        <v>111</v>
      </c>
      <c r="D112" s="9" t="s">
        <v>165</v>
      </c>
      <c r="E112" s="10">
        <v>4</v>
      </c>
      <c r="F112" s="9" t="s">
        <v>166</v>
      </c>
      <c r="G112" s="11">
        <v>0</v>
      </c>
      <c r="H112" s="9" t="s">
        <v>174</v>
      </c>
      <c r="I112" s="9" t="s">
        <v>175</v>
      </c>
      <c r="J112" s="9" t="s">
        <v>8</v>
      </c>
      <c r="K112" s="9"/>
      <c r="L112" s="9"/>
      <c r="M112" s="12">
        <f t="shared" si="4"/>
        <v>320</v>
      </c>
      <c r="N112" s="13">
        <f t="shared" si="5"/>
        <v>169</v>
      </c>
      <c r="O112" s="14">
        <f t="shared" si="6"/>
        <v>489</v>
      </c>
      <c r="P112" s="15">
        <f t="shared" si="7"/>
        <v>0.58915662650602407</v>
      </c>
    </row>
    <row r="113" spans="1:16" ht="15.75" customHeight="1" x14ac:dyDescent="0.3">
      <c r="A113" s="117" t="s">
        <v>58</v>
      </c>
      <c r="B113" s="9" t="s">
        <v>173</v>
      </c>
      <c r="C113" s="9" t="s">
        <v>80</v>
      </c>
      <c r="D113" s="9" t="s">
        <v>165</v>
      </c>
      <c r="E113" s="10">
        <v>3</v>
      </c>
      <c r="F113" s="9" t="s">
        <v>166</v>
      </c>
      <c r="G113" s="11">
        <v>0</v>
      </c>
      <c r="H113" s="9" t="s">
        <v>174</v>
      </c>
      <c r="I113" s="9" t="s">
        <v>175</v>
      </c>
      <c r="J113" s="9" t="s">
        <v>8</v>
      </c>
      <c r="K113" s="9"/>
      <c r="L113" s="9"/>
      <c r="M113" s="12">
        <f t="shared" si="4"/>
        <v>320</v>
      </c>
      <c r="N113" s="13">
        <f t="shared" si="5"/>
        <v>169</v>
      </c>
      <c r="O113" s="14">
        <f t="shared" si="6"/>
        <v>489</v>
      </c>
      <c r="P113" s="15">
        <f t="shared" si="7"/>
        <v>0.58915662650602407</v>
      </c>
    </row>
    <row r="114" spans="1:16" ht="15.75" customHeight="1" x14ac:dyDescent="0.3">
      <c r="A114" s="117" t="s">
        <v>58</v>
      </c>
      <c r="B114" s="9" t="s">
        <v>176</v>
      </c>
      <c r="C114" s="9" t="s">
        <v>73</v>
      </c>
      <c r="D114" s="9" t="s">
        <v>177</v>
      </c>
      <c r="E114" s="10">
        <v>24</v>
      </c>
      <c r="F114" s="9" t="s">
        <v>178</v>
      </c>
      <c r="G114" s="10">
        <v>24</v>
      </c>
      <c r="H114" s="9" t="s">
        <v>179</v>
      </c>
      <c r="I114" s="9" t="s">
        <v>180</v>
      </c>
      <c r="J114" s="9" t="s">
        <v>4</v>
      </c>
      <c r="K114" s="9"/>
      <c r="L114" s="9" t="s">
        <v>181</v>
      </c>
      <c r="M114" s="12">
        <f t="shared" si="4"/>
        <v>703</v>
      </c>
      <c r="N114" s="13">
        <f t="shared" si="5"/>
        <v>179.5</v>
      </c>
      <c r="O114" s="14">
        <f t="shared" si="6"/>
        <v>882.5</v>
      </c>
      <c r="P114" s="15">
        <f t="shared" si="7"/>
        <v>1.0632530120481927</v>
      </c>
    </row>
    <row r="115" spans="1:16" ht="15.75" customHeight="1" x14ac:dyDescent="0.3">
      <c r="A115" s="117" t="s">
        <v>58</v>
      </c>
      <c r="B115" s="9" t="s">
        <v>176</v>
      </c>
      <c r="C115" s="9" t="s">
        <v>87</v>
      </c>
      <c r="D115" s="9" t="s">
        <v>162</v>
      </c>
      <c r="E115" s="10">
        <v>6</v>
      </c>
      <c r="F115" s="9" t="s">
        <v>178</v>
      </c>
      <c r="G115" s="11">
        <v>0</v>
      </c>
      <c r="H115" s="9" t="s">
        <v>179</v>
      </c>
      <c r="I115" s="9" t="s">
        <v>180</v>
      </c>
      <c r="J115" s="9" t="s">
        <v>4</v>
      </c>
      <c r="K115" s="9"/>
      <c r="L115" s="9" t="s">
        <v>181</v>
      </c>
      <c r="M115" s="12">
        <f t="shared" si="4"/>
        <v>703</v>
      </c>
      <c r="N115" s="13">
        <f t="shared" si="5"/>
        <v>179.5</v>
      </c>
      <c r="O115" s="14">
        <f t="shared" si="6"/>
        <v>882.5</v>
      </c>
      <c r="P115" s="15">
        <f t="shared" si="7"/>
        <v>1.0632530120481927</v>
      </c>
    </row>
    <row r="116" spans="1:16" ht="15.75" customHeight="1" x14ac:dyDescent="0.3">
      <c r="A116" s="117" t="s">
        <v>58</v>
      </c>
      <c r="B116" s="9" t="s">
        <v>176</v>
      </c>
      <c r="C116" s="9" t="s">
        <v>87</v>
      </c>
      <c r="D116" s="9" t="s">
        <v>163</v>
      </c>
      <c r="E116" s="10">
        <v>5</v>
      </c>
      <c r="F116" s="9" t="s">
        <v>178</v>
      </c>
      <c r="G116" s="11">
        <v>0</v>
      </c>
      <c r="H116" s="9" t="s">
        <v>179</v>
      </c>
      <c r="I116" s="9" t="s">
        <v>180</v>
      </c>
      <c r="J116" s="9" t="s">
        <v>4</v>
      </c>
      <c r="K116" s="9"/>
      <c r="L116" s="9" t="s">
        <v>181</v>
      </c>
      <c r="M116" s="12">
        <f t="shared" si="4"/>
        <v>703</v>
      </c>
      <c r="N116" s="13">
        <f t="shared" si="5"/>
        <v>179.5</v>
      </c>
      <c r="O116" s="14">
        <f t="shared" si="6"/>
        <v>882.5</v>
      </c>
      <c r="P116" s="15">
        <f t="shared" si="7"/>
        <v>1.0632530120481927</v>
      </c>
    </row>
    <row r="117" spans="1:16" ht="15.75" customHeight="1" x14ac:dyDescent="0.3">
      <c r="A117" s="117" t="s">
        <v>58</v>
      </c>
      <c r="B117" s="9" t="s">
        <v>176</v>
      </c>
      <c r="C117" s="9" t="s">
        <v>79</v>
      </c>
      <c r="D117" s="9" t="s">
        <v>182</v>
      </c>
      <c r="E117" s="10">
        <v>8</v>
      </c>
      <c r="F117" s="9" t="s">
        <v>178</v>
      </c>
      <c r="G117" s="10">
        <v>8</v>
      </c>
      <c r="H117" s="9" t="s">
        <v>179</v>
      </c>
      <c r="I117" s="9" t="s">
        <v>180</v>
      </c>
      <c r="J117" s="9" t="s">
        <v>4</v>
      </c>
      <c r="K117" s="9"/>
      <c r="L117" s="9" t="s">
        <v>181</v>
      </c>
      <c r="M117" s="12">
        <f t="shared" si="4"/>
        <v>703</v>
      </c>
      <c r="N117" s="13">
        <f t="shared" si="5"/>
        <v>179.5</v>
      </c>
      <c r="O117" s="14">
        <f t="shared" si="6"/>
        <v>882.5</v>
      </c>
      <c r="P117" s="15">
        <f t="shared" si="7"/>
        <v>1.0632530120481927</v>
      </c>
    </row>
    <row r="118" spans="1:16" ht="15.75" customHeight="1" x14ac:dyDescent="0.3">
      <c r="A118" s="117" t="s">
        <v>58</v>
      </c>
      <c r="B118" s="9" t="s">
        <v>176</v>
      </c>
      <c r="C118" s="9" t="s">
        <v>79</v>
      </c>
      <c r="D118" s="9" t="s">
        <v>183</v>
      </c>
      <c r="E118" s="10">
        <v>8</v>
      </c>
      <c r="F118" s="9" t="s">
        <v>178</v>
      </c>
      <c r="G118" s="10">
        <v>8</v>
      </c>
      <c r="H118" s="9" t="s">
        <v>179</v>
      </c>
      <c r="I118" s="9" t="s">
        <v>180</v>
      </c>
      <c r="J118" s="9" t="s">
        <v>4</v>
      </c>
      <c r="K118" s="9"/>
      <c r="L118" s="9" t="s">
        <v>181</v>
      </c>
      <c r="M118" s="12">
        <f t="shared" si="4"/>
        <v>703</v>
      </c>
      <c r="N118" s="13">
        <f t="shared" si="5"/>
        <v>179.5</v>
      </c>
      <c r="O118" s="14">
        <f t="shared" si="6"/>
        <v>882.5</v>
      </c>
      <c r="P118" s="15">
        <f t="shared" si="7"/>
        <v>1.0632530120481927</v>
      </c>
    </row>
    <row r="119" spans="1:16" ht="15.75" customHeight="1" x14ac:dyDescent="0.3">
      <c r="A119" s="117" t="s">
        <v>58</v>
      </c>
      <c r="B119" s="9" t="s">
        <v>176</v>
      </c>
      <c r="C119" s="9" t="s">
        <v>79</v>
      </c>
      <c r="D119" s="9" t="s">
        <v>162</v>
      </c>
      <c r="E119" s="10">
        <v>8</v>
      </c>
      <c r="F119" s="9" t="s">
        <v>178</v>
      </c>
      <c r="G119" s="10">
        <v>8</v>
      </c>
      <c r="H119" s="9" t="s">
        <v>179</v>
      </c>
      <c r="I119" s="9" t="s">
        <v>180</v>
      </c>
      <c r="J119" s="9" t="s">
        <v>4</v>
      </c>
      <c r="K119" s="9"/>
      <c r="L119" s="9" t="s">
        <v>181</v>
      </c>
      <c r="M119" s="12">
        <f t="shared" si="4"/>
        <v>703</v>
      </c>
      <c r="N119" s="13">
        <f t="shared" si="5"/>
        <v>179.5</v>
      </c>
      <c r="O119" s="14">
        <f t="shared" si="6"/>
        <v>882.5</v>
      </c>
      <c r="P119" s="15">
        <f t="shared" si="7"/>
        <v>1.0632530120481927</v>
      </c>
    </row>
    <row r="120" spans="1:16" ht="15.75" customHeight="1" x14ac:dyDescent="0.3">
      <c r="A120" s="117" t="s">
        <v>58</v>
      </c>
      <c r="B120" s="9" t="s">
        <v>176</v>
      </c>
      <c r="C120" s="9" t="s">
        <v>79</v>
      </c>
      <c r="D120" s="9" t="s">
        <v>184</v>
      </c>
      <c r="E120" s="10">
        <v>8</v>
      </c>
      <c r="F120" s="9" t="s">
        <v>178</v>
      </c>
      <c r="G120" s="10">
        <v>8</v>
      </c>
      <c r="H120" s="9" t="s">
        <v>179</v>
      </c>
      <c r="I120" s="9" t="s">
        <v>180</v>
      </c>
      <c r="J120" s="9" t="s">
        <v>4</v>
      </c>
      <c r="K120" s="9"/>
      <c r="L120" s="9" t="s">
        <v>181</v>
      </c>
      <c r="M120" s="12">
        <f t="shared" si="4"/>
        <v>703</v>
      </c>
      <c r="N120" s="13">
        <f t="shared" si="5"/>
        <v>179.5</v>
      </c>
      <c r="O120" s="14">
        <f t="shared" si="6"/>
        <v>882.5</v>
      </c>
      <c r="P120" s="15">
        <f t="shared" si="7"/>
        <v>1.0632530120481927</v>
      </c>
    </row>
    <row r="121" spans="1:16" ht="15.75" customHeight="1" x14ac:dyDescent="0.3">
      <c r="A121" s="117" t="s">
        <v>58</v>
      </c>
      <c r="B121" s="9" t="s">
        <v>176</v>
      </c>
      <c r="C121" s="9" t="s">
        <v>79</v>
      </c>
      <c r="D121" s="9" t="s">
        <v>185</v>
      </c>
      <c r="E121" s="10">
        <v>8</v>
      </c>
      <c r="F121" s="9" t="s">
        <v>178</v>
      </c>
      <c r="G121" s="10">
        <v>8</v>
      </c>
      <c r="H121" s="9" t="s">
        <v>179</v>
      </c>
      <c r="I121" s="9" t="s">
        <v>180</v>
      </c>
      <c r="J121" s="9" t="s">
        <v>4</v>
      </c>
      <c r="K121" s="9"/>
      <c r="L121" s="9" t="s">
        <v>181</v>
      </c>
      <c r="M121" s="12">
        <f t="shared" si="4"/>
        <v>703</v>
      </c>
      <c r="N121" s="13">
        <f t="shared" si="5"/>
        <v>179.5</v>
      </c>
      <c r="O121" s="14">
        <f t="shared" si="6"/>
        <v>882.5</v>
      </c>
      <c r="P121" s="15">
        <f t="shared" si="7"/>
        <v>1.0632530120481927</v>
      </c>
    </row>
    <row r="122" spans="1:16" ht="15.75" customHeight="1" x14ac:dyDescent="0.3">
      <c r="A122" s="117" t="s">
        <v>58</v>
      </c>
      <c r="B122" s="9" t="s">
        <v>176</v>
      </c>
      <c r="C122" s="9" t="s">
        <v>79</v>
      </c>
      <c r="D122" s="9" t="s">
        <v>163</v>
      </c>
      <c r="E122" s="10">
        <v>8</v>
      </c>
      <c r="F122" s="9" t="s">
        <v>178</v>
      </c>
      <c r="G122" s="10">
        <v>8</v>
      </c>
      <c r="H122" s="9" t="s">
        <v>179</v>
      </c>
      <c r="I122" s="9" t="s">
        <v>180</v>
      </c>
      <c r="J122" s="9" t="s">
        <v>4</v>
      </c>
      <c r="K122" s="9"/>
      <c r="L122" s="9" t="s">
        <v>181</v>
      </c>
      <c r="M122" s="12">
        <f t="shared" si="4"/>
        <v>703</v>
      </c>
      <c r="N122" s="13">
        <f t="shared" si="5"/>
        <v>179.5</v>
      </c>
      <c r="O122" s="14">
        <f t="shared" si="6"/>
        <v>882.5</v>
      </c>
      <c r="P122" s="15">
        <f t="shared" si="7"/>
        <v>1.0632530120481927</v>
      </c>
    </row>
    <row r="123" spans="1:16" ht="15.75" customHeight="1" x14ac:dyDescent="0.3">
      <c r="A123" s="117" t="s">
        <v>58</v>
      </c>
      <c r="B123" s="9" t="s">
        <v>176</v>
      </c>
      <c r="C123" s="9" t="s">
        <v>100</v>
      </c>
      <c r="D123" s="9" t="s">
        <v>182</v>
      </c>
      <c r="E123" s="10">
        <v>48</v>
      </c>
      <c r="F123" s="9" t="s">
        <v>178</v>
      </c>
      <c r="G123" s="10">
        <v>24</v>
      </c>
      <c r="H123" s="9" t="s">
        <v>179</v>
      </c>
      <c r="I123" s="9" t="s">
        <v>180</v>
      </c>
      <c r="J123" s="9" t="s">
        <v>4</v>
      </c>
      <c r="K123" s="9"/>
      <c r="L123" s="9" t="s">
        <v>181</v>
      </c>
      <c r="M123" s="12">
        <f t="shared" si="4"/>
        <v>703</v>
      </c>
      <c r="N123" s="13">
        <f t="shared" si="5"/>
        <v>179.5</v>
      </c>
      <c r="O123" s="14">
        <f t="shared" si="6"/>
        <v>882.5</v>
      </c>
      <c r="P123" s="15">
        <f t="shared" si="7"/>
        <v>1.0632530120481927</v>
      </c>
    </row>
    <row r="124" spans="1:16" ht="15.75" customHeight="1" x14ac:dyDescent="0.3">
      <c r="A124" s="117" t="s">
        <v>58</v>
      </c>
      <c r="B124" s="9" t="s">
        <v>176</v>
      </c>
      <c r="C124" s="9" t="s">
        <v>100</v>
      </c>
      <c r="D124" s="9" t="s">
        <v>183</v>
      </c>
      <c r="E124" s="10">
        <v>24</v>
      </c>
      <c r="F124" s="9" t="s">
        <v>178</v>
      </c>
      <c r="G124" s="10">
        <v>24</v>
      </c>
      <c r="H124" s="9" t="s">
        <v>179</v>
      </c>
      <c r="I124" s="9" t="s">
        <v>180</v>
      </c>
      <c r="J124" s="9" t="s">
        <v>4</v>
      </c>
      <c r="K124" s="9"/>
      <c r="L124" s="9" t="s">
        <v>181</v>
      </c>
      <c r="M124" s="12">
        <f t="shared" si="4"/>
        <v>703</v>
      </c>
      <c r="N124" s="13">
        <f t="shared" si="5"/>
        <v>179.5</v>
      </c>
      <c r="O124" s="14">
        <f t="shared" si="6"/>
        <v>882.5</v>
      </c>
      <c r="P124" s="15">
        <f t="shared" si="7"/>
        <v>1.0632530120481927</v>
      </c>
    </row>
    <row r="125" spans="1:16" ht="15.75" customHeight="1" x14ac:dyDescent="0.3">
      <c r="A125" s="117" t="s">
        <v>58</v>
      </c>
      <c r="B125" s="9" t="s">
        <v>176</v>
      </c>
      <c r="C125" s="9" t="s">
        <v>100</v>
      </c>
      <c r="D125" s="9" t="s">
        <v>162</v>
      </c>
      <c r="E125" s="10">
        <v>48</v>
      </c>
      <c r="F125" s="9" t="s">
        <v>178</v>
      </c>
      <c r="G125" s="10">
        <v>24</v>
      </c>
      <c r="H125" s="9" t="s">
        <v>186</v>
      </c>
      <c r="I125" s="9" t="s">
        <v>187</v>
      </c>
      <c r="J125" s="9"/>
      <c r="K125" s="9"/>
      <c r="L125" s="9"/>
      <c r="M125" s="12">
        <f t="shared" si="4"/>
        <v>127</v>
      </c>
      <c r="N125" s="13">
        <f t="shared" si="5"/>
        <v>133.5</v>
      </c>
      <c r="O125" s="14">
        <f t="shared" si="6"/>
        <v>260.5</v>
      </c>
      <c r="P125" s="15">
        <f t="shared" si="7"/>
        <v>0.31385542168674696</v>
      </c>
    </row>
    <row r="126" spans="1:16" ht="15.75" customHeight="1" x14ac:dyDescent="0.3">
      <c r="A126" s="117" t="s">
        <v>58</v>
      </c>
      <c r="B126" s="9" t="s">
        <v>176</v>
      </c>
      <c r="C126" s="9" t="s">
        <v>100</v>
      </c>
      <c r="D126" s="9" t="s">
        <v>184</v>
      </c>
      <c r="E126" s="10">
        <v>48</v>
      </c>
      <c r="F126" s="9" t="s">
        <v>178</v>
      </c>
      <c r="G126" s="10">
        <v>24</v>
      </c>
      <c r="H126" s="9" t="s">
        <v>179</v>
      </c>
      <c r="I126" s="9" t="s">
        <v>180</v>
      </c>
      <c r="J126" s="9" t="s">
        <v>4</v>
      </c>
      <c r="K126" s="9"/>
      <c r="L126" s="9" t="s">
        <v>181</v>
      </c>
      <c r="M126" s="12">
        <f t="shared" si="4"/>
        <v>703</v>
      </c>
      <c r="N126" s="13">
        <f t="shared" si="5"/>
        <v>179.5</v>
      </c>
      <c r="O126" s="14">
        <f t="shared" si="6"/>
        <v>882.5</v>
      </c>
      <c r="P126" s="15">
        <f t="shared" si="7"/>
        <v>1.0632530120481927</v>
      </c>
    </row>
    <row r="127" spans="1:16" ht="15.75" customHeight="1" x14ac:dyDescent="0.3">
      <c r="A127" s="117" t="s">
        <v>58</v>
      </c>
      <c r="B127" s="9" t="s">
        <v>176</v>
      </c>
      <c r="C127" s="9" t="s">
        <v>100</v>
      </c>
      <c r="D127" s="9" t="s">
        <v>185</v>
      </c>
      <c r="E127" s="10">
        <v>48</v>
      </c>
      <c r="F127" s="9" t="s">
        <v>178</v>
      </c>
      <c r="G127" s="10">
        <v>24</v>
      </c>
      <c r="H127" s="9" t="s">
        <v>179</v>
      </c>
      <c r="I127" s="9" t="s">
        <v>180</v>
      </c>
      <c r="J127" s="9" t="s">
        <v>4</v>
      </c>
      <c r="K127" s="9"/>
      <c r="L127" s="9" t="s">
        <v>181</v>
      </c>
      <c r="M127" s="12">
        <f t="shared" si="4"/>
        <v>703</v>
      </c>
      <c r="N127" s="13">
        <f t="shared" si="5"/>
        <v>179.5</v>
      </c>
      <c r="O127" s="14">
        <f t="shared" si="6"/>
        <v>882.5</v>
      </c>
      <c r="P127" s="15">
        <f t="shared" si="7"/>
        <v>1.0632530120481927</v>
      </c>
    </row>
    <row r="128" spans="1:16" ht="15.75" customHeight="1" x14ac:dyDescent="0.3">
      <c r="A128" s="117" t="s">
        <v>58</v>
      </c>
      <c r="B128" s="9" t="s">
        <v>176</v>
      </c>
      <c r="C128" s="9" t="s">
        <v>100</v>
      </c>
      <c r="D128" s="9" t="s">
        <v>163</v>
      </c>
      <c r="E128" s="10">
        <v>24</v>
      </c>
      <c r="F128" s="9" t="s">
        <v>178</v>
      </c>
      <c r="G128" s="10">
        <v>24</v>
      </c>
      <c r="H128" s="9" t="s">
        <v>179</v>
      </c>
      <c r="I128" s="9" t="s">
        <v>180</v>
      </c>
      <c r="J128" s="9" t="s">
        <v>4</v>
      </c>
      <c r="K128" s="9"/>
      <c r="L128" s="9" t="s">
        <v>181</v>
      </c>
      <c r="M128" s="12">
        <f t="shared" si="4"/>
        <v>703</v>
      </c>
      <c r="N128" s="13">
        <f t="shared" si="5"/>
        <v>179.5</v>
      </c>
      <c r="O128" s="14">
        <f t="shared" si="6"/>
        <v>882.5</v>
      </c>
      <c r="P128" s="15">
        <f t="shared" si="7"/>
        <v>1.0632530120481927</v>
      </c>
    </row>
    <row r="129" spans="1:16" ht="15.75" customHeight="1" x14ac:dyDescent="0.3">
      <c r="A129" s="117" t="s">
        <v>58</v>
      </c>
      <c r="B129" s="9" t="s">
        <v>176</v>
      </c>
      <c r="C129" s="9" t="s">
        <v>111</v>
      </c>
      <c r="D129" s="9" t="s">
        <v>182</v>
      </c>
      <c r="E129" s="10">
        <v>10</v>
      </c>
      <c r="F129" s="9" t="s">
        <v>178</v>
      </c>
      <c r="G129" s="11">
        <v>0</v>
      </c>
      <c r="H129" s="9" t="s">
        <v>179</v>
      </c>
      <c r="I129" s="9" t="s">
        <v>180</v>
      </c>
      <c r="J129" s="9" t="s">
        <v>4</v>
      </c>
      <c r="K129" s="9"/>
      <c r="L129" s="9" t="s">
        <v>181</v>
      </c>
      <c r="M129" s="12">
        <f t="shared" si="4"/>
        <v>703</v>
      </c>
      <c r="N129" s="13">
        <f t="shared" si="5"/>
        <v>179.5</v>
      </c>
      <c r="O129" s="14">
        <f t="shared" si="6"/>
        <v>882.5</v>
      </c>
      <c r="P129" s="15">
        <f t="shared" si="7"/>
        <v>1.0632530120481927</v>
      </c>
    </row>
    <row r="130" spans="1:16" ht="15.75" customHeight="1" x14ac:dyDescent="0.3">
      <c r="A130" s="117" t="s">
        <v>58</v>
      </c>
      <c r="B130" s="9" t="s">
        <v>176</v>
      </c>
      <c r="C130" s="9" t="s">
        <v>111</v>
      </c>
      <c r="D130" s="9" t="s">
        <v>183</v>
      </c>
      <c r="E130" s="10">
        <v>8</v>
      </c>
      <c r="F130" s="9" t="s">
        <v>178</v>
      </c>
      <c r="G130" s="11">
        <v>0</v>
      </c>
      <c r="H130" s="9" t="s">
        <v>179</v>
      </c>
      <c r="I130" s="9" t="s">
        <v>180</v>
      </c>
      <c r="J130" s="9" t="s">
        <v>4</v>
      </c>
      <c r="K130" s="9"/>
      <c r="L130" s="9" t="s">
        <v>181</v>
      </c>
      <c r="M130" s="12">
        <f t="shared" ref="M130:M193" si="8">SUMIFS($E$2:$E$1130,$A$2:$A$1130,"осень",$I$2:$I$1130,I130)</f>
        <v>703</v>
      </c>
      <c r="N130" s="13">
        <f t="shared" ref="N130:N193" si="9">SUMIFS($E$2:$E$1130,$A$2:$A$1130,"весна",$I$2:$I$1130,I130)</f>
        <v>179.5</v>
      </c>
      <c r="O130" s="14">
        <f t="shared" ref="O130:O193" si="10">M130+N130</f>
        <v>882.5</v>
      </c>
      <c r="P130" s="15">
        <f t="shared" ref="P130:P193" si="11">O130/$P$1</f>
        <v>1.0632530120481927</v>
      </c>
    </row>
    <row r="131" spans="1:16" ht="15.75" customHeight="1" x14ac:dyDescent="0.3">
      <c r="A131" s="117" t="s">
        <v>58</v>
      </c>
      <c r="B131" s="9" t="s">
        <v>176</v>
      </c>
      <c r="C131" s="9" t="s">
        <v>111</v>
      </c>
      <c r="D131" s="9" t="s">
        <v>184</v>
      </c>
      <c r="E131" s="10">
        <v>9</v>
      </c>
      <c r="F131" s="9" t="s">
        <v>178</v>
      </c>
      <c r="G131" s="11">
        <v>0</v>
      </c>
      <c r="H131" s="9" t="s">
        <v>179</v>
      </c>
      <c r="I131" s="9" t="s">
        <v>180</v>
      </c>
      <c r="J131" s="9" t="s">
        <v>4</v>
      </c>
      <c r="K131" s="9"/>
      <c r="L131" s="9" t="s">
        <v>181</v>
      </c>
      <c r="M131" s="12">
        <f t="shared" si="8"/>
        <v>703</v>
      </c>
      <c r="N131" s="13">
        <f t="shared" si="9"/>
        <v>179.5</v>
      </c>
      <c r="O131" s="14">
        <f t="shared" si="10"/>
        <v>882.5</v>
      </c>
      <c r="P131" s="15">
        <f t="shared" si="11"/>
        <v>1.0632530120481927</v>
      </c>
    </row>
    <row r="132" spans="1:16" ht="15.75" customHeight="1" x14ac:dyDescent="0.3">
      <c r="A132" s="117" t="s">
        <v>58</v>
      </c>
      <c r="B132" s="9" t="s">
        <v>176</v>
      </c>
      <c r="C132" s="9" t="s">
        <v>111</v>
      </c>
      <c r="D132" s="9" t="s">
        <v>185</v>
      </c>
      <c r="E132" s="10">
        <v>12</v>
      </c>
      <c r="F132" s="9" t="s">
        <v>178</v>
      </c>
      <c r="G132" s="11">
        <v>0</v>
      </c>
      <c r="H132" s="9" t="s">
        <v>179</v>
      </c>
      <c r="I132" s="9" t="s">
        <v>180</v>
      </c>
      <c r="J132" s="9" t="s">
        <v>4</v>
      </c>
      <c r="K132" s="9"/>
      <c r="L132" s="9" t="s">
        <v>181</v>
      </c>
      <c r="M132" s="12">
        <f t="shared" si="8"/>
        <v>703</v>
      </c>
      <c r="N132" s="13">
        <f t="shared" si="9"/>
        <v>179.5</v>
      </c>
      <c r="O132" s="14">
        <f t="shared" si="10"/>
        <v>882.5</v>
      </c>
      <c r="P132" s="15">
        <f t="shared" si="11"/>
        <v>1.0632530120481927</v>
      </c>
    </row>
    <row r="133" spans="1:16" ht="15.75" customHeight="1" x14ac:dyDescent="0.3">
      <c r="A133" s="117" t="s">
        <v>58</v>
      </c>
      <c r="B133" s="9" t="s">
        <v>176</v>
      </c>
      <c r="C133" s="9" t="s">
        <v>80</v>
      </c>
      <c r="D133" s="9" t="s">
        <v>182</v>
      </c>
      <c r="E133" s="10">
        <v>3</v>
      </c>
      <c r="F133" s="9" t="s">
        <v>178</v>
      </c>
      <c r="G133" s="11">
        <v>0</v>
      </c>
      <c r="H133" s="9" t="s">
        <v>179</v>
      </c>
      <c r="I133" s="9" t="s">
        <v>180</v>
      </c>
      <c r="J133" s="9" t="s">
        <v>4</v>
      </c>
      <c r="K133" s="9"/>
      <c r="L133" s="9" t="s">
        <v>181</v>
      </c>
      <c r="M133" s="12">
        <f t="shared" si="8"/>
        <v>703</v>
      </c>
      <c r="N133" s="13">
        <f t="shared" si="9"/>
        <v>179.5</v>
      </c>
      <c r="O133" s="14">
        <f t="shared" si="10"/>
        <v>882.5</v>
      </c>
      <c r="P133" s="15">
        <f t="shared" si="11"/>
        <v>1.0632530120481927</v>
      </c>
    </row>
    <row r="134" spans="1:16" ht="15.75" customHeight="1" x14ac:dyDescent="0.3">
      <c r="A134" s="117" t="s">
        <v>58</v>
      </c>
      <c r="B134" s="9" t="s">
        <v>176</v>
      </c>
      <c r="C134" s="9" t="s">
        <v>80</v>
      </c>
      <c r="D134" s="9" t="s">
        <v>183</v>
      </c>
      <c r="E134" s="10">
        <v>3</v>
      </c>
      <c r="F134" s="9" t="s">
        <v>178</v>
      </c>
      <c r="G134" s="11">
        <v>0</v>
      </c>
      <c r="H134" s="9" t="s">
        <v>179</v>
      </c>
      <c r="I134" s="9" t="s">
        <v>180</v>
      </c>
      <c r="J134" s="9" t="s">
        <v>4</v>
      </c>
      <c r="K134" s="9"/>
      <c r="L134" s="9" t="s">
        <v>181</v>
      </c>
      <c r="M134" s="12">
        <f t="shared" si="8"/>
        <v>703</v>
      </c>
      <c r="N134" s="13">
        <f t="shared" si="9"/>
        <v>179.5</v>
      </c>
      <c r="O134" s="14">
        <f t="shared" si="10"/>
        <v>882.5</v>
      </c>
      <c r="P134" s="15">
        <f t="shared" si="11"/>
        <v>1.0632530120481927</v>
      </c>
    </row>
    <row r="135" spans="1:16" ht="15.75" customHeight="1" x14ac:dyDescent="0.3">
      <c r="A135" s="117" t="s">
        <v>58</v>
      </c>
      <c r="B135" s="9" t="s">
        <v>176</v>
      </c>
      <c r="C135" s="9" t="s">
        <v>80</v>
      </c>
      <c r="D135" s="9" t="s">
        <v>162</v>
      </c>
      <c r="E135" s="10">
        <v>1</v>
      </c>
      <c r="F135" s="9" t="s">
        <v>178</v>
      </c>
      <c r="G135" s="11">
        <v>0</v>
      </c>
      <c r="H135" s="9" t="s">
        <v>179</v>
      </c>
      <c r="I135" s="9" t="s">
        <v>180</v>
      </c>
      <c r="J135" s="9" t="s">
        <v>4</v>
      </c>
      <c r="K135" s="9"/>
      <c r="L135" s="9" t="s">
        <v>181</v>
      </c>
      <c r="M135" s="12">
        <f t="shared" si="8"/>
        <v>703</v>
      </c>
      <c r="N135" s="13">
        <f t="shared" si="9"/>
        <v>179.5</v>
      </c>
      <c r="O135" s="14">
        <f t="shared" si="10"/>
        <v>882.5</v>
      </c>
      <c r="P135" s="15">
        <f t="shared" si="11"/>
        <v>1.0632530120481927</v>
      </c>
    </row>
    <row r="136" spans="1:16" ht="15.75" customHeight="1" x14ac:dyDescent="0.3">
      <c r="A136" s="117" t="s">
        <v>58</v>
      </c>
      <c r="B136" s="9" t="s">
        <v>176</v>
      </c>
      <c r="C136" s="9" t="s">
        <v>80</v>
      </c>
      <c r="D136" s="9" t="s">
        <v>184</v>
      </c>
      <c r="E136" s="10">
        <v>3</v>
      </c>
      <c r="F136" s="9" t="s">
        <v>178</v>
      </c>
      <c r="G136" s="11">
        <v>0</v>
      </c>
      <c r="H136" s="9" t="s">
        <v>179</v>
      </c>
      <c r="I136" s="9" t="s">
        <v>180</v>
      </c>
      <c r="J136" s="9" t="s">
        <v>4</v>
      </c>
      <c r="K136" s="9"/>
      <c r="L136" s="9" t="s">
        <v>181</v>
      </c>
      <c r="M136" s="12">
        <f t="shared" si="8"/>
        <v>703</v>
      </c>
      <c r="N136" s="13">
        <f t="shared" si="9"/>
        <v>179.5</v>
      </c>
      <c r="O136" s="14">
        <f t="shared" si="10"/>
        <v>882.5</v>
      </c>
      <c r="P136" s="15">
        <f t="shared" si="11"/>
        <v>1.0632530120481927</v>
      </c>
    </row>
    <row r="137" spans="1:16" ht="15.75" customHeight="1" x14ac:dyDescent="0.3">
      <c r="A137" s="117" t="s">
        <v>58</v>
      </c>
      <c r="B137" s="9" t="s">
        <v>176</v>
      </c>
      <c r="C137" s="9" t="s">
        <v>80</v>
      </c>
      <c r="D137" s="9" t="s">
        <v>185</v>
      </c>
      <c r="E137" s="10">
        <v>3</v>
      </c>
      <c r="F137" s="9" t="s">
        <v>178</v>
      </c>
      <c r="G137" s="11">
        <v>0</v>
      </c>
      <c r="H137" s="9" t="s">
        <v>179</v>
      </c>
      <c r="I137" s="9" t="s">
        <v>180</v>
      </c>
      <c r="J137" s="9" t="s">
        <v>4</v>
      </c>
      <c r="K137" s="9"/>
      <c r="L137" s="9" t="s">
        <v>181</v>
      </c>
      <c r="M137" s="12">
        <f t="shared" si="8"/>
        <v>703</v>
      </c>
      <c r="N137" s="13">
        <f t="shared" si="9"/>
        <v>179.5</v>
      </c>
      <c r="O137" s="14">
        <f t="shared" si="10"/>
        <v>882.5</v>
      </c>
      <c r="P137" s="15">
        <f t="shared" si="11"/>
        <v>1.0632530120481927</v>
      </c>
    </row>
    <row r="138" spans="1:16" ht="15.75" customHeight="1" x14ac:dyDescent="0.3">
      <c r="A138" s="117" t="s">
        <v>58</v>
      </c>
      <c r="B138" s="9" t="s">
        <v>176</v>
      </c>
      <c r="C138" s="9" t="s">
        <v>80</v>
      </c>
      <c r="D138" s="9" t="s">
        <v>163</v>
      </c>
      <c r="E138" s="10">
        <v>1</v>
      </c>
      <c r="F138" s="9" t="s">
        <v>178</v>
      </c>
      <c r="G138" s="11">
        <v>0</v>
      </c>
      <c r="H138" s="9" t="s">
        <v>179</v>
      </c>
      <c r="I138" s="9" t="s">
        <v>180</v>
      </c>
      <c r="J138" s="9" t="s">
        <v>4</v>
      </c>
      <c r="K138" s="9"/>
      <c r="L138" s="9" t="s">
        <v>181</v>
      </c>
      <c r="M138" s="12">
        <f t="shared" si="8"/>
        <v>703</v>
      </c>
      <c r="N138" s="13">
        <f t="shared" si="9"/>
        <v>179.5</v>
      </c>
      <c r="O138" s="14">
        <f t="shared" si="10"/>
        <v>882.5</v>
      </c>
      <c r="P138" s="15">
        <f t="shared" si="11"/>
        <v>1.0632530120481927</v>
      </c>
    </row>
    <row r="139" spans="1:16" ht="15.75" customHeight="1" x14ac:dyDescent="0.3">
      <c r="A139" s="117" t="s">
        <v>58</v>
      </c>
      <c r="B139" s="9" t="s">
        <v>188</v>
      </c>
      <c r="C139" s="9" t="s">
        <v>73</v>
      </c>
      <c r="D139" s="9" t="s">
        <v>189</v>
      </c>
      <c r="E139" s="10">
        <v>32</v>
      </c>
      <c r="F139" s="9" t="s">
        <v>190</v>
      </c>
      <c r="G139" s="10">
        <v>32</v>
      </c>
      <c r="H139" s="9" t="s">
        <v>179</v>
      </c>
      <c r="I139" s="9" t="s">
        <v>180</v>
      </c>
      <c r="J139" s="9" t="s">
        <v>4</v>
      </c>
      <c r="K139" s="9"/>
      <c r="L139" s="9" t="s">
        <v>191</v>
      </c>
      <c r="M139" s="12">
        <f t="shared" si="8"/>
        <v>703</v>
      </c>
      <c r="N139" s="13">
        <f t="shared" si="9"/>
        <v>179.5</v>
      </c>
      <c r="O139" s="14">
        <f t="shared" si="10"/>
        <v>882.5</v>
      </c>
      <c r="P139" s="15">
        <f t="shared" si="11"/>
        <v>1.0632530120481927</v>
      </c>
    </row>
    <row r="140" spans="1:16" ht="15.75" customHeight="1" x14ac:dyDescent="0.3">
      <c r="A140" s="117" t="s">
        <v>58</v>
      </c>
      <c r="B140" s="9" t="s">
        <v>188</v>
      </c>
      <c r="C140" s="9" t="s">
        <v>79</v>
      </c>
      <c r="D140" s="9" t="s">
        <v>189</v>
      </c>
      <c r="E140" s="10">
        <v>24</v>
      </c>
      <c r="F140" s="9" t="s">
        <v>190</v>
      </c>
      <c r="G140" s="10">
        <v>24</v>
      </c>
      <c r="H140" s="9" t="s">
        <v>179</v>
      </c>
      <c r="I140" s="9" t="s">
        <v>180</v>
      </c>
      <c r="J140" s="9" t="s">
        <v>4</v>
      </c>
      <c r="K140" s="9"/>
      <c r="L140" s="9" t="s">
        <v>191</v>
      </c>
      <c r="M140" s="12">
        <f t="shared" si="8"/>
        <v>703</v>
      </c>
      <c r="N140" s="13">
        <f t="shared" si="9"/>
        <v>179.5</v>
      </c>
      <c r="O140" s="14">
        <f t="shared" si="10"/>
        <v>882.5</v>
      </c>
      <c r="P140" s="15">
        <f t="shared" si="11"/>
        <v>1.0632530120481927</v>
      </c>
    </row>
    <row r="141" spans="1:16" ht="15.75" customHeight="1" x14ac:dyDescent="0.3">
      <c r="A141" s="117" t="s">
        <v>58</v>
      </c>
      <c r="B141" s="9" t="s">
        <v>188</v>
      </c>
      <c r="C141" s="9" t="s">
        <v>111</v>
      </c>
      <c r="D141" s="9" t="s">
        <v>189</v>
      </c>
      <c r="E141" s="10">
        <v>3</v>
      </c>
      <c r="F141" s="9" t="s">
        <v>190</v>
      </c>
      <c r="G141" s="11">
        <v>0</v>
      </c>
      <c r="H141" s="9" t="s">
        <v>179</v>
      </c>
      <c r="I141" s="9" t="s">
        <v>180</v>
      </c>
      <c r="J141" s="9" t="s">
        <v>4</v>
      </c>
      <c r="K141" s="9"/>
      <c r="L141" s="9" t="s">
        <v>191</v>
      </c>
      <c r="M141" s="12">
        <f t="shared" si="8"/>
        <v>703</v>
      </c>
      <c r="N141" s="13">
        <f t="shared" si="9"/>
        <v>179.5</v>
      </c>
      <c r="O141" s="14">
        <f t="shared" si="10"/>
        <v>882.5</v>
      </c>
      <c r="P141" s="15">
        <f t="shared" si="11"/>
        <v>1.0632530120481927</v>
      </c>
    </row>
    <row r="142" spans="1:16" ht="15.75" customHeight="1" x14ac:dyDescent="0.3">
      <c r="A142" s="117" t="s">
        <v>58</v>
      </c>
      <c r="B142" s="9" t="s">
        <v>188</v>
      </c>
      <c r="C142" s="9" t="s">
        <v>192</v>
      </c>
      <c r="D142" s="9" t="s">
        <v>189</v>
      </c>
      <c r="E142" s="10">
        <v>24</v>
      </c>
      <c r="F142" s="9" t="s">
        <v>190</v>
      </c>
      <c r="G142" s="10">
        <v>24</v>
      </c>
      <c r="H142" s="9" t="s">
        <v>179</v>
      </c>
      <c r="I142" s="9" t="s">
        <v>180</v>
      </c>
      <c r="J142" s="9" t="s">
        <v>4</v>
      </c>
      <c r="K142" s="9"/>
      <c r="L142" s="9" t="s">
        <v>191</v>
      </c>
      <c r="M142" s="12">
        <f t="shared" si="8"/>
        <v>703</v>
      </c>
      <c r="N142" s="13">
        <f t="shared" si="9"/>
        <v>179.5</v>
      </c>
      <c r="O142" s="14">
        <f t="shared" si="10"/>
        <v>882.5</v>
      </c>
      <c r="P142" s="15">
        <f t="shared" si="11"/>
        <v>1.0632530120481927</v>
      </c>
    </row>
    <row r="143" spans="1:16" ht="15.75" customHeight="1" x14ac:dyDescent="0.3">
      <c r="A143" s="117" t="s">
        <v>58</v>
      </c>
      <c r="B143" s="9" t="s">
        <v>188</v>
      </c>
      <c r="C143" s="9" t="s">
        <v>80</v>
      </c>
      <c r="D143" s="9" t="s">
        <v>189</v>
      </c>
      <c r="E143" s="10">
        <v>5</v>
      </c>
      <c r="F143" s="9" t="s">
        <v>190</v>
      </c>
      <c r="G143" s="11">
        <v>0</v>
      </c>
      <c r="H143" s="9" t="s">
        <v>179</v>
      </c>
      <c r="I143" s="9" t="s">
        <v>180</v>
      </c>
      <c r="J143" s="9" t="s">
        <v>4</v>
      </c>
      <c r="K143" s="9"/>
      <c r="L143" s="9" t="s">
        <v>191</v>
      </c>
      <c r="M143" s="12">
        <f t="shared" si="8"/>
        <v>703</v>
      </c>
      <c r="N143" s="13">
        <f t="shared" si="9"/>
        <v>179.5</v>
      </c>
      <c r="O143" s="14">
        <f t="shared" si="10"/>
        <v>882.5</v>
      </c>
      <c r="P143" s="15">
        <f t="shared" si="11"/>
        <v>1.0632530120481927</v>
      </c>
    </row>
    <row r="144" spans="1:16" ht="15.75" customHeight="1" x14ac:dyDescent="0.3">
      <c r="A144" s="117" t="s">
        <v>58</v>
      </c>
      <c r="B144" s="9" t="s">
        <v>193</v>
      </c>
      <c r="C144" s="9" t="s">
        <v>73</v>
      </c>
      <c r="D144" s="9" t="s">
        <v>194</v>
      </c>
      <c r="E144" s="10">
        <v>16</v>
      </c>
      <c r="F144" s="9" t="s">
        <v>195</v>
      </c>
      <c r="G144" s="10">
        <v>16</v>
      </c>
      <c r="H144" s="9" t="s">
        <v>128</v>
      </c>
      <c r="I144" s="9" t="s">
        <v>129</v>
      </c>
      <c r="J144" s="9" t="s">
        <v>8</v>
      </c>
      <c r="K144" s="9"/>
      <c r="L144" s="9" t="s">
        <v>130</v>
      </c>
      <c r="M144" s="12">
        <f t="shared" si="8"/>
        <v>348</v>
      </c>
      <c r="N144" s="13">
        <f t="shared" si="9"/>
        <v>583</v>
      </c>
      <c r="O144" s="14">
        <f t="shared" si="10"/>
        <v>931</v>
      </c>
      <c r="P144" s="15">
        <f t="shared" si="11"/>
        <v>1.1216867469879519</v>
      </c>
    </row>
    <row r="145" spans="1:16" ht="15.75" customHeight="1" x14ac:dyDescent="0.3">
      <c r="A145" s="117" t="s">
        <v>58</v>
      </c>
      <c r="B145" s="9" t="s">
        <v>193</v>
      </c>
      <c r="C145" s="9" t="s">
        <v>87</v>
      </c>
      <c r="D145" s="9" t="s">
        <v>194</v>
      </c>
      <c r="E145" s="10">
        <v>6</v>
      </c>
      <c r="F145" s="9" t="s">
        <v>195</v>
      </c>
      <c r="G145" s="11">
        <v>0</v>
      </c>
      <c r="H145" s="9" t="s">
        <v>128</v>
      </c>
      <c r="I145" s="9" t="s">
        <v>129</v>
      </c>
      <c r="J145" s="9" t="s">
        <v>8</v>
      </c>
      <c r="K145" s="9"/>
      <c r="L145" s="9" t="s">
        <v>130</v>
      </c>
      <c r="M145" s="12">
        <f t="shared" si="8"/>
        <v>348</v>
      </c>
      <c r="N145" s="13">
        <f t="shared" si="9"/>
        <v>583</v>
      </c>
      <c r="O145" s="14">
        <f t="shared" si="10"/>
        <v>931</v>
      </c>
      <c r="P145" s="15">
        <f t="shared" si="11"/>
        <v>1.1216867469879519</v>
      </c>
    </row>
    <row r="146" spans="1:16" ht="15.75" customHeight="1" x14ac:dyDescent="0.3">
      <c r="A146" s="117" t="s">
        <v>58</v>
      </c>
      <c r="B146" s="9" t="s">
        <v>193</v>
      </c>
      <c r="C146" s="9" t="s">
        <v>79</v>
      </c>
      <c r="D146" s="9" t="s">
        <v>194</v>
      </c>
      <c r="E146" s="10">
        <v>24</v>
      </c>
      <c r="F146" s="9" t="s">
        <v>195</v>
      </c>
      <c r="G146" s="10">
        <v>24</v>
      </c>
      <c r="H146" s="9" t="s">
        <v>128</v>
      </c>
      <c r="I146" s="9" t="s">
        <v>129</v>
      </c>
      <c r="J146" s="9" t="s">
        <v>8</v>
      </c>
      <c r="K146" s="9"/>
      <c r="L146" s="9" t="s">
        <v>130</v>
      </c>
      <c r="M146" s="12">
        <f t="shared" si="8"/>
        <v>348</v>
      </c>
      <c r="N146" s="13">
        <f t="shared" si="9"/>
        <v>583</v>
      </c>
      <c r="O146" s="14">
        <f t="shared" si="10"/>
        <v>931</v>
      </c>
      <c r="P146" s="15">
        <f t="shared" si="11"/>
        <v>1.1216867469879519</v>
      </c>
    </row>
    <row r="147" spans="1:16" ht="15.75" customHeight="1" x14ac:dyDescent="0.3">
      <c r="A147" s="117" t="s">
        <v>58</v>
      </c>
      <c r="B147" s="9" t="s">
        <v>193</v>
      </c>
      <c r="C147" s="9" t="s">
        <v>80</v>
      </c>
      <c r="D147" s="9" t="s">
        <v>194</v>
      </c>
      <c r="E147" s="10">
        <v>1</v>
      </c>
      <c r="F147" s="9" t="s">
        <v>195</v>
      </c>
      <c r="G147" s="11">
        <v>0</v>
      </c>
      <c r="H147" s="9" t="s">
        <v>128</v>
      </c>
      <c r="I147" s="9" t="s">
        <v>129</v>
      </c>
      <c r="J147" s="9" t="s">
        <v>8</v>
      </c>
      <c r="K147" s="9"/>
      <c r="L147" s="9" t="s">
        <v>130</v>
      </c>
      <c r="M147" s="12">
        <f t="shared" si="8"/>
        <v>348</v>
      </c>
      <c r="N147" s="13">
        <f t="shared" si="9"/>
        <v>583</v>
      </c>
      <c r="O147" s="14">
        <f t="shared" si="10"/>
        <v>931</v>
      </c>
      <c r="P147" s="15">
        <f t="shared" si="11"/>
        <v>1.1216867469879519</v>
      </c>
    </row>
    <row r="148" spans="1:16" ht="15.75" customHeight="1" x14ac:dyDescent="0.3">
      <c r="A148" s="117" t="s">
        <v>58</v>
      </c>
      <c r="B148" s="9" t="s">
        <v>196</v>
      </c>
      <c r="C148" s="9" t="s">
        <v>73</v>
      </c>
      <c r="D148" s="9" t="s">
        <v>189</v>
      </c>
      <c r="E148" s="10">
        <v>4</v>
      </c>
      <c r="F148" s="9" t="s">
        <v>190</v>
      </c>
      <c r="G148" s="10">
        <v>4</v>
      </c>
      <c r="H148" s="9" t="s">
        <v>179</v>
      </c>
      <c r="I148" s="9" t="s">
        <v>180</v>
      </c>
      <c r="J148" s="9" t="s">
        <v>4</v>
      </c>
      <c r="K148" s="9"/>
      <c r="L148" s="9" t="s">
        <v>197</v>
      </c>
      <c r="M148" s="12">
        <f t="shared" si="8"/>
        <v>703</v>
      </c>
      <c r="N148" s="13">
        <f t="shared" si="9"/>
        <v>179.5</v>
      </c>
      <c r="O148" s="14">
        <f t="shared" si="10"/>
        <v>882.5</v>
      </c>
      <c r="P148" s="15">
        <f t="shared" si="11"/>
        <v>1.0632530120481927</v>
      </c>
    </row>
    <row r="149" spans="1:16" ht="15.75" customHeight="1" x14ac:dyDescent="0.3">
      <c r="A149" s="117" t="s">
        <v>58</v>
      </c>
      <c r="B149" s="9" t="s">
        <v>196</v>
      </c>
      <c r="C149" s="9" t="s">
        <v>79</v>
      </c>
      <c r="D149" s="9" t="s">
        <v>189</v>
      </c>
      <c r="E149" s="10">
        <v>8</v>
      </c>
      <c r="F149" s="9" t="s">
        <v>190</v>
      </c>
      <c r="G149" s="10">
        <v>8</v>
      </c>
      <c r="H149" s="9" t="s">
        <v>179</v>
      </c>
      <c r="I149" s="9" t="s">
        <v>180</v>
      </c>
      <c r="J149" s="9" t="s">
        <v>4</v>
      </c>
      <c r="K149" s="9"/>
      <c r="L149" s="9" t="s">
        <v>197</v>
      </c>
      <c r="M149" s="12">
        <f t="shared" si="8"/>
        <v>703</v>
      </c>
      <c r="N149" s="13">
        <f t="shared" si="9"/>
        <v>179.5</v>
      </c>
      <c r="O149" s="14">
        <f t="shared" si="10"/>
        <v>882.5</v>
      </c>
      <c r="P149" s="15">
        <f t="shared" si="11"/>
        <v>1.0632530120481927</v>
      </c>
    </row>
    <row r="150" spans="1:16" ht="15.75" customHeight="1" x14ac:dyDescent="0.3">
      <c r="A150" s="117" t="s">
        <v>58</v>
      </c>
      <c r="B150" s="9" t="s">
        <v>196</v>
      </c>
      <c r="C150" s="9" t="s">
        <v>111</v>
      </c>
      <c r="D150" s="9" t="s">
        <v>189</v>
      </c>
      <c r="E150" s="10">
        <v>3</v>
      </c>
      <c r="F150" s="9" t="s">
        <v>190</v>
      </c>
      <c r="G150" s="11">
        <v>0</v>
      </c>
      <c r="H150" s="9" t="s">
        <v>179</v>
      </c>
      <c r="I150" s="9" t="s">
        <v>180</v>
      </c>
      <c r="J150" s="9" t="s">
        <v>4</v>
      </c>
      <c r="K150" s="9"/>
      <c r="L150" s="9" t="s">
        <v>197</v>
      </c>
      <c r="M150" s="12">
        <f t="shared" si="8"/>
        <v>703</v>
      </c>
      <c r="N150" s="13">
        <f t="shared" si="9"/>
        <v>179.5</v>
      </c>
      <c r="O150" s="14">
        <f t="shared" si="10"/>
        <v>882.5</v>
      </c>
      <c r="P150" s="15">
        <f t="shared" si="11"/>
        <v>1.0632530120481927</v>
      </c>
    </row>
    <row r="151" spans="1:16" ht="15.75" customHeight="1" x14ac:dyDescent="0.3">
      <c r="A151" s="117" t="s">
        <v>58</v>
      </c>
      <c r="B151" s="9" t="s">
        <v>196</v>
      </c>
      <c r="C151" s="9" t="s">
        <v>192</v>
      </c>
      <c r="D151" s="9" t="s">
        <v>189</v>
      </c>
      <c r="E151" s="10">
        <v>4</v>
      </c>
      <c r="F151" s="9" t="s">
        <v>190</v>
      </c>
      <c r="G151" s="10">
        <v>4</v>
      </c>
      <c r="H151" s="9" t="s">
        <v>179</v>
      </c>
      <c r="I151" s="9" t="s">
        <v>180</v>
      </c>
      <c r="J151" s="9" t="s">
        <v>4</v>
      </c>
      <c r="K151" s="9"/>
      <c r="L151" s="9" t="s">
        <v>197</v>
      </c>
      <c r="M151" s="12">
        <f t="shared" si="8"/>
        <v>703</v>
      </c>
      <c r="N151" s="13">
        <f t="shared" si="9"/>
        <v>179.5</v>
      </c>
      <c r="O151" s="14">
        <f t="shared" si="10"/>
        <v>882.5</v>
      </c>
      <c r="P151" s="15">
        <f t="shared" si="11"/>
        <v>1.0632530120481927</v>
      </c>
    </row>
    <row r="152" spans="1:16" ht="15.75" customHeight="1" x14ac:dyDescent="0.3">
      <c r="A152" s="117" t="s">
        <v>58</v>
      </c>
      <c r="B152" s="9" t="s">
        <v>196</v>
      </c>
      <c r="C152" s="9" t="s">
        <v>80</v>
      </c>
      <c r="D152" s="9" t="s">
        <v>189</v>
      </c>
      <c r="E152" s="10">
        <v>2</v>
      </c>
      <c r="F152" s="9" t="s">
        <v>190</v>
      </c>
      <c r="G152" s="11">
        <v>0</v>
      </c>
      <c r="H152" s="9" t="s">
        <v>179</v>
      </c>
      <c r="I152" s="9" t="s">
        <v>180</v>
      </c>
      <c r="J152" s="9" t="s">
        <v>4</v>
      </c>
      <c r="K152" s="9"/>
      <c r="L152" s="9" t="s">
        <v>197</v>
      </c>
      <c r="M152" s="12">
        <f t="shared" si="8"/>
        <v>703</v>
      </c>
      <c r="N152" s="13">
        <f t="shared" si="9"/>
        <v>179.5</v>
      </c>
      <c r="O152" s="14">
        <f t="shared" si="10"/>
        <v>882.5</v>
      </c>
      <c r="P152" s="15">
        <f t="shared" si="11"/>
        <v>1.0632530120481927</v>
      </c>
    </row>
    <row r="153" spans="1:16" ht="15.75" customHeight="1" x14ac:dyDescent="0.3">
      <c r="A153" s="117" t="s">
        <v>58</v>
      </c>
      <c r="B153" s="9" t="s">
        <v>198</v>
      </c>
      <c r="C153" s="9" t="s">
        <v>73</v>
      </c>
      <c r="D153" s="9" t="s">
        <v>199</v>
      </c>
      <c r="E153" s="10">
        <v>24</v>
      </c>
      <c r="F153" s="9" t="s">
        <v>195</v>
      </c>
      <c r="G153" s="10">
        <v>24</v>
      </c>
      <c r="H153" s="9" t="s">
        <v>200</v>
      </c>
      <c r="I153" s="9" t="s">
        <v>201</v>
      </c>
      <c r="J153" s="9" t="s">
        <v>4</v>
      </c>
      <c r="K153" s="9"/>
      <c r="L153" s="9" t="s">
        <v>202</v>
      </c>
      <c r="M153" s="12">
        <f t="shared" si="8"/>
        <v>647</v>
      </c>
      <c r="N153" s="13">
        <f t="shared" si="9"/>
        <v>461.5</v>
      </c>
      <c r="O153" s="14">
        <f t="shared" si="10"/>
        <v>1108.5</v>
      </c>
      <c r="P153" s="15">
        <f t="shared" si="11"/>
        <v>1.3355421686746989</v>
      </c>
    </row>
    <row r="154" spans="1:16" ht="15.75" customHeight="1" x14ac:dyDescent="0.3">
      <c r="A154" s="117" t="s">
        <v>58</v>
      </c>
      <c r="B154" s="9" t="s">
        <v>198</v>
      </c>
      <c r="C154" s="9" t="s">
        <v>79</v>
      </c>
      <c r="D154" s="9" t="s">
        <v>199</v>
      </c>
      <c r="E154" s="10">
        <v>40</v>
      </c>
      <c r="F154" s="9" t="s">
        <v>195</v>
      </c>
      <c r="G154" s="10">
        <v>40</v>
      </c>
      <c r="H154" s="9" t="s">
        <v>200</v>
      </c>
      <c r="I154" s="9" t="s">
        <v>201</v>
      </c>
      <c r="J154" s="9" t="s">
        <v>4</v>
      </c>
      <c r="K154" s="9"/>
      <c r="L154" s="9" t="s">
        <v>202</v>
      </c>
      <c r="M154" s="12">
        <f t="shared" si="8"/>
        <v>647</v>
      </c>
      <c r="N154" s="13">
        <f t="shared" si="9"/>
        <v>461.5</v>
      </c>
      <c r="O154" s="14">
        <f t="shared" si="10"/>
        <v>1108.5</v>
      </c>
      <c r="P154" s="15">
        <f t="shared" si="11"/>
        <v>1.3355421686746989</v>
      </c>
    </row>
    <row r="155" spans="1:16" ht="15.75" customHeight="1" x14ac:dyDescent="0.3">
      <c r="A155" s="117" t="s">
        <v>58</v>
      </c>
      <c r="B155" s="9" t="s">
        <v>198</v>
      </c>
      <c r="C155" s="9" t="s">
        <v>111</v>
      </c>
      <c r="D155" s="9" t="s">
        <v>199</v>
      </c>
      <c r="E155" s="10">
        <v>12</v>
      </c>
      <c r="F155" s="9" t="s">
        <v>195</v>
      </c>
      <c r="G155" s="11">
        <v>0</v>
      </c>
      <c r="H155" s="9" t="s">
        <v>200</v>
      </c>
      <c r="I155" s="9" t="s">
        <v>201</v>
      </c>
      <c r="J155" s="9" t="s">
        <v>4</v>
      </c>
      <c r="K155" s="9"/>
      <c r="L155" s="9" t="s">
        <v>202</v>
      </c>
      <c r="M155" s="12">
        <f t="shared" si="8"/>
        <v>647</v>
      </c>
      <c r="N155" s="13">
        <f t="shared" si="9"/>
        <v>461.5</v>
      </c>
      <c r="O155" s="14">
        <f t="shared" si="10"/>
        <v>1108.5</v>
      </c>
      <c r="P155" s="15">
        <f t="shared" si="11"/>
        <v>1.3355421686746989</v>
      </c>
    </row>
    <row r="156" spans="1:16" ht="15.75" customHeight="1" x14ac:dyDescent="0.3">
      <c r="A156" s="117" t="s">
        <v>58</v>
      </c>
      <c r="B156" s="9" t="s">
        <v>198</v>
      </c>
      <c r="C156" s="9" t="s">
        <v>80</v>
      </c>
      <c r="D156" s="9" t="s">
        <v>199</v>
      </c>
      <c r="E156" s="10">
        <v>3</v>
      </c>
      <c r="F156" s="9" t="s">
        <v>195</v>
      </c>
      <c r="G156" s="11">
        <v>0</v>
      </c>
      <c r="H156" s="9" t="s">
        <v>200</v>
      </c>
      <c r="I156" s="9" t="s">
        <v>201</v>
      </c>
      <c r="J156" s="9" t="s">
        <v>4</v>
      </c>
      <c r="K156" s="9"/>
      <c r="L156" s="9" t="s">
        <v>202</v>
      </c>
      <c r="M156" s="12">
        <f t="shared" si="8"/>
        <v>647</v>
      </c>
      <c r="N156" s="13">
        <f t="shared" si="9"/>
        <v>461.5</v>
      </c>
      <c r="O156" s="14">
        <f t="shared" si="10"/>
        <v>1108.5</v>
      </c>
      <c r="P156" s="15">
        <f t="shared" si="11"/>
        <v>1.3355421686746989</v>
      </c>
    </row>
    <row r="157" spans="1:16" ht="15.75" customHeight="1" x14ac:dyDescent="0.3">
      <c r="A157" s="117" t="s">
        <v>58</v>
      </c>
      <c r="B157" s="9" t="s">
        <v>203</v>
      </c>
      <c r="C157" s="9" t="s">
        <v>73</v>
      </c>
      <c r="D157" s="9" t="s">
        <v>134</v>
      </c>
      <c r="E157" s="10">
        <v>10</v>
      </c>
      <c r="F157" s="9" t="s">
        <v>166</v>
      </c>
      <c r="G157" s="10">
        <v>10</v>
      </c>
      <c r="H157" s="9" t="s">
        <v>200</v>
      </c>
      <c r="I157" s="9" t="s">
        <v>201</v>
      </c>
      <c r="J157" s="9" t="s">
        <v>4</v>
      </c>
      <c r="K157" s="9"/>
      <c r="L157" s="9" t="s">
        <v>202</v>
      </c>
      <c r="M157" s="12">
        <f t="shared" si="8"/>
        <v>647</v>
      </c>
      <c r="N157" s="13">
        <f t="shared" si="9"/>
        <v>461.5</v>
      </c>
      <c r="O157" s="14">
        <f t="shared" si="10"/>
        <v>1108.5</v>
      </c>
      <c r="P157" s="15">
        <f t="shared" si="11"/>
        <v>1.3355421686746989</v>
      </c>
    </row>
    <row r="158" spans="1:16" ht="15.75" customHeight="1" x14ac:dyDescent="0.3">
      <c r="A158" s="117" t="s">
        <v>58</v>
      </c>
      <c r="B158" s="9" t="s">
        <v>203</v>
      </c>
      <c r="C158" s="9" t="s">
        <v>79</v>
      </c>
      <c r="D158" s="9" t="s">
        <v>134</v>
      </c>
      <c r="E158" s="10">
        <v>16</v>
      </c>
      <c r="F158" s="9" t="s">
        <v>166</v>
      </c>
      <c r="G158" s="10">
        <v>16</v>
      </c>
      <c r="H158" s="9" t="s">
        <v>200</v>
      </c>
      <c r="I158" s="9" t="s">
        <v>201</v>
      </c>
      <c r="J158" s="9" t="s">
        <v>4</v>
      </c>
      <c r="K158" s="9"/>
      <c r="L158" s="9" t="s">
        <v>202</v>
      </c>
      <c r="M158" s="12">
        <f t="shared" si="8"/>
        <v>647</v>
      </c>
      <c r="N158" s="13">
        <f t="shared" si="9"/>
        <v>461.5</v>
      </c>
      <c r="O158" s="14">
        <f t="shared" si="10"/>
        <v>1108.5</v>
      </c>
      <c r="P158" s="15">
        <f t="shared" si="11"/>
        <v>1.3355421686746989</v>
      </c>
    </row>
    <row r="159" spans="1:16" ht="15.75" customHeight="1" x14ac:dyDescent="0.3">
      <c r="A159" s="117" t="s">
        <v>58</v>
      </c>
      <c r="B159" s="9" t="s">
        <v>203</v>
      </c>
      <c r="C159" s="9" t="s">
        <v>142</v>
      </c>
      <c r="D159" s="9" t="s">
        <v>134</v>
      </c>
      <c r="E159" s="10">
        <v>2</v>
      </c>
      <c r="F159" s="9" t="s">
        <v>166</v>
      </c>
      <c r="G159" s="11">
        <v>0</v>
      </c>
      <c r="H159" s="9" t="s">
        <v>200</v>
      </c>
      <c r="I159" s="9" t="s">
        <v>201</v>
      </c>
      <c r="J159" s="9" t="s">
        <v>4</v>
      </c>
      <c r="K159" s="9"/>
      <c r="L159" s="9" t="s">
        <v>202</v>
      </c>
      <c r="M159" s="12">
        <f t="shared" si="8"/>
        <v>647</v>
      </c>
      <c r="N159" s="13">
        <f t="shared" si="9"/>
        <v>461.5</v>
      </c>
      <c r="O159" s="14">
        <f t="shared" si="10"/>
        <v>1108.5</v>
      </c>
      <c r="P159" s="15">
        <f t="shared" si="11"/>
        <v>1.3355421686746989</v>
      </c>
    </row>
    <row r="160" spans="1:16" ht="15.75" customHeight="1" x14ac:dyDescent="0.3">
      <c r="A160" s="117" t="s">
        <v>58</v>
      </c>
      <c r="B160" s="9" t="s">
        <v>203</v>
      </c>
      <c r="C160" s="9" t="s">
        <v>80</v>
      </c>
      <c r="D160" s="9" t="s">
        <v>134</v>
      </c>
      <c r="E160" s="10">
        <v>1</v>
      </c>
      <c r="F160" s="9" t="s">
        <v>166</v>
      </c>
      <c r="G160" s="11">
        <v>0</v>
      </c>
      <c r="H160" s="9" t="s">
        <v>200</v>
      </c>
      <c r="I160" s="9" t="s">
        <v>201</v>
      </c>
      <c r="J160" s="9" t="s">
        <v>4</v>
      </c>
      <c r="K160" s="9"/>
      <c r="L160" s="9" t="s">
        <v>202</v>
      </c>
      <c r="M160" s="12">
        <f t="shared" si="8"/>
        <v>647</v>
      </c>
      <c r="N160" s="13">
        <f t="shared" si="9"/>
        <v>461.5</v>
      </c>
      <c r="O160" s="14">
        <f t="shared" si="10"/>
        <v>1108.5</v>
      </c>
      <c r="P160" s="15">
        <f t="shared" si="11"/>
        <v>1.3355421686746989</v>
      </c>
    </row>
    <row r="161" spans="1:16" ht="15.75" customHeight="1" x14ac:dyDescent="0.3">
      <c r="A161" s="117" t="s">
        <v>58</v>
      </c>
      <c r="B161" s="9" t="s">
        <v>204</v>
      </c>
      <c r="C161" s="9" t="s">
        <v>102</v>
      </c>
      <c r="D161" s="9" t="s">
        <v>189</v>
      </c>
      <c r="E161" s="10">
        <v>24</v>
      </c>
      <c r="F161" s="9" t="s">
        <v>190</v>
      </c>
      <c r="G161" s="11">
        <v>0</v>
      </c>
      <c r="H161" s="9" t="s">
        <v>167</v>
      </c>
      <c r="I161" s="9" t="s">
        <v>168</v>
      </c>
      <c r="J161" s="9" t="s">
        <v>4</v>
      </c>
      <c r="K161" s="9" t="s">
        <v>205</v>
      </c>
      <c r="L161" s="9" t="s">
        <v>197</v>
      </c>
      <c r="M161" s="12">
        <f t="shared" si="8"/>
        <v>456</v>
      </c>
      <c r="N161" s="13">
        <f t="shared" si="9"/>
        <v>362</v>
      </c>
      <c r="O161" s="14">
        <f t="shared" si="10"/>
        <v>818</v>
      </c>
      <c r="P161" s="15">
        <f t="shared" si="11"/>
        <v>0.98554216867469879</v>
      </c>
    </row>
    <row r="162" spans="1:16" ht="15.75" customHeight="1" x14ac:dyDescent="0.3">
      <c r="A162" s="117" t="s">
        <v>58</v>
      </c>
      <c r="B162" s="9" t="s">
        <v>204</v>
      </c>
      <c r="C162" s="9" t="s">
        <v>73</v>
      </c>
      <c r="D162" s="9" t="s">
        <v>189</v>
      </c>
      <c r="E162" s="10">
        <v>20</v>
      </c>
      <c r="F162" s="9" t="s">
        <v>190</v>
      </c>
      <c r="G162" s="10">
        <v>20</v>
      </c>
      <c r="H162" s="9" t="s">
        <v>167</v>
      </c>
      <c r="I162" s="9" t="s">
        <v>168</v>
      </c>
      <c r="J162" s="9" t="s">
        <v>4</v>
      </c>
      <c r="K162" s="9" t="s">
        <v>205</v>
      </c>
      <c r="L162" s="9" t="s">
        <v>197</v>
      </c>
      <c r="M162" s="12">
        <f t="shared" si="8"/>
        <v>456</v>
      </c>
      <c r="N162" s="13">
        <f t="shared" si="9"/>
        <v>362</v>
      </c>
      <c r="O162" s="14">
        <f t="shared" si="10"/>
        <v>818</v>
      </c>
      <c r="P162" s="15">
        <f t="shared" si="11"/>
        <v>0.98554216867469879</v>
      </c>
    </row>
    <row r="163" spans="1:16" ht="15.75" customHeight="1" x14ac:dyDescent="0.3">
      <c r="A163" s="117" t="s">
        <v>58</v>
      </c>
      <c r="B163" s="9" t="s">
        <v>204</v>
      </c>
      <c r="C163" s="9" t="s">
        <v>73</v>
      </c>
      <c r="D163" s="9" t="s">
        <v>103</v>
      </c>
      <c r="E163" s="10">
        <v>40</v>
      </c>
      <c r="F163" s="9" t="s">
        <v>107</v>
      </c>
      <c r="G163" s="10">
        <v>40</v>
      </c>
      <c r="H163" s="9" t="s">
        <v>167</v>
      </c>
      <c r="I163" s="9" t="s">
        <v>168</v>
      </c>
      <c r="J163" s="9" t="s">
        <v>4</v>
      </c>
      <c r="K163" s="9" t="s">
        <v>205</v>
      </c>
      <c r="L163" s="9" t="s">
        <v>197</v>
      </c>
      <c r="M163" s="12">
        <f t="shared" si="8"/>
        <v>456</v>
      </c>
      <c r="N163" s="13">
        <f t="shared" si="9"/>
        <v>362</v>
      </c>
      <c r="O163" s="14">
        <f t="shared" si="10"/>
        <v>818</v>
      </c>
      <c r="P163" s="15">
        <f t="shared" si="11"/>
        <v>0.98554216867469879</v>
      </c>
    </row>
    <row r="164" spans="1:16" ht="15.75" customHeight="1" x14ac:dyDescent="0.3">
      <c r="A164" s="117" t="s">
        <v>58</v>
      </c>
      <c r="B164" s="9" t="s">
        <v>204</v>
      </c>
      <c r="C164" s="9" t="s">
        <v>79</v>
      </c>
      <c r="D164" s="9" t="s">
        <v>189</v>
      </c>
      <c r="E164" s="10">
        <v>12</v>
      </c>
      <c r="F164" s="9" t="s">
        <v>190</v>
      </c>
      <c r="G164" s="10">
        <v>12</v>
      </c>
      <c r="H164" s="9" t="s">
        <v>167</v>
      </c>
      <c r="I164" s="9" t="s">
        <v>168</v>
      </c>
      <c r="J164" s="9" t="s">
        <v>4</v>
      </c>
      <c r="K164" s="9" t="s">
        <v>206</v>
      </c>
      <c r="L164" s="9" t="s">
        <v>197</v>
      </c>
      <c r="M164" s="12">
        <f t="shared" si="8"/>
        <v>456</v>
      </c>
      <c r="N164" s="13">
        <f t="shared" si="9"/>
        <v>362</v>
      </c>
      <c r="O164" s="14">
        <f t="shared" si="10"/>
        <v>818</v>
      </c>
      <c r="P164" s="15">
        <f t="shared" si="11"/>
        <v>0.98554216867469879</v>
      </c>
    </row>
    <row r="165" spans="1:16" ht="15.75" customHeight="1" x14ac:dyDescent="0.3">
      <c r="A165" s="117" t="s">
        <v>58</v>
      </c>
      <c r="B165" s="9" t="s">
        <v>204</v>
      </c>
      <c r="C165" s="9" t="s">
        <v>79</v>
      </c>
      <c r="D165" s="9" t="s">
        <v>103</v>
      </c>
      <c r="E165" s="10">
        <v>68</v>
      </c>
      <c r="F165" s="9" t="s">
        <v>107</v>
      </c>
      <c r="G165" s="10">
        <v>68</v>
      </c>
      <c r="H165" s="9" t="s">
        <v>167</v>
      </c>
      <c r="I165" s="9" t="s">
        <v>168</v>
      </c>
      <c r="J165" s="9" t="s">
        <v>4</v>
      </c>
      <c r="K165" s="9" t="s">
        <v>207</v>
      </c>
      <c r="L165" s="9" t="s">
        <v>197</v>
      </c>
      <c r="M165" s="12">
        <f t="shared" si="8"/>
        <v>456</v>
      </c>
      <c r="N165" s="13">
        <f t="shared" si="9"/>
        <v>362</v>
      </c>
      <c r="O165" s="14">
        <f t="shared" si="10"/>
        <v>818</v>
      </c>
      <c r="P165" s="15">
        <f t="shared" si="11"/>
        <v>0.98554216867469879</v>
      </c>
    </row>
    <row r="166" spans="1:16" ht="15.75" customHeight="1" x14ac:dyDescent="0.3">
      <c r="A166" s="117" t="s">
        <v>58</v>
      </c>
      <c r="B166" s="9" t="s">
        <v>204</v>
      </c>
      <c r="C166" s="9" t="s">
        <v>100</v>
      </c>
      <c r="D166" s="9" t="s">
        <v>189</v>
      </c>
      <c r="E166" s="10">
        <v>16</v>
      </c>
      <c r="F166" s="9" t="s">
        <v>190</v>
      </c>
      <c r="G166" s="10">
        <v>16</v>
      </c>
      <c r="H166" s="9" t="s">
        <v>167</v>
      </c>
      <c r="I166" s="9" t="s">
        <v>168</v>
      </c>
      <c r="J166" s="9" t="s">
        <v>4</v>
      </c>
      <c r="K166" s="9" t="s">
        <v>207</v>
      </c>
      <c r="L166" s="9" t="s">
        <v>197</v>
      </c>
      <c r="M166" s="12">
        <f t="shared" si="8"/>
        <v>456</v>
      </c>
      <c r="N166" s="13">
        <f t="shared" si="9"/>
        <v>362</v>
      </c>
      <c r="O166" s="14">
        <f t="shared" si="10"/>
        <v>818</v>
      </c>
      <c r="P166" s="15">
        <f t="shared" si="11"/>
        <v>0.98554216867469879</v>
      </c>
    </row>
    <row r="167" spans="1:16" ht="15.75" customHeight="1" x14ac:dyDescent="0.3">
      <c r="A167" s="117" t="s">
        <v>58</v>
      </c>
      <c r="B167" s="9" t="s">
        <v>204</v>
      </c>
      <c r="C167" s="9" t="s">
        <v>111</v>
      </c>
      <c r="D167" s="9" t="s">
        <v>189</v>
      </c>
      <c r="E167" s="10">
        <v>3</v>
      </c>
      <c r="F167" s="9" t="s">
        <v>190</v>
      </c>
      <c r="G167" s="11">
        <v>0</v>
      </c>
      <c r="H167" s="9" t="s">
        <v>167</v>
      </c>
      <c r="I167" s="9" t="s">
        <v>168</v>
      </c>
      <c r="J167" s="9" t="s">
        <v>4</v>
      </c>
      <c r="K167" s="9"/>
      <c r="L167" s="9" t="s">
        <v>197</v>
      </c>
      <c r="M167" s="12">
        <f t="shared" si="8"/>
        <v>456</v>
      </c>
      <c r="N167" s="13">
        <f t="shared" si="9"/>
        <v>362</v>
      </c>
      <c r="O167" s="14">
        <f t="shared" si="10"/>
        <v>818</v>
      </c>
      <c r="P167" s="15">
        <f t="shared" si="11"/>
        <v>0.98554216867469879</v>
      </c>
    </row>
    <row r="168" spans="1:16" ht="15.75" customHeight="1" x14ac:dyDescent="0.3">
      <c r="A168" s="117" t="s">
        <v>58</v>
      </c>
      <c r="B168" s="9" t="s">
        <v>204</v>
      </c>
      <c r="C168" s="9" t="s">
        <v>111</v>
      </c>
      <c r="D168" s="9" t="s">
        <v>103</v>
      </c>
      <c r="E168" s="10">
        <v>8</v>
      </c>
      <c r="F168" s="9" t="s">
        <v>107</v>
      </c>
      <c r="G168" s="11">
        <v>0</v>
      </c>
      <c r="H168" s="9" t="s">
        <v>167</v>
      </c>
      <c r="I168" s="9" t="s">
        <v>168</v>
      </c>
      <c r="J168" s="9" t="s">
        <v>4</v>
      </c>
      <c r="K168" s="9"/>
      <c r="L168" s="9"/>
      <c r="M168" s="12">
        <f t="shared" si="8"/>
        <v>456</v>
      </c>
      <c r="N168" s="13">
        <f t="shared" si="9"/>
        <v>362</v>
      </c>
      <c r="O168" s="14">
        <f t="shared" si="10"/>
        <v>818</v>
      </c>
      <c r="P168" s="15">
        <f t="shared" si="11"/>
        <v>0.98554216867469879</v>
      </c>
    </row>
    <row r="169" spans="1:16" ht="15.75" customHeight="1" x14ac:dyDescent="0.3">
      <c r="A169" s="117" t="s">
        <v>58</v>
      </c>
      <c r="B169" s="9" t="s">
        <v>204</v>
      </c>
      <c r="C169" s="9" t="s">
        <v>192</v>
      </c>
      <c r="D169" s="9" t="s">
        <v>189</v>
      </c>
      <c r="E169" s="10">
        <v>32</v>
      </c>
      <c r="F169" s="9" t="s">
        <v>190</v>
      </c>
      <c r="G169" s="10">
        <v>32</v>
      </c>
      <c r="H169" s="9" t="s">
        <v>167</v>
      </c>
      <c r="I169" s="9" t="s">
        <v>168</v>
      </c>
      <c r="J169" s="9" t="s">
        <v>4</v>
      </c>
      <c r="K169" s="9"/>
      <c r="L169" s="9" t="s">
        <v>197</v>
      </c>
      <c r="M169" s="12">
        <f t="shared" si="8"/>
        <v>456</v>
      </c>
      <c r="N169" s="13">
        <f t="shared" si="9"/>
        <v>362</v>
      </c>
      <c r="O169" s="14">
        <f t="shared" si="10"/>
        <v>818</v>
      </c>
      <c r="P169" s="15">
        <f t="shared" si="11"/>
        <v>0.98554216867469879</v>
      </c>
    </row>
    <row r="170" spans="1:16" ht="15.75" customHeight="1" x14ac:dyDescent="0.3">
      <c r="A170" s="117" t="s">
        <v>58</v>
      </c>
      <c r="B170" s="9" t="s">
        <v>204</v>
      </c>
      <c r="C170" s="9" t="s">
        <v>80</v>
      </c>
      <c r="D170" s="9" t="s">
        <v>189</v>
      </c>
      <c r="E170" s="10">
        <v>4</v>
      </c>
      <c r="F170" s="9" t="s">
        <v>190</v>
      </c>
      <c r="G170" s="11">
        <v>0</v>
      </c>
      <c r="H170" s="9" t="s">
        <v>167</v>
      </c>
      <c r="I170" s="9" t="s">
        <v>168</v>
      </c>
      <c r="J170" s="9" t="s">
        <v>4</v>
      </c>
      <c r="K170" s="9"/>
      <c r="L170" s="9" t="s">
        <v>197</v>
      </c>
      <c r="M170" s="12">
        <f t="shared" si="8"/>
        <v>456</v>
      </c>
      <c r="N170" s="13">
        <f t="shared" si="9"/>
        <v>362</v>
      </c>
      <c r="O170" s="14">
        <f t="shared" si="10"/>
        <v>818</v>
      </c>
      <c r="P170" s="15">
        <f t="shared" si="11"/>
        <v>0.98554216867469879</v>
      </c>
    </row>
    <row r="171" spans="1:16" ht="15.75" customHeight="1" x14ac:dyDescent="0.3">
      <c r="A171" s="117" t="s">
        <v>58</v>
      </c>
      <c r="B171" s="9" t="s">
        <v>204</v>
      </c>
      <c r="C171" s="9" t="s">
        <v>80</v>
      </c>
      <c r="D171" s="9" t="s">
        <v>103</v>
      </c>
      <c r="E171" s="10">
        <v>4</v>
      </c>
      <c r="F171" s="9" t="s">
        <v>107</v>
      </c>
      <c r="G171" s="11">
        <v>0</v>
      </c>
      <c r="H171" s="9" t="s">
        <v>167</v>
      </c>
      <c r="I171" s="9" t="s">
        <v>168</v>
      </c>
      <c r="J171" s="9" t="s">
        <v>4</v>
      </c>
      <c r="K171" s="9"/>
      <c r="L171" s="9" t="s">
        <v>197</v>
      </c>
      <c r="M171" s="12">
        <f t="shared" si="8"/>
        <v>456</v>
      </c>
      <c r="N171" s="13">
        <f t="shared" si="9"/>
        <v>362</v>
      </c>
      <c r="O171" s="14">
        <f t="shared" si="10"/>
        <v>818</v>
      </c>
      <c r="P171" s="15">
        <f t="shared" si="11"/>
        <v>0.98554216867469879</v>
      </c>
    </row>
    <row r="172" spans="1:16" ht="15.75" customHeight="1" x14ac:dyDescent="0.3">
      <c r="A172" s="117" t="s">
        <v>58</v>
      </c>
      <c r="B172" s="9" t="s">
        <v>208</v>
      </c>
      <c r="C172" s="9" t="s">
        <v>73</v>
      </c>
      <c r="D172" s="9" t="s">
        <v>194</v>
      </c>
      <c r="E172" s="10">
        <v>24</v>
      </c>
      <c r="F172" s="9" t="s">
        <v>195</v>
      </c>
      <c r="G172" s="10">
        <v>24</v>
      </c>
      <c r="H172" s="9" t="s">
        <v>200</v>
      </c>
      <c r="I172" s="9" t="s">
        <v>201</v>
      </c>
      <c r="J172" s="9" t="s">
        <v>4</v>
      </c>
      <c r="K172" s="9"/>
      <c r="L172" s="9" t="s">
        <v>191</v>
      </c>
      <c r="M172" s="12">
        <f t="shared" si="8"/>
        <v>647</v>
      </c>
      <c r="N172" s="13">
        <f t="shared" si="9"/>
        <v>461.5</v>
      </c>
      <c r="O172" s="14">
        <f t="shared" si="10"/>
        <v>1108.5</v>
      </c>
      <c r="P172" s="15">
        <f t="shared" si="11"/>
        <v>1.3355421686746989</v>
      </c>
    </row>
    <row r="173" spans="1:16" ht="15.75" customHeight="1" x14ac:dyDescent="0.3">
      <c r="A173" s="117" t="s">
        <v>58</v>
      </c>
      <c r="B173" s="9" t="s">
        <v>208</v>
      </c>
      <c r="C173" s="9" t="s">
        <v>79</v>
      </c>
      <c r="D173" s="9" t="s">
        <v>194</v>
      </c>
      <c r="E173" s="10">
        <v>40</v>
      </c>
      <c r="F173" s="9" t="s">
        <v>195</v>
      </c>
      <c r="G173" s="10">
        <v>40</v>
      </c>
      <c r="H173" s="9"/>
      <c r="I173" s="9" t="s">
        <v>187</v>
      </c>
      <c r="J173" s="9" t="s">
        <v>4</v>
      </c>
      <c r="K173" s="9"/>
      <c r="L173" s="9" t="s">
        <v>191</v>
      </c>
      <c r="M173" s="12">
        <f t="shared" si="8"/>
        <v>127</v>
      </c>
      <c r="N173" s="13">
        <f t="shared" si="9"/>
        <v>133.5</v>
      </c>
      <c r="O173" s="14">
        <f t="shared" si="10"/>
        <v>260.5</v>
      </c>
      <c r="P173" s="15">
        <f t="shared" si="11"/>
        <v>0.31385542168674696</v>
      </c>
    </row>
    <row r="174" spans="1:16" ht="15.75" customHeight="1" x14ac:dyDescent="0.3">
      <c r="A174" s="117" t="s">
        <v>58</v>
      </c>
      <c r="B174" s="9" t="s">
        <v>208</v>
      </c>
      <c r="C174" s="9" t="s">
        <v>111</v>
      </c>
      <c r="D174" s="9" t="s">
        <v>194</v>
      </c>
      <c r="E174" s="10">
        <v>9</v>
      </c>
      <c r="F174" s="9" t="s">
        <v>195</v>
      </c>
      <c r="G174" s="11">
        <v>0</v>
      </c>
      <c r="H174" s="9" t="s">
        <v>200</v>
      </c>
      <c r="I174" s="9" t="s">
        <v>201</v>
      </c>
      <c r="J174" s="9" t="s">
        <v>4</v>
      </c>
      <c r="K174" s="9"/>
      <c r="L174" s="9" t="s">
        <v>191</v>
      </c>
      <c r="M174" s="12">
        <f t="shared" si="8"/>
        <v>647</v>
      </c>
      <c r="N174" s="13">
        <f t="shared" si="9"/>
        <v>461.5</v>
      </c>
      <c r="O174" s="14">
        <f t="shared" si="10"/>
        <v>1108.5</v>
      </c>
      <c r="P174" s="15">
        <f t="shared" si="11"/>
        <v>1.3355421686746989</v>
      </c>
    </row>
    <row r="175" spans="1:16" ht="15.75" customHeight="1" x14ac:dyDescent="0.3">
      <c r="A175" s="117" t="s">
        <v>58</v>
      </c>
      <c r="B175" s="9" t="s">
        <v>208</v>
      </c>
      <c r="C175" s="9" t="s">
        <v>80</v>
      </c>
      <c r="D175" s="9" t="s">
        <v>194</v>
      </c>
      <c r="E175" s="10">
        <v>3</v>
      </c>
      <c r="F175" s="9" t="s">
        <v>195</v>
      </c>
      <c r="G175" s="11">
        <v>0</v>
      </c>
      <c r="H175" s="9" t="s">
        <v>200</v>
      </c>
      <c r="I175" s="9" t="s">
        <v>201</v>
      </c>
      <c r="J175" s="9" t="s">
        <v>4</v>
      </c>
      <c r="K175" s="9"/>
      <c r="L175" s="9" t="s">
        <v>191</v>
      </c>
      <c r="M175" s="12">
        <f t="shared" si="8"/>
        <v>647</v>
      </c>
      <c r="N175" s="13">
        <f t="shared" si="9"/>
        <v>461.5</v>
      </c>
      <c r="O175" s="14">
        <f t="shared" si="10"/>
        <v>1108.5</v>
      </c>
      <c r="P175" s="15">
        <f t="shared" si="11"/>
        <v>1.3355421686746989</v>
      </c>
    </row>
    <row r="176" spans="1:16" ht="15.75" customHeight="1" x14ac:dyDescent="0.3">
      <c r="A176" s="117" t="s">
        <v>58</v>
      </c>
      <c r="B176" s="9" t="s">
        <v>209</v>
      </c>
      <c r="C176" s="9" t="s">
        <v>73</v>
      </c>
      <c r="D176" s="9" t="s">
        <v>199</v>
      </c>
      <c r="E176" s="10">
        <v>16</v>
      </c>
      <c r="F176" s="9" t="s">
        <v>195</v>
      </c>
      <c r="G176" s="10">
        <v>16</v>
      </c>
      <c r="H176" s="9" t="s">
        <v>210</v>
      </c>
      <c r="I176" s="9" t="s">
        <v>211</v>
      </c>
      <c r="J176" s="9" t="s">
        <v>4</v>
      </c>
      <c r="K176" s="9"/>
      <c r="L176" s="9" t="s">
        <v>169</v>
      </c>
      <c r="M176" s="12">
        <f t="shared" si="8"/>
        <v>213</v>
      </c>
      <c r="N176" s="13">
        <f t="shared" si="9"/>
        <v>399</v>
      </c>
      <c r="O176" s="14">
        <f t="shared" si="10"/>
        <v>612</v>
      </c>
      <c r="P176" s="15">
        <f t="shared" si="11"/>
        <v>0.73734939759036144</v>
      </c>
    </row>
    <row r="177" spans="1:16" ht="15.75" customHeight="1" x14ac:dyDescent="0.3">
      <c r="A177" s="117" t="s">
        <v>58</v>
      </c>
      <c r="B177" s="9" t="s">
        <v>209</v>
      </c>
      <c r="C177" s="9" t="s">
        <v>79</v>
      </c>
      <c r="D177" s="9" t="s">
        <v>199</v>
      </c>
      <c r="E177" s="10">
        <v>16</v>
      </c>
      <c r="F177" s="9" t="s">
        <v>195</v>
      </c>
      <c r="G177" s="10">
        <v>16</v>
      </c>
      <c r="H177" s="9" t="s">
        <v>210</v>
      </c>
      <c r="I177" s="9" t="s">
        <v>211</v>
      </c>
      <c r="J177" s="9" t="s">
        <v>4</v>
      </c>
      <c r="K177" s="9"/>
      <c r="L177" s="9" t="s">
        <v>169</v>
      </c>
      <c r="M177" s="12">
        <f t="shared" si="8"/>
        <v>213</v>
      </c>
      <c r="N177" s="13">
        <f t="shared" si="9"/>
        <v>399</v>
      </c>
      <c r="O177" s="14">
        <f t="shared" si="10"/>
        <v>612</v>
      </c>
      <c r="P177" s="15">
        <f t="shared" si="11"/>
        <v>0.73734939759036144</v>
      </c>
    </row>
    <row r="178" spans="1:16" ht="15.75" customHeight="1" x14ac:dyDescent="0.3">
      <c r="A178" s="117" t="s">
        <v>58</v>
      </c>
      <c r="B178" s="9" t="s">
        <v>209</v>
      </c>
      <c r="C178" s="9" t="s">
        <v>100</v>
      </c>
      <c r="D178" s="9" t="s">
        <v>199</v>
      </c>
      <c r="E178" s="10">
        <v>16</v>
      </c>
      <c r="F178" s="9" t="s">
        <v>195</v>
      </c>
      <c r="G178" s="10">
        <v>8</v>
      </c>
      <c r="H178" s="9" t="s">
        <v>210</v>
      </c>
      <c r="I178" s="9" t="s">
        <v>211</v>
      </c>
      <c r="J178" s="9" t="s">
        <v>4</v>
      </c>
      <c r="K178" s="9"/>
      <c r="L178" s="9" t="s">
        <v>169</v>
      </c>
      <c r="M178" s="12">
        <f t="shared" si="8"/>
        <v>213</v>
      </c>
      <c r="N178" s="13">
        <f t="shared" si="9"/>
        <v>399</v>
      </c>
      <c r="O178" s="14">
        <f t="shared" si="10"/>
        <v>612</v>
      </c>
      <c r="P178" s="15">
        <f t="shared" si="11"/>
        <v>0.73734939759036144</v>
      </c>
    </row>
    <row r="179" spans="1:16" ht="15.75" customHeight="1" x14ac:dyDescent="0.3">
      <c r="A179" s="117" t="s">
        <v>58</v>
      </c>
      <c r="B179" s="9" t="s">
        <v>209</v>
      </c>
      <c r="C179" s="9" t="s">
        <v>142</v>
      </c>
      <c r="D179" s="9" t="s">
        <v>199</v>
      </c>
      <c r="E179" s="10">
        <v>8</v>
      </c>
      <c r="F179" s="9" t="s">
        <v>195</v>
      </c>
      <c r="G179" s="11">
        <v>0</v>
      </c>
      <c r="H179" s="9" t="s">
        <v>210</v>
      </c>
      <c r="I179" s="9" t="s">
        <v>211</v>
      </c>
      <c r="J179" s="9" t="s">
        <v>4</v>
      </c>
      <c r="K179" s="9"/>
      <c r="L179" s="9" t="s">
        <v>169</v>
      </c>
      <c r="M179" s="12">
        <f t="shared" si="8"/>
        <v>213</v>
      </c>
      <c r="N179" s="13">
        <f t="shared" si="9"/>
        <v>399</v>
      </c>
      <c r="O179" s="14">
        <f t="shared" si="10"/>
        <v>612</v>
      </c>
      <c r="P179" s="15">
        <f t="shared" si="11"/>
        <v>0.73734939759036144</v>
      </c>
    </row>
    <row r="180" spans="1:16" ht="15.75" customHeight="1" x14ac:dyDescent="0.3">
      <c r="A180" s="117" t="s">
        <v>58</v>
      </c>
      <c r="B180" s="9" t="s">
        <v>209</v>
      </c>
      <c r="C180" s="9" t="s">
        <v>80</v>
      </c>
      <c r="D180" s="9" t="s">
        <v>199</v>
      </c>
      <c r="E180" s="10">
        <v>1</v>
      </c>
      <c r="F180" s="9" t="s">
        <v>195</v>
      </c>
      <c r="G180" s="11">
        <v>0</v>
      </c>
      <c r="H180" s="9" t="s">
        <v>210</v>
      </c>
      <c r="I180" s="9" t="s">
        <v>211</v>
      </c>
      <c r="J180" s="9" t="s">
        <v>4</v>
      </c>
      <c r="K180" s="9"/>
      <c r="L180" s="9" t="s">
        <v>169</v>
      </c>
      <c r="M180" s="12">
        <f t="shared" si="8"/>
        <v>213</v>
      </c>
      <c r="N180" s="13">
        <f t="shared" si="9"/>
        <v>399</v>
      </c>
      <c r="O180" s="14">
        <f t="shared" si="10"/>
        <v>612</v>
      </c>
      <c r="P180" s="15">
        <f t="shared" si="11"/>
        <v>0.73734939759036144</v>
      </c>
    </row>
    <row r="181" spans="1:16" ht="15.75" customHeight="1" x14ac:dyDescent="0.3">
      <c r="A181" s="117" t="s">
        <v>58</v>
      </c>
      <c r="B181" s="9" t="s">
        <v>212</v>
      </c>
      <c r="C181" s="9" t="s">
        <v>73</v>
      </c>
      <c r="D181" s="9" t="s">
        <v>199</v>
      </c>
      <c r="E181" s="10">
        <v>16</v>
      </c>
      <c r="F181" s="9" t="s">
        <v>195</v>
      </c>
      <c r="G181" s="10">
        <v>16</v>
      </c>
      <c r="H181" s="9" t="s">
        <v>210</v>
      </c>
      <c r="I181" s="9" t="s">
        <v>211</v>
      </c>
      <c r="J181" s="9" t="s">
        <v>4</v>
      </c>
      <c r="K181" s="9"/>
      <c r="L181" s="9" t="s">
        <v>191</v>
      </c>
      <c r="M181" s="12">
        <f t="shared" si="8"/>
        <v>213</v>
      </c>
      <c r="N181" s="13">
        <f t="shared" si="9"/>
        <v>399</v>
      </c>
      <c r="O181" s="14">
        <f t="shared" si="10"/>
        <v>612</v>
      </c>
      <c r="P181" s="15">
        <f t="shared" si="11"/>
        <v>0.73734939759036144</v>
      </c>
    </row>
    <row r="182" spans="1:16" ht="15.75" customHeight="1" x14ac:dyDescent="0.3">
      <c r="A182" s="117" t="s">
        <v>58</v>
      </c>
      <c r="B182" s="9" t="s">
        <v>212</v>
      </c>
      <c r="C182" s="9" t="s">
        <v>87</v>
      </c>
      <c r="D182" s="9" t="s">
        <v>199</v>
      </c>
      <c r="E182" s="10">
        <v>8</v>
      </c>
      <c r="F182" s="9" t="s">
        <v>195</v>
      </c>
      <c r="G182" s="11">
        <v>0</v>
      </c>
      <c r="H182" s="9" t="s">
        <v>210</v>
      </c>
      <c r="I182" s="9" t="s">
        <v>211</v>
      </c>
      <c r="J182" s="9" t="s">
        <v>4</v>
      </c>
      <c r="K182" s="9"/>
      <c r="L182" s="9" t="s">
        <v>191</v>
      </c>
      <c r="M182" s="12">
        <f t="shared" si="8"/>
        <v>213</v>
      </c>
      <c r="N182" s="13">
        <f t="shared" si="9"/>
        <v>399</v>
      </c>
      <c r="O182" s="14">
        <f t="shared" si="10"/>
        <v>612</v>
      </c>
      <c r="P182" s="15">
        <f t="shared" si="11"/>
        <v>0.73734939759036144</v>
      </c>
    </row>
    <row r="183" spans="1:16" ht="15.75" customHeight="1" x14ac:dyDescent="0.3">
      <c r="A183" s="117" t="s">
        <v>58</v>
      </c>
      <c r="B183" s="9" t="s">
        <v>212</v>
      </c>
      <c r="C183" s="9" t="s">
        <v>79</v>
      </c>
      <c r="D183" s="9" t="s">
        <v>199</v>
      </c>
      <c r="E183" s="10">
        <v>32</v>
      </c>
      <c r="F183" s="9" t="s">
        <v>195</v>
      </c>
      <c r="G183" s="10">
        <v>32</v>
      </c>
      <c r="H183" s="9" t="s">
        <v>210</v>
      </c>
      <c r="I183" s="9" t="s">
        <v>211</v>
      </c>
      <c r="J183" s="9" t="s">
        <v>4</v>
      </c>
      <c r="K183" s="9"/>
      <c r="L183" s="9" t="s">
        <v>191</v>
      </c>
      <c r="M183" s="12">
        <f t="shared" si="8"/>
        <v>213</v>
      </c>
      <c r="N183" s="13">
        <f t="shared" si="9"/>
        <v>399</v>
      </c>
      <c r="O183" s="14">
        <f t="shared" si="10"/>
        <v>612</v>
      </c>
      <c r="P183" s="15">
        <f t="shared" si="11"/>
        <v>0.73734939759036144</v>
      </c>
    </row>
    <row r="184" spans="1:16" ht="15.75" customHeight="1" x14ac:dyDescent="0.3">
      <c r="A184" s="117" t="s">
        <v>58</v>
      </c>
      <c r="B184" s="9" t="s">
        <v>212</v>
      </c>
      <c r="C184" s="9" t="s">
        <v>100</v>
      </c>
      <c r="D184" s="9" t="s">
        <v>199</v>
      </c>
      <c r="E184" s="10">
        <v>16</v>
      </c>
      <c r="F184" s="9" t="s">
        <v>195</v>
      </c>
      <c r="G184" s="10">
        <v>8</v>
      </c>
      <c r="H184" s="9" t="s">
        <v>210</v>
      </c>
      <c r="I184" s="9" t="s">
        <v>211</v>
      </c>
      <c r="J184" s="9" t="s">
        <v>4</v>
      </c>
      <c r="K184" s="9"/>
      <c r="L184" s="9" t="s">
        <v>191</v>
      </c>
      <c r="M184" s="12">
        <f t="shared" si="8"/>
        <v>213</v>
      </c>
      <c r="N184" s="13">
        <f t="shared" si="9"/>
        <v>399</v>
      </c>
      <c r="O184" s="14">
        <f t="shared" si="10"/>
        <v>612</v>
      </c>
      <c r="P184" s="15">
        <f t="shared" si="11"/>
        <v>0.73734939759036144</v>
      </c>
    </row>
    <row r="185" spans="1:16" ht="15.75" customHeight="1" x14ac:dyDescent="0.3">
      <c r="A185" s="117" t="s">
        <v>58</v>
      </c>
      <c r="B185" s="9" t="s">
        <v>212</v>
      </c>
      <c r="C185" s="9" t="s">
        <v>80</v>
      </c>
      <c r="D185" s="9" t="s">
        <v>199</v>
      </c>
      <c r="E185" s="10">
        <v>1</v>
      </c>
      <c r="F185" s="9" t="s">
        <v>195</v>
      </c>
      <c r="G185" s="11">
        <v>0</v>
      </c>
      <c r="H185" s="9" t="s">
        <v>210</v>
      </c>
      <c r="I185" s="9" t="s">
        <v>211</v>
      </c>
      <c r="J185" s="9" t="s">
        <v>4</v>
      </c>
      <c r="K185" s="9"/>
      <c r="L185" s="9" t="s">
        <v>191</v>
      </c>
      <c r="M185" s="12">
        <f t="shared" si="8"/>
        <v>213</v>
      </c>
      <c r="N185" s="13">
        <f t="shared" si="9"/>
        <v>399</v>
      </c>
      <c r="O185" s="14">
        <f t="shared" si="10"/>
        <v>612</v>
      </c>
      <c r="P185" s="15">
        <f t="shared" si="11"/>
        <v>0.73734939759036144</v>
      </c>
    </row>
    <row r="186" spans="1:16" ht="15.75" customHeight="1" x14ac:dyDescent="0.3">
      <c r="A186" s="117" t="s">
        <v>58</v>
      </c>
      <c r="B186" s="9" t="s">
        <v>213</v>
      </c>
      <c r="C186" s="9" t="s">
        <v>73</v>
      </c>
      <c r="D186" s="9" t="s">
        <v>199</v>
      </c>
      <c r="E186" s="10">
        <v>24</v>
      </c>
      <c r="F186" s="9" t="s">
        <v>195</v>
      </c>
      <c r="G186" s="10">
        <v>24</v>
      </c>
      <c r="H186" s="9" t="s">
        <v>91</v>
      </c>
      <c r="I186" s="9" t="s">
        <v>92</v>
      </c>
      <c r="J186" s="9" t="s">
        <v>4</v>
      </c>
      <c r="K186" s="9"/>
      <c r="L186" s="9" t="s">
        <v>93</v>
      </c>
      <c r="M186" s="12">
        <f t="shared" si="8"/>
        <v>405</v>
      </c>
      <c r="N186" s="13">
        <f t="shared" si="9"/>
        <v>478</v>
      </c>
      <c r="O186" s="14">
        <f t="shared" si="10"/>
        <v>883</v>
      </c>
      <c r="P186" s="15">
        <f t="shared" si="11"/>
        <v>1.0638554216867471</v>
      </c>
    </row>
    <row r="187" spans="1:16" ht="15.75" customHeight="1" x14ac:dyDescent="0.3">
      <c r="A187" s="117" t="s">
        <v>58</v>
      </c>
      <c r="B187" s="9" t="s">
        <v>213</v>
      </c>
      <c r="C187" s="9" t="s">
        <v>87</v>
      </c>
      <c r="D187" s="9" t="s">
        <v>199</v>
      </c>
      <c r="E187" s="10">
        <v>8</v>
      </c>
      <c r="F187" s="9" t="s">
        <v>195</v>
      </c>
      <c r="G187" s="11">
        <v>0</v>
      </c>
      <c r="H187" s="9" t="s">
        <v>91</v>
      </c>
      <c r="I187" s="9" t="s">
        <v>92</v>
      </c>
      <c r="J187" s="9" t="s">
        <v>4</v>
      </c>
      <c r="K187" s="9"/>
      <c r="L187" s="9" t="s">
        <v>197</v>
      </c>
      <c r="M187" s="12">
        <f t="shared" si="8"/>
        <v>405</v>
      </c>
      <c r="N187" s="13">
        <f t="shared" si="9"/>
        <v>478</v>
      </c>
      <c r="O187" s="14">
        <f t="shared" si="10"/>
        <v>883</v>
      </c>
      <c r="P187" s="15">
        <f t="shared" si="11"/>
        <v>1.0638554216867471</v>
      </c>
    </row>
    <row r="188" spans="1:16" ht="15.75" customHeight="1" x14ac:dyDescent="0.3">
      <c r="A188" s="117" t="s">
        <v>58</v>
      </c>
      <c r="B188" s="9" t="s">
        <v>213</v>
      </c>
      <c r="C188" s="9" t="s">
        <v>79</v>
      </c>
      <c r="D188" s="9" t="s">
        <v>199</v>
      </c>
      <c r="E188" s="10">
        <v>40</v>
      </c>
      <c r="F188" s="9" t="s">
        <v>195</v>
      </c>
      <c r="G188" s="10">
        <v>40</v>
      </c>
      <c r="H188" s="9" t="s">
        <v>91</v>
      </c>
      <c r="I188" s="9" t="s">
        <v>92</v>
      </c>
      <c r="J188" s="9" t="s">
        <v>4</v>
      </c>
      <c r="K188" s="9"/>
      <c r="L188" s="9" t="s">
        <v>214</v>
      </c>
      <c r="M188" s="12">
        <f t="shared" si="8"/>
        <v>405</v>
      </c>
      <c r="N188" s="13">
        <f t="shared" si="9"/>
        <v>478</v>
      </c>
      <c r="O188" s="14">
        <f t="shared" si="10"/>
        <v>883</v>
      </c>
      <c r="P188" s="15">
        <f t="shared" si="11"/>
        <v>1.0638554216867471</v>
      </c>
    </row>
    <row r="189" spans="1:16" ht="15.75" customHeight="1" x14ac:dyDescent="0.3">
      <c r="A189" s="117" t="s">
        <v>58</v>
      </c>
      <c r="B189" s="9" t="s">
        <v>213</v>
      </c>
      <c r="C189" s="9" t="s">
        <v>80</v>
      </c>
      <c r="D189" s="9" t="s">
        <v>199</v>
      </c>
      <c r="E189" s="10">
        <v>1</v>
      </c>
      <c r="F189" s="9" t="s">
        <v>195</v>
      </c>
      <c r="G189" s="11">
        <v>0</v>
      </c>
      <c r="H189" s="9" t="s">
        <v>91</v>
      </c>
      <c r="I189" s="9" t="s">
        <v>92</v>
      </c>
      <c r="J189" s="9" t="s">
        <v>4</v>
      </c>
      <c r="K189" s="9"/>
      <c r="L189" s="9" t="s">
        <v>197</v>
      </c>
      <c r="M189" s="12">
        <f t="shared" si="8"/>
        <v>405</v>
      </c>
      <c r="N189" s="13">
        <f t="shared" si="9"/>
        <v>478</v>
      </c>
      <c r="O189" s="14">
        <f t="shared" si="10"/>
        <v>883</v>
      </c>
      <c r="P189" s="15">
        <f t="shared" si="11"/>
        <v>1.0638554216867471</v>
      </c>
    </row>
    <row r="190" spans="1:16" ht="15.75" customHeight="1" x14ac:dyDescent="0.3">
      <c r="A190" s="117" t="s">
        <v>58</v>
      </c>
      <c r="B190" s="9" t="s">
        <v>215</v>
      </c>
      <c r="C190" s="9" t="s">
        <v>73</v>
      </c>
      <c r="D190" s="9" t="s">
        <v>194</v>
      </c>
      <c r="E190" s="10">
        <v>40</v>
      </c>
      <c r="F190" s="9" t="s">
        <v>195</v>
      </c>
      <c r="G190" s="10">
        <v>40</v>
      </c>
      <c r="H190" s="9" t="s">
        <v>128</v>
      </c>
      <c r="I190" s="9" t="s">
        <v>129</v>
      </c>
      <c r="J190" s="9" t="s">
        <v>8</v>
      </c>
      <c r="K190" s="9"/>
      <c r="L190" s="9" t="s">
        <v>191</v>
      </c>
      <c r="M190" s="12">
        <f t="shared" si="8"/>
        <v>348</v>
      </c>
      <c r="N190" s="13">
        <f t="shared" si="9"/>
        <v>583</v>
      </c>
      <c r="O190" s="14">
        <f t="shared" si="10"/>
        <v>931</v>
      </c>
      <c r="P190" s="15">
        <f t="shared" si="11"/>
        <v>1.1216867469879519</v>
      </c>
    </row>
    <row r="191" spans="1:16" ht="15.75" customHeight="1" x14ac:dyDescent="0.3">
      <c r="A191" s="117" t="s">
        <v>58</v>
      </c>
      <c r="B191" s="9" t="s">
        <v>215</v>
      </c>
      <c r="C191" s="9" t="s">
        <v>87</v>
      </c>
      <c r="D191" s="9" t="s">
        <v>194</v>
      </c>
      <c r="E191" s="10">
        <v>6</v>
      </c>
      <c r="F191" s="9" t="s">
        <v>195</v>
      </c>
      <c r="G191" s="11">
        <v>0</v>
      </c>
      <c r="H191" s="9" t="s">
        <v>128</v>
      </c>
      <c r="I191" s="9" t="s">
        <v>129</v>
      </c>
      <c r="J191" s="9" t="s">
        <v>8</v>
      </c>
      <c r="K191" s="9"/>
      <c r="L191" s="9" t="s">
        <v>191</v>
      </c>
      <c r="M191" s="12">
        <f t="shared" si="8"/>
        <v>348</v>
      </c>
      <c r="N191" s="13">
        <f t="shared" si="9"/>
        <v>583</v>
      </c>
      <c r="O191" s="14">
        <f t="shared" si="10"/>
        <v>931</v>
      </c>
      <c r="P191" s="15">
        <f t="shared" si="11"/>
        <v>1.1216867469879519</v>
      </c>
    </row>
    <row r="192" spans="1:16" ht="15.75" customHeight="1" x14ac:dyDescent="0.3">
      <c r="A192" s="117" t="s">
        <v>58</v>
      </c>
      <c r="B192" s="9" t="s">
        <v>215</v>
      </c>
      <c r="C192" s="9" t="s">
        <v>79</v>
      </c>
      <c r="D192" s="9" t="s">
        <v>194</v>
      </c>
      <c r="E192" s="10">
        <v>32</v>
      </c>
      <c r="F192" s="9" t="s">
        <v>195</v>
      </c>
      <c r="G192" s="10">
        <v>32</v>
      </c>
      <c r="H192" s="9" t="s">
        <v>128</v>
      </c>
      <c r="I192" s="9" t="s">
        <v>129</v>
      </c>
      <c r="J192" s="9" t="s">
        <v>8</v>
      </c>
      <c r="K192" s="9"/>
      <c r="L192" s="9" t="s">
        <v>191</v>
      </c>
      <c r="M192" s="12">
        <f t="shared" si="8"/>
        <v>348</v>
      </c>
      <c r="N192" s="13">
        <f t="shared" si="9"/>
        <v>583</v>
      </c>
      <c r="O192" s="14">
        <f t="shared" si="10"/>
        <v>931</v>
      </c>
      <c r="P192" s="15">
        <f t="shared" si="11"/>
        <v>1.1216867469879519</v>
      </c>
    </row>
    <row r="193" spans="1:16" ht="15.75" customHeight="1" x14ac:dyDescent="0.3">
      <c r="A193" s="117" t="s">
        <v>58</v>
      </c>
      <c r="B193" s="9" t="s">
        <v>215</v>
      </c>
      <c r="C193" s="9" t="s">
        <v>80</v>
      </c>
      <c r="D193" s="9" t="s">
        <v>194</v>
      </c>
      <c r="E193" s="10">
        <v>2</v>
      </c>
      <c r="F193" s="9" t="s">
        <v>195</v>
      </c>
      <c r="G193" s="11">
        <v>0</v>
      </c>
      <c r="H193" s="9" t="s">
        <v>128</v>
      </c>
      <c r="I193" s="9" t="s">
        <v>129</v>
      </c>
      <c r="J193" s="9" t="s">
        <v>8</v>
      </c>
      <c r="K193" s="9"/>
      <c r="L193" s="9" t="s">
        <v>191</v>
      </c>
      <c r="M193" s="12">
        <f t="shared" si="8"/>
        <v>348</v>
      </c>
      <c r="N193" s="13">
        <f t="shared" si="9"/>
        <v>583</v>
      </c>
      <c r="O193" s="14">
        <f t="shared" si="10"/>
        <v>931</v>
      </c>
      <c r="P193" s="15">
        <f t="shared" si="11"/>
        <v>1.1216867469879519</v>
      </c>
    </row>
    <row r="194" spans="1:16" ht="15.75" customHeight="1" x14ac:dyDescent="0.3">
      <c r="A194" s="117" t="s">
        <v>58</v>
      </c>
      <c r="B194" s="9" t="s">
        <v>216</v>
      </c>
      <c r="C194" s="9" t="s">
        <v>73</v>
      </c>
      <c r="D194" s="9" t="s">
        <v>199</v>
      </c>
      <c r="E194" s="10">
        <v>32</v>
      </c>
      <c r="F194" s="9" t="s">
        <v>195</v>
      </c>
      <c r="G194" s="10">
        <v>32</v>
      </c>
      <c r="H194" s="9" t="s">
        <v>179</v>
      </c>
      <c r="I194" s="9" t="s">
        <v>180</v>
      </c>
      <c r="J194" s="9" t="s">
        <v>4</v>
      </c>
      <c r="K194" s="9"/>
      <c r="L194" s="9" t="s">
        <v>181</v>
      </c>
      <c r="M194" s="12">
        <f t="shared" ref="M194:M257" si="12">SUMIFS($E$2:$E$1130,$A$2:$A$1130,"осень",$I$2:$I$1130,I194)</f>
        <v>703</v>
      </c>
      <c r="N194" s="13">
        <f t="shared" ref="N194:N257" si="13">SUMIFS($E$2:$E$1130,$A$2:$A$1130,"весна",$I$2:$I$1130,I194)</f>
        <v>179.5</v>
      </c>
      <c r="O194" s="14">
        <f t="shared" ref="O194:O257" si="14">M194+N194</f>
        <v>882.5</v>
      </c>
      <c r="P194" s="15">
        <f t="shared" ref="P194:P257" si="15">O194/$P$1</f>
        <v>1.0632530120481927</v>
      </c>
    </row>
    <row r="195" spans="1:16" ht="15.75" customHeight="1" x14ac:dyDescent="0.3">
      <c r="A195" s="117" t="s">
        <v>58</v>
      </c>
      <c r="B195" s="9" t="s">
        <v>216</v>
      </c>
      <c r="C195" s="9" t="s">
        <v>79</v>
      </c>
      <c r="D195" s="9" t="s">
        <v>199</v>
      </c>
      <c r="E195" s="10">
        <v>32</v>
      </c>
      <c r="F195" s="9" t="s">
        <v>195</v>
      </c>
      <c r="G195" s="10">
        <v>32</v>
      </c>
      <c r="H195" s="9" t="s">
        <v>179</v>
      </c>
      <c r="I195" s="9" t="s">
        <v>180</v>
      </c>
      <c r="J195" s="9" t="s">
        <v>4</v>
      </c>
      <c r="K195" s="9"/>
      <c r="L195" s="9" t="s">
        <v>181</v>
      </c>
      <c r="M195" s="12">
        <f t="shared" si="12"/>
        <v>703</v>
      </c>
      <c r="N195" s="13">
        <f t="shared" si="13"/>
        <v>179.5</v>
      </c>
      <c r="O195" s="14">
        <f t="shared" si="14"/>
        <v>882.5</v>
      </c>
      <c r="P195" s="15">
        <f t="shared" si="15"/>
        <v>1.0632530120481927</v>
      </c>
    </row>
    <row r="196" spans="1:16" ht="15.75" customHeight="1" x14ac:dyDescent="0.3">
      <c r="A196" s="117" t="s">
        <v>58</v>
      </c>
      <c r="B196" s="9" t="s">
        <v>216</v>
      </c>
      <c r="C196" s="9" t="s">
        <v>111</v>
      </c>
      <c r="D196" s="9" t="s">
        <v>199</v>
      </c>
      <c r="E196" s="10">
        <v>12</v>
      </c>
      <c r="F196" s="9" t="s">
        <v>195</v>
      </c>
      <c r="G196" s="11">
        <v>0</v>
      </c>
      <c r="H196" s="9" t="s">
        <v>179</v>
      </c>
      <c r="I196" s="9" t="s">
        <v>180</v>
      </c>
      <c r="J196" s="9" t="s">
        <v>4</v>
      </c>
      <c r="K196" s="9"/>
      <c r="L196" s="9" t="s">
        <v>181</v>
      </c>
      <c r="M196" s="12">
        <f t="shared" si="12"/>
        <v>703</v>
      </c>
      <c r="N196" s="13">
        <f t="shared" si="13"/>
        <v>179.5</v>
      </c>
      <c r="O196" s="14">
        <f t="shared" si="14"/>
        <v>882.5</v>
      </c>
      <c r="P196" s="15">
        <f t="shared" si="15"/>
        <v>1.0632530120481927</v>
      </c>
    </row>
    <row r="197" spans="1:16" ht="15.75" customHeight="1" x14ac:dyDescent="0.3">
      <c r="A197" s="117" t="s">
        <v>58</v>
      </c>
      <c r="B197" s="9" t="s">
        <v>216</v>
      </c>
      <c r="C197" s="9" t="s">
        <v>80</v>
      </c>
      <c r="D197" s="9" t="s">
        <v>199</v>
      </c>
      <c r="E197" s="10">
        <v>4</v>
      </c>
      <c r="F197" s="9" t="s">
        <v>195</v>
      </c>
      <c r="G197" s="11">
        <v>0</v>
      </c>
      <c r="H197" s="9" t="s">
        <v>179</v>
      </c>
      <c r="I197" s="9" t="s">
        <v>180</v>
      </c>
      <c r="J197" s="9" t="s">
        <v>4</v>
      </c>
      <c r="K197" s="9"/>
      <c r="L197" s="9" t="s">
        <v>181</v>
      </c>
      <c r="M197" s="12">
        <f t="shared" si="12"/>
        <v>703</v>
      </c>
      <c r="N197" s="13">
        <f t="shared" si="13"/>
        <v>179.5</v>
      </c>
      <c r="O197" s="14">
        <f t="shared" si="14"/>
        <v>882.5</v>
      </c>
      <c r="P197" s="15">
        <f t="shared" si="15"/>
        <v>1.0632530120481927</v>
      </c>
    </row>
    <row r="198" spans="1:16" ht="15.75" customHeight="1" x14ac:dyDescent="0.3">
      <c r="A198" s="117" t="s">
        <v>58</v>
      </c>
      <c r="B198" s="9" t="s">
        <v>217</v>
      </c>
      <c r="C198" s="9" t="s">
        <v>73</v>
      </c>
      <c r="D198" s="9" t="s">
        <v>199</v>
      </c>
      <c r="E198" s="10">
        <v>24</v>
      </c>
      <c r="F198" s="9" t="s">
        <v>195</v>
      </c>
      <c r="G198" s="10">
        <v>24</v>
      </c>
      <c r="H198" s="9" t="s">
        <v>128</v>
      </c>
      <c r="I198" s="9" t="s">
        <v>129</v>
      </c>
      <c r="J198" s="9" t="s">
        <v>8</v>
      </c>
      <c r="K198" s="9"/>
      <c r="L198" s="9" t="s">
        <v>130</v>
      </c>
      <c r="M198" s="12">
        <f t="shared" si="12"/>
        <v>348</v>
      </c>
      <c r="N198" s="13">
        <f t="shared" si="13"/>
        <v>583</v>
      </c>
      <c r="O198" s="14">
        <f t="shared" si="14"/>
        <v>931</v>
      </c>
      <c r="P198" s="15">
        <f t="shared" si="15"/>
        <v>1.1216867469879519</v>
      </c>
    </row>
    <row r="199" spans="1:16" ht="15.75" customHeight="1" x14ac:dyDescent="0.3">
      <c r="A199" s="117" t="s">
        <v>58</v>
      </c>
      <c r="B199" s="9" t="s">
        <v>217</v>
      </c>
      <c r="C199" s="9" t="s">
        <v>79</v>
      </c>
      <c r="D199" s="9" t="s">
        <v>199</v>
      </c>
      <c r="E199" s="10">
        <v>40</v>
      </c>
      <c r="F199" s="9" t="s">
        <v>195</v>
      </c>
      <c r="G199" s="10">
        <v>40</v>
      </c>
      <c r="H199" s="9" t="s">
        <v>128</v>
      </c>
      <c r="I199" s="9" t="s">
        <v>129</v>
      </c>
      <c r="J199" s="9" t="s">
        <v>8</v>
      </c>
      <c r="K199" s="9"/>
      <c r="L199" s="9" t="s">
        <v>130</v>
      </c>
      <c r="M199" s="12">
        <f t="shared" si="12"/>
        <v>348</v>
      </c>
      <c r="N199" s="13">
        <f t="shared" si="13"/>
        <v>583</v>
      </c>
      <c r="O199" s="14">
        <f t="shared" si="14"/>
        <v>931</v>
      </c>
      <c r="P199" s="15">
        <f t="shared" si="15"/>
        <v>1.1216867469879519</v>
      </c>
    </row>
    <row r="200" spans="1:16" ht="15.75" customHeight="1" x14ac:dyDescent="0.3">
      <c r="A200" s="117" t="s">
        <v>58</v>
      </c>
      <c r="B200" s="9" t="s">
        <v>217</v>
      </c>
      <c r="C200" s="9" t="s">
        <v>100</v>
      </c>
      <c r="D200" s="9" t="s">
        <v>199</v>
      </c>
      <c r="E200" s="10">
        <v>16</v>
      </c>
      <c r="F200" s="9" t="s">
        <v>195</v>
      </c>
      <c r="G200" s="10">
        <v>8</v>
      </c>
      <c r="H200" s="9" t="s">
        <v>128</v>
      </c>
      <c r="I200" s="9" t="s">
        <v>129</v>
      </c>
      <c r="J200" s="9" t="s">
        <v>8</v>
      </c>
      <c r="K200" s="9"/>
      <c r="L200" s="9" t="s">
        <v>130</v>
      </c>
      <c r="M200" s="12">
        <f t="shared" si="12"/>
        <v>348</v>
      </c>
      <c r="N200" s="13">
        <f t="shared" si="13"/>
        <v>583</v>
      </c>
      <c r="O200" s="14">
        <f t="shared" si="14"/>
        <v>931</v>
      </c>
      <c r="P200" s="15">
        <f t="shared" si="15"/>
        <v>1.1216867469879519</v>
      </c>
    </row>
    <row r="201" spans="1:16" ht="15.75" customHeight="1" x14ac:dyDescent="0.3">
      <c r="A201" s="117" t="s">
        <v>58</v>
      </c>
      <c r="B201" s="9" t="s">
        <v>217</v>
      </c>
      <c r="C201" s="9" t="s">
        <v>111</v>
      </c>
      <c r="D201" s="9" t="s">
        <v>199</v>
      </c>
      <c r="E201" s="10">
        <v>12</v>
      </c>
      <c r="F201" s="9" t="s">
        <v>195</v>
      </c>
      <c r="G201" s="11">
        <v>0</v>
      </c>
      <c r="H201" s="9" t="s">
        <v>128</v>
      </c>
      <c r="I201" s="9" t="s">
        <v>129</v>
      </c>
      <c r="J201" s="9" t="s">
        <v>8</v>
      </c>
      <c r="K201" s="9"/>
      <c r="L201" s="9" t="s">
        <v>130</v>
      </c>
      <c r="M201" s="12">
        <f t="shared" si="12"/>
        <v>348</v>
      </c>
      <c r="N201" s="13">
        <f t="shared" si="13"/>
        <v>583</v>
      </c>
      <c r="O201" s="14">
        <f t="shared" si="14"/>
        <v>931</v>
      </c>
      <c r="P201" s="15">
        <f t="shared" si="15"/>
        <v>1.1216867469879519</v>
      </c>
    </row>
    <row r="202" spans="1:16" ht="15.75" customHeight="1" x14ac:dyDescent="0.3">
      <c r="A202" s="117" t="s">
        <v>58</v>
      </c>
      <c r="B202" s="9" t="s">
        <v>217</v>
      </c>
      <c r="C202" s="9" t="s">
        <v>80</v>
      </c>
      <c r="D202" s="9" t="s">
        <v>199</v>
      </c>
      <c r="E202" s="10">
        <v>3</v>
      </c>
      <c r="F202" s="9" t="s">
        <v>195</v>
      </c>
      <c r="G202" s="11">
        <v>0</v>
      </c>
      <c r="H202" s="9" t="s">
        <v>128</v>
      </c>
      <c r="I202" s="9" t="s">
        <v>129</v>
      </c>
      <c r="J202" s="9" t="s">
        <v>8</v>
      </c>
      <c r="K202" s="9"/>
      <c r="L202" s="9" t="s">
        <v>130</v>
      </c>
      <c r="M202" s="12">
        <f t="shared" si="12"/>
        <v>348</v>
      </c>
      <c r="N202" s="13">
        <f t="shared" si="13"/>
        <v>583</v>
      </c>
      <c r="O202" s="14">
        <f t="shared" si="14"/>
        <v>931</v>
      </c>
      <c r="P202" s="15">
        <f t="shared" si="15"/>
        <v>1.1216867469879519</v>
      </c>
    </row>
    <row r="203" spans="1:16" ht="15.75" customHeight="1" x14ac:dyDescent="0.3">
      <c r="A203" s="117" t="s">
        <v>58</v>
      </c>
      <c r="B203" s="9" t="s">
        <v>218</v>
      </c>
      <c r="C203" s="9" t="s">
        <v>73</v>
      </c>
      <c r="D203" s="9" t="s">
        <v>103</v>
      </c>
      <c r="E203" s="10">
        <v>24</v>
      </c>
      <c r="F203" s="9" t="s">
        <v>107</v>
      </c>
      <c r="G203" s="10">
        <v>24</v>
      </c>
      <c r="H203" s="9" t="s">
        <v>200</v>
      </c>
      <c r="I203" s="9" t="s">
        <v>201</v>
      </c>
      <c r="J203" s="9" t="s">
        <v>4</v>
      </c>
      <c r="K203" s="9"/>
      <c r="L203" s="9" t="s">
        <v>202</v>
      </c>
      <c r="M203" s="12">
        <f t="shared" si="12"/>
        <v>647</v>
      </c>
      <c r="N203" s="13">
        <f t="shared" si="13"/>
        <v>461.5</v>
      </c>
      <c r="O203" s="14">
        <f t="shared" si="14"/>
        <v>1108.5</v>
      </c>
      <c r="P203" s="15">
        <f t="shared" si="15"/>
        <v>1.3355421686746989</v>
      </c>
    </row>
    <row r="204" spans="1:16" ht="15.75" customHeight="1" x14ac:dyDescent="0.3">
      <c r="A204" s="117" t="s">
        <v>58</v>
      </c>
      <c r="B204" s="9" t="s">
        <v>218</v>
      </c>
      <c r="C204" s="9" t="s">
        <v>100</v>
      </c>
      <c r="D204" s="9" t="s">
        <v>103</v>
      </c>
      <c r="E204" s="10">
        <v>72</v>
      </c>
      <c r="F204" s="9" t="s">
        <v>107</v>
      </c>
      <c r="G204" s="10">
        <v>36</v>
      </c>
      <c r="H204" s="9" t="s">
        <v>200</v>
      </c>
      <c r="I204" s="9" t="s">
        <v>201</v>
      </c>
      <c r="J204" s="9" t="s">
        <v>4</v>
      </c>
      <c r="K204" s="9"/>
      <c r="L204" s="9" t="s">
        <v>202</v>
      </c>
      <c r="M204" s="12">
        <f t="shared" si="12"/>
        <v>647</v>
      </c>
      <c r="N204" s="13">
        <f t="shared" si="13"/>
        <v>461.5</v>
      </c>
      <c r="O204" s="14">
        <f t="shared" si="14"/>
        <v>1108.5</v>
      </c>
      <c r="P204" s="15">
        <f t="shared" si="15"/>
        <v>1.3355421686746989</v>
      </c>
    </row>
    <row r="205" spans="1:16" ht="15.75" customHeight="1" x14ac:dyDescent="0.3">
      <c r="A205" s="117" t="s">
        <v>58</v>
      </c>
      <c r="B205" s="9" t="s">
        <v>218</v>
      </c>
      <c r="C205" s="9" t="s">
        <v>142</v>
      </c>
      <c r="D205" s="9" t="s">
        <v>103</v>
      </c>
      <c r="E205" s="10">
        <v>6</v>
      </c>
      <c r="F205" s="9" t="s">
        <v>107</v>
      </c>
      <c r="G205" s="11">
        <v>0</v>
      </c>
      <c r="H205" s="9" t="s">
        <v>200</v>
      </c>
      <c r="I205" s="9" t="s">
        <v>201</v>
      </c>
      <c r="J205" s="9" t="s">
        <v>4</v>
      </c>
      <c r="K205" s="9"/>
      <c r="L205" s="9" t="s">
        <v>202</v>
      </c>
      <c r="M205" s="12">
        <f t="shared" si="12"/>
        <v>647</v>
      </c>
      <c r="N205" s="13">
        <f t="shared" si="13"/>
        <v>461.5</v>
      </c>
      <c r="O205" s="14">
        <f t="shared" si="14"/>
        <v>1108.5</v>
      </c>
      <c r="P205" s="15">
        <f t="shared" si="15"/>
        <v>1.3355421686746989</v>
      </c>
    </row>
    <row r="206" spans="1:16" ht="15.75" customHeight="1" x14ac:dyDescent="0.3">
      <c r="A206" s="117" t="s">
        <v>58</v>
      </c>
      <c r="B206" s="9" t="s">
        <v>218</v>
      </c>
      <c r="C206" s="9" t="s">
        <v>80</v>
      </c>
      <c r="D206" s="9" t="s">
        <v>103</v>
      </c>
      <c r="E206" s="10">
        <v>1</v>
      </c>
      <c r="F206" s="9" t="s">
        <v>107</v>
      </c>
      <c r="G206" s="11">
        <v>0</v>
      </c>
      <c r="H206" s="9" t="s">
        <v>200</v>
      </c>
      <c r="I206" s="9" t="s">
        <v>201</v>
      </c>
      <c r="J206" s="9" t="s">
        <v>4</v>
      </c>
      <c r="K206" s="9"/>
      <c r="L206" s="9" t="s">
        <v>202</v>
      </c>
      <c r="M206" s="12">
        <f t="shared" si="12"/>
        <v>647</v>
      </c>
      <c r="N206" s="13">
        <f t="shared" si="13"/>
        <v>461.5</v>
      </c>
      <c r="O206" s="14">
        <f t="shared" si="14"/>
        <v>1108.5</v>
      </c>
      <c r="P206" s="15">
        <f t="shared" si="15"/>
        <v>1.3355421686746989</v>
      </c>
    </row>
    <row r="207" spans="1:16" ht="15.75" customHeight="1" x14ac:dyDescent="0.3">
      <c r="A207" s="117" t="s">
        <v>58</v>
      </c>
      <c r="B207" s="9" t="s">
        <v>219</v>
      </c>
      <c r="C207" s="9" t="s">
        <v>73</v>
      </c>
      <c r="D207" s="9" t="s">
        <v>220</v>
      </c>
      <c r="E207" s="10">
        <v>12</v>
      </c>
      <c r="F207" s="9" t="s">
        <v>221</v>
      </c>
      <c r="G207" s="10">
        <v>12</v>
      </c>
      <c r="H207" s="9" t="s">
        <v>222</v>
      </c>
      <c r="I207" s="9" t="s">
        <v>223</v>
      </c>
      <c r="J207" s="9" t="s">
        <v>4</v>
      </c>
      <c r="K207" s="9"/>
      <c r="L207" s="9"/>
      <c r="M207" s="12">
        <f t="shared" si="12"/>
        <v>41</v>
      </c>
      <c r="N207" s="13">
        <f t="shared" si="13"/>
        <v>124</v>
      </c>
      <c r="O207" s="14">
        <f t="shared" si="14"/>
        <v>165</v>
      </c>
      <c r="P207" s="15">
        <f t="shared" si="15"/>
        <v>0.19879518072289157</v>
      </c>
    </row>
    <row r="208" spans="1:16" ht="15.75" customHeight="1" x14ac:dyDescent="0.3">
      <c r="A208" s="117" t="s">
        <v>58</v>
      </c>
      <c r="B208" s="9" t="s">
        <v>219</v>
      </c>
      <c r="C208" s="9" t="s">
        <v>79</v>
      </c>
      <c r="D208" s="9" t="s">
        <v>220</v>
      </c>
      <c r="E208" s="10">
        <v>24</v>
      </c>
      <c r="F208" s="9" t="s">
        <v>221</v>
      </c>
      <c r="G208" s="10">
        <v>24</v>
      </c>
      <c r="H208" s="9" t="s">
        <v>222</v>
      </c>
      <c r="I208" s="9" t="s">
        <v>223</v>
      </c>
      <c r="J208" s="9" t="s">
        <v>4</v>
      </c>
      <c r="K208" s="9"/>
      <c r="L208" s="9"/>
      <c r="M208" s="12">
        <f t="shared" si="12"/>
        <v>41</v>
      </c>
      <c r="N208" s="13">
        <f t="shared" si="13"/>
        <v>124</v>
      </c>
      <c r="O208" s="14">
        <f t="shared" si="14"/>
        <v>165</v>
      </c>
      <c r="P208" s="15">
        <f t="shared" si="15"/>
        <v>0.19879518072289157</v>
      </c>
    </row>
    <row r="209" spans="1:16" ht="15.75" customHeight="1" x14ac:dyDescent="0.3">
      <c r="A209" s="117" t="s">
        <v>58</v>
      </c>
      <c r="B209" s="9" t="s">
        <v>219</v>
      </c>
      <c r="C209" s="9" t="s">
        <v>142</v>
      </c>
      <c r="D209" s="9" t="s">
        <v>220</v>
      </c>
      <c r="E209" s="10">
        <v>4</v>
      </c>
      <c r="F209" s="9" t="s">
        <v>221</v>
      </c>
      <c r="G209" s="11">
        <v>0</v>
      </c>
      <c r="H209" s="9" t="s">
        <v>222</v>
      </c>
      <c r="I209" s="9" t="s">
        <v>223</v>
      </c>
      <c r="J209" s="9" t="s">
        <v>4</v>
      </c>
      <c r="K209" s="9"/>
      <c r="L209" s="9"/>
      <c r="M209" s="12">
        <f t="shared" si="12"/>
        <v>41</v>
      </c>
      <c r="N209" s="13">
        <f t="shared" si="13"/>
        <v>124</v>
      </c>
      <c r="O209" s="14">
        <f t="shared" si="14"/>
        <v>165</v>
      </c>
      <c r="P209" s="15">
        <f t="shared" si="15"/>
        <v>0.19879518072289157</v>
      </c>
    </row>
    <row r="210" spans="1:16" ht="15.75" customHeight="1" x14ac:dyDescent="0.3">
      <c r="A210" s="117" t="s">
        <v>58</v>
      </c>
      <c r="B210" s="9" t="s">
        <v>219</v>
      </c>
      <c r="C210" s="9" t="s">
        <v>80</v>
      </c>
      <c r="D210" s="9" t="s">
        <v>220</v>
      </c>
      <c r="E210" s="10">
        <v>1</v>
      </c>
      <c r="F210" s="9" t="s">
        <v>221</v>
      </c>
      <c r="G210" s="11">
        <v>0</v>
      </c>
      <c r="H210" s="9" t="s">
        <v>222</v>
      </c>
      <c r="I210" s="9" t="s">
        <v>223</v>
      </c>
      <c r="J210" s="9" t="s">
        <v>4</v>
      </c>
      <c r="K210" s="9"/>
      <c r="L210" s="9"/>
      <c r="M210" s="12">
        <f t="shared" si="12"/>
        <v>41</v>
      </c>
      <c r="N210" s="13">
        <f t="shared" si="13"/>
        <v>124</v>
      </c>
      <c r="O210" s="14">
        <f t="shared" si="14"/>
        <v>165</v>
      </c>
      <c r="P210" s="15">
        <f t="shared" si="15"/>
        <v>0.19879518072289157</v>
      </c>
    </row>
    <row r="211" spans="1:16" ht="15.75" customHeight="1" x14ac:dyDescent="0.3">
      <c r="A211" s="117" t="s">
        <v>58</v>
      </c>
      <c r="B211" s="9" t="s">
        <v>224</v>
      </c>
      <c r="C211" s="9" t="s">
        <v>73</v>
      </c>
      <c r="D211" s="9" t="s">
        <v>189</v>
      </c>
      <c r="E211" s="10">
        <v>18</v>
      </c>
      <c r="F211" s="9" t="s">
        <v>190</v>
      </c>
      <c r="G211" s="10">
        <v>18</v>
      </c>
      <c r="H211" s="9" t="s">
        <v>91</v>
      </c>
      <c r="I211" s="9" t="s">
        <v>92</v>
      </c>
      <c r="J211" s="9" t="s">
        <v>4</v>
      </c>
      <c r="K211" s="9"/>
      <c r="L211" s="9" t="s">
        <v>93</v>
      </c>
      <c r="M211" s="12">
        <f t="shared" si="12"/>
        <v>405</v>
      </c>
      <c r="N211" s="13">
        <f t="shared" si="13"/>
        <v>478</v>
      </c>
      <c r="O211" s="14">
        <f t="shared" si="14"/>
        <v>883</v>
      </c>
      <c r="P211" s="15">
        <f t="shared" si="15"/>
        <v>1.0638554216867471</v>
      </c>
    </row>
    <row r="212" spans="1:16" ht="15.75" customHeight="1" x14ac:dyDescent="0.3">
      <c r="A212" s="117" t="s">
        <v>58</v>
      </c>
      <c r="B212" s="9" t="s">
        <v>224</v>
      </c>
      <c r="C212" s="9" t="s">
        <v>73</v>
      </c>
      <c r="D212" s="9" t="s">
        <v>103</v>
      </c>
      <c r="E212" s="10">
        <v>20</v>
      </c>
      <c r="F212" s="9" t="s">
        <v>107</v>
      </c>
      <c r="G212" s="10">
        <v>20</v>
      </c>
      <c r="H212" s="9" t="s">
        <v>91</v>
      </c>
      <c r="I212" s="9" t="s">
        <v>92</v>
      </c>
      <c r="J212" s="9" t="s">
        <v>4</v>
      </c>
      <c r="K212" s="9"/>
      <c r="L212" s="9" t="s">
        <v>225</v>
      </c>
      <c r="M212" s="12">
        <f t="shared" si="12"/>
        <v>405</v>
      </c>
      <c r="N212" s="13">
        <f t="shared" si="13"/>
        <v>478</v>
      </c>
      <c r="O212" s="14">
        <f t="shared" si="14"/>
        <v>883</v>
      </c>
      <c r="P212" s="15">
        <f t="shared" si="15"/>
        <v>1.0638554216867471</v>
      </c>
    </row>
    <row r="213" spans="1:16" ht="15.75" customHeight="1" x14ac:dyDescent="0.3">
      <c r="A213" s="117" t="s">
        <v>58</v>
      </c>
      <c r="B213" s="9" t="s">
        <v>224</v>
      </c>
      <c r="C213" s="9" t="s">
        <v>79</v>
      </c>
      <c r="D213" s="9" t="s">
        <v>189</v>
      </c>
      <c r="E213" s="10">
        <v>38</v>
      </c>
      <c r="F213" s="9" t="s">
        <v>190</v>
      </c>
      <c r="G213" s="10">
        <v>38</v>
      </c>
      <c r="H213" s="9" t="s">
        <v>91</v>
      </c>
      <c r="I213" s="9" t="s">
        <v>92</v>
      </c>
      <c r="J213" s="9" t="s">
        <v>4</v>
      </c>
      <c r="K213" s="9"/>
      <c r="L213" s="9" t="s">
        <v>214</v>
      </c>
      <c r="M213" s="12">
        <f t="shared" si="12"/>
        <v>405</v>
      </c>
      <c r="N213" s="13">
        <f t="shared" si="13"/>
        <v>478</v>
      </c>
      <c r="O213" s="14">
        <f t="shared" si="14"/>
        <v>883</v>
      </c>
      <c r="P213" s="15">
        <f t="shared" si="15"/>
        <v>1.0638554216867471</v>
      </c>
    </row>
    <row r="214" spans="1:16" ht="15.75" customHeight="1" x14ac:dyDescent="0.3">
      <c r="A214" s="117" t="s">
        <v>58</v>
      </c>
      <c r="B214" s="9" t="s">
        <v>224</v>
      </c>
      <c r="C214" s="9" t="s">
        <v>79</v>
      </c>
      <c r="D214" s="9" t="s">
        <v>103</v>
      </c>
      <c r="E214" s="10">
        <v>30</v>
      </c>
      <c r="F214" s="9" t="s">
        <v>107</v>
      </c>
      <c r="G214" s="10">
        <v>30</v>
      </c>
      <c r="H214" s="9" t="s">
        <v>91</v>
      </c>
      <c r="I214" s="9" t="s">
        <v>92</v>
      </c>
      <c r="J214" s="9" t="s">
        <v>4</v>
      </c>
      <c r="K214" s="9"/>
      <c r="L214" s="9" t="s">
        <v>226</v>
      </c>
      <c r="M214" s="12">
        <f t="shared" si="12"/>
        <v>405</v>
      </c>
      <c r="N214" s="13">
        <f t="shared" si="13"/>
        <v>478</v>
      </c>
      <c r="O214" s="14">
        <f t="shared" si="14"/>
        <v>883</v>
      </c>
      <c r="P214" s="15">
        <f t="shared" si="15"/>
        <v>1.0638554216867471</v>
      </c>
    </row>
    <row r="215" spans="1:16" ht="15.75" customHeight="1" x14ac:dyDescent="0.3">
      <c r="A215" s="117" t="s">
        <v>58</v>
      </c>
      <c r="B215" s="9" t="s">
        <v>224</v>
      </c>
      <c r="C215" s="9" t="s">
        <v>111</v>
      </c>
      <c r="D215" s="9" t="s">
        <v>189</v>
      </c>
      <c r="E215" s="10">
        <v>3</v>
      </c>
      <c r="F215" s="9" t="s">
        <v>190</v>
      </c>
      <c r="G215" s="11">
        <v>0</v>
      </c>
      <c r="H215" s="9" t="s">
        <v>91</v>
      </c>
      <c r="I215" s="9" t="s">
        <v>92</v>
      </c>
      <c r="J215" s="9" t="s">
        <v>4</v>
      </c>
      <c r="K215" s="9"/>
      <c r="L215" s="9" t="s">
        <v>197</v>
      </c>
      <c r="M215" s="12">
        <f t="shared" si="12"/>
        <v>405</v>
      </c>
      <c r="N215" s="13">
        <f t="shared" si="13"/>
        <v>478</v>
      </c>
      <c r="O215" s="14">
        <f t="shared" si="14"/>
        <v>883</v>
      </c>
      <c r="P215" s="15">
        <f t="shared" si="15"/>
        <v>1.0638554216867471</v>
      </c>
    </row>
    <row r="216" spans="1:16" ht="15.75" customHeight="1" x14ac:dyDescent="0.3">
      <c r="A216" s="117" t="s">
        <v>58</v>
      </c>
      <c r="B216" s="9" t="s">
        <v>224</v>
      </c>
      <c r="C216" s="9" t="s">
        <v>192</v>
      </c>
      <c r="D216" s="9" t="s">
        <v>189</v>
      </c>
      <c r="E216" s="10">
        <v>16</v>
      </c>
      <c r="F216" s="9" t="s">
        <v>190</v>
      </c>
      <c r="G216" s="10">
        <v>16</v>
      </c>
      <c r="H216" s="9" t="s">
        <v>91</v>
      </c>
      <c r="I216" s="9" t="s">
        <v>92</v>
      </c>
      <c r="J216" s="9" t="s">
        <v>4</v>
      </c>
      <c r="K216" s="9"/>
      <c r="L216" s="9" t="s">
        <v>197</v>
      </c>
      <c r="M216" s="12">
        <f t="shared" si="12"/>
        <v>405</v>
      </c>
      <c r="N216" s="13">
        <f t="shared" si="13"/>
        <v>478</v>
      </c>
      <c r="O216" s="14">
        <f t="shared" si="14"/>
        <v>883</v>
      </c>
      <c r="P216" s="15">
        <f t="shared" si="15"/>
        <v>1.0638554216867471</v>
      </c>
    </row>
    <row r="217" spans="1:16" ht="15.75" customHeight="1" x14ac:dyDescent="0.3">
      <c r="A217" s="117" t="s">
        <v>58</v>
      </c>
      <c r="B217" s="9" t="s">
        <v>224</v>
      </c>
      <c r="C217" s="9" t="s">
        <v>142</v>
      </c>
      <c r="D217" s="9" t="s">
        <v>103</v>
      </c>
      <c r="E217" s="10">
        <v>6</v>
      </c>
      <c r="F217" s="9" t="s">
        <v>107</v>
      </c>
      <c r="G217" s="11">
        <v>0</v>
      </c>
      <c r="H217" s="9" t="s">
        <v>91</v>
      </c>
      <c r="I217" s="9" t="s">
        <v>92</v>
      </c>
      <c r="J217" s="9" t="s">
        <v>4</v>
      </c>
      <c r="K217" s="9"/>
      <c r="L217" s="9" t="s">
        <v>197</v>
      </c>
      <c r="M217" s="12">
        <f t="shared" si="12"/>
        <v>405</v>
      </c>
      <c r="N217" s="13">
        <f t="shared" si="13"/>
        <v>478</v>
      </c>
      <c r="O217" s="14">
        <f t="shared" si="14"/>
        <v>883</v>
      </c>
      <c r="P217" s="15">
        <f t="shared" si="15"/>
        <v>1.0638554216867471</v>
      </c>
    </row>
    <row r="218" spans="1:16" ht="15.75" customHeight="1" x14ac:dyDescent="0.3">
      <c r="A218" s="117" t="s">
        <v>58</v>
      </c>
      <c r="B218" s="9" t="s">
        <v>224</v>
      </c>
      <c r="C218" s="9" t="s">
        <v>80</v>
      </c>
      <c r="D218" s="9" t="s">
        <v>189</v>
      </c>
      <c r="E218" s="10">
        <v>4</v>
      </c>
      <c r="F218" s="9" t="s">
        <v>190</v>
      </c>
      <c r="G218" s="11">
        <v>0</v>
      </c>
      <c r="H218" s="9" t="s">
        <v>91</v>
      </c>
      <c r="I218" s="9" t="s">
        <v>92</v>
      </c>
      <c r="J218" s="9" t="s">
        <v>4</v>
      </c>
      <c r="K218" s="9"/>
      <c r="L218" s="9" t="s">
        <v>197</v>
      </c>
      <c r="M218" s="12">
        <f t="shared" si="12"/>
        <v>405</v>
      </c>
      <c r="N218" s="13">
        <f t="shared" si="13"/>
        <v>478</v>
      </c>
      <c r="O218" s="14">
        <f t="shared" si="14"/>
        <v>883</v>
      </c>
      <c r="P218" s="15">
        <f t="shared" si="15"/>
        <v>1.0638554216867471</v>
      </c>
    </row>
    <row r="219" spans="1:16" ht="15.75" customHeight="1" x14ac:dyDescent="0.3">
      <c r="A219" s="117" t="s">
        <v>58</v>
      </c>
      <c r="B219" s="9" t="s">
        <v>224</v>
      </c>
      <c r="C219" s="9" t="s">
        <v>80</v>
      </c>
      <c r="D219" s="9" t="s">
        <v>103</v>
      </c>
      <c r="E219" s="10">
        <v>1</v>
      </c>
      <c r="F219" s="9" t="s">
        <v>107</v>
      </c>
      <c r="G219" s="11">
        <v>0</v>
      </c>
      <c r="H219" s="9" t="s">
        <v>91</v>
      </c>
      <c r="I219" s="9" t="s">
        <v>92</v>
      </c>
      <c r="J219" s="9" t="s">
        <v>4</v>
      </c>
      <c r="K219" s="9"/>
      <c r="L219" s="9" t="s">
        <v>197</v>
      </c>
      <c r="M219" s="12">
        <f t="shared" si="12"/>
        <v>405</v>
      </c>
      <c r="N219" s="13">
        <f t="shared" si="13"/>
        <v>478</v>
      </c>
      <c r="O219" s="14">
        <f t="shared" si="14"/>
        <v>883</v>
      </c>
      <c r="P219" s="15">
        <f t="shared" si="15"/>
        <v>1.0638554216867471</v>
      </c>
    </row>
    <row r="220" spans="1:16" ht="15.75" customHeight="1" x14ac:dyDescent="0.3">
      <c r="A220" s="117" t="s">
        <v>58</v>
      </c>
      <c r="B220" s="9" t="s">
        <v>227</v>
      </c>
      <c r="C220" s="9" t="s">
        <v>73</v>
      </c>
      <c r="D220" s="9" t="s">
        <v>220</v>
      </c>
      <c r="E220" s="10">
        <v>26</v>
      </c>
      <c r="F220" s="9" t="s">
        <v>221</v>
      </c>
      <c r="G220" s="10">
        <v>26</v>
      </c>
      <c r="H220" s="9" t="s">
        <v>167</v>
      </c>
      <c r="I220" s="9" t="s">
        <v>168</v>
      </c>
      <c r="J220" s="9" t="s">
        <v>4</v>
      </c>
      <c r="K220" s="9" t="s">
        <v>205</v>
      </c>
      <c r="L220" s="9" t="s">
        <v>197</v>
      </c>
      <c r="M220" s="12">
        <f t="shared" si="12"/>
        <v>456</v>
      </c>
      <c r="N220" s="13">
        <f t="shared" si="13"/>
        <v>362</v>
      </c>
      <c r="O220" s="14">
        <f t="shared" si="14"/>
        <v>818</v>
      </c>
      <c r="P220" s="15">
        <f t="shared" si="15"/>
        <v>0.98554216867469879</v>
      </c>
    </row>
    <row r="221" spans="1:16" ht="15.75" customHeight="1" x14ac:dyDescent="0.3">
      <c r="A221" s="117" t="s">
        <v>58</v>
      </c>
      <c r="B221" s="9" t="s">
        <v>227</v>
      </c>
      <c r="C221" s="9" t="s">
        <v>123</v>
      </c>
      <c r="D221" s="9" t="s">
        <v>220</v>
      </c>
      <c r="E221" s="10">
        <v>33</v>
      </c>
      <c r="F221" s="9" t="s">
        <v>221</v>
      </c>
      <c r="G221" s="11">
        <v>0</v>
      </c>
      <c r="H221" s="9" t="s">
        <v>167</v>
      </c>
      <c r="I221" s="9" t="s">
        <v>168</v>
      </c>
      <c r="J221" s="9" t="s">
        <v>4</v>
      </c>
      <c r="K221" s="9"/>
      <c r="L221" s="9" t="s">
        <v>197</v>
      </c>
      <c r="M221" s="12">
        <f t="shared" si="12"/>
        <v>456</v>
      </c>
      <c r="N221" s="13">
        <f t="shared" si="13"/>
        <v>362</v>
      </c>
      <c r="O221" s="14">
        <f t="shared" si="14"/>
        <v>818</v>
      </c>
      <c r="P221" s="15">
        <f t="shared" si="15"/>
        <v>0.98554216867469879</v>
      </c>
    </row>
    <row r="222" spans="1:16" ht="15.75" customHeight="1" x14ac:dyDescent="0.3">
      <c r="A222" s="117" t="s">
        <v>58</v>
      </c>
      <c r="B222" s="9" t="s">
        <v>227</v>
      </c>
      <c r="C222" s="9" t="s">
        <v>100</v>
      </c>
      <c r="D222" s="9" t="s">
        <v>220</v>
      </c>
      <c r="E222" s="10">
        <v>36</v>
      </c>
      <c r="F222" s="9" t="s">
        <v>221</v>
      </c>
      <c r="G222" s="10">
        <v>36</v>
      </c>
      <c r="H222" s="9" t="s">
        <v>167</v>
      </c>
      <c r="I222" s="9" t="s">
        <v>168</v>
      </c>
      <c r="J222" s="9" t="s">
        <v>4</v>
      </c>
      <c r="K222" s="9" t="s">
        <v>206</v>
      </c>
      <c r="L222" s="9" t="s">
        <v>197</v>
      </c>
      <c r="M222" s="12">
        <f t="shared" si="12"/>
        <v>456</v>
      </c>
      <c r="N222" s="13">
        <f t="shared" si="13"/>
        <v>362</v>
      </c>
      <c r="O222" s="14">
        <f t="shared" si="14"/>
        <v>818</v>
      </c>
      <c r="P222" s="15">
        <f t="shared" si="15"/>
        <v>0.98554216867469879</v>
      </c>
    </row>
    <row r="223" spans="1:16" ht="15.75" customHeight="1" x14ac:dyDescent="0.3">
      <c r="A223" s="117" t="s">
        <v>58</v>
      </c>
      <c r="B223" s="9" t="s">
        <v>227</v>
      </c>
      <c r="C223" s="9" t="s">
        <v>111</v>
      </c>
      <c r="D223" s="9" t="s">
        <v>220</v>
      </c>
      <c r="E223" s="10">
        <v>6</v>
      </c>
      <c r="F223" s="9" t="s">
        <v>221</v>
      </c>
      <c r="G223" s="11">
        <v>0</v>
      </c>
      <c r="H223" s="9" t="s">
        <v>167</v>
      </c>
      <c r="I223" s="9" t="s">
        <v>168</v>
      </c>
      <c r="J223" s="9" t="s">
        <v>4</v>
      </c>
      <c r="K223" s="9"/>
      <c r="L223" s="9" t="s">
        <v>197</v>
      </c>
      <c r="M223" s="12">
        <f t="shared" si="12"/>
        <v>456</v>
      </c>
      <c r="N223" s="13">
        <f t="shared" si="13"/>
        <v>362</v>
      </c>
      <c r="O223" s="14">
        <f t="shared" si="14"/>
        <v>818</v>
      </c>
      <c r="P223" s="15">
        <f t="shared" si="15"/>
        <v>0.98554216867469879</v>
      </c>
    </row>
    <row r="224" spans="1:16" ht="15.75" customHeight="1" x14ac:dyDescent="0.3">
      <c r="A224" s="117" t="s">
        <v>58</v>
      </c>
      <c r="B224" s="9" t="s">
        <v>227</v>
      </c>
      <c r="C224" s="9" t="s">
        <v>80</v>
      </c>
      <c r="D224" s="9" t="s">
        <v>220</v>
      </c>
      <c r="E224" s="10">
        <v>5</v>
      </c>
      <c r="F224" s="9" t="s">
        <v>221</v>
      </c>
      <c r="G224" s="11">
        <v>0</v>
      </c>
      <c r="H224" s="9" t="s">
        <v>167</v>
      </c>
      <c r="I224" s="9" t="s">
        <v>168</v>
      </c>
      <c r="J224" s="9" t="s">
        <v>4</v>
      </c>
      <c r="K224" s="9"/>
      <c r="L224" s="9" t="s">
        <v>197</v>
      </c>
      <c r="M224" s="12">
        <f t="shared" si="12"/>
        <v>456</v>
      </c>
      <c r="N224" s="13">
        <f t="shared" si="13"/>
        <v>362</v>
      </c>
      <c r="O224" s="14">
        <f t="shared" si="14"/>
        <v>818</v>
      </c>
      <c r="P224" s="15">
        <f t="shared" si="15"/>
        <v>0.98554216867469879</v>
      </c>
    </row>
    <row r="225" spans="1:16" ht="15.75" customHeight="1" x14ac:dyDescent="0.3">
      <c r="A225" s="117" t="s">
        <v>58</v>
      </c>
      <c r="B225" s="9" t="s">
        <v>228</v>
      </c>
      <c r="C225" s="9" t="s">
        <v>73</v>
      </c>
      <c r="D225" s="9" t="s">
        <v>134</v>
      </c>
      <c r="E225" s="10">
        <v>12</v>
      </c>
      <c r="F225" s="9" t="s">
        <v>166</v>
      </c>
      <c r="G225" s="10">
        <v>12</v>
      </c>
      <c r="H225" s="9" t="s">
        <v>128</v>
      </c>
      <c r="I225" s="9" t="s">
        <v>129</v>
      </c>
      <c r="J225" s="9" t="s">
        <v>8</v>
      </c>
      <c r="K225" s="9"/>
      <c r="L225" s="9" t="s">
        <v>130</v>
      </c>
      <c r="M225" s="12">
        <f t="shared" si="12"/>
        <v>348</v>
      </c>
      <c r="N225" s="13">
        <f t="shared" si="13"/>
        <v>583</v>
      </c>
      <c r="O225" s="14">
        <f t="shared" si="14"/>
        <v>931</v>
      </c>
      <c r="P225" s="15">
        <f t="shared" si="15"/>
        <v>1.1216867469879519</v>
      </c>
    </row>
    <row r="226" spans="1:16" ht="15.75" customHeight="1" x14ac:dyDescent="0.3">
      <c r="A226" s="117" t="s">
        <v>58</v>
      </c>
      <c r="B226" s="9" t="s">
        <v>228</v>
      </c>
      <c r="C226" s="9" t="s">
        <v>79</v>
      </c>
      <c r="D226" s="9" t="s">
        <v>134</v>
      </c>
      <c r="E226" s="10">
        <v>24</v>
      </c>
      <c r="F226" s="9" t="s">
        <v>166</v>
      </c>
      <c r="G226" s="10">
        <v>24</v>
      </c>
      <c r="H226" s="9" t="s">
        <v>128</v>
      </c>
      <c r="I226" s="9" t="s">
        <v>129</v>
      </c>
      <c r="J226" s="9" t="s">
        <v>8</v>
      </c>
      <c r="K226" s="9"/>
      <c r="L226" s="9" t="s">
        <v>130</v>
      </c>
      <c r="M226" s="12">
        <f t="shared" si="12"/>
        <v>348</v>
      </c>
      <c r="N226" s="13">
        <f t="shared" si="13"/>
        <v>583</v>
      </c>
      <c r="O226" s="14">
        <f t="shared" si="14"/>
        <v>931</v>
      </c>
      <c r="P226" s="15">
        <f t="shared" si="15"/>
        <v>1.1216867469879519</v>
      </c>
    </row>
    <row r="227" spans="1:16" ht="15.75" customHeight="1" x14ac:dyDescent="0.3">
      <c r="A227" s="117" t="s">
        <v>58</v>
      </c>
      <c r="B227" s="9" t="s">
        <v>228</v>
      </c>
      <c r="C227" s="9" t="s">
        <v>142</v>
      </c>
      <c r="D227" s="9" t="s">
        <v>134</v>
      </c>
      <c r="E227" s="10">
        <v>2</v>
      </c>
      <c r="F227" s="9" t="s">
        <v>166</v>
      </c>
      <c r="G227" s="11">
        <v>0</v>
      </c>
      <c r="H227" s="9" t="s">
        <v>128</v>
      </c>
      <c r="I227" s="9" t="s">
        <v>129</v>
      </c>
      <c r="J227" s="9" t="s">
        <v>8</v>
      </c>
      <c r="K227" s="9"/>
      <c r="L227" s="9" t="s">
        <v>130</v>
      </c>
      <c r="M227" s="12">
        <f t="shared" si="12"/>
        <v>348</v>
      </c>
      <c r="N227" s="13">
        <f t="shared" si="13"/>
        <v>583</v>
      </c>
      <c r="O227" s="14">
        <f t="shared" si="14"/>
        <v>931</v>
      </c>
      <c r="P227" s="15">
        <f t="shared" si="15"/>
        <v>1.1216867469879519</v>
      </c>
    </row>
    <row r="228" spans="1:16" ht="15.75" customHeight="1" x14ac:dyDescent="0.3">
      <c r="A228" s="117" t="s">
        <v>58</v>
      </c>
      <c r="B228" s="9" t="s">
        <v>228</v>
      </c>
      <c r="C228" s="9" t="s">
        <v>80</v>
      </c>
      <c r="D228" s="9" t="s">
        <v>134</v>
      </c>
      <c r="E228" s="10">
        <v>1</v>
      </c>
      <c r="F228" s="9" t="s">
        <v>166</v>
      </c>
      <c r="G228" s="11">
        <v>0</v>
      </c>
      <c r="H228" s="9" t="s">
        <v>128</v>
      </c>
      <c r="I228" s="9" t="s">
        <v>129</v>
      </c>
      <c r="J228" s="9" t="s">
        <v>8</v>
      </c>
      <c r="K228" s="9"/>
      <c r="L228" s="9" t="s">
        <v>130</v>
      </c>
      <c r="M228" s="12">
        <f t="shared" si="12"/>
        <v>348</v>
      </c>
      <c r="N228" s="13">
        <f t="shared" si="13"/>
        <v>583</v>
      </c>
      <c r="O228" s="14">
        <f t="shared" si="14"/>
        <v>931</v>
      </c>
      <c r="P228" s="15">
        <f t="shared" si="15"/>
        <v>1.1216867469879519</v>
      </c>
    </row>
    <row r="229" spans="1:16" ht="15.75" customHeight="1" x14ac:dyDescent="0.3">
      <c r="A229" s="117" t="s">
        <v>58</v>
      </c>
      <c r="B229" s="9" t="s">
        <v>229</v>
      </c>
      <c r="C229" s="9" t="s">
        <v>102</v>
      </c>
      <c r="D229" s="9" t="s">
        <v>134</v>
      </c>
      <c r="E229" s="10">
        <v>24</v>
      </c>
      <c r="F229" s="9" t="s">
        <v>166</v>
      </c>
      <c r="G229" s="11">
        <v>0</v>
      </c>
      <c r="H229" s="9" t="s">
        <v>230</v>
      </c>
      <c r="I229" s="9" t="s">
        <v>231</v>
      </c>
      <c r="J229" s="9" t="s">
        <v>4</v>
      </c>
      <c r="K229" s="9"/>
      <c r="L229" s="9" t="s">
        <v>232</v>
      </c>
      <c r="M229" s="12">
        <f t="shared" si="12"/>
        <v>116</v>
      </c>
      <c r="N229" s="13">
        <f t="shared" si="13"/>
        <v>105</v>
      </c>
      <c r="O229" s="14">
        <f t="shared" si="14"/>
        <v>221</v>
      </c>
      <c r="P229" s="15">
        <f t="shared" si="15"/>
        <v>0.26626506024096386</v>
      </c>
    </row>
    <row r="230" spans="1:16" ht="15.75" customHeight="1" x14ac:dyDescent="0.3">
      <c r="A230" s="117" t="s">
        <v>58</v>
      </c>
      <c r="B230" s="9" t="s">
        <v>229</v>
      </c>
      <c r="C230" s="9" t="s">
        <v>73</v>
      </c>
      <c r="D230" s="9" t="s">
        <v>134</v>
      </c>
      <c r="E230" s="10">
        <v>16</v>
      </c>
      <c r="F230" s="9" t="s">
        <v>166</v>
      </c>
      <c r="G230" s="10">
        <v>16</v>
      </c>
      <c r="H230" s="9" t="s">
        <v>230</v>
      </c>
      <c r="I230" s="9" t="s">
        <v>231</v>
      </c>
      <c r="J230" s="9" t="s">
        <v>4</v>
      </c>
      <c r="K230" s="9"/>
      <c r="L230" s="9" t="s">
        <v>232</v>
      </c>
      <c r="M230" s="12">
        <f t="shared" si="12"/>
        <v>116</v>
      </c>
      <c r="N230" s="13">
        <f t="shared" si="13"/>
        <v>105</v>
      </c>
      <c r="O230" s="14">
        <f t="shared" si="14"/>
        <v>221</v>
      </c>
      <c r="P230" s="15">
        <f t="shared" si="15"/>
        <v>0.26626506024096386</v>
      </c>
    </row>
    <row r="231" spans="1:16" ht="15.75" customHeight="1" x14ac:dyDescent="0.3">
      <c r="A231" s="117" t="s">
        <v>58</v>
      </c>
      <c r="B231" s="9" t="s">
        <v>229</v>
      </c>
      <c r="C231" s="9" t="s">
        <v>87</v>
      </c>
      <c r="D231" s="9" t="s">
        <v>134</v>
      </c>
      <c r="E231" s="10">
        <v>2</v>
      </c>
      <c r="F231" s="9" t="s">
        <v>166</v>
      </c>
      <c r="G231" s="11">
        <v>0</v>
      </c>
      <c r="H231" s="9" t="s">
        <v>230</v>
      </c>
      <c r="I231" s="9" t="s">
        <v>231</v>
      </c>
      <c r="J231" s="9" t="s">
        <v>4</v>
      </c>
      <c r="K231" s="9"/>
      <c r="L231" s="9" t="s">
        <v>232</v>
      </c>
      <c r="M231" s="12">
        <f t="shared" si="12"/>
        <v>116</v>
      </c>
      <c r="N231" s="13">
        <f t="shared" si="13"/>
        <v>105</v>
      </c>
      <c r="O231" s="14">
        <f t="shared" si="14"/>
        <v>221</v>
      </c>
      <c r="P231" s="15">
        <f t="shared" si="15"/>
        <v>0.26626506024096386</v>
      </c>
    </row>
    <row r="232" spans="1:16" ht="15.75" customHeight="1" x14ac:dyDescent="0.3">
      <c r="A232" s="117" t="s">
        <v>58</v>
      </c>
      <c r="B232" s="9" t="s">
        <v>229</v>
      </c>
      <c r="C232" s="9" t="s">
        <v>79</v>
      </c>
      <c r="D232" s="9" t="s">
        <v>134</v>
      </c>
      <c r="E232" s="10">
        <v>28</v>
      </c>
      <c r="F232" s="9" t="s">
        <v>166</v>
      </c>
      <c r="G232" s="10">
        <v>28</v>
      </c>
      <c r="H232" s="9" t="s">
        <v>230</v>
      </c>
      <c r="I232" s="9" t="s">
        <v>231</v>
      </c>
      <c r="J232" s="9" t="s">
        <v>4</v>
      </c>
      <c r="K232" s="9"/>
      <c r="L232" s="9" t="s">
        <v>232</v>
      </c>
      <c r="M232" s="12">
        <f t="shared" si="12"/>
        <v>116</v>
      </c>
      <c r="N232" s="13">
        <f t="shared" si="13"/>
        <v>105</v>
      </c>
      <c r="O232" s="14">
        <f t="shared" si="14"/>
        <v>221</v>
      </c>
      <c r="P232" s="15">
        <f t="shared" si="15"/>
        <v>0.26626506024096386</v>
      </c>
    </row>
    <row r="233" spans="1:16" ht="15.75" customHeight="1" x14ac:dyDescent="0.3">
      <c r="A233" s="117" t="s">
        <v>58</v>
      </c>
      <c r="B233" s="9" t="s">
        <v>229</v>
      </c>
      <c r="C233" s="9" t="s">
        <v>80</v>
      </c>
      <c r="D233" s="9" t="s">
        <v>134</v>
      </c>
      <c r="E233" s="10">
        <v>1</v>
      </c>
      <c r="F233" s="9" t="s">
        <v>166</v>
      </c>
      <c r="G233" s="11">
        <v>0</v>
      </c>
      <c r="H233" s="9" t="s">
        <v>230</v>
      </c>
      <c r="I233" s="9" t="s">
        <v>231</v>
      </c>
      <c r="J233" s="9" t="s">
        <v>4</v>
      </c>
      <c r="K233" s="9"/>
      <c r="L233" s="9" t="s">
        <v>232</v>
      </c>
      <c r="M233" s="12">
        <f t="shared" si="12"/>
        <v>116</v>
      </c>
      <c r="N233" s="13">
        <f t="shared" si="13"/>
        <v>105</v>
      </c>
      <c r="O233" s="14">
        <f t="shared" si="14"/>
        <v>221</v>
      </c>
      <c r="P233" s="15">
        <f t="shared" si="15"/>
        <v>0.26626506024096386</v>
      </c>
    </row>
    <row r="234" spans="1:16" ht="15.75" customHeight="1" x14ac:dyDescent="0.3">
      <c r="A234" s="117" t="s">
        <v>58</v>
      </c>
      <c r="B234" s="9" t="s">
        <v>233</v>
      </c>
      <c r="C234" s="9" t="s">
        <v>73</v>
      </c>
      <c r="D234" s="9" t="s">
        <v>234</v>
      </c>
      <c r="E234" s="10">
        <v>14</v>
      </c>
      <c r="F234" s="9" t="s">
        <v>235</v>
      </c>
      <c r="G234" s="10">
        <v>14</v>
      </c>
      <c r="H234" s="9" t="s">
        <v>115</v>
      </c>
      <c r="I234" s="9" t="s">
        <v>116</v>
      </c>
      <c r="J234" s="9" t="s">
        <v>4</v>
      </c>
      <c r="K234" s="9"/>
      <c r="L234" s="9" t="s">
        <v>117</v>
      </c>
      <c r="M234" s="12">
        <f t="shared" si="12"/>
        <v>353</v>
      </c>
      <c r="N234" s="13">
        <f t="shared" si="13"/>
        <v>367</v>
      </c>
      <c r="O234" s="14">
        <f t="shared" si="14"/>
        <v>720</v>
      </c>
      <c r="P234" s="15">
        <f t="shared" si="15"/>
        <v>0.86746987951807231</v>
      </c>
    </row>
    <row r="235" spans="1:16" ht="15.75" customHeight="1" x14ac:dyDescent="0.3">
      <c r="A235" s="117" t="s">
        <v>58</v>
      </c>
      <c r="B235" s="9" t="s">
        <v>233</v>
      </c>
      <c r="C235" s="9" t="s">
        <v>87</v>
      </c>
      <c r="D235" s="9" t="s">
        <v>140</v>
      </c>
      <c r="E235" s="10">
        <v>2</v>
      </c>
      <c r="F235" s="9" t="s">
        <v>235</v>
      </c>
      <c r="G235" s="11">
        <v>0</v>
      </c>
      <c r="H235" s="9" t="s">
        <v>115</v>
      </c>
      <c r="I235" s="9" t="s">
        <v>116</v>
      </c>
      <c r="J235" s="9" t="s">
        <v>4</v>
      </c>
      <c r="K235" s="9"/>
      <c r="L235" s="9" t="s">
        <v>117</v>
      </c>
      <c r="M235" s="12">
        <f t="shared" si="12"/>
        <v>353</v>
      </c>
      <c r="N235" s="13">
        <f t="shared" si="13"/>
        <v>367</v>
      </c>
      <c r="O235" s="14">
        <f t="shared" si="14"/>
        <v>720</v>
      </c>
      <c r="P235" s="15">
        <f t="shared" si="15"/>
        <v>0.86746987951807231</v>
      </c>
    </row>
    <row r="236" spans="1:16" ht="15.75" customHeight="1" x14ac:dyDescent="0.3">
      <c r="A236" s="117" t="s">
        <v>58</v>
      </c>
      <c r="B236" s="9" t="s">
        <v>233</v>
      </c>
      <c r="C236" s="9" t="s">
        <v>79</v>
      </c>
      <c r="D236" s="9" t="s">
        <v>139</v>
      </c>
      <c r="E236" s="10">
        <v>36</v>
      </c>
      <c r="F236" s="9" t="s">
        <v>235</v>
      </c>
      <c r="G236" s="10">
        <v>36</v>
      </c>
      <c r="H236" s="9" t="s">
        <v>115</v>
      </c>
      <c r="I236" s="9" t="s">
        <v>116</v>
      </c>
      <c r="J236" s="9" t="s">
        <v>4</v>
      </c>
      <c r="K236" s="9"/>
      <c r="L236" s="9" t="s">
        <v>117</v>
      </c>
      <c r="M236" s="12">
        <f t="shared" si="12"/>
        <v>353</v>
      </c>
      <c r="N236" s="13">
        <f t="shared" si="13"/>
        <v>367</v>
      </c>
      <c r="O236" s="14">
        <f t="shared" si="14"/>
        <v>720</v>
      </c>
      <c r="P236" s="15">
        <f t="shared" si="15"/>
        <v>0.86746987951807231</v>
      </c>
    </row>
    <row r="237" spans="1:16" ht="15.75" customHeight="1" x14ac:dyDescent="0.3">
      <c r="A237" s="117" t="s">
        <v>58</v>
      </c>
      <c r="B237" s="9" t="s">
        <v>233</v>
      </c>
      <c r="C237" s="9" t="s">
        <v>79</v>
      </c>
      <c r="D237" s="9" t="s">
        <v>140</v>
      </c>
      <c r="E237" s="10">
        <v>36</v>
      </c>
      <c r="F237" s="9" t="s">
        <v>235</v>
      </c>
      <c r="G237" s="10">
        <v>36</v>
      </c>
      <c r="H237" s="9" t="s">
        <v>115</v>
      </c>
      <c r="I237" s="9" t="s">
        <v>116</v>
      </c>
      <c r="J237" s="9" t="s">
        <v>4</v>
      </c>
      <c r="K237" s="9"/>
      <c r="L237" s="9" t="s">
        <v>117</v>
      </c>
      <c r="M237" s="12">
        <f t="shared" si="12"/>
        <v>353</v>
      </c>
      <c r="N237" s="13">
        <f t="shared" si="13"/>
        <v>367</v>
      </c>
      <c r="O237" s="14">
        <f t="shared" si="14"/>
        <v>720</v>
      </c>
      <c r="P237" s="15">
        <f t="shared" si="15"/>
        <v>0.86746987951807231</v>
      </c>
    </row>
    <row r="238" spans="1:16" ht="15.75" customHeight="1" x14ac:dyDescent="0.3">
      <c r="A238" s="117" t="s">
        <v>58</v>
      </c>
      <c r="B238" s="9" t="s">
        <v>233</v>
      </c>
      <c r="C238" s="9" t="s">
        <v>111</v>
      </c>
      <c r="D238" s="9" t="s">
        <v>139</v>
      </c>
      <c r="E238" s="10">
        <v>3</v>
      </c>
      <c r="F238" s="9" t="s">
        <v>235</v>
      </c>
      <c r="G238" s="11">
        <v>0</v>
      </c>
      <c r="H238" s="9" t="s">
        <v>115</v>
      </c>
      <c r="I238" s="9" t="s">
        <v>116</v>
      </c>
      <c r="J238" s="9" t="s">
        <v>4</v>
      </c>
      <c r="K238" s="9"/>
      <c r="L238" s="9" t="s">
        <v>117</v>
      </c>
      <c r="M238" s="12">
        <f t="shared" si="12"/>
        <v>353</v>
      </c>
      <c r="N238" s="13">
        <f t="shared" si="13"/>
        <v>367</v>
      </c>
      <c r="O238" s="14">
        <f t="shared" si="14"/>
        <v>720</v>
      </c>
      <c r="P238" s="15">
        <f t="shared" si="15"/>
        <v>0.86746987951807231</v>
      </c>
    </row>
    <row r="239" spans="1:16" ht="15.75" customHeight="1" x14ac:dyDescent="0.3">
      <c r="A239" s="117" t="s">
        <v>58</v>
      </c>
      <c r="B239" s="9" t="s">
        <v>233</v>
      </c>
      <c r="C239" s="9" t="s">
        <v>80</v>
      </c>
      <c r="D239" s="9" t="s">
        <v>139</v>
      </c>
      <c r="E239" s="10">
        <v>3</v>
      </c>
      <c r="F239" s="9" t="s">
        <v>235</v>
      </c>
      <c r="G239" s="11">
        <v>0</v>
      </c>
      <c r="H239" s="9" t="s">
        <v>115</v>
      </c>
      <c r="I239" s="9" t="s">
        <v>116</v>
      </c>
      <c r="J239" s="9" t="s">
        <v>4</v>
      </c>
      <c r="K239" s="9"/>
      <c r="L239" s="9" t="s">
        <v>117</v>
      </c>
      <c r="M239" s="12">
        <f t="shared" si="12"/>
        <v>353</v>
      </c>
      <c r="N239" s="13">
        <f t="shared" si="13"/>
        <v>367</v>
      </c>
      <c r="O239" s="14">
        <f t="shared" si="14"/>
        <v>720</v>
      </c>
      <c r="P239" s="15">
        <f t="shared" si="15"/>
        <v>0.86746987951807231</v>
      </c>
    </row>
    <row r="240" spans="1:16" ht="15.75" customHeight="1" x14ac:dyDescent="0.3">
      <c r="A240" s="117" t="s">
        <v>58</v>
      </c>
      <c r="B240" s="9" t="s">
        <v>233</v>
      </c>
      <c r="C240" s="9" t="s">
        <v>80</v>
      </c>
      <c r="D240" s="9" t="s">
        <v>140</v>
      </c>
      <c r="E240" s="10">
        <v>1</v>
      </c>
      <c r="F240" s="9" t="s">
        <v>235</v>
      </c>
      <c r="G240" s="11">
        <v>0</v>
      </c>
      <c r="H240" s="9" t="s">
        <v>115</v>
      </c>
      <c r="I240" s="9" t="s">
        <v>116</v>
      </c>
      <c r="J240" s="9" t="s">
        <v>4</v>
      </c>
      <c r="K240" s="9"/>
      <c r="L240" s="9" t="s">
        <v>117</v>
      </c>
      <c r="M240" s="12">
        <f t="shared" si="12"/>
        <v>353</v>
      </c>
      <c r="N240" s="13">
        <f t="shared" si="13"/>
        <v>367</v>
      </c>
      <c r="O240" s="14">
        <f t="shared" si="14"/>
        <v>720</v>
      </c>
      <c r="P240" s="15">
        <f t="shared" si="15"/>
        <v>0.86746987951807231</v>
      </c>
    </row>
    <row r="241" spans="1:16" ht="15.75" customHeight="1" x14ac:dyDescent="0.3">
      <c r="A241" s="117" t="s">
        <v>58</v>
      </c>
      <c r="B241" s="9" t="s">
        <v>236</v>
      </c>
      <c r="C241" s="9" t="s">
        <v>73</v>
      </c>
      <c r="D241" s="9" t="s">
        <v>237</v>
      </c>
      <c r="E241" s="10">
        <v>20</v>
      </c>
      <c r="F241" s="9" t="s">
        <v>238</v>
      </c>
      <c r="G241" s="10">
        <v>20</v>
      </c>
      <c r="H241" s="9" t="s">
        <v>70</v>
      </c>
      <c r="I241" s="9" t="s">
        <v>71</v>
      </c>
      <c r="J241" s="9"/>
      <c r="K241" s="9"/>
      <c r="L241" s="9"/>
      <c r="M241" s="12">
        <f t="shared" si="12"/>
        <v>391</v>
      </c>
      <c r="N241" s="13">
        <f t="shared" si="13"/>
        <v>436.5</v>
      </c>
      <c r="O241" s="14">
        <f t="shared" si="14"/>
        <v>827.5</v>
      </c>
      <c r="P241" s="15">
        <f t="shared" si="15"/>
        <v>0.99698795180722888</v>
      </c>
    </row>
    <row r="242" spans="1:16" ht="15.75" customHeight="1" x14ac:dyDescent="0.3">
      <c r="A242" s="117" t="s">
        <v>58</v>
      </c>
      <c r="B242" s="9" t="s">
        <v>236</v>
      </c>
      <c r="C242" s="9" t="s">
        <v>123</v>
      </c>
      <c r="D242" s="9" t="s">
        <v>237</v>
      </c>
      <c r="E242" s="10">
        <v>18</v>
      </c>
      <c r="F242" s="9" t="s">
        <v>238</v>
      </c>
      <c r="G242" s="11">
        <v>0</v>
      </c>
      <c r="H242" s="9" t="s">
        <v>70</v>
      </c>
      <c r="I242" s="9" t="s">
        <v>71</v>
      </c>
      <c r="J242" s="9"/>
      <c r="K242" s="9"/>
      <c r="L242" s="9"/>
      <c r="M242" s="12">
        <f t="shared" si="12"/>
        <v>391</v>
      </c>
      <c r="N242" s="13">
        <f t="shared" si="13"/>
        <v>436.5</v>
      </c>
      <c r="O242" s="14">
        <f t="shared" si="14"/>
        <v>827.5</v>
      </c>
      <c r="P242" s="15">
        <f t="shared" si="15"/>
        <v>0.99698795180722888</v>
      </c>
    </row>
    <row r="243" spans="1:16" ht="15.75" customHeight="1" x14ac:dyDescent="0.3">
      <c r="A243" s="117" t="s">
        <v>58</v>
      </c>
      <c r="B243" s="9" t="s">
        <v>236</v>
      </c>
      <c r="C243" s="9" t="s">
        <v>87</v>
      </c>
      <c r="D243" s="9" t="s">
        <v>237</v>
      </c>
      <c r="E243" s="10">
        <v>2</v>
      </c>
      <c r="F243" s="9" t="s">
        <v>238</v>
      </c>
      <c r="G243" s="11">
        <v>0</v>
      </c>
      <c r="H243" s="9" t="s">
        <v>70</v>
      </c>
      <c r="I243" s="9" t="s">
        <v>71</v>
      </c>
      <c r="J243" s="9"/>
      <c r="K243" s="9"/>
      <c r="L243" s="9"/>
      <c r="M243" s="12">
        <f t="shared" si="12"/>
        <v>391</v>
      </c>
      <c r="N243" s="13">
        <f t="shared" si="13"/>
        <v>436.5</v>
      </c>
      <c r="O243" s="14">
        <f t="shared" si="14"/>
        <v>827.5</v>
      </c>
      <c r="P243" s="15">
        <f t="shared" si="15"/>
        <v>0.99698795180722888</v>
      </c>
    </row>
    <row r="244" spans="1:16" ht="15.75" customHeight="1" x14ac:dyDescent="0.3">
      <c r="A244" s="117" t="s">
        <v>58</v>
      </c>
      <c r="B244" s="9" t="s">
        <v>236</v>
      </c>
      <c r="C244" s="9" t="s">
        <v>79</v>
      </c>
      <c r="D244" s="9" t="s">
        <v>237</v>
      </c>
      <c r="E244" s="10">
        <v>12</v>
      </c>
      <c r="F244" s="9" t="s">
        <v>238</v>
      </c>
      <c r="G244" s="10">
        <v>12</v>
      </c>
      <c r="H244" s="9" t="s">
        <v>70</v>
      </c>
      <c r="I244" s="9" t="s">
        <v>71</v>
      </c>
      <c r="J244" s="9"/>
      <c r="K244" s="9"/>
      <c r="L244" s="9"/>
      <c r="M244" s="12">
        <f t="shared" si="12"/>
        <v>391</v>
      </c>
      <c r="N244" s="13">
        <f t="shared" si="13"/>
        <v>436.5</v>
      </c>
      <c r="O244" s="14">
        <f t="shared" si="14"/>
        <v>827.5</v>
      </c>
      <c r="P244" s="15">
        <f t="shared" si="15"/>
        <v>0.99698795180722888</v>
      </c>
    </row>
    <row r="245" spans="1:16" ht="15.75" customHeight="1" x14ac:dyDescent="0.3">
      <c r="A245" s="117" t="s">
        <v>58</v>
      </c>
      <c r="B245" s="9" t="s">
        <v>236</v>
      </c>
      <c r="C245" s="9" t="s">
        <v>100</v>
      </c>
      <c r="D245" s="9" t="s">
        <v>237</v>
      </c>
      <c r="E245" s="10">
        <v>24</v>
      </c>
      <c r="F245" s="9" t="s">
        <v>238</v>
      </c>
      <c r="G245" s="10">
        <v>24</v>
      </c>
      <c r="H245" s="9" t="s">
        <v>70</v>
      </c>
      <c r="I245" s="9" t="s">
        <v>71</v>
      </c>
      <c r="J245" s="9"/>
      <c r="K245" s="9"/>
      <c r="L245" s="9"/>
      <c r="M245" s="12">
        <f t="shared" si="12"/>
        <v>391</v>
      </c>
      <c r="N245" s="13">
        <f t="shared" si="13"/>
        <v>436.5</v>
      </c>
      <c r="O245" s="14">
        <f t="shared" si="14"/>
        <v>827.5</v>
      </c>
      <c r="P245" s="15">
        <f t="shared" si="15"/>
        <v>0.99698795180722888</v>
      </c>
    </row>
    <row r="246" spans="1:16" ht="15.75" customHeight="1" x14ac:dyDescent="0.3">
      <c r="A246" s="117" t="s">
        <v>58</v>
      </c>
      <c r="B246" s="9" t="s">
        <v>236</v>
      </c>
      <c r="C246" s="9" t="s">
        <v>80</v>
      </c>
      <c r="D246" s="9" t="s">
        <v>237</v>
      </c>
      <c r="E246" s="10">
        <v>1</v>
      </c>
      <c r="F246" s="9" t="s">
        <v>238</v>
      </c>
      <c r="G246" s="11">
        <v>0</v>
      </c>
      <c r="H246" s="9" t="s">
        <v>70</v>
      </c>
      <c r="I246" s="9" t="s">
        <v>71</v>
      </c>
      <c r="J246" s="9"/>
      <c r="K246" s="9"/>
      <c r="L246" s="9"/>
      <c r="M246" s="12">
        <f t="shared" si="12"/>
        <v>391</v>
      </c>
      <c r="N246" s="13">
        <f t="shared" si="13"/>
        <v>436.5</v>
      </c>
      <c r="O246" s="14">
        <f t="shared" si="14"/>
        <v>827.5</v>
      </c>
      <c r="P246" s="15">
        <f t="shared" si="15"/>
        <v>0.99698795180722888</v>
      </c>
    </row>
    <row r="247" spans="1:16" ht="15.75" customHeight="1" x14ac:dyDescent="0.3">
      <c r="A247" s="117" t="s">
        <v>58</v>
      </c>
      <c r="B247" s="9" t="s">
        <v>239</v>
      </c>
      <c r="C247" s="9" t="s">
        <v>73</v>
      </c>
      <c r="D247" s="9" t="s">
        <v>139</v>
      </c>
      <c r="E247" s="10">
        <v>10</v>
      </c>
      <c r="F247" s="9" t="s">
        <v>238</v>
      </c>
      <c r="G247" s="10">
        <v>10</v>
      </c>
      <c r="H247" s="9" t="s">
        <v>70</v>
      </c>
      <c r="I247" s="9" t="s">
        <v>71</v>
      </c>
      <c r="J247" s="9"/>
      <c r="K247" s="9"/>
      <c r="L247" s="9"/>
      <c r="M247" s="12">
        <f t="shared" si="12"/>
        <v>391</v>
      </c>
      <c r="N247" s="13">
        <f t="shared" si="13"/>
        <v>436.5</v>
      </c>
      <c r="O247" s="14">
        <f t="shared" si="14"/>
        <v>827.5</v>
      </c>
      <c r="P247" s="15">
        <f t="shared" si="15"/>
        <v>0.99698795180722888</v>
      </c>
    </row>
    <row r="248" spans="1:16" ht="15.75" customHeight="1" x14ac:dyDescent="0.3">
      <c r="A248" s="117" t="s">
        <v>58</v>
      </c>
      <c r="B248" s="9" t="s">
        <v>239</v>
      </c>
      <c r="C248" s="9" t="s">
        <v>123</v>
      </c>
      <c r="D248" s="9" t="s">
        <v>139</v>
      </c>
      <c r="E248" s="10">
        <v>15</v>
      </c>
      <c r="F248" s="9" t="s">
        <v>238</v>
      </c>
      <c r="G248" s="11">
        <v>0</v>
      </c>
      <c r="H248" s="9" t="s">
        <v>70</v>
      </c>
      <c r="I248" s="9" t="s">
        <v>71</v>
      </c>
      <c r="J248" s="9"/>
      <c r="K248" s="9"/>
      <c r="L248" s="9"/>
      <c r="M248" s="12">
        <f t="shared" si="12"/>
        <v>391</v>
      </c>
      <c r="N248" s="13">
        <f t="shared" si="13"/>
        <v>436.5</v>
      </c>
      <c r="O248" s="14">
        <f t="shared" si="14"/>
        <v>827.5</v>
      </c>
      <c r="P248" s="15">
        <f t="shared" si="15"/>
        <v>0.99698795180722888</v>
      </c>
    </row>
    <row r="249" spans="1:16" ht="15.75" customHeight="1" x14ac:dyDescent="0.3">
      <c r="A249" s="117" t="s">
        <v>58</v>
      </c>
      <c r="B249" s="9" t="s">
        <v>239</v>
      </c>
      <c r="C249" s="9" t="s">
        <v>87</v>
      </c>
      <c r="D249" s="9" t="s">
        <v>139</v>
      </c>
      <c r="E249" s="10">
        <v>2</v>
      </c>
      <c r="F249" s="9" t="s">
        <v>238</v>
      </c>
      <c r="G249" s="11">
        <v>0</v>
      </c>
      <c r="H249" s="9" t="s">
        <v>70</v>
      </c>
      <c r="I249" s="9" t="s">
        <v>71</v>
      </c>
      <c r="J249" s="9"/>
      <c r="K249" s="9"/>
      <c r="L249" s="9"/>
      <c r="M249" s="12">
        <f t="shared" si="12"/>
        <v>391</v>
      </c>
      <c r="N249" s="13">
        <f t="shared" si="13"/>
        <v>436.5</v>
      </c>
      <c r="O249" s="14">
        <f t="shared" si="14"/>
        <v>827.5</v>
      </c>
      <c r="P249" s="15">
        <f t="shared" si="15"/>
        <v>0.99698795180722888</v>
      </c>
    </row>
    <row r="250" spans="1:16" ht="15.75" customHeight="1" x14ac:dyDescent="0.3">
      <c r="A250" s="117" t="s">
        <v>58</v>
      </c>
      <c r="B250" s="9" t="s">
        <v>239</v>
      </c>
      <c r="C250" s="9" t="s">
        <v>79</v>
      </c>
      <c r="D250" s="9" t="s">
        <v>139</v>
      </c>
      <c r="E250" s="10">
        <v>26</v>
      </c>
      <c r="F250" s="9" t="s">
        <v>238</v>
      </c>
      <c r="G250" s="10">
        <v>26</v>
      </c>
      <c r="H250" s="9" t="s">
        <v>70</v>
      </c>
      <c r="I250" s="9" t="s">
        <v>71</v>
      </c>
      <c r="J250" s="9"/>
      <c r="K250" s="9"/>
      <c r="L250" s="9"/>
      <c r="M250" s="12">
        <f t="shared" si="12"/>
        <v>391</v>
      </c>
      <c r="N250" s="13">
        <f t="shared" si="13"/>
        <v>436.5</v>
      </c>
      <c r="O250" s="14">
        <f t="shared" si="14"/>
        <v>827.5</v>
      </c>
      <c r="P250" s="15">
        <f t="shared" si="15"/>
        <v>0.99698795180722888</v>
      </c>
    </row>
    <row r="251" spans="1:16" ht="15.75" customHeight="1" x14ac:dyDescent="0.3">
      <c r="A251" s="117" t="s">
        <v>58</v>
      </c>
      <c r="B251" s="9" t="s">
        <v>239</v>
      </c>
      <c r="C251" s="9" t="s">
        <v>80</v>
      </c>
      <c r="D251" s="9" t="s">
        <v>139</v>
      </c>
      <c r="E251" s="10">
        <v>1</v>
      </c>
      <c r="F251" s="9" t="s">
        <v>238</v>
      </c>
      <c r="G251" s="11">
        <v>0</v>
      </c>
      <c r="H251" s="9" t="s">
        <v>70</v>
      </c>
      <c r="I251" s="9" t="s">
        <v>71</v>
      </c>
      <c r="J251" s="9"/>
      <c r="K251" s="9"/>
      <c r="L251" s="9"/>
      <c r="M251" s="12">
        <f t="shared" si="12"/>
        <v>391</v>
      </c>
      <c r="N251" s="13">
        <f t="shared" si="13"/>
        <v>436.5</v>
      </c>
      <c r="O251" s="14">
        <f t="shared" si="14"/>
        <v>827.5</v>
      </c>
      <c r="P251" s="15">
        <f t="shared" si="15"/>
        <v>0.99698795180722888</v>
      </c>
    </row>
    <row r="252" spans="1:16" ht="15.75" customHeight="1" x14ac:dyDescent="0.3">
      <c r="A252" s="117" t="s">
        <v>58</v>
      </c>
      <c r="B252" s="9" t="s">
        <v>240</v>
      </c>
      <c r="C252" s="9" t="s">
        <v>73</v>
      </c>
      <c r="D252" s="9" t="s">
        <v>237</v>
      </c>
      <c r="E252" s="10">
        <v>14</v>
      </c>
      <c r="F252" s="9" t="s">
        <v>238</v>
      </c>
      <c r="G252" s="10">
        <v>14</v>
      </c>
      <c r="H252" s="9" t="s">
        <v>70</v>
      </c>
      <c r="I252" s="9" t="s">
        <v>71</v>
      </c>
      <c r="J252" s="9"/>
      <c r="K252" s="9"/>
      <c r="L252" s="9"/>
      <c r="M252" s="12">
        <f t="shared" si="12"/>
        <v>391</v>
      </c>
      <c r="N252" s="13">
        <f t="shared" si="13"/>
        <v>436.5</v>
      </c>
      <c r="O252" s="14">
        <f t="shared" si="14"/>
        <v>827.5</v>
      </c>
      <c r="P252" s="15">
        <f t="shared" si="15"/>
        <v>0.99698795180722888</v>
      </c>
    </row>
    <row r="253" spans="1:16" ht="15.75" customHeight="1" x14ac:dyDescent="0.3">
      <c r="A253" s="117" t="s">
        <v>58</v>
      </c>
      <c r="B253" s="9" t="s">
        <v>240</v>
      </c>
      <c r="C253" s="9" t="s">
        <v>123</v>
      </c>
      <c r="D253" s="9" t="s">
        <v>237</v>
      </c>
      <c r="E253" s="10">
        <v>18</v>
      </c>
      <c r="F253" s="9" t="s">
        <v>238</v>
      </c>
      <c r="G253" s="11">
        <v>0</v>
      </c>
      <c r="H253" s="9" t="s">
        <v>70</v>
      </c>
      <c r="I253" s="9" t="s">
        <v>71</v>
      </c>
      <c r="J253" s="9"/>
      <c r="K253" s="9"/>
      <c r="L253" s="9"/>
      <c r="M253" s="12">
        <f t="shared" si="12"/>
        <v>391</v>
      </c>
      <c r="N253" s="13">
        <f t="shared" si="13"/>
        <v>436.5</v>
      </c>
      <c r="O253" s="14">
        <f t="shared" si="14"/>
        <v>827.5</v>
      </c>
      <c r="P253" s="15">
        <f t="shared" si="15"/>
        <v>0.99698795180722888</v>
      </c>
    </row>
    <row r="254" spans="1:16" ht="15.75" customHeight="1" x14ac:dyDescent="0.3">
      <c r="A254" s="117" t="s">
        <v>58</v>
      </c>
      <c r="B254" s="9" t="s">
        <v>240</v>
      </c>
      <c r="C254" s="9" t="s">
        <v>79</v>
      </c>
      <c r="D254" s="9" t="s">
        <v>237</v>
      </c>
      <c r="E254" s="10">
        <v>40</v>
      </c>
      <c r="F254" s="9" t="s">
        <v>238</v>
      </c>
      <c r="G254" s="10">
        <v>40</v>
      </c>
      <c r="H254" s="9" t="s">
        <v>70</v>
      </c>
      <c r="I254" s="9" t="s">
        <v>71</v>
      </c>
      <c r="J254" s="9"/>
      <c r="K254" s="9"/>
      <c r="L254" s="9"/>
      <c r="M254" s="12">
        <f t="shared" si="12"/>
        <v>391</v>
      </c>
      <c r="N254" s="13">
        <f t="shared" si="13"/>
        <v>436.5</v>
      </c>
      <c r="O254" s="14">
        <f t="shared" si="14"/>
        <v>827.5</v>
      </c>
      <c r="P254" s="15">
        <f t="shared" si="15"/>
        <v>0.99698795180722888</v>
      </c>
    </row>
    <row r="255" spans="1:16" ht="15.75" customHeight="1" x14ac:dyDescent="0.3">
      <c r="A255" s="117" t="s">
        <v>58</v>
      </c>
      <c r="B255" s="9" t="s">
        <v>240</v>
      </c>
      <c r="C255" s="9" t="s">
        <v>111</v>
      </c>
      <c r="D255" s="9" t="s">
        <v>237</v>
      </c>
      <c r="E255" s="10">
        <v>3</v>
      </c>
      <c r="F255" s="9" t="s">
        <v>238</v>
      </c>
      <c r="G255" s="11">
        <v>0</v>
      </c>
      <c r="H255" s="9" t="s">
        <v>70</v>
      </c>
      <c r="I255" s="9" t="s">
        <v>71</v>
      </c>
      <c r="J255" s="9"/>
      <c r="K255" s="9"/>
      <c r="L255" s="9"/>
      <c r="M255" s="12">
        <f t="shared" si="12"/>
        <v>391</v>
      </c>
      <c r="N255" s="13">
        <f t="shared" si="13"/>
        <v>436.5</v>
      </c>
      <c r="O255" s="14">
        <f t="shared" si="14"/>
        <v>827.5</v>
      </c>
      <c r="P255" s="15">
        <f t="shared" si="15"/>
        <v>0.99698795180722888</v>
      </c>
    </row>
    <row r="256" spans="1:16" ht="15.75" customHeight="1" x14ac:dyDescent="0.3">
      <c r="A256" s="117" t="s">
        <v>58</v>
      </c>
      <c r="B256" s="9" t="s">
        <v>240</v>
      </c>
      <c r="C256" s="9" t="s">
        <v>80</v>
      </c>
      <c r="D256" s="9" t="s">
        <v>237</v>
      </c>
      <c r="E256" s="10">
        <v>3</v>
      </c>
      <c r="F256" s="9" t="s">
        <v>238</v>
      </c>
      <c r="G256" s="11">
        <v>0</v>
      </c>
      <c r="H256" s="9" t="s">
        <v>70</v>
      </c>
      <c r="I256" s="9" t="s">
        <v>71</v>
      </c>
      <c r="J256" s="9"/>
      <c r="K256" s="9"/>
      <c r="L256" s="9"/>
      <c r="M256" s="12">
        <f t="shared" si="12"/>
        <v>391</v>
      </c>
      <c r="N256" s="13">
        <f t="shared" si="13"/>
        <v>436.5</v>
      </c>
      <c r="O256" s="14">
        <f t="shared" si="14"/>
        <v>827.5</v>
      </c>
      <c r="P256" s="15">
        <f t="shared" si="15"/>
        <v>0.99698795180722888</v>
      </c>
    </row>
    <row r="257" spans="1:16" ht="15.75" customHeight="1" x14ac:dyDescent="0.3">
      <c r="A257" s="117" t="s">
        <v>58</v>
      </c>
      <c r="B257" s="9" t="s">
        <v>241</v>
      </c>
      <c r="C257" s="9" t="s">
        <v>102</v>
      </c>
      <c r="D257" s="9" t="s">
        <v>139</v>
      </c>
      <c r="E257" s="10">
        <v>20</v>
      </c>
      <c r="F257" s="9" t="s">
        <v>238</v>
      </c>
      <c r="G257" s="11">
        <v>0</v>
      </c>
      <c r="H257" s="9" t="s">
        <v>65</v>
      </c>
      <c r="I257" s="9" t="s">
        <v>66</v>
      </c>
      <c r="J257" s="9" t="s">
        <v>4</v>
      </c>
      <c r="K257" s="9"/>
      <c r="L257" s="9"/>
      <c r="M257" s="12">
        <f t="shared" si="12"/>
        <v>291</v>
      </c>
      <c r="N257" s="13">
        <f t="shared" si="13"/>
        <v>650.5</v>
      </c>
      <c r="O257" s="14">
        <f t="shared" si="14"/>
        <v>941.5</v>
      </c>
      <c r="P257" s="15">
        <f t="shared" si="15"/>
        <v>1.1343373493975903</v>
      </c>
    </row>
    <row r="258" spans="1:16" ht="15.75" customHeight="1" x14ac:dyDescent="0.3">
      <c r="A258" s="117" t="s">
        <v>58</v>
      </c>
      <c r="B258" s="9" t="s">
        <v>241</v>
      </c>
      <c r="C258" s="9" t="s">
        <v>73</v>
      </c>
      <c r="D258" s="9" t="s">
        <v>139</v>
      </c>
      <c r="E258" s="10">
        <v>30</v>
      </c>
      <c r="F258" s="9" t="s">
        <v>238</v>
      </c>
      <c r="G258" s="10">
        <v>30</v>
      </c>
      <c r="H258" s="9" t="s">
        <v>65</v>
      </c>
      <c r="I258" s="9" t="s">
        <v>66</v>
      </c>
      <c r="J258" s="9" t="s">
        <v>4</v>
      </c>
      <c r="K258" s="9"/>
      <c r="L258" s="9"/>
      <c r="M258" s="12">
        <f t="shared" ref="M258:M321" si="16">SUMIFS($E$2:$E$1130,$A$2:$A$1130,"осень",$I$2:$I$1130,I258)</f>
        <v>291</v>
      </c>
      <c r="N258" s="13">
        <f t="shared" ref="N258:N321" si="17">SUMIFS($E$2:$E$1130,$A$2:$A$1130,"весна",$I$2:$I$1130,I258)</f>
        <v>650.5</v>
      </c>
      <c r="O258" s="14">
        <f t="shared" ref="O258:O321" si="18">M258+N258</f>
        <v>941.5</v>
      </c>
      <c r="P258" s="15">
        <f t="shared" ref="P258:P321" si="19">O258/$P$1</f>
        <v>1.1343373493975903</v>
      </c>
    </row>
    <row r="259" spans="1:16" ht="15.75" customHeight="1" x14ac:dyDescent="0.3">
      <c r="A259" s="117" t="s">
        <v>58</v>
      </c>
      <c r="B259" s="9" t="s">
        <v>241</v>
      </c>
      <c r="C259" s="9" t="s">
        <v>79</v>
      </c>
      <c r="D259" s="9" t="s">
        <v>139</v>
      </c>
      <c r="E259" s="10">
        <v>34</v>
      </c>
      <c r="F259" s="9" t="s">
        <v>238</v>
      </c>
      <c r="G259" s="10">
        <v>34</v>
      </c>
      <c r="H259" s="9" t="s">
        <v>65</v>
      </c>
      <c r="I259" s="9" t="s">
        <v>66</v>
      </c>
      <c r="J259" s="9" t="s">
        <v>4</v>
      </c>
      <c r="K259" s="9"/>
      <c r="L259" s="9"/>
      <c r="M259" s="12">
        <f t="shared" si="16"/>
        <v>291</v>
      </c>
      <c r="N259" s="13">
        <f t="shared" si="17"/>
        <v>650.5</v>
      </c>
      <c r="O259" s="14">
        <f t="shared" si="18"/>
        <v>941.5</v>
      </c>
      <c r="P259" s="15">
        <f t="shared" si="19"/>
        <v>1.1343373493975903</v>
      </c>
    </row>
    <row r="260" spans="1:16" ht="15.75" customHeight="1" x14ac:dyDescent="0.3">
      <c r="A260" s="117" t="s">
        <v>58</v>
      </c>
      <c r="B260" s="9" t="s">
        <v>241</v>
      </c>
      <c r="C260" s="9" t="s">
        <v>100</v>
      </c>
      <c r="D260" s="9" t="s">
        <v>139</v>
      </c>
      <c r="E260" s="10">
        <v>16</v>
      </c>
      <c r="F260" s="9" t="s">
        <v>238</v>
      </c>
      <c r="G260" s="10">
        <v>16</v>
      </c>
      <c r="H260" s="9" t="s">
        <v>65</v>
      </c>
      <c r="I260" s="9" t="s">
        <v>66</v>
      </c>
      <c r="J260" s="9" t="s">
        <v>4</v>
      </c>
      <c r="K260" s="9"/>
      <c r="L260" s="9"/>
      <c r="M260" s="12">
        <f t="shared" si="16"/>
        <v>291</v>
      </c>
      <c r="N260" s="13">
        <f t="shared" si="17"/>
        <v>650.5</v>
      </c>
      <c r="O260" s="14">
        <f t="shared" si="18"/>
        <v>941.5</v>
      </c>
      <c r="P260" s="15">
        <f t="shared" si="19"/>
        <v>1.1343373493975903</v>
      </c>
    </row>
    <row r="261" spans="1:16" ht="15.75" customHeight="1" x14ac:dyDescent="0.3">
      <c r="A261" s="117" t="s">
        <v>58</v>
      </c>
      <c r="B261" s="9" t="s">
        <v>241</v>
      </c>
      <c r="C261" s="9" t="s">
        <v>111</v>
      </c>
      <c r="D261" s="9" t="s">
        <v>139</v>
      </c>
      <c r="E261" s="10">
        <v>3</v>
      </c>
      <c r="F261" s="9" t="s">
        <v>238</v>
      </c>
      <c r="G261" s="11">
        <v>0</v>
      </c>
      <c r="H261" s="9" t="s">
        <v>65</v>
      </c>
      <c r="I261" s="9" t="s">
        <v>66</v>
      </c>
      <c r="J261" s="9" t="s">
        <v>4</v>
      </c>
      <c r="K261" s="9"/>
      <c r="L261" s="9"/>
      <c r="M261" s="12">
        <f t="shared" si="16"/>
        <v>291</v>
      </c>
      <c r="N261" s="13">
        <f t="shared" si="17"/>
        <v>650.5</v>
      </c>
      <c r="O261" s="14">
        <f t="shared" si="18"/>
        <v>941.5</v>
      </c>
      <c r="P261" s="15">
        <f t="shared" si="19"/>
        <v>1.1343373493975903</v>
      </c>
    </row>
    <row r="262" spans="1:16" ht="15.75" customHeight="1" x14ac:dyDescent="0.3">
      <c r="A262" s="117" t="s">
        <v>58</v>
      </c>
      <c r="B262" s="9" t="s">
        <v>241</v>
      </c>
      <c r="C262" s="9" t="s">
        <v>80</v>
      </c>
      <c r="D262" s="9" t="s">
        <v>139</v>
      </c>
      <c r="E262" s="10">
        <v>4</v>
      </c>
      <c r="F262" s="9" t="s">
        <v>238</v>
      </c>
      <c r="G262" s="11">
        <v>0</v>
      </c>
      <c r="H262" s="9" t="s">
        <v>65</v>
      </c>
      <c r="I262" s="9" t="s">
        <v>66</v>
      </c>
      <c r="J262" s="9" t="s">
        <v>4</v>
      </c>
      <c r="K262" s="9"/>
      <c r="L262" s="9"/>
      <c r="M262" s="12">
        <f t="shared" si="16"/>
        <v>291</v>
      </c>
      <c r="N262" s="13">
        <f t="shared" si="17"/>
        <v>650.5</v>
      </c>
      <c r="O262" s="14">
        <f t="shared" si="18"/>
        <v>941.5</v>
      </c>
      <c r="P262" s="15">
        <f t="shared" si="19"/>
        <v>1.1343373493975903</v>
      </c>
    </row>
    <row r="263" spans="1:16" ht="15.75" customHeight="1" x14ac:dyDescent="0.3">
      <c r="A263" s="117" t="s">
        <v>58</v>
      </c>
      <c r="B263" s="9" t="s">
        <v>242</v>
      </c>
      <c r="C263" s="9" t="s">
        <v>73</v>
      </c>
      <c r="D263" s="9" t="s">
        <v>144</v>
      </c>
      <c r="E263" s="10">
        <v>18</v>
      </c>
      <c r="F263" s="9" t="s">
        <v>145</v>
      </c>
      <c r="G263" s="10">
        <v>18</v>
      </c>
      <c r="H263" s="9" t="s">
        <v>146</v>
      </c>
      <c r="I263" s="9" t="s">
        <v>147</v>
      </c>
      <c r="J263" s="9"/>
      <c r="K263" s="9"/>
      <c r="L263" s="9" t="s">
        <v>243</v>
      </c>
      <c r="M263" s="12">
        <f t="shared" si="16"/>
        <v>279</v>
      </c>
      <c r="N263" s="13">
        <f t="shared" si="17"/>
        <v>475.5</v>
      </c>
      <c r="O263" s="14">
        <f t="shared" si="18"/>
        <v>754.5</v>
      </c>
      <c r="P263" s="15">
        <f t="shared" si="19"/>
        <v>0.90903614457831328</v>
      </c>
    </row>
    <row r="264" spans="1:16" ht="15.75" customHeight="1" x14ac:dyDescent="0.3">
      <c r="A264" s="117" t="s">
        <v>58</v>
      </c>
      <c r="B264" s="9" t="s">
        <v>242</v>
      </c>
      <c r="C264" s="9" t="s">
        <v>123</v>
      </c>
      <c r="D264" s="9" t="s">
        <v>144</v>
      </c>
      <c r="E264" s="10">
        <v>27</v>
      </c>
      <c r="F264" s="9" t="s">
        <v>145</v>
      </c>
      <c r="G264" s="11">
        <v>0</v>
      </c>
      <c r="H264" s="9" t="s">
        <v>146</v>
      </c>
      <c r="I264" s="9" t="s">
        <v>147</v>
      </c>
      <c r="J264" s="9"/>
      <c r="K264" s="9"/>
      <c r="L264" s="9" t="s">
        <v>243</v>
      </c>
      <c r="M264" s="12">
        <f t="shared" si="16"/>
        <v>279</v>
      </c>
      <c r="N264" s="13">
        <f t="shared" si="17"/>
        <v>475.5</v>
      </c>
      <c r="O264" s="14">
        <f t="shared" si="18"/>
        <v>754.5</v>
      </c>
      <c r="P264" s="15">
        <f t="shared" si="19"/>
        <v>0.90903614457831328</v>
      </c>
    </row>
    <row r="265" spans="1:16" ht="15.75" customHeight="1" x14ac:dyDescent="0.3">
      <c r="A265" s="117" t="s">
        <v>58</v>
      </c>
      <c r="B265" s="9" t="s">
        <v>242</v>
      </c>
      <c r="C265" s="9" t="s">
        <v>87</v>
      </c>
      <c r="D265" s="9" t="s">
        <v>144</v>
      </c>
      <c r="E265" s="10">
        <v>3</v>
      </c>
      <c r="F265" s="9" t="s">
        <v>145</v>
      </c>
      <c r="G265" s="11">
        <v>0</v>
      </c>
      <c r="H265" s="9" t="s">
        <v>146</v>
      </c>
      <c r="I265" s="9" t="s">
        <v>147</v>
      </c>
      <c r="J265" s="9"/>
      <c r="K265" s="9"/>
      <c r="L265" s="9" t="s">
        <v>243</v>
      </c>
      <c r="M265" s="12">
        <f t="shared" si="16"/>
        <v>279</v>
      </c>
      <c r="N265" s="13">
        <f t="shared" si="17"/>
        <v>475.5</v>
      </c>
      <c r="O265" s="14">
        <f t="shared" si="18"/>
        <v>754.5</v>
      </c>
      <c r="P265" s="15">
        <f t="shared" si="19"/>
        <v>0.90903614457831328</v>
      </c>
    </row>
    <row r="266" spans="1:16" ht="15.75" customHeight="1" x14ac:dyDescent="0.3">
      <c r="A266" s="117" t="s">
        <v>58</v>
      </c>
      <c r="B266" s="9" t="s">
        <v>242</v>
      </c>
      <c r="C266" s="9" t="s">
        <v>79</v>
      </c>
      <c r="D266" s="9" t="s">
        <v>144</v>
      </c>
      <c r="E266" s="10">
        <v>58</v>
      </c>
      <c r="F266" s="9" t="s">
        <v>145</v>
      </c>
      <c r="G266" s="10">
        <v>58</v>
      </c>
      <c r="H266" s="9" t="s">
        <v>146</v>
      </c>
      <c r="I266" s="9" t="s">
        <v>147</v>
      </c>
      <c r="J266" s="9"/>
      <c r="K266" s="9"/>
      <c r="L266" s="9" t="s">
        <v>243</v>
      </c>
      <c r="M266" s="12">
        <f t="shared" si="16"/>
        <v>279</v>
      </c>
      <c r="N266" s="13">
        <f t="shared" si="17"/>
        <v>475.5</v>
      </c>
      <c r="O266" s="14">
        <f t="shared" si="18"/>
        <v>754.5</v>
      </c>
      <c r="P266" s="15">
        <f t="shared" si="19"/>
        <v>0.90903614457831328</v>
      </c>
    </row>
    <row r="267" spans="1:16" ht="15.75" customHeight="1" x14ac:dyDescent="0.3">
      <c r="A267" s="117" t="s">
        <v>58</v>
      </c>
      <c r="B267" s="9" t="s">
        <v>242</v>
      </c>
      <c r="C267" s="9" t="s">
        <v>80</v>
      </c>
      <c r="D267" s="9" t="s">
        <v>144</v>
      </c>
      <c r="E267" s="10">
        <v>1</v>
      </c>
      <c r="F267" s="9" t="s">
        <v>145</v>
      </c>
      <c r="G267" s="11">
        <v>0</v>
      </c>
      <c r="H267" s="9" t="s">
        <v>146</v>
      </c>
      <c r="I267" s="9" t="s">
        <v>147</v>
      </c>
      <c r="J267" s="9"/>
      <c r="K267" s="9"/>
      <c r="L267" s="9" t="s">
        <v>243</v>
      </c>
      <c r="M267" s="12">
        <f t="shared" si="16"/>
        <v>279</v>
      </c>
      <c r="N267" s="13">
        <f t="shared" si="17"/>
        <v>475.5</v>
      </c>
      <c r="O267" s="14">
        <f t="shared" si="18"/>
        <v>754.5</v>
      </c>
      <c r="P267" s="15">
        <f t="shared" si="19"/>
        <v>0.90903614457831328</v>
      </c>
    </row>
    <row r="268" spans="1:16" ht="15.75" customHeight="1" x14ac:dyDescent="0.3">
      <c r="A268" s="117" t="s">
        <v>58</v>
      </c>
      <c r="B268" s="9" t="s">
        <v>244</v>
      </c>
      <c r="C268" s="9" t="s">
        <v>73</v>
      </c>
      <c r="D268" s="9" t="s">
        <v>141</v>
      </c>
      <c r="E268" s="10">
        <v>8</v>
      </c>
      <c r="F268" s="9" t="s">
        <v>145</v>
      </c>
      <c r="G268" s="10">
        <v>8</v>
      </c>
      <c r="H268" s="9" t="s">
        <v>245</v>
      </c>
      <c r="I268" s="9" t="s">
        <v>246</v>
      </c>
      <c r="J268" s="9"/>
      <c r="K268" s="9"/>
      <c r="L268" s="9" t="s">
        <v>247</v>
      </c>
      <c r="M268" s="12">
        <f t="shared" si="16"/>
        <v>200</v>
      </c>
      <c r="N268" s="13">
        <f t="shared" si="17"/>
        <v>271</v>
      </c>
      <c r="O268" s="14">
        <f t="shared" si="18"/>
        <v>471</v>
      </c>
      <c r="P268" s="15">
        <f t="shared" si="19"/>
        <v>0.56746987951807226</v>
      </c>
    </row>
    <row r="269" spans="1:16" ht="15.75" customHeight="1" x14ac:dyDescent="0.3">
      <c r="A269" s="117" t="s">
        <v>58</v>
      </c>
      <c r="B269" s="9" t="s">
        <v>244</v>
      </c>
      <c r="C269" s="9" t="s">
        <v>79</v>
      </c>
      <c r="D269" s="9" t="s">
        <v>141</v>
      </c>
      <c r="E269" s="10">
        <v>28</v>
      </c>
      <c r="F269" s="9" t="s">
        <v>145</v>
      </c>
      <c r="G269" s="10">
        <v>28</v>
      </c>
      <c r="H269" s="9" t="s">
        <v>245</v>
      </c>
      <c r="I269" s="9" t="s">
        <v>246</v>
      </c>
      <c r="J269" s="9"/>
      <c r="K269" s="9"/>
      <c r="L269" s="9" t="s">
        <v>247</v>
      </c>
      <c r="M269" s="12">
        <f t="shared" si="16"/>
        <v>200</v>
      </c>
      <c r="N269" s="13">
        <f t="shared" si="17"/>
        <v>271</v>
      </c>
      <c r="O269" s="14">
        <f t="shared" si="18"/>
        <v>471</v>
      </c>
      <c r="P269" s="15">
        <f t="shared" si="19"/>
        <v>0.56746987951807226</v>
      </c>
    </row>
    <row r="270" spans="1:16" ht="15.75" customHeight="1" x14ac:dyDescent="0.3">
      <c r="A270" s="117" t="s">
        <v>58</v>
      </c>
      <c r="B270" s="9" t="s">
        <v>244</v>
      </c>
      <c r="C270" s="9" t="s">
        <v>111</v>
      </c>
      <c r="D270" s="9" t="s">
        <v>141</v>
      </c>
      <c r="E270" s="10">
        <v>3</v>
      </c>
      <c r="F270" s="9" t="s">
        <v>145</v>
      </c>
      <c r="G270" s="11">
        <v>0</v>
      </c>
      <c r="H270" s="9" t="s">
        <v>245</v>
      </c>
      <c r="I270" s="9" t="s">
        <v>246</v>
      </c>
      <c r="J270" s="9"/>
      <c r="K270" s="9"/>
      <c r="L270" s="9" t="s">
        <v>247</v>
      </c>
      <c r="M270" s="12">
        <f t="shared" si="16"/>
        <v>200</v>
      </c>
      <c r="N270" s="13">
        <f t="shared" si="17"/>
        <v>271</v>
      </c>
      <c r="O270" s="14">
        <f t="shared" si="18"/>
        <v>471</v>
      </c>
      <c r="P270" s="15">
        <f t="shared" si="19"/>
        <v>0.56746987951807226</v>
      </c>
    </row>
    <row r="271" spans="1:16" ht="15.75" customHeight="1" x14ac:dyDescent="0.3">
      <c r="A271" s="117" t="s">
        <v>58</v>
      </c>
      <c r="B271" s="9" t="s">
        <v>244</v>
      </c>
      <c r="C271" s="9" t="s">
        <v>80</v>
      </c>
      <c r="D271" s="9" t="s">
        <v>141</v>
      </c>
      <c r="E271" s="10">
        <v>2</v>
      </c>
      <c r="F271" s="9" t="s">
        <v>145</v>
      </c>
      <c r="G271" s="11">
        <v>0</v>
      </c>
      <c r="H271" s="9" t="s">
        <v>245</v>
      </c>
      <c r="I271" s="9" t="s">
        <v>246</v>
      </c>
      <c r="J271" s="9"/>
      <c r="K271" s="9"/>
      <c r="L271" s="9" t="s">
        <v>247</v>
      </c>
      <c r="M271" s="12">
        <f t="shared" si="16"/>
        <v>200</v>
      </c>
      <c r="N271" s="13">
        <f t="shared" si="17"/>
        <v>271</v>
      </c>
      <c r="O271" s="14">
        <f t="shared" si="18"/>
        <v>471</v>
      </c>
      <c r="P271" s="15">
        <f t="shared" si="19"/>
        <v>0.56746987951807226</v>
      </c>
    </row>
    <row r="272" spans="1:16" ht="15.75" customHeight="1" x14ac:dyDescent="0.3">
      <c r="A272" s="117" t="s">
        <v>58</v>
      </c>
      <c r="B272" s="9" t="s">
        <v>248</v>
      </c>
      <c r="C272" s="9" t="s">
        <v>73</v>
      </c>
      <c r="D272" s="9" t="s">
        <v>141</v>
      </c>
      <c r="E272" s="10">
        <v>12</v>
      </c>
      <c r="F272" s="9" t="s">
        <v>145</v>
      </c>
      <c r="G272" s="10">
        <v>12</v>
      </c>
      <c r="H272" s="9" t="s">
        <v>94</v>
      </c>
      <c r="I272" s="9" t="s">
        <v>95</v>
      </c>
      <c r="J272" s="9"/>
      <c r="K272" s="9"/>
      <c r="L272" s="9"/>
      <c r="M272" s="12">
        <f t="shared" si="16"/>
        <v>283</v>
      </c>
      <c r="N272" s="13">
        <f t="shared" si="17"/>
        <v>440</v>
      </c>
      <c r="O272" s="14">
        <f t="shared" si="18"/>
        <v>723</v>
      </c>
      <c r="P272" s="15">
        <f t="shared" si="19"/>
        <v>0.87108433734939761</v>
      </c>
    </row>
    <row r="273" spans="1:16" ht="15.75" customHeight="1" x14ac:dyDescent="0.3">
      <c r="A273" s="117" t="s">
        <v>58</v>
      </c>
      <c r="B273" s="9" t="s">
        <v>248</v>
      </c>
      <c r="C273" s="9" t="s">
        <v>79</v>
      </c>
      <c r="D273" s="9" t="s">
        <v>141</v>
      </c>
      <c r="E273" s="10">
        <v>44</v>
      </c>
      <c r="F273" s="9" t="s">
        <v>145</v>
      </c>
      <c r="G273" s="10">
        <v>44</v>
      </c>
      <c r="H273" s="9" t="s">
        <v>94</v>
      </c>
      <c r="I273" s="9" t="s">
        <v>95</v>
      </c>
      <c r="J273" s="9"/>
      <c r="K273" s="9"/>
      <c r="L273" s="9"/>
      <c r="M273" s="12">
        <f t="shared" si="16"/>
        <v>283</v>
      </c>
      <c r="N273" s="13">
        <f t="shared" si="17"/>
        <v>440</v>
      </c>
      <c r="O273" s="14">
        <f t="shared" si="18"/>
        <v>723</v>
      </c>
      <c r="P273" s="15">
        <f t="shared" si="19"/>
        <v>0.87108433734939761</v>
      </c>
    </row>
    <row r="274" spans="1:16" ht="15.75" customHeight="1" x14ac:dyDescent="0.3">
      <c r="A274" s="117" t="s">
        <v>58</v>
      </c>
      <c r="B274" s="9" t="s">
        <v>248</v>
      </c>
      <c r="C274" s="9" t="s">
        <v>111</v>
      </c>
      <c r="D274" s="9" t="s">
        <v>141</v>
      </c>
      <c r="E274" s="10">
        <v>3</v>
      </c>
      <c r="F274" s="9" t="s">
        <v>145</v>
      </c>
      <c r="G274" s="11">
        <v>0</v>
      </c>
      <c r="H274" s="9" t="s">
        <v>94</v>
      </c>
      <c r="I274" s="9" t="s">
        <v>95</v>
      </c>
      <c r="J274" s="9"/>
      <c r="K274" s="9"/>
      <c r="L274" s="9"/>
      <c r="M274" s="12">
        <f t="shared" si="16"/>
        <v>283</v>
      </c>
      <c r="N274" s="13">
        <f t="shared" si="17"/>
        <v>440</v>
      </c>
      <c r="O274" s="14">
        <f t="shared" si="18"/>
        <v>723</v>
      </c>
      <c r="P274" s="15">
        <f t="shared" si="19"/>
        <v>0.87108433734939761</v>
      </c>
    </row>
    <row r="275" spans="1:16" ht="15.75" customHeight="1" x14ac:dyDescent="0.3">
      <c r="A275" s="117" t="s">
        <v>58</v>
      </c>
      <c r="B275" s="9" t="s">
        <v>248</v>
      </c>
      <c r="C275" s="9" t="s">
        <v>80</v>
      </c>
      <c r="D275" s="9" t="s">
        <v>141</v>
      </c>
      <c r="E275" s="10">
        <v>3</v>
      </c>
      <c r="F275" s="9" t="s">
        <v>145</v>
      </c>
      <c r="G275" s="11">
        <v>0</v>
      </c>
      <c r="H275" s="9" t="s">
        <v>94</v>
      </c>
      <c r="I275" s="9" t="s">
        <v>95</v>
      </c>
      <c r="J275" s="9"/>
      <c r="K275" s="9"/>
      <c r="L275" s="9"/>
      <c r="M275" s="12">
        <f t="shared" si="16"/>
        <v>283</v>
      </c>
      <c r="N275" s="13">
        <f t="shared" si="17"/>
        <v>440</v>
      </c>
      <c r="O275" s="14">
        <f t="shared" si="18"/>
        <v>723</v>
      </c>
      <c r="P275" s="15">
        <f t="shared" si="19"/>
        <v>0.87108433734939761</v>
      </c>
    </row>
    <row r="276" spans="1:16" ht="15.75" customHeight="1" x14ac:dyDescent="0.3">
      <c r="A276" s="117" t="s">
        <v>58</v>
      </c>
      <c r="B276" s="9" t="s">
        <v>249</v>
      </c>
      <c r="C276" s="9" t="s">
        <v>73</v>
      </c>
      <c r="D276" s="9" t="s">
        <v>140</v>
      </c>
      <c r="E276" s="10">
        <v>18</v>
      </c>
      <c r="F276" s="9" t="s">
        <v>153</v>
      </c>
      <c r="G276" s="10">
        <v>18</v>
      </c>
      <c r="H276" s="9" t="s">
        <v>250</v>
      </c>
      <c r="I276" s="9" t="s">
        <v>251</v>
      </c>
      <c r="J276" s="9"/>
      <c r="K276" s="9"/>
      <c r="L276" s="9" t="s">
        <v>252</v>
      </c>
      <c r="M276" s="12">
        <f t="shared" si="16"/>
        <v>179</v>
      </c>
      <c r="N276" s="13">
        <f t="shared" si="17"/>
        <v>72</v>
      </c>
      <c r="O276" s="14">
        <f t="shared" si="18"/>
        <v>251</v>
      </c>
      <c r="P276" s="15">
        <f t="shared" si="19"/>
        <v>0.30240963855421688</v>
      </c>
    </row>
    <row r="277" spans="1:16" ht="15.75" customHeight="1" x14ac:dyDescent="0.3">
      <c r="A277" s="117" t="s">
        <v>58</v>
      </c>
      <c r="B277" s="9" t="s">
        <v>249</v>
      </c>
      <c r="C277" s="9" t="s">
        <v>79</v>
      </c>
      <c r="D277" s="9" t="s">
        <v>140</v>
      </c>
      <c r="E277" s="10">
        <v>32</v>
      </c>
      <c r="F277" s="9" t="s">
        <v>153</v>
      </c>
      <c r="G277" s="10">
        <v>32</v>
      </c>
      <c r="H277" s="9" t="s">
        <v>250</v>
      </c>
      <c r="I277" s="9" t="s">
        <v>251</v>
      </c>
      <c r="J277" s="9"/>
      <c r="K277" s="9"/>
      <c r="L277" s="9" t="s">
        <v>252</v>
      </c>
      <c r="M277" s="12">
        <f t="shared" si="16"/>
        <v>179</v>
      </c>
      <c r="N277" s="13">
        <f t="shared" si="17"/>
        <v>72</v>
      </c>
      <c r="O277" s="14">
        <f t="shared" si="18"/>
        <v>251</v>
      </c>
      <c r="P277" s="15">
        <f t="shared" si="19"/>
        <v>0.30240963855421688</v>
      </c>
    </row>
    <row r="278" spans="1:16" ht="15.75" customHeight="1" x14ac:dyDescent="0.3">
      <c r="A278" s="117" t="s">
        <v>58</v>
      </c>
      <c r="B278" s="9" t="s">
        <v>249</v>
      </c>
      <c r="C278" s="9" t="s">
        <v>142</v>
      </c>
      <c r="D278" s="9" t="s">
        <v>140</v>
      </c>
      <c r="E278" s="10">
        <v>2</v>
      </c>
      <c r="F278" s="9" t="s">
        <v>153</v>
      </c>
      <c r="G278" s="11">
        <v>0</v>
      </c>
      <c r="H278" s="9" t="s">
        <v>250</v>
      </c>
      <c r="I278" s="9" t="s">
        <v>251</v>
      </c>
      <c r="J278" s="9"/>
      <c r="K278" s="9"/>
      <c r="L278" s="9" t="s">
        <v>252</v>
      </c>
      <c r="M278" s="12">
        <f t="shared" si="16"/>
        <v>179</v>
      </c>
      <c r="N278" s="13">
        <f t="shared" si="17"/>
        <v>72</v>
      </c>
      <c r="O278" s="14">
        <f t="shared" si="18"/>
        <v>251</v>
      </c>
      <c r="P278" s="15">
        <f t="shared" si="19"/>
        <v>0.30240963855421688</v>
      </c>
    </row>
    <row r="279" spans="1:16" ht="15.75" customHeight="1" x14ac:dyDescent="0.3">
      <c r="A279" s="117" t="s">
        <v>58</v>
      </c>
      <c r="B279" s="9" t="s">
        <v>249</v>
      </c>
      <c r="C279" s="9" t="s">
        <v>80</v>
      </c>
      <c r="D279" s="9" t="s">
        <v>140</v>
      </c>
      <c r="E279" s="10">
        <v>1</v>
      </c>
      <c r="F279" s="9" t="s">
        <v>153</v>
      </c>
      <c r="G279" s="11">
        <v>0</v>
      </c>
      <c r="H279" s="9" t="s">
        <v>250</v>
      </c>
      <c r="I279" s="9" t="s">
        <v>251</v>
      </c>
      <c r="J279" s="9"/>
      <c r="K279" s="9"/>
      <c r="L279" s="9" t="s">
        <v>252</v>
      </c>
      <c r="M279" s="12">
        <f t="shared" si="16"/>
        <v>179</v>
      </c>
      <c r="N279" s="13">
        <f t="shared" si="17"/>
        <v>72</v>
      </c>
      <c r="O279" s="14">
        <f t="shared" si="18"/>
        <v>251</v>
      </c>
      <c r="P279" s="15">
        <f t="shared" si="19"/>
        <v>0.30240963855421688</v>
      </c>
    </row>
    <row r="280" spans="1:16" ht="15.75" customHeight="1" x14ac:dyDescent="0.3">
      <c r="A280" s="117" t="s">
        <v>58</v>
      </c>
      <c r="B280" s="9" t="s">
        <v>253</v>
      </c>
      <c r="C280" s="9" t="s">
        <v>73</v>
      </c>
      <c r="D280" s="9" t="s">
        <v>140</v>
      </c>
      <c r="E280" s="10">
        <v>16</v>
      </c>
      <c r="F280" s="9" t="s">
        <v>153</v>
      </c>
      <c r="G280" s="10">
        <v>16</v>
      </c>
      <c r="H280" s="9" t="s">
        <v>67</v>
      </c>
      <c r="I280" s="9" t="s">
        <v>68</v>
      </c>
      <c r="J280" s="9" t="s">
        <v>4</v>
      </c>
      <c r="K280" s="9"/>
      <c r="L280" s="9" t="s">
        <v>254</v>
      </c>
      <c r="M280" s="12">
        <f t="shared" si="16"/>
        <v>366</v>
      </c>
      <c r="N280" s="13">
        <f t="shared" si="17"/>
        <v>175</v>
      </c>
      <c r="O280" s="14">
        <f t="shared" si="18"/>
        <v>541</v>
      </c>
      <c r="P280" s="15">
        <f t="shared" si="19"/>
        <v>0.65180722891566267</v>
      </c>
    </row>
    <row r="281" spans="1:16" ht="15.75" customHeight="1" x14ac:dyDescent="0.3">
      <c r="A281" s="117" t="s">
        <v>58</v>
      </c>
      <c r="B281" s="9" t="s">
        <v>253</v>
      </c>
      <c r="C281" s="9" t="s">
        <v>123</v>
      </c>
      <c r="D281" s="9" t="s">
        <v>140</v>
      </c>
      <c r="E281" s="10">
        <v>15</v>
      </c>
      <c r="F281" s="9" t="s">
        <v>153</v>
      </c>
      <c r="G281" s="11">
        <v>0</v>
      </c>
      <c r="H281" s="9" t="s">
        <v>67</v>
      </c>
      <c r="I281" s="9" t="s">
        <v>68</v>
      </c>
      <c r="J281" s="9" t="s">
        <v>4</v>
      </c>
      <c r="K281" s="9"/>
      <c r="L281" s="9" t="s">
        <v>254</v>
      </c>
      <c r="M281" s="12">
        <f t="shared" si="16"/>
        <v>366</v>
      </c>
      <c r="N281" s="13">
        <f t="shared" si="17"/>
        <v>175</v>
      </c>
      <c r="O281" s="14">
        <f t="shared" si="18"/>
        <v>541</v>
      </c>
      <c r="P281" s="15">
        <f t="shared" si="19"/>
        <v>0.65180722891566267</v>
      </c>
    </row>
    <row r="282" spans="1:16" ht="15.75" customHeight="1" x14ac:dyDescent="0.3">
      <c r="A282" s="117" t="s">
        <v>58</v>
      </c>
      <c r="B282" s="9" t="s">
        <v>253</v>
      </c>
      <c r="C282" s="9" t="s">
        <v>87</v>
      </c>
      <c r="D282" s="9" t="s">
        <v>140</v>
      </c>
      <c r="E282" s="10">
        <v>2</v>
      </c>
      <c r="F282" s="9" t="s">
        <v>153</v>
      </c>
      <c r="G282" s="11">
        <v>0</v>
      </c>
      <c r="H282" s="9" t="s">
        <v>67</v>
      </c>
      <c r="I282" s="9" t="s">
        <v>68</v>
      </c>
      <c r="J282" s="9" t="s">
        <v>4</v>
      </c>
      <c r="K282" s="9"/>
      <c r="L282" s="9" t="s">
        <v>254</v>
      </c>
      <c r="M282" s="12">
        <f t="shared" si="16"/>
        <v>366</v>
      </c>
      <c r="N282" s="13">
        <f t="shared" si="17"/>
        <v>175</v>
      </c>
      <c r="O282" s="14">
        <f t="shared" si="18"/>
        <v>541</v>
      </c>
      <c r="P282" s="15">
        <f t="shared" si="19"/>
        <v>0.65180722891566267</v>
      </c>
    </row>
    <row r="283" spans="1:16" ht="15.75" customHeight="1" x14ac:dyDescent="0.3">
      <c r="A283" s="117" t="s">
        <v>58</v>
      </c>
      <c r="B283" s="9" t="s">
        <v>253</v>
      </c>
      <c r="C283" s="9" t="s">
        <v>79</v>
      </c>
      <c r="D283" s="9" t="s">
        <v>140</v>
      </c>
      <c r="E283" s="10">
        <v>50</v>
      </c>
      <c r="F283" s="9" t="s">
        <v>153</v>
      </c>
      <c r="G283" s="10">
        <v>50</v>
      </c>
      <c r="H283" s="9" t="s">
        <v>67</v>
      </c>
      <c r="I283" s="9" t="s">
        <v>68</v>
      </c>
      <c r="J283" s="9" t="s">
        <v>4</v>
      </c>
      <c r="K283" s="9"/>
      <c r="L283" s="9" t="s">
        <v>254</v>
      </c>
      <c r="M283" s="12">
        <f t="shared" si="16"/>
        <v>366</v>
      </c>
      <c r="N283" s="13">
        <f t="shared" si="17"/>
        <v>175</v>
      </c>
      <c r="O283" s="14">
        <f t="shared" si="18"/>
        <v>541</v>
      </c>
      <c r="P283" s="15">
        <f t="shared" si="19"/>
        <v>0.65180722891566267</v>
      </c>
    </row>
    <row r="284" spans="1:16" ht="15.75" customHeight="1" x14ac:dyDescent="0.3">
      <c r="A284" s="117" t="s">
        <v>58</v>
      </c>
      <c r="B284" s="9" t="s">
        <v>253</v>
      </c>
      <c r="C284" s="9" t="s">
        <v>80</v>
      </c>
      <c r="D284" s="9" t="s">
        <v>140</v>
      </c>
      <c r="E284" s="10">
        <v>1</v>
      </c>
      <c r="F284" s="9" t="s">
        <v>153</v>
      </c>
      <c r="G284" s="11">
        <v>0</v>
      </c>
      <c r="H284" s="9" t="s">
        <v>67</v>
      </c>
      <c r="I284" s="9" t="s">
        <v>68</v>
      </c>
      <c r="J284" s="9" t="s">
        <v>4</v>
      </c>
      <c r="K284" s="9"/>
      <c r="L284" s="9" t="s">
        <v>254</v>
      </c>
      <c r="M284" s="12">
        <f t="shared" si="16"/>
        <v>366</v>
      </c>
      <c r="N284" s="13">
        <f t="shared" si="17"/>
        <v>175</v>
      </c>
      <c r="O284" s="14">
        <f t="shared" si="18"/>
        <v>541</v>
      </c>
      <c r="P284" s="15">
        <f t="shared" si="19"/>
        <v>0.65180722891566267</v>
      </c>
    </row>
    <row r="285" spans="1:16" ht="15.75" customHeight="1" x14ac:dyDescent="0.3">
      <c r="A285" s="117" t="s">
        <v>58</v>
      </c>
      <c r="B285" s="9" t="s">
        <v>255</v>
      </c>
      <c r="C285" s="9" t="s">
        <v>73</v>
      </c>
      <c r="D285" s="9" t="s">
        <v>152</v>
      </c>
      <c r="E285" s="10">
        <v>18</v>
      </c>
      <c r="F285" s="9" t="s">
        <v>153</v>
      </c>
      <c r="G285" s="10">
        <v>18</v>
      </c>
      <c r="H285" s="9" t="s">
        <v>96</v>
      </c>
      <c r="I285" s="9" t="s">
        <v>97</v>
      </c>
      <c r="J285" s="9" t="s">
        <v>8</v>
      </c>
      <c r="K285" s="9"/>
      <c r="L285" s="9"/>
      <c r="M285" s="12">
        <f t="shared" si="16"/>
        <v>501</v>
      </c>
      <c r="N285" s="13">
        <f t="shared" si="17"/>
        <v>486.5</v>
      </c>
      <c r="O285" s="14">
        <f t="shared" si="18"/>
        <v>987.5</v>
      </c>
      <c r="P285" s="15">
        <f t="shared" si="19"/>
        <v>1.1897590361445782</v>
      </c>
    </row>
    <row r="286" spans="1:16" ht="15.75" customHeight="1" x14ac:dyDescent="0.3">
      <c r="A286" s="117" t="s">
        <v>58</v>
      </c>
      <c r="B286" s="9" t="s">
        <v>255</v>
      </c>
      <c r="C286" s="9" t="s">
        <v>123</v>
      </c>
      <c r="D286" s="9" t="s">
        <v>152</v>
      </c>
      <c r="E286" s="10">
        <v>21</v>
      </c>
      <c r="F286" s="9" t="s">
        <v>153</v>
      </c>
      <c r="G286" s="11">
        <v>0</v>
      </c>
      <c r="H286" s="9" t="s">
        <v>96</v>
      </c>
      <c r="I286" s="9" t="s">
        <v>97</v>
      </c>
      <c r="J286" s="9" t="s">
        <v>8</v>
      </c>
      <c r="K286" s="9"/>
      <c r="L286" s="9"/>
      <c r="M286" s="12">
        <f t="shared" si="16"/>
        <v>501</v>
      </c>
      <c r="N286" s="13">
        <f t="shared" si="17"/>
        <v>486.5</v>
      </c>
      <c r="O286" s="14">
        <f t="shared" si="18"/>
        <v>987.5</v>
      </c>
      <c r="P286" s="15">
        <f t="shared" si="19"/>
        <v>1.1897590361445782</v>
      </c>
    </row>
    <row r="287" spans="1:16" ht="15.75" customHeight="1" x14ac:dyDescent="0.3">
      <c r="A287" s="117" t="s">
        <v>58</v>
      </c>
      <c r="B287" s="9" t="s">
        <v>255</v>
      </c>
      <c r="C287" s="9" t="s">
        <v>79</v>
      </c>
      <c r="D287" s="9" t="s">
        <v>152</v>
      </c>
      <c r="E287" s="10">
        <v>44</v>
      </c>
      <c r="F287" s="9" t="s">
        <v>153</v>
      </c>
      <c r="G287" s="10">
        <v>44</v>
      </c>
      <c r="H287" s="9" t="s">
        <v>96</v>
      </c>
      <c r="I287" s="9" t="s">
        <v>97</v>
      </c>
      <c r="J287" s="9" t="s">
        <v>8</v>
      </c>
      <c r="K287" s="9"/>
      <c r="L287" s="9"/>
      <c r="M287" s="12">
        <f t="shared" si="16"/>
        <v>501</v>
      </c>
      <c r="N287" s="13">
        <f t="shared" si="17"/>
        <v>486.5</v>
      </c>
      <c r="O287" s="14">
        <f t="shared" si="18"/>
        <v>987.5</v>
      </c>
      <c r="P287" s="15">
        <f t="shared" si="19"/>
        <v>1.1897590361445782</v>
      </c>
    </row>
    <row r="288" spans="1:16" ht="15.75" customHeight="1" x14ac:dyDescent="0.3">
      <c r="A288" s="117" t="s">
        <v>58</v>
      </c>
      <c r="B288" s="9" t="s">
        <v>255</v>
      </c>
      <c r="C288" s="9" t="s">
        <v>100</v>
      </c>
      <c r="D288" s="9" t="s">
        <v>152</v>
      </c>
      <c r="E288" s="10">
        <v>4</v>
      </c>
      <c r="F288" s="9" t="s">
        <v>153</v>
      </c>
      <c r="G288" s="10">
        <v>4</v>
      </c>
      <c r="H288" s="9" t="s">
        <v>96</v>
      </c>
      <c r="I288" s="9" t="s">
        <v>97</v>
      </c>
      <c r="J288" s="9" t="s">
        <v>8</v>
      </c>
      <c r="K288" s="9"/>
      <c r="L288" s="9"/>
      <c r="M288" s="12">
        <f t="shared" si="16"/>
        <v>501</v>
      </c>
      <c r="N288" s="13">
        <f t="shared" si="17"/>
        <v>486.5</v>
      </c>
      <c r="O288" s="14">
        <f t="shared" si="18"/>
        <v>987.5</v>
      </c>
      <c r="P288" s="15">
        <f t="shared" si="19"/>
        <v>1.1897590361445782</v>
      </c>
    </row>
    <row r="289" spans="1:16" ht="15.75" customHeight="1" x14ac:dyDescent="0.3">
      <c r="A289" s="117" t="s">
        <v>58</v>
      </c>
      <c r="B289" s="9" t="s">
        <v>255</v>
      </c>
      <c r="C289" s="9" t="s">
        <v>111</v>
      </c>
      <c r="D289" s="9" t="s">
        <v>152</v>
      </c>
      <c r="E289" s="10">
        <v>4</v>
      </c>
      <c r="F289" s="9" t="s">
        <v>153</v>
      </c>
      <c r="G289" s="11">
        <v>0</v>
      </c>
      <c r="H289" s="9" t="s">
        <v>96</v>
      </c>
      <c r="I289" s="9" t="s">
        <v>97</v>
      </c>
      <c r="J289" s="9" t="s">
        <v>8</v>
      </c>
      <c r="K289" s="9"/>
      <c r="L289" s="9"/>
      <c r="M289" s="12">
        <f t="shared" si="16"/>
        <v>501</v>
      </c>
      <c r="N289" s="13">
        <f t="shared" si="17"/>
        <v>486.5</v>
      </c>
      <c r="O289" s="14">
        <f t="shared" si="18"/>
        <v>987.5</v>
      </c>
      <c r="P289" s="15">
        <f t="shared" si="19"/>
        <v>1.1897590361445782</v>
      </c>
    </row>
    <row r="290" spans="1:16" ht="15.75" customHeight="1" x14ac:dyDescent="0.3">
      <c r="A290" s="117" t="s">
        <v>58</v>
      </c>
      <c r="B290" s="9" t="s">
        <v>255</v>
      </c>
      <c r="C290" s="9" t="s">
        <v>80</v>
      </c>
      <c r="D290" s="9" t="s">
        <v>152</v>
      </c>
      <c r="E290" s="10">
        <v>3</v>
      </c>
      <c r="F290" s="9" t="s">
        <v>153</v>
      </c>
      <c r="G290" s="11">
        <v>0</v>
      </c>
      <c r="H290" s="9" t="s">
        <v>96</v>
      </c>
      <c r="I290" s="9" t="s">
        <v>97</v>
      </c>
      <c r="J290" s="9" t="s">
        <v>8</v>
      </c>
      <c r="K290" s="9"/>
      <c r="L290" s="9"/>
      <c r="M290" s="12">
        <f t="shared" si="16"/>
        <v>501</v>
      </c>
      <c r="N290" s="13">
        <f t="shared" si="17"/>
        <v>486.5</v>
      </c>
      <c r="O290" s="14">
        <f t="shared" si="18"/>
        <v>987.5</v>
      </c>
      <c r="P290" s="15">
        <f t="shared" si="19"/>
        <v>1.1897590361445782</v>
      </c>
    </row>
    <row r="291" spans="1:16" ht="15.75" customHeight="1" x14ac:dyDescent="0.3">
      <c r="A291" s="117" t="s">
        <v>58</v>
      </c>
      <c r="B291" s="9" t="s">
        <v>256</v>
      </c>
      <c r="C291" s="9" t="s">
        <v>73</v>
      </c>
      <c r="D291" s="9" t="s">
        <v>152</v>
      </c>
      <c r="E291" s="10">
        <v>18</v>
      </c>
      <c r="F291" s="9" t="s">
        <v>153</v>
      </c>
      <c r="G291" s="10">
        <v>18</v>
      </c>
      <c r="H291" s="9" t="s">
        <v>257</v>
      </c>
      <c r="I291" s="9" t="s">
        <v>258</v>
      </c>
      <c r="J291" s="9" t="s">
        <v>8</v>
      </c>
      <c r="K291" s="9"/>
      <c r="L291" s="9"/>
      <c r="M291" s="12">
        <f t="shared" si="16"/>
        <v>331</v>
      </c>
      <c r="N291" s="13">
        <f t="shared" si="17"/>
        <v>520</v>
      </c>
      <c r="O291" s="14">
        <f t="shared" si="18"/>
        <v>851</v>
      </c>
      <c r="P291" s="15">
        <f t="shared" si="19"/>
        <v>1.0253012048192771</v>
      </c>
    </row>
    <row r="292" spans="1:16" ht="15.75" customHeight="1" x14ac:dyDescent="0.3">
      <c r="A292" s="117" t="s">
        <v>58</v>
      </c>
      <c r="B292" s="9" t="s">
        <v>256</v>
      </c>
      <c r="C292" s="9" t="s">
        <v>123</v>
      </c>
      <c r="D292" s="9" t="s">
        <v>152</v>
      </c>
      <c r="E292" s="10">
        <v>21</v>
      </c>
      <c r="F292" s="9" t="s">
        <v>153</v>
      </c>
      <c r="G292" s="11">
        <v>0</v>
      </c>
      <c r="H292" s="9" t="s">
        <v>257</v>
      </c>
      <c r="I292" s="9" t="s">
        <v>258</v>
      </c>
      <c r="J292" s="9" t="s">
        <v>8</v>
      </c>
      <c r="K292" s="9"/>
      <c r="L292" s="9"/>
      <c r="M292" s="12">
        <f t="shared" si="16"/>
        <v>331</v>
      </c>
      <c r="N292" s="13">
        <f t="shared" si="17"/>
        <v>520</v>
      </c>
      <c r="O292" s="14">
        <f t="shared" si="18"/>
        <v>851</v>
      </c>
      <c r="P292" s="15">
        <f t="shared" si="19"/>
        <v>1.0253012048192771</v>
      </c>
    </row>
    <row r="293" spans="1:16" ht="15.75" customHeight="1" x14ac:dyDescent="0.3">
      <c r="A293" s="117" t="s">
        <v>58</v>
      </c>
      <c r="B293" s="9" t="s">
        <v>256</v>
      </c>
      <c r="C293" s="9" t="s">
        <v>79</v>
      </c>
      <c r="D293" s="9" t="s">
        <v>152</v>
      </c>
      <c r="E293" s="10">
        <v>32</v>
      </c>
      <c r="F293" s="9" t="s">
        <v>153</v>
      </c>
      <c r="G293" s="10">
        <v>32</v>
      </c>
      <c r="H293" s="9" t="s">
        <v>259</v>
      </c>
      <c r="I293" s="9" t="s">
        <v>260</v>
      </c>
      <c r="J293" s="9"/>
      <c r="K293" s="9"/>
      <c r="L293" s="9"/>
      <c r="M293" s="12">
        <f t="shared" si="16"/>
        <v>144</v>
      </c>
      <c r="N293" s="13">
        <f t="shared" si="17"/>
        <v>88.5</v>
      </c>
      <c r="O293" s="14">
        <f t="shared" si="18"/>
        <v>232.5</v>
      </c>
      <c r="P293" s="15">
        <f t="shared" si="19"/>
        <v>0.28012048192771083</v>
      </c>
    </row>
    <row r="294" spans="1:16" ht="15.75" customHeight="1" x14ac:dyDescent="0.3">
      <c r="A294" s="117" t="s">
        <v>58</v>
      </c>
      <c r="B294" s="9" t="s">
        <v>256</v>
      </c>
      <c r="C294" s="9" t="s">
        <v>100</v>
      </c>
      <c r="D294" s="9" t="s">
        <v>152</v>
      </c>
      <c r="E294" s="10">
        <v>16</v>
      </c>
      <c r="F294" s="9" t="s">
        <v>153</v>
      </c>
      <c r="G294" s="10">
        <v>16</v>
      </c>
      <c r="H294" s="9" t="s">
        <v>257</v>
      </c>
      <c r="I294" s="9" t="s">
        <v>258</v>
      </c>
      <c r="J294" s="9" t="s">
        <v>8</v>
      </c>
      <c r="K294" s="9"/>
      <c r="L294" s="9"/>
      <c r="M294" s="12">
        <f t="shared" si="16"/>
        <v>331</v>
      </c>
      <c r="N294" s="13">
        <f t="shared" si="17"/>
        <v>520</v>
      </c>
      <c r="O294" s="14">
        <f t="shared" si="18"/>
        <v>851</v>
      </c>
      <c r="P294" s="15">
        <f t="shared" si="19"/>
        <v>1.0253012048192771</v>
      </c>
    </row>
    <row r="295" spans="1:16" ht="15.75" customHeight="1" x14ac:dyDescent="0.3">
      <c r="A295" s="117" t="s">
        <v>58</v>
      </c>
      <c r="B295" s="9" t="s">
        <v>256</v>
      </c>
      <c r="C295" s="9" t="s">
        <v>111</v>
      </c>
      <c r="D295" s="9" t="s">
        <v>152</v>
      </c>
      <c r="E295" s="10">
        <v>4</v>
      </c>
      <c r="F295" s="9" t="s">
        <v>153</v>
      </c>
      <c r="G295" s="11">
        <v>0</v>
      </c>
      <c r="H295" s="9" t="s">
        <v>257</v>
      </c>
      <c r="I295" s="9" t="s">
        <v>258</v>
      </c>
      <c r="J295" s="9" t="s">
        <v>8</v>
      </c>
      <c r="K295" s="9"/>
      <c r="L295" s="9"/>
      <c r="M295" s="12">
        <f t="shared" si="16"/>
        <v>331</v>
      </c>
      <c r="N295" s="13">
        <f t="shared" si="17"/>
        <v>520</v>
      </c>
      <c r="O295" s="14">
        <f t="shared" si="18"/>
        <v>851</v>
      </c>
      <c r="P295" s="15">
        <f t="shared" si="19"/>
        <v>1.0253012048192771</v>
      </c>
    </row>
    <row r="296" spans="1:16" ht="15.75" customHeight="1" x14ac:dyDescent="0.3">
      <c r="A296" s="117" t="s">
        <v>58</v>
      </c>
      <c r="B296" s="9" t="s">
        <v>256</v>
      </c>
      <c r="C296" s="9" t="s">
        <v>80</v>
      </c>
      <c r="D296" s="9" t="s">
        <v>152</v>
      </c>
      <c r="E296" s="10">
        <v>3</v>
      </c>
      <c r="F296" s="9" t="s">
        <v>153</v>
      </c>
      <c r="G296" s="11">
        <v>0</v>
      </c>
      <c r="H296" s="9" t="s">
        <v>257</v>
      </c>
      <c r="I296" s="9" t="s">
        <v>258</v>
      </c>
      <c r="J296" s="9" t="s">
        <v>8</v>
      </c>
      <c r="K296" s="9"/>
      <c r="L296" s="9"/>
      <c r="M296" s="12">
        <f t="shared" si="16"/>
        <v>331</v>
      </c>
      <c r="N296" s="13">
        <f t="shared" si="17"/>
        <v>520</v>
      </c>
      <c r="O296" s="14">
        <f t="shared" si="18"/>
        <v>851</v>
      </c>
      <c r="P296" s="15">
        <f t="shared" si="19"/>
        <v>1.0253012048192771</v>
      </c>
    </row>
    <row r="297" spans="1:16" ht="15.75" customHeight="1" x14ac:dyDescent="0.3">
      <c r="A297" s="117" t="s">
        <v>58</v>
      </c>
      <c r="B297" s="9" t="s">
        <v>261</v>
      </c>
      <c r="C297" s="9" t="s">
        <v>73</v>
      </c>
      <c r="D297" s="9" t="s">
        <v>262</v>
      </c>
      <c r="E297" s="10">
        <v>12</v>
      </c>
      <c r="F297" s="9" t="s">
        <v>263</v>
      </c>
      <c r="G297" s="10">
        <v>12</v>
      </c>
      <c r="H297" s="9" t="s">
        <v>65</v>
      </c>
      <c r="I297" s="9" t="s">
        <v>66</v>
      </c>
      <c r="J297" s="9" t="s">
        <v>4</v>
      </c>
      <c r="K297" s="9"/>
      <c r="L297" s="9" t="s">
        <v>264</v>
      </c>
      <c r="M297" s="12">
        <f t="shared" si="16"/>
        <v>291</v>
      </c>
      <c r="N297" s="13">
        <f t="shared" si="17"/>
        <v>650.5</v>
      </c>
      <c r="O297" s="14">
        <f t="shared" si="18"/>
        <v>941.5</v>
      </c>
      <c r="P297" s="15">
        <f t="shared" si="19"/>
        <v>1.1343373493975903</v>
      </c>
    </row>
    <row r="298" spans="1:16" ht="15.75" customHeight="1" x14ac:dyDescent="0.3">
      <c r="A298" s="117" t="s">
        <v>58</v>
      </c>
      <c r="B298" s="9" t="s">
        <v>261</v>
      </c>
      <c r="C298" s="9" t="s">
        <v>87</v>
      </c>
      <c r="D298" s="9" t="s">
        <v>134</v>
      </c>
      <c r="E298" s="10">
        <v>2</v>
      </c>
      <c r="F298" s="9" t="s">
        <v>263</v>
      </c>
      <c r="G298" s="11">
        <v>0</v>
      </c>
      <c r="H298" s="9" t="s">
        <v>65</v>
      </c>
      <c r="I298" s="9" t="s">
        <v>66</v>
      </c>
      <c r="J298" s="9" t="s">
        <v>4</v>
      </c>
      <c r="K298" s="9"/>
      <c r="L298" s="9" t="s">
        <v>264</v>
      </c>
      <c r="M298" s="12">
        <f t="shared" si="16"/>
        <v>291</v>
      </c>
      <c r="N298" s="13">
        <f t="shared" si="17"/>
        <v>650.5</v>
      </c>
      <c r="O298" s="14">
        <f t="shared" si="18"/>
        <v>941.5</v>
      </c>
      <c r="P298" s="15">
        <f t="shared" si="19"/>
        <v>1.1343373493975903</v>
      </c>
    </row>
    <row r="299" spans="1:16" ht="15.75" customHeight="1" x14ac:dyDescent="0.3">
      <c r="A299" s="117" t="s">
        <v>58</v>
      </c>
      <c r="B299" s="9" t="s">
        <v>261</v>
      </c>
      <c r="C299" s="9" t="s">
        <v>87</v>
      </c>
      <c r="D299" s="9" t="s">
        <v>139</v>
      </c>
      <c r="E299" s="10">
        <v>2</v>
      </c>
      <c r="F299" s="9" t="s">
        <v>263</v>
      </c>
      <c r="G299" s="11">
        <v>0</v>
      </c>
      <c r="H299" s="9" t="s">
        <v>65</v>
      </c>
      <c r="I299" s="9" t="s">
        <v>66</v>
      </c>
      <c r="J299" s="9" t="s">
        <v>4</v>
      </c>
      <c r="K299" s="9"/>
      <c r="L299" s="9" t="s">
        <v>264</v>
      </c>
      <c r="M299" s="12">
        <f t="shared" si="16"/>
        <v>291</v>
      </c>
      <c r="N299" s="13">
        <f t="shared" si="17"/>
        <v>650.5</v>
      </c>
      <c r="O299" s="14">
        <f t="shared" si="18"/>
        <v>941.5</v>
      </c>
      <c r="P299" s="15">
        <f t="shared" si="19"/>
        <v>1.1343373493975903</v>
      </c>
    </row>
    <row r="300" spans="1:16" ht="15.75" customHeight="1" x14ac:dyDescent="0.3">
      <c r="A300" s="117" t="s">
        <v>58</v>
      </c>
      <c r="B300" s="9" t="s">
        <v>261</v>
      </c>
      <c r="C300" s="9" t="s">
        <v>87</v>
      </c>
      <c r="D300" s="9" t="s">
        <v>140</v>
      </c>
      <c r="E300" s="10">
        <v>2</v>
      </c>
      <c r="F300" s="9" t="s">
        <v>263</v>
      </c>
      <c r="G300" s="11">
        <v>0</v>
      </c>
      <c r="H300" s="9" t="s">
        <v>65</v>
      </c>
      <c r="I300" s="9" t="s">
        <v>66</v>
      </c>
      <c r="J300" s="9" t="s">
        <v>4</v>
      </c>
      <c r="K300" s="9"/>
      <c r="L300" s="9" t="s">
        <v>264</v>
      </c>
      <c r="M300" s="12">
        <f t="shared" si="16"/>
        <v>291</v>
      </c>
      <c r="N300" s="13">
        <f t="shared" si="17"/>
        <v>650.5</v>
      </c>
      <c r="O300" s="14">
        <f t="shared" si="18"/>
        <v>941.5</v>
      </c>
      <c r="P300" s="15">
        <f t="shared" si="19"/>
        <v>1.1343373493975903</v>
      </c>
    </row>
    <row r="301" spans="1:16" ht="15.75" customHeight="1" x14ac:dyDescent="0.3">
      <c r="A301" s="117" t="s">
        <v>58</v>
      </c>
      <c r="B301" s="9" t="s">
        <v>261</v>
      </c>
      <c r="C301" s="9" t="s">
        <v>87</v>
      </c>
      <c r="D301" s="9" t="s">
        <v>141</v>
      </c>
      <c r="E301" s="10">
        <v>2</v>
      </c>
      <c r="F301" s="9" t="s">
        <v>263</v>
      </c>
      <c r="G301" s="11">
        <v>0</v>
      </c>
      <c r="H301" s="9" t="s">
        <v>65</v>
      </c>
      <c r="I301" s="9" t="s">
        <v>66</v>
      </c>
      <c r="J301" s="9" t="s">
        <v>4</v>
      </c>
      <c r="K301" s="9"/>
      <c r="L301" s="9" t="s">
        <v>264</v>
      </c>
      <c r="M301" s="12">
        <f t="shared" si="16"/>
        <v>291</v>
      </c>
      <c r="N301" s="13">
        <f t="shared" si="17"/>
        <v>650.5</v>
      </c>
      <c r="O301" s="14">
        <f t="shared" si="18"/>
        <v>941.5</v>
      </c>
      <c r="P301" s="15">
        <f t="shared" si="19"/>
        <v>1.1343373493975903</v>
      </c>
    </row>
    <row r="302" spans="1:16" ht="15.75" customHeight="1" x14ac:dyDescent="0.3">
      <c r="A302" s="117" t="s">
        <v>58</v>
      </c>
      <c r="B302" s="9" t="s">
        <v>261</v>
      </c>
      <c r="C302" s="9" t="s">
        <v>79</v>
      </c>
      <c r="D302" s="9" t="s">
        <v>134</v>
      </c>
      <c r="E302" s="10">
        <v>40</v>
      </c>
      <c r="F302" s="9" t="s">
        <v>263</v>
      </c>
      <c r="G302" s="10">
        <v>40</v>
      </c>
      <c r="H302" s="9" t="s">
        <v>98</v>
      </c>
      <c r="I302" s="9" t="s">
        <v>99</v>
      </c>
      <c r="J302" s="9" t="s">
        <v>4</v>
      </c>
      <c r="K302" s="9"/>
      <c r="L302" s="9"/>
      <c r="M302" s="12">
        <f t="shared" si="16"/>
        <v>239</v>
      </c>
      <c r="N302" s="13">
        <f t="shared" si="17"/>
        <v>196.5</v>
      </c>
      <c r="O302" s="14">
        <f t="shared" si="18"/>
        <v>435.5</v>
      </c>
      <c r="P302" s="15">
        <f t="shared" si="19"/>
        <v>0.52469879518072293</v>
      </c>
    </row>
    <row r="303" spans="1:16" ht="15.75" customHeight="1" x14ac:dyDescent="0.3">
      <c r="A303" s="117" t="s">
        <v>58</v>
      </c>
      <c r="B303" s="9" t="s">
        <v>261</v>
      </c>
      <c r="C303" s="9" t="s">
        <v>79</v>
      </c>
      <c r="D303" s="9" t="s">
        <v>139</v>
      </c>
      <c r="E303" s="10">
        <v>40</v>
      </c>
      <c r="F303" s="9" t="s">
        <v>263</v>
      </c>
      <c r="G303" s="10">
        <v>40</v>
      </c>
      <c r="H303" s="9" t="s">
        <v>98</v>
      </c>
      <c r="I303" s="9" t="s">
        <v>99</v>
      </c>
      <c r="J303" s="9" t="s">
        <v>4</v>
      </c>
      <c r="K303" s="9"/>
      <c r="L303" s="9"/>
      <c r="M303" s="12">
        <f t="shared" si="16"/>
        <v>239</v>
      </c>
      <c r="N303" s="13">
        <f t="shared" si="17"/>
        <v>196.5</v>
      </c>
      <c r="O303" s="14">
        <f t="shared" si="18"/>
        <v>435.5</v>
      </c>
      <c r="P303" s="15">
        <f t="shared" si="19"/>
        <v>0.52469879518072293</v>
      </c>
    </row>
    <row r="304" spans="1:16" ht="15.75" customHeight="1" x14ac:dyDescent="0.3">
      <c r="A304" s="117" t="s">
        <v>58</v>
      </c>
      <c r="B304" s="9" t="s">
        <v>261</v>
      </c>
      <c r="C304" s="9" t="s">
        <v>79</v>
      </c>
      <c r="D304" s="9" t="s">
        <v>140</v>
      </c>
      <c r="E304" s="10">
        <v>40</v>
      </c>
      <c r="F304" s="9" t="s">
        <v>263</v>
      </c>
      <c r="G304" s="10">
        <v>40</v>
      </c>
      <c r="H304" s="9" t="s">
        <v>98</v>
      </c>
      <c r="I304" s="9" t="s">
        <v>99</v>
      </c>
      <c r="J304" s="9" t="s">
        <v>4</v>
      </c>
      <c r="K304" s="9"/>
      <c r="L304" s="9"/>
      <c r="M304" s="12">
        <f t="shared" si="16"/>
        <v>239</v>
      </c>
      <c r="N304" s="13">
        <f t="shared" si="17"/>
        <v>196.5</v>
      </c>
      <c r="O304" s="14">
        <f t="shared" si="18"/>
        <v>435.5</v>
      </c>
      <c r="P304" s="15">
        <f t="shared" si="19"/>
        <v>0.52469879518072293</v>
      </c>
    </row>
    <row r="305" spans="1:16" ht="15.75" customHeight="1" x14ac:dyDescent="0.3">
      <c r="A305" s="117" t="s">
        <v>58</v>
      </c>
      <c r="B305" s="9" t="s">
        <v>261</v>
      </c>
      <c r="C305" s="9" t="s">
        <v>79</v>
      </c>
      <c r="D305" s="9" t="s">
        <v>141</v>
      </c>
      <c r="E305" s="10">
        <v>40</v>
      </c>
      <c r="F305" s="9" t="s">
        <v>263</v>
      </c>
      <c r="G305" s="10">
        <v>40</v>
      </c>
      <c r="H305" s="9" t="s">
        <v>98</v>
      </c>
      <c r="I305" s="9" t="s">
        <v>99</v>
      </c>
      <c r="J305" s="9" t="s">
        <v>4</v>
      </c>
      <c r="K305" s="9"/>
      <c r="L305" s="9"/>
      <c r="M305" s="12">
        <f t="shared" si="16"/>
        <v>239</v>
      </c>
      <c r="N305" s="13">
        <f t="shared" si="17"/>
        <v>196.5</v>
      </c>
      <c r="O305" s="14">
        <f t="shared" si="18"/>
        <v>435.5</v>
      </c>
      <c r="P305" s="15">
        <f t="shared" si="19"/>
        <v>0.52469879518072293</v>
      </c>
    </row>
    <row r="306" spans="1:16" ht="15.75" customHeight="1" x14ac:dyDescent="0.3">
      <c r="A306" s="117" t="s">
        <v>58</v>
      </c>
      <c r="B306" s="9" t="s">
        <v>261</v>
      </c>
      <c r="C306" s="9" t="s">
        <v>80</v>
      </c>
      <c r="D306" s="9" t="s">
        <v>134</v>
      </c>
      <c r="E306" s="10">
        <v>1</v>
      </c>
      <c r="F306" s="9" t="s">
        <v>263</v>
      </c>
      <c r="G306" s="11">
        <v>0</v>
      </c>
      <c r="H306" s="9" t="s">
        <v>65</v>
      </c>
      <c r="I306" s="9" t="s">
        <v>66</v>
      </c>
      <c r="J306" s="9" t="s">
        <v>4</v>
      </c>
      <c r="K306" s="9"/>
      <c r="L306" s="9" t="s">
        <v>264</v>
      </c>
      <c r="M306" s="12">
        <f t="shared" si="16"/>
        <v>291</v>
      </c>
      <c r="N306" s="13">
        <f t="shared" si="17"/>
        <v>650.5</v>
      </c>
      <c r="O306" s="14">
        <f t="shared" si="18"/>
        <v>941.5</v>
      </c>
      <c r="P306" s="15">
        <f t="shared" si="19"/>
        <v>1.1343373493975903</v>
      </c>
    </row>
    <row r="307" spans="1:16" ht="15.75" customHeight="1" x14ac:dyDescent="0.3">
      <c r="A307" s="117" t="s">
        <v>58</v>
      </c>
      <c r="B307" s="9" t="s">
        <v>261</v>
      </c>
      <c r="C307" s="9" t="s">
        <v>80</v>
      </c>
      <c r="D307" s="9" t="s">
        <v>139</v>
      </c>
      <c r="E307" s="10">
        <v>1</v>
      </c>
      <c r="F307" s="9" t="s">
        <v>263</v>
      </c>
      <c r="G307" s="11">
        <v>0</v>
      </c>
      <c r="H307" s="9" t="s">
        <v>65</v>
      </c>
      <c r="I307" s="9" t="s">
        <v>66</v>
      </c>
      <c r="J307" s="9" t="s">
        <v>4</v>
      </c>
      <c r="K307" s="9"/>
      <c r="L307" s="9" t="s">
        <v>264</v>
      </c>
      <c r="M307" s="12">
        <f t="shared" si="16"/>
        <v>291</v>
      </c>
      <c r="N307" s="13">
        <f t="shared" si="17"/>
        <v>650.5</v>
      </c>
      <c r="O307" s="14">
        <f t="shared" si="18"/>
        <v>941.5</v>
      </c>
      <c r="P307" s="15">
        <f t="shared" si="19"/>
        <v>1.1343373493975903</v>
      </c>
    </row>
    <row r="308" spans="1:16" ht="15.75" customHeight="1" x14ac:dyDescent="0.3">
      <c r="A308" s="117" t="s">
        <v>58</v>
      </c>
      <c r="B308" s="9" t="s">
        <v>261</v>
      </c>
      <c r="C308" s="9" t="s">
        <v>80</v>
      </c>
      <c r="D308" s="9" t="s">
        <v>140</v>
      </c>
      <c r="E308" s="10">
        <v>1</v>
      </c>
      <c r="F308" s="9" t="s">
        <v>263</v>
      </c>
      <c r="G308" s="11">
        <v>0</v>
      </c>
      <c r="H308" s="9" t="s">
        <v>65</v>
      </c>
      <c r="I308" s="9" t="s">
        <v>66</v>
      </c>
      <c r="J308" s="9" t="s">
        <v>4</v>
      </c>
      <c r="K308" s="9"/>
      <c r="L308" s="9" t="s">
        <v>264</v>
      </c>
      <c r="M308" s="12">
        <f t="shared" si="16"/>
        <v>291</v>
      </c>
      <c r="N308" s="13">
        <f t="shared" si="17"/>
        <v>650.5</v>
      </c>
      <c r="O308" s="14">
        <f t="shared" si="18"/>
        <v>941.5</v>
      </c>
      <c r="P308" s="15">
        <f t="shared" si="19"/>
        <v>1.1343373493975903</v>
      </c>
    </row>
    <row r="309" spans="1:16" ht="15.75" customHeight="1" x14ac:dyDescent="0.3">
      <c r="A309" s="117" t="s">
        <v>58</v>
      </c>
      <c r="B309" s="9" t="s">
        <v>261</v>
      </c>
      <c r="C309" s="9" t="s">
        <v>80</v>
      </c>
      <c r="D309" s="9" t="s">
        <v>141</v>
      </c>
      <c r="E309" s="10">
        <v>1</v>
      </c>
      <c r="F309" s="9" t="s">
        <v>263</v>
      </c>
      <c r="G309" s="11">
        <v>0</v>
      </c>
      <c r="H309" s="9" t="s">
        <v>65</v>
      </c>
      <c r="I309" s="9" t="s">
        <v>66</v>
      </c>
      <c r="J309" s="9" t="s">
        <v>4</v>
      </c>
      <c r="K309" s="9"/>
      <c r="L309" s="9" t="s">
        <v>264</v>
      </c>
      <c r="M309" s="12">
        <f t="shared" si="16"/>
        <v>291</v>
      </c>
      <c r="N309" s="13">
        <f t="shared" si="17"/>
        <v>650.5</v>
      </c>
      <c r="O309" s="14">
        <f t="shared" si="18"/>
        <v>941.5</v>
      </c>
      <c r="P309" s="15">
        <f t="shared" si="19"/>
        <v>1.1343373493975903</v>
      </c>
    </row>
    <row r="310" spans="1:16" ht="15.75" customHeight="1" x14ac:dyDescent="0.3">
      <c r="A310" s="117" t="s">
        <v>58</v>
      </c>
      <c r="B310" s="9" t="s">
        <v>265</v>
      </c>
      <c r="C310" s="9" t="s">
        <v>73</v>
      </c>
      <c r="D310" s="9" t="s">
        <v>103</v>
      </c>
      <c r="E310" s="10">
        <v>34</v>
      </c>
      <c r="F310" s="9" t="s">
        <v>107</v>
      </c>
      <c r="G310" s="10">
        <v>34</v>
      </c>
      <c r="H310" s="9" t="s">
        <v>245</v>
      </c>
      <c r="I310" s="9" t="s">
        <v>246</v>
      </c>
      <c r="J310" s="9"/>
      <c r="K310" s="9"/>
      <c r="L310" s="9" t="s">
        <v>247</v>
      </c>
      <c r="M310" s="12">
        <f t="shared" si="16"/>
        <v>200</v>
      </c>
      <c r="N310" s="13">
        <f t="shared" si="17"/>
        <v>271</v>
      </c>
      <c r="O310" s="14">
        <f t="shared" si="18"/>
        <v>471</v>
      </c>
      <c r="P310" s="15">
        <f t="shared" si="19"/>
        <v>0.56746987951807226</v>
      </c>
    </row>
    <row r="311" spans="1:16" ht="15.75" customHeight="1" x14ac:dyDescent="0.3">
      <c r="A311" s="117" t="s">
        <v>58</v>
      </c>
      <c r="B311" s="9" t="s">
        <v>265</v>
      </c>
      <c r="C311" s="9" t="s">
        <v>87</v>
      </c>
      <c r="D311" s="9" t="s">
        <v>103</v>
      </c>
      <c r="E311" s="10">
        <v>6</v>
      </c>
      <c r="F311" s="9" t="s">
        <v>107</v>
      </c>
      <c r="G311" s="11">
        <v>0</v>
      </c>
      <c r="H311" s="9" t="s">
        <v>245</v>
      </c>
      <c r="I311" s="9" t="s">
        <v>246</v>
      </c>
      <c r="J311" s="9"/>
      <c r="K311" s="9"/>
      <c r="L311" s="9" t="s">
        <v>247</v>
      </c>
      <c r="M311" s="12">
        <f t="shared" si="16"/>
        <v>200</v>
      </c>
      <c r="N311" s="13">
        <f t="shared" si="17"/>
        <v>271</v>
      </c>
      <c r="O311" s="14">
        <f t="shared" si="18"/>
        <v>471</v>
      </c>
      <c r="P311" s="15">
        <f t="shared" si="19"/>
        <v>0.56746987951807226</v>
      </c>
    </row>
    <row r="312" spans="1:16" ht="15.75" customHeight="1" x14ac:dyDescent="0.3">
      <c r="A312" s="117" t="s">
        <v>58</v>
      </c>
      <c r="B312" s="9" t="s">
        <v>265</v>
      </c>
      <c r="C312" s="9" t="s">
        <v>79</v>
      </c>
      <c r="D312" s="9" t="s">
        <v>103</v>
      </c>
      <c r="E312" s="10">
        <v>40</v>
      </c>
      <c r="F312" s="9" t="s">
        <v>107</v>
      </c>
      <c r="G312" s="10">
        <v>40</v>
      </c>
      <c r="H312" s="9" t="s">
        <v>245</v>
      </c>
      <c r="I312" s="9" t="s">
        <v>246</v>
      </c>
      <c r="J312" s="9"/>
      <c r="K312" s="9"/>
      <c r="L312" s="9" t="s">
        <v>247</v>
      </c>
      <c r="M312" s="12">
        <f t="shared" si="16"/>
        <v>200</v>
      </c>
      <c r="N312" s="13">
        <f t="shared" si="17"/>
        <v>271</v>
      </c>
      <c r="O312" s="14">
        <f t="shared" si="18"/>
        <v>471</v>
      </c>
      <c r="P312" s="15">
        <f t="shared" si="19"/>
        <v>0.56746987951807226</v>
      </c>
    </row>
    <row r="313" spans="1:16" ht="15.75" customHeight="1" x14ac:dyDescent="0.3">
      <c r="A313" s="117" t="s">
        <v>58</v>
      </c>
      <c r="B313" s="9" t="s">
        <v>265</v>
      </c>
      <c r="C313" s="9" t="s">
        <v>100</v>
      </c>
      <c r="D313" s="9" t="s">
        <v>103</v>
      </c>
      <c r="E313" s="10">
        <v>32</v>
      </c>
      <c r="F313" s="9" t="s">
        <v>107</v>
      </c>
      <c r="G313" s="10">
        <v>16</v>
      </c>
      <c r="H313" s="9" t="s">
        <v>245</v>
      </c>
      <c r="I313" s="9" t="s">
        <v>246</v>
      </c>
      <c r="J313" s="9"/>
      <c r="K313" s="9"/>
      <c r="L313" s="9" t="s">
        <v>247</v>
      </c>
      <c r="M313" s="12">
        <f t="shared" si="16"/>
        <v>200</v>
      </c>
      <c r="N313" s="13">
        <f t="shared" si="17"/>
        <v>271</v>
      </c>
      <c r="O313" s="14">
        <f t="shared" si="18"/>
        <v>471</v>
      </c>
      <c r="P313" s="15">
        <f t="shared" si="19"/>
        <v>0.56746987951807226</v>
      </c>
    </row>
    <row r="314" spans="1:16" ht="15.75" customHeight="1" x14ac:dyDescent="0.3">
      <c r="A314" s="117" t="s">
        <v>58</v>
      </c>
      <c r="B314" s="9" t="s">
        <v>265</v>
      </c>
      <c r="C314" s="9" t="s">
        <v>80</v>
      </c>
      <c r="D314" s="9" t="s">
        <v>103</v>
      </c>
      <c r="E314" s="10">
        <v>2</v>
      </c>
      <c r="F314" s="9" t="s">
        <v>107</v>
      </c>
      <c r="G314" s="11">
        <v>0</v>
      </c>
      <c r="H314" s="9" t="s">
        <v>245</v>
      </c>
      <c r="I314" s="9" t="s">
        <v>246</v>
      </c>
      <c r="J314" s="9"/>
      <c r="K314" s="9"/>
      <c r="L314" s="9" t="s">
        <v>247</v>
      </c>
      <c r="M314" s="12">
        <f t="shared" si="16"/>
        <v>200</v>
      </c>
      <c r="N314" s="13">
        <f t="shared" si="17"/>
        <v>271</v>
      </c>
      <c r="O314" s="14">
        <f t="shared" si="18"/>
        <v>471</v>
      </c>
      <c r="P314" s="15">
        <f t="shared" si="19"/>
        <v>0.56746987951807226</v>
      </c>
    </row>
    <row r="315" spans="1:16" ht="15.75" customHeight="1" x14ac:dyDescent="0.3">
      <c r="A315" s="117" t="s">
        <v>58</v>
      </c>
      <c r="B315" s="9" t="s">
        <v>266</v>
      </c>
      <c r="C315" s="9" t="s">
        <v>73</v>
      </c>
      <c r="D315" s="9" t="s">
        <v>189</v>
      </c>
      <c r="E315" s="10">
        <v>16</v>
      </c>
      <c r="F315" s="9" t="s">
        <v>190</v>
      </c>
      <c r="G315" s="10">
        <v>16</v>
      </c>
      <c r="H315" s="9" t="s">
        <v>84</v>
      </c>
      <c r="I315" s="9" t="s">
        <v>85</v>
      </c>
      <c r="J315" s="9"/>
      <c r="K315" s="9"/>
      <c r="L315" s="9" t="s">
        <v>86</v>
      </c>
      <c r="M315" s="12">
        <f t="shared" si="16"/>
        <v>284</v>
      </c>
      <c r="N315" s="13">
        <f t="shared" si="17"/>
        <v>691.5</v>
      </c>
      <c r="O315" s="14">
        <f t="shared" si="18"/>
        <v>975.5</v>
      </c>
      <c r="P315" s="15">
        <f t="shared" si="19"/>
        <v>1.175301204819277</v>
      </c>
    </row>
    <row r="316" spans="1:16" ht="15.75" customHeight="1" x14ac:dyDescent="0.3">
      <c r="A316" s="117" t="s">
        <v>58</v>
      </c>
      <c r="B316" s="9" t="s">
        <v>266</v>
      </c>
      <c r="C316" s="9" t="s">
        <v>79</v>
      </c>
      <c r="D316" s="9" t="s">
        <v>189</v>
      </c>
      <c r="E316" s="10">
        <v>8</v>
      </c>
      <c r="F316" s="9" t="s">
        <v>190</v>
      </c>
      <c r="G316" s="10">
        <v>8</v>
      </c>
      <c r="H316" s="9" t="s">
        <v>84</v>
      </c>
      <c r="I316" s="9" t="s">
        <v>85</v>
      </c>
      <c r="J316" s="9"/>
      <c r="K316" s="9"/>
      <c r="L316" s="9" t="s">
        <v>267</v>
      </c>
      <c r="M316" s="12">
        <f t="shared" si="16"/>
        <v>284</v>
      </c>
      <c r="N316" s="13">
        <f t="shared" si="17"/>
        <v>691.5</v>
      </c>
      <c r="O316" s="14">
        <f t="shared" si="18"/>
        <v>975.5</v>
      </c>
      <c r="P316" s="15">
        <f t="shared" si="19"/>
        <v>1.175301204819277</v>
      </c>
    </row>
    <row r="317" spans="1:16" ht="15.75" customHeight="1" x14ac:dyDescent="0.3">
      <c r="A317" s="117" t="s">
        <v>58</v>
      </c>
      <c r="B317" s="9" t="s">
        <v>266</v>
      </c>
      <c r="C317" s="9" t="s">
        <v>111</v>
      </c>
      <c r="D317" s="9" t="s">
        <v>189</v>
      </c>
      <c r="E317" s="10">
        <v>3</v>
      </c>
      <c r="F317" s="9" t="s">
        <v>190</v>
      </c>
      <c r="G317" s="11">
        <v>0</v>
      </c>
      <c r="H317" s="9" t="s">
        <v>84</v>
      </c>
      <c r="I317" s="9" t="s">
        <v>85</v>
      </c>
      <c r="J317" s="9"/>
      <c r="K317" s="9"/>
      <c r="L317" s="9" t="s">
        <v>267</v>
      </c>
      <c r="M317" s="12">
        <f t="shared" si="16"/>
        <v>284</v>
      </c>
      <c r="N317" s="13">
        <f t="shared" si="17"/>
        <v>691.5</v>
      </c>
      <c r="O317" s="14">
        <f t="shared" si="18"/>
        <v>975.5</v>
      </c>
      <c r="P317" s="15">
        <f t="shared" si="19"/>
        <v>1.175301204819277</v>
      </c>
    </row>
    <row r="318" spans="1:16" ht="15.75" customHeight="1" x14ac:dyDescent="0.3">
      <c r="A318" s="117" t="s">
        <v>58</v>
      </c>
      <c r="B318" s="9" t="s">
        <v>266</v>
      </c>
      <c r="C318" s="9" t="s">
        <v>192</v>
      </c>
      <c r="D318" s="9" t="s">
        <v>189</v>
      </c>
      <c r="E318" s="10">
        <v>8</v>
      </c>
      <c r="F318" s="9" t="s">
        <v>190</v>
      </c>
      <c r="G318" s="10">
        <v>8</v>
      </c>
      <c r="H318" s="9" t="s">
        <v>84</v>
      </c>
      <c r="I318" s="9" t="s">
        <v>85</v>
      </c>
      <c r="J318" s="9"/>
      <c r="K318" s="9"/>
      <c r="L318" s="9" t="s">
        <v>267</v>
      </c>
      <c r="M318" s="12">
        <f t="shared" si="16"/>
        <v>284</v>
      </c>
      <c r="N318" s="13">
        <f t="shared" si="17"/>
        <v>691.5</v>
      </c>
      <c r="O318" s="14">
        <f t="shared" si="18"/>
        <v>975.5</v>
      </c>
      <c r="P318" s="15">
        <f t="shared" si="19"/>
        <v>1.175301204819277</v>
      </c>
    </row>
    <row r="319" spans="1:16" ht="15.75" customHeight="1" x14ac:dyDescent="0.3">
      <c r="A319" s="117" t="s">
        <v>58</v>
      </c>
      <c r="B319" s="9" t="s">
        <v>266</v>
      </c>
      <c r="C319" s="9" t="s">
        <v>80</v>
      </c>
      <c r="D319" s="9" t="s">
        <v>189</v>
      </c>
      <c r="E319" s="10">
        <v>4</v>
      </c>
      <c r="F319" s="9" t="s">
        <v>190</v>
      </c>
      <c r="G319" s="11">
        <v>0</v>
      </c>
      <c r="H319" s="9" t="s">
        <v>84</v>
      </c>
      <c r="I319" s="9" t="s">
        <v>268</v>
      </c>
      <c r="J319" s="21" t="s">
        <v>400</v>
      </c>
      <c r="K319" s="9"/>
      <c r="L319" s="9" t="s">
        <v>89</v>
      </c>
      <c r="M319" s="12">
        <f t="shared" si="16"/>
        <v>9</v>
      </c>
      <c r="N319" s="13">
        <f t="shared" si="17"/>
        <v>77</v>
      </c>
      <c r="O319" s="14">
        <f t="shared" si="18"/>
        <v>86</v>
      </c>
      <c r="P319" s="15">
        <f t="shared" si="19"/>
        <v>0.10361445783132531</v>
      </c>
    </row>
    <row r="320" spans="1:16" ht="15.75" customHeight="1" x14ac:dyDescent="0.3">
      <c r="A320" s="117" t="s">
        <v>58</v>
      </c>
      <c r="B320" s="9" t="s">
        <v>269</v>
      </c>
      <c r="C320" s="9" t="s">
        <v>73</v>
      </c>
      <c r="D320" s="9" t="s">
        <v>119</v>
      </c>
      <c r="E320" s="10">
        <v>24</v>
      </c>
      <c r="F320" s="9" t="s">
        <v>121</v>
      </c>
      <c r="G320" s="10">
        <v>24</v>
      </c>
      <c r="H320" s="9" t="s">
        <v>154</v>
      </c>
      <c r="I320" s="9" t="s">
        <v>155</v>
      </c>
      <c r="J320" s="9"/>
      <c r="K320" s="9"/>
      <c r="L320" s="9" t="s">
        <v>270</v>
      </c>
      <c r="M320" s="12">
        <f t="shared" si="16"/>
        <v>370</v>
      </c>
      <c r="N320" s="13">
        <f t="shared" si="17"/>
        <v>124.5</v>
      </c>
      <c r="O320" s="14">
        <f t="shared" si="18"/>
        <v>494.5</v>
      </c>
      <c r="P320" s="15">
        <f t="shared" si="19"/>
        <v>0.5957831325301205</v>
      </c>
    </row>
    <row r="321" spans="1:16" ht="15.75" customHeight="1" x14ac:dyDescent="0.3">
      <c r="A321" s="117" t="s">
        <v>58</v>
      </c>
      <c r="B321" s="9" t="s">
        <v>269</v>
      </c>
      <c r="C321" s="9" t="s">
        <v>87</v>
      </c>
      <c r="D321" s="9" t="s">
        <v>119</v>
      </c>
      <c r="E321" s="10">
        <v>6</v>
      </c>
      <c r="F321" s="9" t="s">
        <v>121</v>
      </c>
      <c r="G321" s="11">
        <v>0</v>
      </c>
      <c r="H321" s="9" t="s">
        <v>154</v>
      </c>
      <c r="I321" s="9" t="s">
        <v>155</v>
      </c>
      <c r="J321" s="9"/>
      <c r="K321" s="9"/>
      <c r="L321" s="9" t="s">
        <v>270</v>
      </c>
      <c r="M321" s="12">
        <f t="shared" si="16"/>
        <v>370</v>
      </c>
      <c r="N321" s="13">
        <f t="shared" si="17"/>
        <v>124.5</v>
      </c>
      <c r="O321" s="14">
        <f t="shared" si="18"/>
        <v>494.5</v>
      </c>
      <c r="P321" s="15">
        <f t="shared" si="19"/>
        <v>0.5957831325301205</v>
      </c>
    </row>
    <row r="322" spans="1:16" ht="15.75" customHeight="1" x14ac:dyDescent="0.3">
      <c r="A322" s="117" t="s">
        <v>58</v>
      </c>
      <c r="B322" s="9" t="s">
        <v>269</v>
      </c>
      <c r="C322" s="9" t="s">
        <v>79</v>
      </c>
      <c r="D322" s="9" t="s">
        <v>119</v>
      </c>
      <c r="E322" s="10">
        <v>28</v>
      </c>
      <c r="F322" s="9" t="s">
        <v>121</v>
      </c>
      <c r="G322" s="10">
        <v>28</v>
      </c>
      <c r="H322" s="9" t="s">
        <v>154</v>
      </c>
      <c r="I322" s="9" t="s">
        <v>155</v>
      </c>
      <c r="J322" s="9"/>
      <c r="K322" s="9"/>
      <c r="L322" s="9" t="s">
        <v>270</v>
      </c>
      <c r="M322" s="12">
        <f t="shared" ref="M322:M385" si="20">SUMIFS($E$2:$E$1130,$A$2:$A$1130,"осень",$I$2:$I$1130,I322)</f>
        <v>370</v>
      </c>
      <c r="N322" s="13">
        <f t="shared" ref="N322:N385" si="21">SUMIFS($E$2:$E$1130,$A$2:$A$1130,"весна",$I$2:$I$1130,I322)</f>
        <v>124.5</v>
      </c>
      <c r="O322" s="14">
        <f t="shared" ref="O322:O385" si="22">M322+N322</f>
        <v>494.5</v>
      </c>
      <c r="P322" s="15">
        <f t="shared" ref="P322:P385" si="23">O322/$P$1</f>
        <v>0.5957831325301205</v>
      </c>
    </row>
    <row r="323" spans="1:16" ht="15.75" customHeight="1" x14ac:dyDescent="0.3">
      <c r="A323" s="117" t="s">
        <v>58</v>
      </c>
      <c r="B323" s="9" t="s">
        <v>269</v>
      </c>
      <c r="C323" s="9" t="s">
        <v>100</v>
      </c>
      <c r="D323" s="9" t="s">
        <v>119</v>
      </c>
      <c r="E323" s="10">
        <v>16</v>
      </c>
      <c r="F323" s="9" t="s">
        <v>121</v>
      </c>
      <c r="G323" s="10">
        <v>8</v>
      </c>
      <c r="H323" s="9" t="s">
        <v>154</v>
      </c>
      <c r="I323" s="9" t="s">
        <v>155</v>
      </c>
      <c r="J323" s="9"/>
      <c r="K323" s="9"/>
      <c r="L323" s="9" t="s">
        <v>270</v>
      </c>
      <c r="M323" s="12">
        <f t="shared" si="20"/>
        <v>370</v>
      </c>
      <c r="N323" s="13">
        <f t="shared" si="21"/>
        <v>124.5</v>
      </c>
      <c r="O323" s="14">
        <f t="shared" si="22"/>
        <v>494.5</v>
      </c>
      <c r="P323" s="15">
        <f t="shared" si="23"/>
        <v>0.5957831325301205</v>
      </c>
    </row>
    <row r="324" spans="1:16" ht="15.75" customHeight="1" x14ac:dyDescent="0.3">
      <c r="A324" s="117" t="s">
        <v>58</v>
      </c>
      <c r="B324" s="9" t="s">
        <v>269</v>
      </c>
      <c r="C324" s="9" t="s">
        <v>80</v>
      </c>
      <c r="D324" s="9" t="s">
        <v>119</v>
      </c>
      <c r="E324" s="10">
        <v>1</v>
      </c>
      <c r="F324" s="9" t="s">
        <v>121</v>
      </c>
      <c r="G324" s="11">
        <v>0</v>
      </c>
      <c r="H324" s="9" t="s">
        <v>154</v>
      </c>
      <c r="I324" s="9" t="s">
        <v>155</v>
      </c>
      <c r="J324" s="9"/>
      <c r="K324" s="9"/>
      <c r="L324" s="9" t="s">
        <v>270</v>
      </c>
      <c r="M324" s="12">
        <f t="shared" si="20"/>
        <v>370</v>
      </c>
      <c r="N324" s="13">
        <f t="shared" si="21"/>
        <v>124.5</v>
      </c>
      <c r="O324" s="14">
        <f t="shared" si="22"/>
        <v>494.5</v>
      </c>
      <c r="P324" s="15">
        <f t="shared" si="23"/>
        <v>0.5957831325301205</v>
      </c>
    </row>
    <row r="325" spans="1:16" ht="15.75" customHeight="1" x14ac:dyDescent="0.3">
      <c r="A325" s="117" t="s">
        <v>58</v>
      </c>
      <c r="B325" s="9" t="s">
        <v>271</v>
      </c>
      <c r="C325" s="9" t="s">
        <v>73</v>
      </c>
      <c r="D325" s="9" t="s">
        <v>119</v>
      </c>
      <c r="E325" s="10">
        <v>24</v>
      </c>
      <c r="F325" s="9" t="s">
        <v>121</v>
      </c>
      <c r="G325" s="10">
        <v>24</v>
      </c>
      <c r="H325" s="9" t="s">
        <v>272</v>
      </c>
      <c r="I325" s="9" t="s">
        <v>273</v>
      </c>
      <c r="J325" s="9" t="s">
        <v>8</v>
      </c>
      <c r="K325" s="9"/>
      <c r="L325" s="9"/>
      <c r="M325" s="12">
        <f t="shared" si="20"/>
        <v>552</v>
      </c>
      <c r="N325" s="13">
        <f t="shared" si="21"/>
        <v>171</v>
      </c>
      <c r="O325" s="14">
        <f t="shared" si="22"/>
        <v>723</v>
      </c>
      <c r="P325" s="15">
        <f t="shared" si="23"/>
        <v>0.87108433734939761</v>
      </c>
    </row>
    <row r="326" spans="1:16" ht="15.75" customHeight="1" x14ac:dyDescent="0.3">
      <c r="A326" s="117" t="s">
        <v>58</v>
      </c>
      <c r="B326" s="9" t="s">
        <v>271</v>
      </c>
      <c r="C326" s="9" t="s">
        <v>87</v>
      </c>
      <c r="D326" s="9" t="s">
        <v>119</v>
      </c>
      <c r="E326" s="10">
        <v>6</v>
      </c>
      <c r="F326" s="9" t="s">
        <v>121</v>
      </c>
      <c r="G326" s="11">
        <v>0</v>
      </c>
      <c r="H326" s="9" t="s">
        <v>272</v>
      </c>
      <c r="I326" s="9" t="s">
        <v>273</v>
      </c>
      <c r="J326" s="9" t="s">
        <v>8</v>
      </c>
      <c r="K326" s="9"/>
      <c r="L326" s="9"/>
      <c r="M326" s="12">
        <f t="shared" si="20"/>
        <v>552</v>
      </c>
      <c r="N326" s="13">
        <f t="shared" si="21"/>
        <v>171</v>
      </c>
      <c r="O326" s="14">
        <f t="shared" si="22"/>
        <v>723</v>
      </c>
      <c r="P326" s="15">
        <f t="shared" si="23"/>
        <v>0.87108433734939761</v>
      </c>
    </row>
    <row r="327" spans="1:16" ht="15.75" customHeight="1" x14ac:dyDescent="0.3">
      <c r="A327" s="117" t="s">
        <v>58</v>
      </c>
      <c r="B327" s="9" t="s">
        <v>271</v>
      </c>
      <c r="C327" s="9" t="s">
        <v>79</v>
      </c>
      <c r="D327" s="9" t="s">
        <v>119</v>
      </c>
      <c r="E327" s="10">
        <v>12</v>
      </c>
      <c r="F327" s="9" t="s">
        <v>121</v>
      </c>
      <c r="G327" s="10">
        <v>12</v>
      </c>
      <c r="H327" s="9" t="s">
        <v>272</v>
      </c>
      <c r="I327" s="9" t="s">
        <v>273</v>
      </c>
      <c r="J327" s="9" t="s">
        <v>8</v>
      </c>
      <c r="K327" s="9"/>
      <c r="L327" s="9"/>
      <c r="M327" s="12">
        <f t="shared" si="20"/>
        <v>552</v>
      </c>
      <c r="N327" s="13">
        <f t="shared" si="21"/>
        <v>171</v>
      </c>
      <c r="O327" s="14">
        <f t="shared" si="22"/>
        <v>723</v>
      </c>
      <c r="P327" s="15">
        <f t="shared" si="23"/>
        <v>0.87108433734939761</v>
      </c>
    </row>
    <row r="328" spans="1:16" ht="15.75" customHeight="1" x14ac:dyDescent="0.3">
      <c r="A328" s="117" t="s">
        <v>58</v>
      </c>
      <c r="B328" s="9" t="s">
        <v>271</v>
      </c>
      <c r="C328" s="9" t="s">
        <v>100</v>
      </c>
      <c r="D328" s="9" t="s">
        <v>119</v>
      </c>
      <c r="E328" s="10">
        <v>48</v>
      </c>
      <c r="F328" s="9" t="s">
        <v>121</v>
      </c>
      <c r="G328" s="10">
        <v>24</v>
      </c>
      <c r="H328" s="9" t="s">
        <v>272</v>
      </c>
      <c r="I328" s="9" t="s">
        <v>273</v>
      </c>
      <c r="J328" s="9" t="s">
        <v>8</v>
      </c>
      <c r="K328" s="9"/>
      <c r="L328" s="9"/>
      <c r="M328" s="12">
        <f t="shared" si="20"/>
        <v>552</v>
      </c>
      <c r="N328" s="13">
        <f t="shared" si="21"/>
        <v>171</v>
      </c>
      <c r="O328" s="14">
        <f t="shared" si="22"/>
        <v>723</v>
      </c>
      <c r="P328" s="15">
        <f t="shared" si="23"/>
        <v>0.87108433734939761</v>
      </c>
    </row>
    <row r="329" spans="1:16" ht="15.75" customHeight="1" x14ac:dyDescent="0.3">
      <c r="A329" s="117" t="s">
        <v>58</v>
      </c>
      <c r="B329" s="9" t="s">
        <v>271</v>
      </c>
      <c r="C329" s="9" t="s">
        <v>80</v>
      </c>
      <c r="D329" s="9" t="s">
        <v>119</v>
      </c>
      <c r="E329" s="10">
        <v>1</v>
      </c>
      <c r="F329" s="9" t="s">
        <v>121</v>
      </c>
      <c r="G329" s="11">
        <v>0</v>
      </c>
      <c r="H329" s="9" t="s">
        <v>272</v>
      </c>
      <c r="I329" s="9" t="s">
        <v>273</v>
      </c>
      <c r="J329" s="9" t="s">
        <v>8</v>
      </c>
      <c r="K329" s="9"/>
      <c r="L329" s="9"/>
      <c r="M329" s="12">
        <f t="shared" si="20"/>
        <v>552</v>
      </c>
      <c r="N329" s="13">
        <f t="shared" si="21"/>
        <v>171</v>
      </c>
      <c r="O329" s="14">
        <f t="shared" si="22"/>
        <v>723</v>
      </c>
      <c r="P329" s="15">
        <f t="shared" si="23"/>
        <v>0.87108433734939761</v>
      </c>
    </row>
    <row r="330" spans="1:16" ht="15.75" customHeight="1" x14ac:dyDescent="0.3">
      <c r="A330" s="117" t="s">
        <v>58</v>
      </c>
      <c r="B330" s="9" t="s">
        <v>274</v>
      </c>
      <c r="C330" s="9" t="s">
        <v>73</v>
      </c>
      <c r="D330" s="9" t="s">
        <v>119</v>
      </c>
      <c r="E330" s="10">
        <v>28</v>
      </c>
      <c r="F330" s="9" t="s">
        <v>121</v>
      </c>
      <c r="G330" s="10">
        <v>28</v>
      </c>
      <c r="H330" s="9" t="s">
        <v>65</v>
      </c>
      <c r="I330" s="9" t="s">
        <v>66</v>
      </c>
      <c r="J330" s="9" t="s">
        <v>4</v>
      </c>
      <c r="K330" s="9"/>
      <c r="L330" s="9" t="s">
        <v>264</v>
      </c>
      <c r="M330" s="12">
        <f t="shared" si="20"/>
        <v>291</v>
      </c>
      <c r="N330" s="13">
        <f t="shared" si="21"/>
        <v>650.5</v>
      </c>
      <c r="O330" s="14">
        <f t="shared" si="22"/>
        <v>941.5</v>
      </c>
      <c r="P330" s="15">
        <f t="shared" si="23"/>
        <v>1.1343373493975903</v>
      </c>
    </row>
    <row r="331" spans="1:16" ht="15.75" customHeight="1" x14ac:dyDescent="0.3">
      <c r="A331" s="117" t="s">
        <v>58</v>
      </c>
      <c r="B331" s="9" t="s">
        <v>274</v>
      </c>
      <c r="C331" s="9" t="s">
        <v>87</v>
      </c>
      <c r="D331" s="9" t="s">
        <v>119</v>
      </c>
      <c r="E331" s="10">
        <v>6</v>
      </c>
      <c r="F331" s="9" t="s">
        <v>121</v>
      </c>
      <c r="G331" s="11">
        <v>0</v>
      </c>
      <c r="H331" s="9" t="s">
        <v>65</v>
      </c>
      <c r="I331" s="9" t="s">
        <v>66</v>
      </c>
      <c r="J331" s="9" t="s">
        <v>4</v>
      </c>
      <c r="K331" s="9"/>
      <c r="L331" s="9" t="s">
        <v>264</v>
      </c>
      <c r="M331" s="12">
        <f t="shared" si="20"/>
        <v>291</v>
      </c>
      <c r="N331" s="13">
        <f t="shared" si="21"/>
        <v>650.5</v>
      </c>
      <c r="O331" s="14">
        <f t="shared" si="22"/>
        <v>941.5</v>
      </c>
      <c r="P331" s="15">
        <f t="shared" si="23"/>
        <v>1.1343373493975903</v>
      </c>
    </row>
    <row r="332" spans="1:16" ht="15.75" customHeight="1" x14ac:dyDescent="0.3">
      <c r="A332" s="117" t="s">
        <v>58</v>
      </c>
      <c r="B332" s="9" t="s">
        <v>274</v>
      </c>
      <c r="C332" s="9" t="s">
        <v>79</v>
      </c>
      <c r="D332" s="9" t="s">
        <v>119</v>
      </c>
      <c r="E332" s="10">
        <v>32</v>
      </c>
      <c r="F332" s="9" t="s">
        <v>121</v>
      </c>
      <c r="G332" s="10">
        <v>32</v>
      </c>
      <c r="H332" s="9" t="s">
        <v>65</v>
      </c>
      <c r="I332" s="9" t="s">
        <v>66</v>
      </c>
      <c r="J332" s="9" t="s">
        <v>4</v>
      </c>
      <c r="K332" s="9"/>
      <c r="L332" s="9" t="s">
        <v>264</v>
      </c>
      <c r="M332" s="12">
        <f t="shared" si="20"/>
        <v>291</v>
      </c>
      <c r="N332" s="13">
        <f t="shared" si="21"/>
        <v>650.5</v>
      </c>
      <c r="O332" s="14">
        <f t="shared" si="22"/>
        <v>941.5</v>
      </c>
      <c r="P332" s="15">
        <f t="shared" si="23"/>
        <v>1.1343373493975903</v>
      </c>
    </row>
    <row r="333" spans="1:16" ht="15.75" customHeight="1" x14ac:dyDescent="0.3">
      <c r="A333" s="117" t="s">
        <v>58</v>
      </c>
      <c r="B333" s="9" t="s">
        <v>274</v>
      </c>
      <c r="C333" s="9" t="s">
        <v>80</v>
      </c>
      <c r="D333" s="9" t="s">
        <v>119</v>
      </c>
      <c r="E333" s="10">
        <v>1</v>
      </c>
      <c r="F333" s="9" t="s">
        <v>121</v>
      </c>
      <c r="G333" s="11">
        <v>0</v>
      </c>
      <c r="H333" s="9" t="s">
        <v>65</v>
      </c>
      <c r="I333" s="9" t="s">
        <v>66</v>
      </c>
      <c r="J333" s="9" t="s">
        <v>4</v>
      </c>
      <c r="K333" s="9"/>
      <c r="L333" s="9" t="s">
        <v>264</v>
      </c>
      <c r="M333" s="12">
        <f t="shared" si="20"/>
        <v>291</v>
      </c>
      <c r="N333" s="13">
        <f t="shared" si="21"/>
        <v>650.5</v>
      </c>
      <c r="O333" s="14">
        <f t="shared" si="22"/>
        <v>941.5</v>
      </c>
      <c r="P333" s="15">
        <f t="shared" si="23"/>
        <v>1.1343373493975903</v>
      </c>
    </row>
    <row r="334" spans="1:16" ht="15.75" customHeight="1" x14ac:dyDescent="0.3">
      <c r="A334" s="117" t="s">
        <v>58</v>
      </c>
      <c r="B334" s="9" t="s">
        <v>275</v>
      </c>
      <c r="C334" s="9" t="s">
        <v>73</v>
      </c>
      <c r="D334" s="9" t="s">
        <v>276</v>
      </c>
      <c r="E334" s="10">
        <v>24</v>
      </c>
      <c r="F334" s="9" t="s">
        <v>277</v>
      </c>
      <c r="G334" s="10">
        <v>24</v>
      </c>
      <c r="H334" s="9" t="s">
        <v>200</v>
      </c>
      <c r="I334" s="9" t="s">
        <v>201</v>
      </c>
      <c r="J334" s="9" t="s">
        <v>4</v>
      </c>
      <c r="K334" s="9"/>
      <c r="L334" s="9" t="s">
        <v>202</v>
      </c>
      <c r="M334" s="12">
        <f t="shared" si="20"/>
        <v>647</v>
      </c>
      <c r="N334" s="13">
        <f t="shared" si="21"/>
        <v>461.5</v>
      </c>
      <c r="O334" s="14">
        <f t="shared" si="22"/>
        <v>1108.5</v>
      </c>
      <c r="P334" s="15">
        <f t="shared" si="23"/>
        <v>1.3355421686746989</v>
      </c>
    </row>
    <row r="335" spans="1:16" ht="15.75" customHeight="1" x14ac:dyDescent="0.3">
      <c r="A335" s="117" t="s">
        <v>58</v>
      </c>
      <c r="B335" s="9" t="s">
        <v>275</v>
      </c>
      <c r="C335" s="9" t="s">
        <v>123</v>
      </c>
      <c r="D335" s="9" t="s">
        <v>276</v>
      </c>
      <c r="E335" s="10">
        <v>54</v>
      </c>
      <c r="F335" s="9" t="s">
        <v>277</v>
      </c>
      <c r="G335" s="11">
        <v>0</v>
      </c>
      <c r="H335" s="9" t="s">
        <v>200</v>
      </c>
      <c r="I335" s="9" t="s">
        <v>201</v>
      </c>
      <c r="J335" s="9" t="s">
        <v>4</v>
      </c>
      <c r="K335" s="9"/>
      <c r="L335" s="9" t="s">
        <v>202</v>
      </c>
      <c r="M335" s="12">
        <f t="shared" si="20"/>
        <v>647</v>
      </c>
      <c r="N335" s="13">
        <f t="shared" si="21"/>
        <v>461.5</v>
      </c>
      <c r="O335" s="14">
        <f t="shared" si="22"/>
        <v>1108.5</v>
      </c>
      <c r="P335" s="15">
        <f t="shared" si="23"/>
        <v>1.3355421686746989</v>
      </c>
    </row>
    <row r="336" spans="1:16" ht="15.75" customHeight="1" x14ac:dyDescent="0.3">
      <c r="A336" s="117" t="s">
        <v>58</v>
      </c>
      <c r="B336" s="9" t="s">
        <v>275</v>
      </c>
      <c r="C336" s="9" t="s">
        <v>79</v>
      </c>
      <c r="D336" s="9" t="s">
        <v>276</v>
      </c>
      <c r="E336" s="10">
        <v>26</v>
      </c>
      <c r="F336" s="9" t="s">
        <v>277</v>
      </c>
      <c r="G336" s="10">
        <v>26</v>
      </c>
      <c r="H336" s="9" t="s">
        <v>200</v>
      </c>
      <c r="I336" s="9" t="s">
        <v>201</v>
      </c>
      <c r="J336" s="9" t="s">
        <v>4</v>
      </c>
      <c r="K336" s="9"/>
      <c r="L336" s="9" t="s">
        <v>202</v>
      </c>
      <c r="M336" s="12">
        <f t="shared" si="20"/>
        <v>647</v>
      </c>
      <c r="N336" s="13">
        <f t="shared" si="21"/>
        <v>461.5</v>
      </c>
      <c r="O336" s="14">
        <f t="shared" si="22"/>
        <v>1108.5</v>
      </c>
      <c r="P336" s="15">
        <f t="shared" si="23"/>
        <v>1.3355421686746989</v>
      </c>
    </row>
    <row r="337" spans="1:16" ht="15.75" customHeight="1" x14ac:dyDescent="0.3">
      <c r="A337" s="117" t="s">
        <v>58</v>
      </c>
      <c r="B337" s="9" t="s">
        <v>275</v>
      </c>
      <c r="C337" s="9" t="s">
        <v>100</v>
      </c>
      <c r="D337" s="9" t="s">
        <v>276</v>
      </c>
      <c r="E337" s="10">
        <v>32</v>
      </c>
      <c r="F337" s="9" t="s">
        <v>277</v>
      </c>
      <c r="G337" s="10">
        <v>16</v>
      </c>
      <c r="H337" s="9" t="s">
        <v>200</v>
      </c>
      <c r="I337" s="9" t="s">
        <v>201</v>
      </c>
      <c r="J337" s="9" t="s">
        <v>4</v>
      </c>
      <c r="K337" s="9"/>
      <c r="L337" s="9" t="s">
        <v>202</v>
      </c>
      <c r="M337" s="12">
        <f t="shared" si="20"/>
        <v>647</v>
      </c>
      <c r="N337" s="13">
        <f t="shared" si="21"/>
        <v>461.5</v>
      </c>
      <c r="O337" s="14">
        <f t="shared" si="22"/>
        <v>1108.5</v>
      </c>
      <c r="P337" s="15">
        <f t="shared" si="23"/>
        <v>1.3355421686746989</v>
      </c>
    </row>
    <row r="338" spans="1:16" ht="15.75" customHeight="1" x14ac:dyDescent="0.3">
      <c r="A338" s="117" t="s">
        <v>58</v>
      </c>
      <c r="B338" s="9" t="s">
        <v>275</v>
      </c>
      <c r="C338" s="9" t="s">
        <v>111</v>
      </c>
      <c r="D338" s="9" t="s">
        <v>276</v>
      </c>
      <c r="E338" s="10">
        <v>9</v>
      </c>
      <c r="F338" s="9" t="s">
        <v>277</v>
      </c>
      <c r="G338" s="11">
        <v>0</v>
      </c>
      <c r="H338" s="9" t="s">
        <v>200</v>
      </c>
      <c r="I338" s="9" t="s">
        <v>201</v>
      </c>
      <c r="J338" s="9" t="s">
        <v>4</v>
      </c>
      <c r="K338" s="9"/>
      <c r="L338" s="9" t="s">
        <v>202</v>
      </c>
      <c r="M338" s="12">
        <f t="shared" si="20"/>
        <v>647</v>
      </c>
      <c r="N338" s="13">
        <f t="shared" si="21"/>
        <v>461.5</v>
      </c>
      <c r="O338" s="14">
        <f t="shared" si="22"/>
        <v>1108.5</v>
      </c>
      <c r="P338" s="15">
        <f t="shared" si="23"/>
        <v>1.3355421686746989</v>
      </c>
    </row>
    <row r="339" spans="1:16" ht="15.75" customHeight="1" x14ac:dyDescent="0.3">
      <c r="A339" s="117" t="s">
        <v>58</v>
      </c>
      <c r="B339" s="9" t="s">
        <v>275</v>
      </c>
      <c r="C339" s="9" t="s">
        <v>80</v>
      </c>
      <c r="D339" s="9" t="s">
        <v>276</v>
      </c>
      <c r="E339" s="10">
        <v>3</v>
      </c>
      <c r="F339" s="9" t="s">
        <v>277</v>
      </c>
      <c r="G339" s="11">
        <v>0</v>
      </c>
      <c r="H339" s="9" t="s">
        <v>200</v>
      </c>
      <c r="I339" s="9" t="s">
        <v>201</v>
      </c>
      <c r="J339" s="9" t="s">
        <v>4</v>
      </c>
      <c r="K339" s="9"/>
      <c r="L339" s="9" t="s">
        <v>202</v>
      </c>
      <c r="M339" s="12">
        <f t="shared" si="20"/>
        <v>647</v>
      </c>
      <c r="N339" s="13">
        <f t="shared" si="21"/>
        <v>461.5</v>
      </c>
      <c r="O339" s="14">
        <f t="shared" si="22"/>
        <v>1108.5</v>
      </c>
      <c r="P339" s="15">
        <f t="shared" si="23"/>
        <v>1.3355421686746989</v>
      </c>
    </row>
    <row r="340" spans="1:16" ht="15.75" customHeight="1" x14ac:dyDescent="0.3">
      <c r="A340" s="117" t="s">
        <v>58</v>
      </c>
      <c r="B340" s="9" t="s">
        <v>278</v>
      </c>
      <c r="C340" s="9" t="s">
        <v>87</v>
      </c>
      <c r="D340" s="9" t="s">
        <v>237</v>
      </c>
      <c r="E340" s="10">
        <v>2</v>
      </c>
      <c r="F340" s="9" t="s">
        <v>279</v>
      </c>
      <c r="G340" s="11">
        <v>0</v>
      </c>
      <c r="H340" s="9" t="s">
        <v>63</v>
      </c>
      <c r="I340" s="9" t="s">
        <v>64</v>
      </c>
      <c r="J340" s="9" t="s">
        <v>4</v>
      </c>
      <c r="K340" s="9"/>
      <c r="L340" s="9" t="s">
        <v>122</v>
      </c>
      <c r="M340" s="12">
        <f t="shared" si="20"/>
        <v>284</v>
      </c>
      <c r="N340" s="13">
        <f t="shared" si="21"/>
        <v>140</v>
      </c>
      <c r="O340" s="14">
        <f t="shared" si="22"/>
        <v>424</v>
      </c>
      <c r="P340" s="15">
        <f t="shared" si="23"/>
        <v>0.51084337349397591</v>
      </c>
    </row>
    <row r="341" spans="1:16" ht="15.75" customHeight="1" x14ac:dyDescent="0.3">
      <c r="A341" s="117" t="s">
        <v>58</v>
      </c>
      <c r="B341" s="9" t="s">
        <v>278</v>
      </c>
      <c r="C341" s="9" t="s">
        <v>79</v>
      </c>
      <c r="D341" s="9" t="s">
        <v>237</v>
      </c>
      <c r="E341" s="10">
        <v>36</v>
      </c>
      <c r="F341" s="9" t="s">
        <v>279</v>
      </c>
      <c r="G341" s="10">
        <v>36</v>
      </c>
      <c r="H341" s="9" t="s">
        <v>63</v>
      </c>
      <c r="I341" s="9" t="s">
        <v>64</v>
      </c>
      <c r="J341" s="9" t="s">
        <v>4</v>
      </c>
      <c r="K341" s="9"/>
      <c r="L341" s="9" t="s">
        <v>122</v>
      </c>
      <c r="M341" s="12">
        <f t="shared" si="20"/>
        <v>284</v>
      </c>
      <c r="N341" s="13">
        <f t="shared" si="21"/>
        <v>140</v>
      </c>
      <c r="O341" s="14">
        <f t="shared" si="22"/>
        <v>424</v>
      </c>
      <c r="P341" s="15">
        <f t="shared" si="23"/>
        <v>0.51084337349397591</v>
      </c>
    </row>
    <row r="342" spans="1:16" ht="15.75" customHeight="1" x14ac:dyDescent="0.3">
      <c r="A342" s="117" t="s">
        <v>58</v>
      </c>
      <c r="B342" s="9" t="s">
        <v>278</v>
      </c>
      <c r="C342" s="9" t="s">
        <v>80</v>
      </c>
      <c r="D342" s="9" t="s">
        <v>237</v>
      </c>
      <c r="E342" s="10">
        <v>1</v>
      </c>
      <c r="F342" s="9" t="s">
        <v>279</v>
      </c>
      <c r="G342" s="11">
        <v>0</v>
      </c>
      <c r="H342" s="9" t="s">
        <v>63</v>
      </c>
      <c r="I342" s="9" t="s">
        <v>64</v>
      </c>
      <c r="J342" s="9" t="s">
        <v>4</v>
      </c>
      <c r="K342" s="9"/>
      <c r="L342" s="9" t="s">
        <v>122</v>
      </c>
      <c r="M342" s="12">
        <f t="shared" si="20"/>
        <v>284</v>
      </c>
      <c r="N342" s="13">
        <f t="shared" si="21"/>
        <v>140</v>
      </c>
      <c r="O342" s="14">
        <f t="shared" si="22"/>
        <v>424</v>
      </c>
      <c r="P342" s="15">
        <f t="shared" si="23"/>
        <v>0.51084337349397591</v>
      </c>
    </row>
    <row r="343" spans="1:16" ht="15.75" customHeight="1" x14ac:dyDescent="0.3">
      <c r="A343" s="117" t="s">
        <v>58</v>
      </c>
      <c r="B343" s="9" t="s">
        <v>280</v>
      </c>
      <c r="C343" s="9" t="s">
        <v>73</v>
      </c>
      <c r="D343" s="9" t="s">
        <v>103</v>
      </c>
      <c r="E343" s="10">
        <v>46</v>
      </c>
      <c r="F343" s="9" t="s">
        <v>107</v>
      </c>
      <c r="G343" s="10">
        <v>46</v>
      </c>
      <c r="H343" s="9" t="s">
        <v>179</v>
      </c>
      <c r="I343" s="9" t="s">
        <v>180</v>
      </c>
      <c r="J343" s="9" t="s">
        <v>4</v>
      </c>
      <c r="K343" s="9"/>
      <c r="L343" s="9" t="s">
        <v>181</v>
      </c>
      <c r="M343" s="12">
        <f t="shared" si="20"/>
        <v>703</v>
      </c>
      <c r="N343" s="13">
        <f t="shared" si="21"/>
        <v>179.5</v>
      </c>
      <c r="O343" s="14">
        <f t="shared" si="22"/>
        <v>882.5</v>
      </c>
      <c r="P343" s="15">
        <f t="shared" si="23"/>
        <v>1.0632530120481927</v>
      </c>
    </row>
    <row r="344" spans="1:16" ht="15.75" customHeight="1" x14ac:dyDescent="0.3">
      <c r="A344" s="117" t="s">
        <v>58</v>
      </c>
      <c r="B344" s="9" t="s">
        <v>280</v>
      </c>
      <c r="C344" s="9" t="s">
        <v>123</v>
      </c>
      <c r="D344" s="9" t="s">
        <v>103</v>
      </c>
      <c r="E344" s="10">
        <v>48</v>
      </c>
      <c r="F344" s="9" t="s">
        <v>107</v>
      </c>
      <c r="G344" s="11">
        <v>0</v>
      </c>
      <c r="H344" s="9" t="s">
        <v>179</v>
      </c>
      <c r="I344" s="9" t="s">
        <v>180</v>
      </c>
      <c r="J344" s="9" t="s">
        <v>4</v>
      </c>
      <c r="K344" s="9"/>
      <c r="L344" s="9"/>
      <c r="M344" s="12">
        <f t="shared" si="20"/>
        <v>703</v>
      </c>
      <c r="N344" s="13">
        <f t="shared" si="21"/>
        <v>179.5</v>
      </c>
      <c r="O344" s="14">
        <f t="shared" si="22"/>
        <v>882.5</v>
      </c>
      <c r="P344" s="15">
        <f t="shared" si="23"/>
        <v>1.0632530120481927</v>
      </c>
    </row>
    <row r="345" spans="1:16" ht="15.75" customHeight="1" x14ac:dyDescent="0.3">
      <c r="A345" s="117" t="s">
        <v>58</v>
      </c>
      <c r="B345" s="9" t="s">
        <v>280</v>
      </c>
      <c r="C345" s="9" t="s">
        <v>79</v>
      </c>
      <c r="D345" s="9" t="s">
        <v>103</v>
      </c>
      <c r="E345" s="10">
        <v>80</v>
      </c>
      <c r="F345" s="9" t="s">
        <v>107</v>
      </c>
      <c r="G345" s="10">
        <v>80</v>
      </c>
      <c r="H345" s="9" t="s">
        <v>179</v>
      </c>
      <c r="I345" s="9" t="s">
        <v>180</v>
      </c>
      <c r="J345" s="9" t="s">
        <v>4</v>
      </c>
      <c r="K345" s="9"/>
      <c r="L345" s="9" t="s">
        <v>181</v>
      </c>
      <c r="M345" s="12">
        <f t="shared" si="20"/>
        <v>703</v>
      </c>
      <c r="N345" s="13">
        <f t="shared" si="21"/>
        <v>179.5</v>
      </c>
      <c r="O345" s="14">
        <f t="shared" si="22"/>
        <v>882.5</v>
      </c>
      <c r="P345" s="15">
        <f t="shared" si="23"/>
        <v>1.0632530120481927</v>
      </c>
    </row>
    <row r="346" spans="1:16" ht="15.75" customHeight="1" x14ac:dyDescent="0.3">
      <c r="A346" s="117" t="s">
        <v>58</v>
      </c>
      <c r="B346" s="9" t="s">
        <v>280</v>
      </c>
      <c r="C346" s="9" t="s">
        <v>111</v>
      </c>
      <c r="D346" s="9" t="s">
        <v>103</v>
      </c>
      <c r="E346" s="10">
        <v>8</v>
      </c>
      <c r="F346" s="9" t="s">
        <v>107</v>
      </c>
      <c r="G346" s="11">
        <v>0</v>
      </c>
      <c r="H346" s="9" t="s">
        <v>179</v>
      </c>
      <c r="I346" s="9" t="s">
        <v>180</v>
      </c>
      <c r="J346" s="9" t="s">
        <v>4</v>
      </c>
      <c r="K346" s="9"/>
      <c r="L346" s="9" t="s">
        <v>181</v>
      </c>
      <c r="M346" s="12">
        <f t="shared" si="20"/>
        <v>703</v>
      </c>
      <c r="N346" s="13">
        <f t="shared" si="21"/>
        <v>179.5</v>
      </c>
      <c r="O346" s="14">
        <f t="shared" si="22"/>
        <v>882.5</v>
      </c>
      <c r="P346" s="15">
        <f t="shared" si="23"/>
        <v>1.0632530120481927</v>
      </c>
    </row>
    <row r="347" spans="1:16" ht="15.75" customHeight="1" x14ac:dyDescent="0.3">
      <c r="A347" s="117" t="s">
        <v>58</v>
      </c>
      <c r="B347" s="9" t="s">
        <v>280</v>
      </c>
      <c r="C347" s="9" t="s">
        <v>80</v>
      </c>
      <c r="D347" s="9" t="s">
        <v>103</v>
      </c>
      <c r="E347" s="10">
        <v>4</v>
      </c>
      <c r="F347" s="9" t="s">
        <v>107</v>
      </c>
      <c r="G347" s="11">
        <v>0</v>
      </c>
      <c r="H347" s="9" t="s">
        <v>179</v>
      </c>
      <c r="I347" s="9" t="s">
        <v>180</v>
      </c>
      <c r="J347" s="9" t="s">
        <v>4</v>
      </c>
      <c r="K347" s="9"/>
      <c r="L347" s="9" t="s">
        <v>181</v>
      </c>
      <c r="M347" s="12">
        <f t="shared" si="20"/>
        <v>703</v>
      </c>
      <c r="N347" s="13">
        <f t="shared" si="21"/>
        <v>179.5</v>
      </c>
      <c r="O347" s="14">
        <f t="shared" si="22"/>
        <v>882.5</v>
      </c>
      <c r="P347" s="15">
        <f t="shared" si="23"/>
        <v>1.0632530120481927</v>
      </c>
    </row>
    <row r="348" spans="1:16" ht="15.75" customHeight="1" x14ac:dyDescent="0.3">
      <c r="A348" s="117" t="s">
        <v>58</v>
      </c>
      <c r="B348" s="9" t="s">
        <v>281</v>
      </c>
      <c r="C348" s="9" t="s">
        <v>73</v>
      </c>
      <c r="D348" s="9" t="s">
        <v>103</v>
      </c>
      <c r="E348" s="10">
        <v>24</v>
      </c>
      <c r="F348" s="9" t="s">
        <v>107</v>
      </c>
      <c r="G348" s="10">
        <v>24</v>
      </c>
      <c r="H348" s="9" t="s">
        <v>91</v>
      </c>
      <c r="I348" s="9" t="s">
        <v>92</v>
      </c>
      <c r="J348" s="9" t="s">
        <v>4</v>
      </c>
      <c r="K348" s="9"/>
      <c r="L348" s="9" t="s">
        <v>93</v>
      </c>
      <c r="M348" s="12">
        <f t="shared" si="20"/>
        <v>405</v>
      </c>
      <c r="N348" s="13">
        <f t="shared" si="21"/>
        <v>478</v>
      </c>
      <c r="O348" s="14">
        <f t="shared" si="22"/>
        <v>883</v>
      </c>
      <c r="P348" s="15">
        <f t="shared" si="23"/>
        <v>1.0638554216867471</v>
      </c>
    </row>
    <row r="349" spans="1:16" ht="15.75" customHeight="1" x14ac:dyDescent="0.3">
      <c r="A349" s="117" t="s">
        <v>58</v>
      </c>
      <c r="B349" s="9" t="s">
        <v>281</v>
      </c>
      <c r="C349" s="9" t="s">
        <v>73</v>
      </c>
      <c r="D349" s="9" t="s">
        <v>220</v>
      </c>
      <c r="E349" s="10">
        <v>24</v>
      </c>
      <c r="F349" s="9" t="s">
        <v>221</v>
      </c>
      <c r="G349" s="10">
        <v>24</v>
      </c>
      <c r="H349" s="9" t="s">
        <v>91</v>
      </c>
      <c r="I349" s="9" t="s">
        <v>92</v>
      </c>
      <c r="J349" s="9" t="s">
        <v>4</v>
      </c>
      <c r="K349" s="9"/>
      <c r="L349" s="9" t="s">
        <v>93</v>
      </c>
      <c r="M349" s="12">
        <f t="shared" si="20"/>
        <v>405</v>
      </c>
      <c r="N349" s="13">
        <f t="shared" si="21"/>
        <v>478</v>
      </c>
      <c r="O349" s="14">
        <f t="shared" si="22"/>
        <v>883</v>
      </c>
      <c r="P349" s="15">
        <f t="shared" si="23"/>
        <v>1.0638554216867471</v>
      </c>
    </row>
    <row r="350" spans="1:16" ht="15.75" customHeight="1" x14ac:dyDescent="0.3">
      <c r="A350" s="117" t="s">
        <v>58</v>
      </c>
      <c r="B350" s="9" t="s">
        <v>281</v>
      </c>
      <c r="C350" s="9" t="s">
        <v>123</v>
      </c>
      <c r="D350" s="9" t="s">
        <v>220</v>
      </c>
      <c r="E350" s="10">
        <v>33</v>
      </c>
      <c r="F350" s="9" t="s">
        <v>221</v>
      </c>
      <c r="G350" s="11">
        <v>0</v>
      </c>
      <c r="H350" s="9" t="s">
        <v>91</v>
      </c>
      <c r="I350" s="9" t="s">
        <v>92</v>
      </c>
      <c r="J350" s="9" t="s">
        <v>4</v>
      </c>
      <c r="K350" s="9"/>
      <c r="L350" s="9" t="s">
        <v>197</v>
      </c>
      <c r="M350" s="12">
        <f t="shared" si="20"/>
        <v>405</v>
      </c>
      <c r="N350" s="13">
        <f t="shared" si="21"/>
        <v>478</v>
      </c>
      <c r="O350" s="14">
        <f t="shared" si="22"/>
        <v>883</v>
      </c>
      <c r="P350" s="15">
        <f t="shared" si="23"/>
        <v>1.0638554216867471</v>
      </c>
    </row>
    <row r="351" spans="1:16" ht="15.75" customHeight="1" x14ac:dyDescent="0.3">
      <c r="A351" s="117" t="s">
        <v>58</v>
      </c>
      <c r="B351" s="9" t="s">
        <v>281</v>
      </c>
      <c r="C351" s="9" t="s">
        <v>79</v>
      </c>
      <c r="D351" s="9" t="s">
        <v>103</v>
      </c>
      <c r="E351" s="10">
        <v>36</v>
      </c>
      <c r="F351" s="9" t="s">
        <v>107</v>
      </c>
      <c r="G351" s="10">
        <v>36</v>
      </c>
      <c r="H351" s="9" t="s">
        <v>91</v>
      </c>
      <c r="I351" s="9" t="s">
        <v>92</v>
      </c>
      <c r="J351" s="9" t="s">
        <v>4</v>
      </c>
      <c r="K351" s="9"/>
      <c r="L351" s="9" t="s">
        <v>214</v>
      </c>
      <c r="M351" s="12">
        <f t="shared" si="20"/>
        <v>405</v>
      </c>
      <c r="N351" s="13">
        <f t="shared" si="21"/>
        <v>478</v>
      </c>
      <c r="O351" s="14">
        <f t="shared" si="22"/>
        <v>883</v>
      </c>
      <c r="P351" s="15">
        <f t="shared" si="23"/>
        <v>1.0638554216867471</v>
      </c>
    </row>
    <row r="352" spans="1:16" ht="15.75" customHeight="1" x14ac:dyDescent="0.3">
      <c r="A352" s="117" t="s">
        <v>58</v>
      </c>
      <c r="B352" s="9" t="s">
        <v>281</v>
      </c>
      <c r="C352" s="9" t="s">
        <v>79</v>
      </c>
      <c r="D352" s="9" t="s">
        <v>220</v>
      </c>
      <c r="E352" s="10">
        <v>30</v>
      </c>
      <c r="F352" s="9" t="s">
        <v>221</v>
      </c>
      <c r="G352" s="10">
        <v>30</v>
      </c>
      <c r="H352" s="9" t="s">
        <v>91</v>
      </c>
      <c r="I352" s="9" t="s">
        <v>92</v>
      </c>
      <c r="J352" s="9" t="s">
        <v>4</v>
      </c>
      <c r="K352" s="9"/>
      <c r="L352" s="9" t="s">
        <v>214</v>
      </c>
      <c r="M352" s="12">
        <f t="shared" si="20"/>
        <v>405</v>
      </c>
      <c r="N352" s="13">
        <f t="shared" si="21"/>
        <v>478</v>
      </c>
      <c r="O352" s="14">
        <f t="shared" si="22"/>
        <v>883</v>
      </c>
      <c r="P352" s="15">
        <f t="shared" si="23"/>
        <v>1.0638554216867471</v>
      </c>
    </row>
    <row r="353" spans="1:16" ht="15.75" customHeight="1" x14ac:dyDescent="0.3">
      <c r="A353" s="117" t="s">
        <v>58</v>
      </c>
      <c r="B353" s="9" t="s">
        <v>281</v>
      </c>
      <c r="C353" s="9" t="s">
        <v>111</v>
      </c>
      <c r="D353" s="9" t="s">
        <v>220</v>
      </c>
      <c r="E353" s="10">
        <v>6</v>
      </c>
      <c r="F353" s="9" t="s">
        <v>221</v>
      </c>
      <c r="G353" s="11">
        <v>0</v>
      </c>
      <c r="H353" s="9" t="s">
        <v>91</v>
      </c>
      <c r="I353" s="9" t="s">
        <v>92</v>
      </c>
      <c r="J353" s="9" t="s">
        <v>4</v>
      </c>
      <c r="K353" s="9"/>
      <c r="L353" s="9" t="s">
        <v>197</v>
      </c>
      <c r="M353" s="12">
        <f t="shared" si="20"/>
        <v>405</v>
      </c>
      <c r="N353" s="13">
        <f t="shared" si="21"/>
        <v>478</v>
      </c>
      <c r="O353" s="14">
        <f t="shared" si="22"/>
        <v>883</v>
      </c>
      <c r="P353" s="15">
        <f t="shared" si="23"/>
        <v>1.0638554216867471</v>
      </c>
    </row>
    <row r="354" spans="1:16" ht="15.75" customHeight="1" x14ac:dyDescent="0.3">
      <c r="A354" s="117" t="s">
        <v>58</v>
      </c>
      <c r="B354" s="9" t="s">
        <v>281</v>
      </c>
      <c r="C354" s="9" t="s">
        <v>142</v>
      </c>
      <c r="D354" s="9" t="s">
        <v>103</v>
      </c>
      <c r="E354" s="10">
        <v>6</v>
      </c>
      <c r="F354" s="9" t="s">
        <v>107</v>
      </c>
      <c r="G354" s="11">
        <v>0</v>
      </c>
      <c r="H354" s="9" t="s">
        <v>91</v>
      </c>
      <c r="I354" s="9" t="s">
        <v>92</v>
      </c>
      <c r="J354" s="9" t="s">
        <v>4</v>
      </c>
      <c r="K354" s="9"/>
      <c r="L354" s="9" t="s">
        <v>197</v>
      </c>
      <c r="M354" s="12">
        <f t="shared" si="20"/>
        <v>405</v>
      </c>
      <c r="N354" s="13">
        <f t="shared" si="21"/>
        <v>478</v>
      </c>
      <c r="O354" s="14">
        <f t="shared" si="22"/>
        <v>883</v>
      </c>
      <c r="P354" s="15">
        <f t="shared" si="23"/>
        <v>1.0638554216867471</v>
      </c>
    </row>
    <row r="355" spans="1:16" ht="15.75" customHeight="1" x14ac:dyDescent="0.3">
      <c r="A355" s="117" t="s">
        <v>58</v>
      </c>
      <c r="B355" s="9" t="s">
        <v>281</v>
      </c>
      <c r="C355" s="9" t="s">
        <v>80</v>
      </c>
      <c r="D355" s="9" t="s">
        <v>103</v>
      </c>
      <c r="E355" s="10">
        <v>1</v>
      </c>
      <c r="F355" s="9" t="s">
        <v>107</v>
      </c>
      <c r="G355" s="11">
        <v>0</v>
      </c>
      <c r="H355" s="9" t="s">
        <v>91</v>
      </c>
      <c r="I355" s="9" t="s">
        <v>92</v>
      </c>
      <c r="J355" s="9" t="s">
        <v>4</v>
      </c>
      <c r="K355" s="9"/>
      <c r="L355" s="9" t="s">
        <v>197</v>
      </c>
      <c r="M355" s="12">
        <f t="shared" si="20"/>
        <v>405</v>
      </c>
      <c r="N355" s="13">
        <f t="shared" si="21"/>
        <v>478</v>
      </c>
      <c r="O355" s="14">
        <f t="shared" si="22"/>
        <v>883</v>
      </c>
      <c r="P355" s="15">
        <f t="shared" si="23"/>
        <v>1.0638554216867471</v>
      </c>
    </row>
    <row r="356" spans="1:16" ht="15.75" customHeight="1" x14ac:dyDescent="0.3">
      <c r="A356" s="117" t="s">
        <v>58</v>
      </c>
      <c r="B356" s="9" t="s">
        <v>281</v>
      </c>
      <c r="C356" s="9" t="s">
        <v>80</v>
      </c>
      <c r="D356" s="9" t="s">
        <v>220</v>
      </c>
      <c r="E356" s="10">
        <v>4</v>
      </c>
      <c r="F356" s="9" t="s">
        <v>221</v>
      </c>
      <c r="G356" s="11">
        <v>0</v>
      </c>
      <c r="H356" s="9" t="s">
        <v>91</v>
      </c>
      <c r="I356" s="9" t="s">
        <v>92</v>
      </c>
      <c r="J356" s="9" t="s">
        <v>4</v>
      </c>
      <c r="K356" s="9"/>
      <c r="L356" s="9" t="s">
        <v>197</v>
      </c>
      <c r="M356" s="12">
        <f t="shared" si="20"/>
        <v>405</v>
      </c>
      <c r="N356" s="13">
        <f t="shared" si="21"/>
        <v>478</v>
      </c>
      <c r="O356" s="14">
        <f t="shared" si="22"/>
        <v>883</v>
      </c>
      <c r="P356" s="15">
        <f t="shared" si="23"/>
        <v>1.0638554216867471</v>
      </c>
    </row>
    <row r="357" spans="1:16" ht="15.75" customHeight="1" x14ac:dyDescent="0.3">
      <c r="A357" s="117" t="s">
        <v>58</v>
      </c>
      <c r="B357" s="9" t="s">
        <v>282</v>
      </c>
      <c r="C357" s="9" t="s">
        <v>73</v>
      </c>
      <c r="D357" s="9" t="s">
        <v>119</v>
      </c>
      <c r="E357" s="10">
        <v>44</v>
      </c>
      <c r="F357" s="9" t="s">
        <v>121</v>
      </c>
      <c r="G357" s="10">
        <v>44</v>
      </c>
      <c r="H357" s="9" t="s">
        <v>96</v>
      </c>
      <c r="I357" s="9" t="s">
        <v>97</v>
      </c>
      <c r="J357" s="9" t="s">
        <v>8</v>
      </c>
      <c r="K357" s="9"/>
      <c r="L357" s="9"/>
      <c r="M357" s="12">
        <f t="shared" si="20"/>
        <v>501</v>
      </c>
      <c r="N357" s="13">
        <f t="shared" si="21"/>
        <v>486.5</v>
      </c>
      <c r="O357" s="14">
        <f t="shared" si="22"/>
        <v>987.5</v>
      </c>
      <c r="P357" s="15">
        <f t="shared" si="23"/>
        <v>1.1897590361445782</v>
      </c>
    </row>
    <row r="358" spans="1:16" ht="15.75" customHeight="1" x14ac:dyDescent="0.3">
      <c r="A358" s="117" t="s">
        <v>58</v>
      </c>
      <c r="B358" s="9" t="s">
        <v>282</v>
      </c>
      <c r="C358" s="9" t="s">
        <v>123</v>
      </c>
      <c r="D358" s="9" t="s">
        <v>119</v>
      </c>
      <c r="E358" s="10">
        <v>51</v>
      </c>
      <c r="F358" s="9" t="s">
        <v>121</v>
      </c>
      <c r="G358" s="11">
        <v>0</v>
      </c>
      <c r="H358" s="9" t="s">
        <v>96</v>
      </c>
      <c r="I358" s="9" t="s">
        <v>97</v>
      </c>
      <c r="J358" s="9" t="s">
        <v>8</v>
      </c>
      <c r="K358" s="9"/>
      <c r="L358" s="9"/>
      <c r="M358" s="12">
        <f t="shared" si="20"/>
        <v>501</v>
      </c>
      <c r="N358" s="13">
        <f t="shared" si="21"/>
        <v>486.5</v>
      </c>
      <c r="O358" s="14">
        <f t="shared" si="22"/>
        <v>987.5</v>
      </c>
      <c r="P358" s="15">
        <f t="shared" si="23"/>
        <v>1.1897590361445782</v>
      </c>
    </row>
    <row r="359" spans="1:16" ht="15.75" customHeight="1" x14ac:dyDescent="0.3">
      <c r="A359" s="117" t="s">
        <v>58</v>
      </c>
      <c r="B359" s="9" t="s">
        <v>282</v>
      </c>
      <c r="C359" s="9" t="s">
        <v>79</v>
      </c>
      <c r="D359" s="9" t="s">
        <v>119</v>
      </c>
      <c r="E359" s="10">
        <v>30</v>
      </c>
      <c r="F359" s="9" t="s">
        <v>121</v>
      </c>
      <c r="G359" s="10">
        <v>30</v>
      </c>
      <c r="H359" s="9" t="s">
        <v>96</v>
      </c>
      <c r="I359" s="9" t="s">
        <v>97</v>
      </c>
      <c r="J359" s="9" t="s">
        <v>8</v>
      </c>
      <c r="K359" s="9"/>
      <c r="L359" s="9"/>
      <c r="M359" s="12">
        <f t="shared" si="20"/>
        <v>501</v>
      </c>
      <c r="N359" s="13">
        <f t="shared" si="21"/>
        <v>486.5</v>
      </c>
      <c r="O359" s="14">
        <f t="shared" si="22"/>
        <v>987.5</v>
      </c>
      <c r="P359" s="15">
        <f t="shared" si="23"/>
        <v>1.1897590361445782</v>
      </c>
    </row>
    <row r="360" spans="1:16" ht="15.75" customHeight="1" x14ac:dyDescent="0.3">
      <c r="A360" s="117" t="s">
        <v>58</v>
      </c>
      <c r="B360" s="9" t="s">
        <v>282</v>
      </c>
      <c r="C360" s="9" t="s">
        <v>100</v>
      </c>
      <c r="D360" s="9" t="s">
        <v>119</v>
      </c>
      <c r="E360" s="10">
        <v>32</v>
      </c>
      <c r="F360" s="9" t="s">
        <v>121</v>
      </c>
      <c r="G360" s="10">
        <v>16</v>
      </c>
      <c r="H360" s="9" t="s">
        <v>96</v>
      </c>
      <c r="I360" s="9" t="s">
        <v>97</v>
      </c>
      <c r="J360" s="9" t="s">
        <v>8</v>
      </c>
      <c r="K360" s="9"/>
      <c r="L360" s="9"/>
      <c r="M360" s="12">
        <f t="shared" si="20"/>
        <v>501</v>
      </c>
      <c r="N360" s="13">
        <f t="shared" si="21"/>
        <v>486.5</v>
      </c>
      <c r="O360" s="14">
        <f t="shared" si="22"/>
        <v>987.5</v>
      </c>
      <c r="P360" s="15">
        <f t="shared" si="23"/>
        <v>1.1897590361445782</v>
      </c>
    </row>
    <row r="361" spans="1:16" ht="15.75" customHeight="1" x14ac:dyDescent="0.3">
      <c r="A361" s="117" t="s">
        <v>58</v>
      </c>
      <c r="B361" s="9" t="s">
        <v>282</v>
      </c>
      <c r="C361" s="9" t="s">
        <v>111</v>
      </c>
      <c r="D361" s="9" t="s">
        <v>119</v>
      </c>
      <c r="E361" s="10">
        <v>9</v>
      </c>
      <c r="F361" s="9" t="s">
        <v>121</v>
      </c>
      <c r="G361" s="11">
        <v>0</v>
      </c>
      <c r="H361" s="9" t="s">
        <v>96</v>
      </c>
      <c r="I361" s="9" t="s">
        <v>97</v>
      </c>
      <c r="J361" s="9" t="s">
        <v>8</v>
      </c>
      <c r="K361" s="9"/>
      <c r="L361" s="9"/>
      <c r="M361" s="12">
        <f t="shared" si="20"/>
        <v>501</v>
      </c>
      <c r="N361" s="13">
        <f t="shared" si="21"/>
        <v>486.5</v>
      </c>
      <c r="O361" s="14">
        <f t="shared" si="22"/>
        <v>987.5</v>
      </c>
      <c r="P361" s="15">
        <f t="shared" si="23"/>
        <v>1.1897590361445782</v>
      </c>
    </row>
    <row r="362" spans="1:16" ht="15.75" customHeight="1" x14ac:dyDescent="0.3">
      <c r="A362" s="117" t="s">
        <v>58</v>
      </c>
      <c r="B362" s="9" t="s">
        <v>282</v>
      </c>
      <c r="C362" s="9" t="s">
        <v>80</v>
      </c>
      <c r="D362" s="9" t="s">
        <v>119</v>
      </c>
      <c r="E362" s="10">
        <v>4</v>
      </c>
      <c r="F362" s="9" t="s">
        <v>121</v>
      </c>
      <c r="G362" s="11">
        <v>0</v>
      </c>
      <c r="H362" s="9" t="s">
        <v>96</v>
      </c>
      <c r="I362" s="9" t="s">
        <v>97</v>
      </c>
      <c r="J362" s="9" t="s">
        <v>8</v>
      </c>
      <c r="K362" s="9"/>
      <c r="L362" s="9"/>
      <c r="M362" s="12">
        <f t="shared" si="20"/>
        <v>501</v>
      </c>
      <c r="N362" s="13">
        <f t="shared" si="21"/>
        <v>486.5</v>
      </c>
      <c r="O362" s="14">
        <f t="shared" si="22"/>
        <v>987.5</v>
      </c>
      <c r="P362" s="15">
        <f t="shared" si="23"/>
        <v>1.1897590361445782</v>
      </c>
    </row>
    <row r="363" spans="1:16" ht="15.75" customHeight="1" x14ac:dyDescent="0.3">
      <c r="A363" s="117" t="s">
        <v>58</v>
      </c>
      <c r="B363" s="9" t="s">
        <v>283</v>
      </c>
      <c r="C363" s="9" t="s">
        <v>73</v>
      </c>
      <c r="D363" s="9" t="s">
        <v>119</v>
      </c>
      <c r="E363" s="10">
        <v>36</v>
      </c>
      <c r="F363" s="9" t="s">
        <v>121</v>
      </c>
      <c r="G363" s="10">
        <v>36</v>
      </c>
      <c r="H363" s="9" t="s">
        <v>250</v>
      </c>
      <c r="I363" s="9" t="s">
        <v>251</v>
      </c>
      <c r="J363" s="9"/>
      <c r="K363" s="9"/>
      <c r="L363" s="9" t="s">
        <v>284</v>
      </c>
      <c r="M363" s="12">
        <f t="shared" si="20"/>
        <v>179</v>
      </c>
      <c r="N363" s="13">
        <f t="shared" si="21"/>
        <v>72</v>
      </c>
      <c r="O363" s="14">
        <f t="shared" si="22"/>
        <v>251</v>
      </c>
      <c r="P363" s="15">
        <f t="shared" si="23"/>
        <v>0.30240963855421688</v>
      </c>
    </row>
    <row r="364" spans="1:16" ht="15.75" customHeight="1" x14ac:dyDescent="0.3">
      <c r="A364" s="117" t="s">
        <v>58</v>
      </c>
      <c r="B364" s="9" t="s">
        <v>283</v>
      </c>
      <c r="C364" s="9" t="s">
        <v>73</v>
      </c>
      <c r="D364" s="9" t="s">
        <v>140</v>
      </c>
      <c r="E364" s="10">
        <v>8</v>
      </c>
      <c r="F364" s="9" t="s">
        <v>153</v>
      </c>
      <c r="G364" s="10">
        <v>8</v>
      </c>
      <c r="H364" s="9" t="s">
        <v>250</v>
      </c>
      <c r="I364" s="9" t="s">
        <v>251</v>
      </c>
      <c r="J364" s="9"/>
      <c r="K364" s="9"/>
      <c r="L364" s="9" t="s">
        <v>252</v>
      </c>
      <c r="M364" s="12">
        <f t="shared" si="20"/>
        <v>179</v>
      </c>
      <c r="N364" s="13">
        <f t="shared" si="21"/>
        <v>72</v>
      </c>
      <c r="O364" s="14">
        <f t="shared" si="22"/>
        <v>251</v>
      </c>
      <c r="P364" s="15">
        <f t="shared" si="23"/>
        <v>0.30240963855421688</v>
      </c>
    </row>
    <row r="365" spans="1:16" ht="15.75" customHeight="1" x14ac:dyDescent="0.3">
      <c r="A365" s="117" t="s">
        <v>58</v>
      </c>
      <c r="B365" s="9" t="s">
        <v>283</v>
      </c>
      <c r="C365" s="9" t="s">
        <v>123</v>
      </c>
      <c r="D365" s="9" t="s">
        <v>140</v>
      </c>
      <c r="E365" s="10">
        <v>15</v>
      </c>
      <c r="F365" s="9" t="s">
        <v>153</v>
      </c>
      <c r="G365" s="11">
        <v>0</v>
      </c>
      <c r="H365" s="9" t="s">
        <v>250</v>
      </c>
      <c r="I365" s="9" t="s">
        <v>251</v>
      </c>
      <c r="J365" s="9"/>
      <c r="K365" s="9"/>
      <c r="L365" s="9" t="s">
        <v>252</v>
      </c>
      <c r="M365" s="12">
        <f t="shared" si="20"/>
        <v>179</v>
      </c>
      <c r="N365" s="13">
        <f t="shared" si="21"/>
        <v>72</v>
      </c>
      <c r="O365" s="14">
        <f t="shared" si="22"/>
        <v>251</v>
      </c>
      <c r="P365" s="15">
        <f t="shared" si="23"/>
        <v>0.30240963855421688</v>
      </c>
    </row>
    <row r="366" spans="1:16" ht="15.75" customHeight="1" x14ac:dyDescent="0.3">
      <c r="A366" s="117" t="s">
        <v>58</v>
      </c>
      <c r="B366" s="9" t="s">
        <v>283</v>
      </c>
      <c r="C366" s="9" t="s">
        <v>87</v>
      </c>
      <c r="D366" s="9" t="s">
        <v>119</v>
      </c>
      <c r="E366" s="10">
        <v>6</v>
      </c>
      <c r="F366" s="9" t="s">
        <v>121</v>
      </c>
      <c r="G366" s="11">
        <v>0</v>
      </c>
      <c r="H366" s="9" t="s">
        <v>250</v>
      </c>
      <c r="I366" s="9" t="s">
        <v>251</v>
      </c>
      <c r="J366" s="9"/>
      <c r="K366" s="9"/>
      <c r="L366" s="9" t="s">
        <v>284</v>
      </c>
      <c r="M366" s="12">
        <f t="shared" si="20"/>
        <v>179</v>
      </c>
      <c r="N366" s="13">
        <f t="shared" si="21"/>
        <v>72</v>
      </c>
      <c r="O366" s="14">
        <f t="shared" si="22"/>
        <v>251</v>
      </c>
      <c r="P366" s="15">
        <f t="shared" si="23"/>
        <v>0.30240963855421688</v>
      </c>
    </row>
    <row r="367" spans="1:16" ht="15.75" customHeight="1" x14ac:dyDescent="0.3">
      <c r="A367" s="117" t="s">
        <v>58</v>
      </c>
      <c r="B367" s="9" t="s">
        <v>283</v>
      </c>
      <c r="C367" s="9" t="s">
        <v>79</v>
      </c>
      <c r="D367" s="9" t="s">
        <v>119</v>
      </c>
      <c r="E367" s="10">
        <v>20</v>
      </c>
      <c r="F367" s="9" t="s">
        <v>121</v>
      </c>
      <c r="G367" s="10">
        <v>20</v>
      </c>
      <c r="H367" s="9" t="s">
        <v>250</v>
      </c>
      <c r="I367" s="9" t="s">
        <v>251</v>
      </c>
      <c r="J367" s="9"/>
      <c r="K367" s="9"/>
      <c r="L367" s="9" t="s">
        <v>284</v>
      </c>
      <c r="M367" s="12">
        <f t="shared" si="20"/>
        <v>179</v>
      </c>
      <c r="N367" s="13">
        <f t="shared" si="21"/>
        <v>72</v>
      </c>
      <c r="O367" s="14">
        <f t="shared" si="22"/>
        <v>251</v>
      </c>
      <c r="P367" s="15">
        <f t="shared" si="23"/>
        <v>0.30240963855421688</v>
      </c>
    </row>
    <row r="368" spans="1:16" ht="15.75" customHeight="1" x14ac:dyDescent="0.3">
      <c r="A368" s="117" t="s">
        <v>58</v>
      </c>
      <c r="B368" s="9" t="s">
        <v>283</v>
      </c>
      <c r="C368" s="9" t="s">
        <v>79</v>
      </c>
      <c r="D368" s="9" t="s">
        <v>140</v>
      </c>
      <c r="E368" s="10">
        <v>22</v>
      </c>
      <c r="F368" s="9" t="s">
        <v>153</v>
      </c>
      <c r="G368" s="10">
        <v>22</v>
      </c>
      <c r="H368" s="9" t="s">
        <v>250</v>
      </c>
      <c r="I368" s="9" t="s">
        <v>251</v>
      </c>
      <c r="J368" s="9"/>
      <c r="K368" s="9"/>
      <c r="L368" s="9" t="s">
        <v>252</v>
      </c>
      <c r="M368" s="12">
        <f t="shared" si="20"/>
        <v>179</v>
      </c>
      <c r="N368" s="13">
        <f t="shared" si="21"/>
        <v>72</v>
      </c>
      <c r="O368" s="14">
        <f t="shared" si="22"/>
        <v>251</v>
      </c>
      <c r="P368" s="15">
        <f t="shared" si="23"/>
        <v>0.30240963855421688</v>
      </c>
    </row>
    <row r="369" spans="1:16" ht="15.75" customHeight="1" x14ac:dyDescent="0.3">
      <c r="A369" s="117" t="s">
        <v>58</v>
      </c>
      <c r="B369" s="9" t="s">
        <v>283</v>
      </c>
      <c r="C369" s="9" t="s">
        <v>100</v>
      </c>
      <c r="D369" s="9" t="s">
        <v>119</v>
      </c>
      <c r="E369" s="10">
        <v>32</v>
      </c>
      <c r="F369" s="9" t="s">
        <v>121</v>
      </c>
      <c r="G369" s="10">
        <v>16</v>
      </c>
      <c r="H369" s="9" t="s">
        <v>259</v>
      </c>
      <c r="I369" s="9" t="s">
        <v>260</v>
      </c>
      <c r="J369" s="9"/>
      <c r="K369" s="9"/>
      <c r="L369" s="9" t="s">
        <v>285</v>
      </c>
      <c r="M369" s="12">
        <f t="shared" si="20"/>
        <v>144</v>
      </c>
      <c r="N369" s="13">
        <f t="shared" si="21"/>
        <v>88.5</v>
      </c>
      <c r="O369" s="14">
        <f t="shared" si="22"/>
        <v>232.5</v>
      </c>
      <c r="P369" s="15">
        <f t="shared" si="23"/>
        <v>0.28012048192771083</v>
      </c>
    </row>
    <row r="370" spans="1:16" ht="15.75" customHeight="1" x14ac:dyDescent="0.3">
      <c r="A370" s="117" t="s">
        <v>58</v>
      </c>
      <c r="B370" s="9" t="s">
        <v>283</v>
      </c>
      <c r="C370" s="9" t="s">
        <v>142</v>
      </c>
      <c r="D370" s="9" t="s">
        <v>140</v>
      </c>
      <c r="E370" s="10">
        <v>2</v>
      </c>
      <c r="F370" s="9" t="s">
        <v>153</v>
      </c>
      <c r="G370" s="11">
        <v>0</v>
      </c>
      <c r="H370" s="9" t="s">
        <v>250</v>
      </c>
      <c r="I370" s="9" t="s">
        <v>251</v>
      </c>
      <c r="J370" s="9"/>
      <c r="K370" s="9"/>
      <c r="L370" s="9" t="s">
        <v>252</v>
      </c>
      <c r="M370" s="12">
        <f t="shared" si="20"/>
        <v>179</v>
      </c>
      <c r="N370" s="13">
        <f t="shared" si="21"/>
        <v>72</v>
      </c>
      <c r="O370" s="14">
        <f t="shared" si="22"/>
        <v>251</v>
      </c>
      <c r="P370" s="15">
        <f t="shared" si="23"/>
        <v>0.30240963855421688</v>
      </c>
    </row>
    <row r="371" spans="1:16" ht="15.75" customHeight="1" x14ac:dyDescent="0.3">
      <c r="A371" s="117" t="s">
        <v>58</v>
      </c>
      <c r="B371" s="9" t="s">
        <v>283</v>
      </c>
      <c r="C371" s="9" t="s">
        <v>80</v>
      </c>
      <c r="D371" s="9" t="s">
        <v>119</v>
      </c>
      <c r="E371" s="10">
        <v>2</v>
      </c>
      <c r="F371" s="9" t="s">
        <v>121</v>
      </c>
      <c r="G371" s="11">
        <v>0</v>
      </c>
      <c r="H371" s="9" t="s">
        <v>250</v>
      </c>
      <c r="I371" s="9" t="s">
        <v>251</v>
      </c>
      <c r="J371" s="9"/>
      <c r="K371" s="9"/>
      <c r="L371" s="9" t="s">
        <v>284</v>
      </c>
      <c r="M371" s="12">
        <f t="shared" si="20"/>
        <v>179</v>
      </c>
      <c r="N371" s="13">
        <f t="shared" si="21"/>
        <v>72</v>
      </c>
      <c r="O371" s="14">
        <f t="shared" si="22"/>
        <v>251</v>
      </c>
      <c r="P371" s="15">
        <f t="shared" si="23"/>
        <v>0.30240963855421688</v>
      </c>
    </row>
    <row r="372" spans="1:16" ht="15.75" customHeight="1" x14ac:dyDescent="0.3">
      <c r="A372" s="117" t="s">
        <v>58</v>
      </c>
      <c r="B372" s="9" t="s">
        <v>286</v>
      </c>
      <c r="C372" s="9" t="s">
        <v>73</v>
      </c>
      <c r="D372" s="9" t="s">
        <v>287</v>
      </c>
      <c r="E372" s="10">
        <v>18</v>
      </c>
      <c r="F372" s="9" t="s">
        <v>133</v>
      </c>
      <c r="G372" s="10">
        <v>18</v>
      </c>
      <c r="H372" s="9" t="s">
        <v>200</v>
      </c>
      <c r="I372" s="9" t="s">
        <v>201</v>
      </c>
      <c r="J372" s="9" t="s">
        <v>4</v>
      </c>
      <c r="K372" s="9"/>
      <c r="L372" s="9" t="s">
        <v>202</v>
      </c>
      <c r="M372" s="12">
        <f t="shared" si="20"/>
        <v>647</v>
      </c>
      <c r="N372" s="13">
        <f t="shared" si="21"/>
        <v>461.5</v>
      </c>
      <c r="O372" s="14">
        <f t="shared" si="22"/>
        <v>1108.5</v>
      </c>
      <c r="P372" s="15">
        <f t="shared" si="23"/>
        <v>1.3355421686746989</v>
      </c>
    </row>
    <row r="373" spans="1:16" ht="15.75" customHeight="1" x14ac:dyDescent="0.3">
      <c r="A373" s="117" t="s">
        <v>58</v>
      </c>
      <c r="B373" s="9" t="s">
        <v>286</v>
      </c>
      <c r="C373" s="9" t="s">
        <v>123</v>
      </c>
      <c r="D373" s="9" t="s">
        <v>287</v>
      </c>
      <c r="E373" s="10">
        <v>21</v>
      </c>
      <c r="F373" s="9" t="s">
        <v>133</v>
      </c>
      <c r="G373" s="11">
        <v>0</v>
      </c>
      <c r="H373" s="9" t="s">
        <v>200</v>
      </c>
      <c r="I373" s="9" t="s">
        <v>201</v>
      </c>
      <c r="J373" s="9" t="s">
        <v>4</v>
      </c>
      <c r="K373" s="9"/>
      <c r="L373" s="9" t="s">
        <v>202</v>
      </c>
      <c r="M373" s="12">
        <f t="shared" si="20"/>
        <v>647</v>
      </c>
      <c r="N373" s="13">
        <f t="shared" si="21"/>
        <v>461.5</v>
      </c>
      <c r="O373" s="14">
        <f t="shared" si="22"/>
        <v>1108.5</v>
      </c>
      <c r="P373" s="15">
        <f t="shared" si="23"/>
        <v>1.3355421686746989</v>
      </c>
    </row>
    <row r="374" spans="1:16" ht="15.75" customHeight="1" x14ac:dyDescent="0.3">
      <c r="A374" s="117" t="s">
        <v>58</v>
      </c>
      <c r="B374" s="9" t="s">
        <v>286</v>
      </c>
      <c r="C374" s="9" t="s">
        <v>79</v>
      </c>
      <c r="D374" s="9" t="s">
        <v>287</v>
      </c>
      <c r="E374" s="10">
        <v>72</v>
      </c>
      <c r="F374" s="9" t="s">
        <v>133</v>
      </c>
      <c r="G374" s="10">
        <v>72</v>
      </c>
      <c r="H374" s="9" t="s">
        <v>200</v>
      </c>
      <c r="I374" s="9" t="s">
        <v>201</v>
      </c>
      <c r="J374" s="9" t="s">
        <v>4</v>
      </c>
      <c r="K374" s="9"/>
      <c r="L374" s="9" t="s">
        <v>202</v>
      </c>
      <c r="M374" s="12">
        <f t="shared" si="20"/>
        <v>647</v>
      </c>
      <c r="N374" s="13">
        <f t="shared" si="21"/>
        <v>461.5</v>
      </c>
      <c r="O374" s="14">
        <f t="shared" si="22"/>
        <v>1108.5</v>
      </c>
      <c r="P374" s="15">
        <f t="shared" si="23"/>
        <v>1.3355421686746989</v>
      </c>
    </row>
    <row r="375" spans="1:16" ht="15.75" customHeight="1" x14ac:dyDescent="0.3">
      <c r="A375" s="117" t="s">
        <v>58</v>
      </c>
      <c r="B375" s="9" t="s">
        <v>286</v>
      </c>
      <c r="C375" s="9" t="s">
        <v>111</v>
      </c>
      <c r="D375" s="9" t="s">
        <v>287</v>
      </c>
      <c r="E375" s="10">
        <v>4</v>
      </c>
      <c r="F375" s="9" t="s">
        <v>133</v>
      </c>
      <c r="G375" s="11">
        <v>0</v>
      </c>
      <c r="H375" s="9" t="s">
        <v>200</v>
      </c>
      <c r="I375" s="9" t="s">
        <v>201</v>
      </c>
      <c r="J375" s="9" t="s">
        <v>4</v>
      </c>
      <c r="K375" s="9"/>
      <c r="L375" s="9" t="s">
        <v>202</v>
      </c>
      <c r="M375" s="12">
        <f t="shared" si="20"/>
        <v>647</v>
      </c>
      <c r="N375" s="13">
        <f t="shared" si="21"/>
        <v>461.5</v>
      </c>
      <c r="O375" s="14">
        <f t="shared" si="22"/>
        <v>1108.5</v>
      </c>
      <c r="P375" s="15">
        <f t="shared" si="23"/>
        <v>1.3355421686746989</v>
      </c>
    </row>
    <row r="376" spans="1:16" ht="15.75" customHeight="1" x14ac:dyDescent="0.3">
      <c r="A376" s="117" t="s">
        <v>58</v>
      </c>
      <c r="B376" s="9" t="s">
        <v>286</v>
      </c>
      <c r="C376" s="9" t="s">
        <v>80</v>
      </c>
      <c r="D376" s="9" t="s">
        <v>287</v>
      </c>
      <c r="E376" s="10">
        <v>3</v>
      </c>
      <c r="F376" s="9" t="s">
        <v>133</v>
      </c>
      <c r="G376" s="11">
        <v>0</v>
      </c>
      <c r="H376" s="9" t="s">
        <v>200</v>
      </c>
      <c r="I376" s="9" t="s">
        <v>201</v>
      </c>
      <c r="J376" s="9" t="s">
        <v>4</v>
      </c>
      <c r="K376" s="9"/>
      <c r="L376" s="9" t="s">
        <v>202</v>
      </c>
      <c r="M376" s="12">
        <f t="shared" si="20"/>
        <v>647</v>
      </c>
      <c r="N376" s="13">
        <f t="shared" si="21"/>
        <v>461.5</v>
      </c>
      <c r="O376" s="14">
        <f t="shared" si="22"/>
        <v>1108.5</v>
      </c>
      <c r="P376" s="15">
        <f t="shared" si="23"/>
        <v>1.3355421686746989</v>
      </c>
    </row>
    <row r="377" spans="1:16" ht="15.75" customHeight="1" x14ac:dyDescent="0.3">
      <c r="A377" s="117" t="s">
        <v>58</v>
      </c>
      <c r="B377" s="9" t="s">
        <v>288</v>
      </c>
      <c r="C377" s="9" t="s">
        <v>73</v>
      </c>
      <c r="D377" s="9" t="s">
        <v>289</v>
      </c>
      <c r="E377" s="10">
        <v>34</v>
      </c>
      <c r="F377" s="9" t="s">
        <v>75</v>
      </c>
      <c r="G377" s="10">
        <v>68</v>
      </c>
      <c r="H377" s="9" t="s">
        <v>94</v>
      </c>
      <c r="I377" s="9" t="s">
        <v>95</v>
      </c>
      <c r="J377" s="9"/>
      <c r="K377" s="9"/>
      <c r="L377" s="9" t="s">
        <v>290</v>
      </c>
      <c r="M377" s="12">
        <f t="shared" si="20"/>
        <v>283</v>
      </c>
      <c r="N377" s="13">
        <f t="shared" si="21"/>
        <v>440</v>
      </c>
      <c r="O377" s="14">
        <f t="shared" si="22"/>
        <v>723</v>
      </c>
      <c r="P377" s="15">
        <f t="shared" si="23"/>
        <v>0.87108433734939761</v>
      </c>
    </row>
    <row r="378" spans="1:16" ht="14.25" customHeight="1" x14ac:dyDescent="0.3">
      <c r="A378" s="117" t="s">
        <v>58</v>
      </c>
      <c r="B378" s="9" t="s">
        <v>288</v>
      </c>
      <c r="C378" s="9" t="s">
        <v>73</v>
      </c>
      <c r="D378" s="9" t="s">
        <v>289</v>
      </c>
      <c r="E378" s="10">
        <v>34</v>
      </c>
      <c r="F378" s="9" t="s">
        <v>75</v>
      </c>
      <c r="G378" s="10">
        <v>68</v>
      </c>
      <c r="H378" s="9" t="s">
        <v>291</v>
      </c>
      <c r="I378" s="9" t="s">
        <v>292</v>
      </c>
      <c r="J378" s="9"/>
      <c r="K378" s="9"/>
      <c r="L378" s="21" t="s">
        <v>290</v>
      </c>
      <c r="M378" s="12">
        <f t="shared" si="20"/>
        <v>44</v>
      </c>
      <c r="N378" s="13">
        <f t="shared" si="21"/>
        <v>61</v>
      </c>
      <c r="O378" s="14">
        <f t="shared" si="22"/>
        <v>105</v>
      </c>
      <c r="P378" s="15">
        <f t="shared" si="23"/>
        <v>0.12650602409638553</v>
      </c>
    </row>
    <row r="379" spans="1:16" ht="15.75" customHeight="1" x14ac:dyDescent="0.3">
      <c r="A379" s="117" t="s">
        <v>58</v>
      </c>
      <c r="B379" s="9" t="s">
        <v>288</v>
      </c>
      <c r="C379" s="9" t="s">
        <v>79</v>
      </c>
      <c r="D379" s="9" t="s">
        <v>289</v>
      </c>
      <c r="E379" s="10">
        <v>10</v>
      </c>
      <c r="F379" s="9" t="s">
        <v>75</v>
      </c>
      <c r="G379" s="10">
        <v>20</v>
      </c>
      <c r="H379" s="9" t="s">
        <v>291</v>
      </c>
      <c r="I379" s="9" t="s">
        <v>292</v>
      </c>
      <c r="J379" s="9"/>
      <c r="K379" s="9"/>
      <c r="L379" s="21" t="s">
        <v>290</v>
      </c>
      <c r="M379" s="12">
        <f t="shared" si="20"/>
        <v>44</v>
      </c>
      <c r="N379" s="13">
        <f t="shared" si="21"/>
        <v>61</v>
      </c>
      <c r="O379" s="14">
        <f t="shared" si="22"/>
        <v>105</v>
      </c>
      <c r="P379" s="15">
        <f t="shared" si="23"/>
        <v>0.12650602409638553</v>
      </c>
    </row>
    <row r="380" spans="1:16" ht="15.75" customHeight="1" x14ac:dyDescent="0.3">
      <c r="A380" s="117" t="s">
        <v>58</v>
      </c>
      <c r="B380" s="9" t="s">
        <v>288</v>
      </c>
      <c r="C380" s="9" t="s">
        <v>79</v>
      </c>
      <c r="D380" s="9" t="s">
        <v>289</v>
      </c>
      <c r="E380" s="10">
        <v>10</v>
      </c>
      <c r="F380" s="9" t="s">
        <v>75</v>
      </c>
      <c r="G380" s="10">
        <v>20</v>
      </c>
      <c r="H380" s="9" t="s">
        <v>94</v>
      </c>
      <c r="I380" s="9" t="s">
        <v>95</v>
      </c>
      <c r="J380" s="9"/>
      <c r="K380" s="9"/>
      <c r="L380" s="21" t="s">
        <v>290</v>
      </c>
      <c r="M380" s="12">
        <f t="shared" si="20"/>
        <v>283</v>
      </c>
      <c r="N380" s="13">
        <f t="shared" si="21"/>
        <v>440</v>
      </c>
      <c r="O380" s="14">
        <f t="shared" si="22"/>
        <v>723</v>
      </c>
      <c r="P380" s="15">
        <f t="shared" si="23"/>
        <v>0.87108433734939761</v>
      </c>
    </row>
    <row r="381" spans="1:16" ht="15.75" customHeight="1" x14ac:dyDescent="0.3">
      <c r="A381" s="117" t="s">
        <v>58</v>
      </c>
      <c r="B381" s="9" t="s">
        <v>288</v>
      </c>
      <c r="C381" s="9" t="s">
        <v>111</v>
      </c>
      <c r="D381" s="9" t="s">
        <v>289</v>
      </c>
      <c r="E381" s="10">
        <v>1</v>
      </c>
      <c r="F381" s="9" t="s">
        <v>75</v>
      </c>
      <c r="G381" s="11">
        <v>0</v>
      </c>
      <c r="H381" s="9" t="s">
        <v>94</v>
      </c>
      <c r="I381" s="9" t="s">
        <v>95</v>
      </c>
      <c r="J381" s="9"/>
      <c r="K381" s="9"/>
      <c r="L381" s="9" t="s">
        <v>290</v>
      </c>
      <c r="M381" s="12">
        <f t="shared" si="20"/>
        <v>283</v>
      </c>
      <c r="N381" s="13">
        <f t="shared" si="21"/>
        <v>440</v>
      </c>
      <c r="O381" s="14">
        <f t="shared" si="22"/>
        <v>723</v>
      </c>
      <c r="P381" s="15">
        <f t="shared" si="23"/>
        <v>0.87108433734939761</v>
      </c>
    </row>
    <row r="382" spans="1:16" ht="15.75" customHeight="1" x14ac:dyDescent="0.3">
      <c r="A382" s="117" t="s">
        <v>58</v>
      </c>
      <c r="B382" s="9" t="s">
        <v>288</v>
      </c>
      <c r="C382" s="9" t="s">
        <v>80</v>
      </c>
      <c r="D382" s="9" t="s">
        <v>289</v>
      </c>
      <c r="E382" s="10">
        <v>5</v>
      </c>
      <c r="F382" s="9" t="s">
        <v>75</v>
      </c>
      <c r="G382" s="11">
        <v>0</v>
      </c>
      <c r="H382" s="9" t="s">
        <v>94</v>
      </c>
      <c r="I382" s="9" t="s">
        <v>95</v>
      </c>
      <c r="J382" s="9"/>
      <c r="K382" s="9"/>
      <c r="L382" s="9" t="s">
        <v>290</v>
      </c>
      <c r="M382" s="12">
        <f t="shared" si="20"/>
        <v>283</v>
      </c>
      <c r="N382" s="13">
        <f t="shared" si="21"/>
        <v>440</v>
      </c>
      <c r="O382" s="14">
        <f t="shared" si="22"/>
        <v>723</v>
      </c>
      <c r="P382" s="15">
        <f t="shared" si="23"/>
        <v>0.87108433734939761</v>
      </c>
    </row>
    <row r="383" spans="1:16" ht="15.75" customHeight="1" x14ac:dyDescent="0.3">
      <c r="A383" s="117" t="s">
        <v>58</v>
      </c>
      <c r="B383" s="9" t="s">
        <v>293</v>
      </c>
      <c r="C383" s="9" t="s">
        <v>73</v>
      </c>
      <c r="D383" s="9" t="s">
        <v>294</v>
      </c>
      <c r="E383" s="10">
        <v>24</v>
      </c>
      <c r="F383" s="9" t="s">
        <v>161</v>
      </c>
      <c r="G383" s="10">
        <v>24</v>
      </c>
      <c r="H383" s="9" t="s">
        <v>67</v>
      </c>
      <c r="I383" s="9" t="s">
        <v>68</v>
      </c>
      <c r="J383" s="9" t="s">
        <v>4</v>
      </c>
      <c r="K383" s="9"/>
      <c r="L383" s="9" t="s">
        <v>254</v>
      </c>
      <c r="M383" s="12">
        <f t="shared" si="20"/>
        <v>366</v>
      </c>
      <c r="N383" s="13">
        <f t="shared" si="21"/>
        <v>175</v>
      </c>
      <c r="O383" s="14">
        <f t="shared" si="22"/>
        <v>541</v>
      </c>
      <c r="P383" s="15">
        <f t="shared" si="23"/>
        <v>0.65180722891566267</v>
      </c>
    </row>
    <row r="384" spans="1:16" ht="15.75" customHeight="1" x14ac:dyDescent="0.3">
      <c r="A384" s="117" t="s">
        <v>58</v>
      </c>
      <c r="B384" s="9" t="s">
        <v>293</v>
      </c>
      <c r="C384" s="9" t="s">
        <v>87</v>
      </c>
      <c r="D384" s="9" t="s">
        <v>295</v>
      </c>
      <c r="E384" s="10">
        <v>6</v>
      </c>
      <c r="F384" s="9" t="s">
        <v>161</v>
      </c>
      <c r="G384" s="11">
        <v>0</v>
      </c>
      <c r="H384" s="9" t="s">
        <v>67</v>
      </c>
      <c r="I384" s="9" t="s">
        <v>68</v>
      </c>
      <c r="J384" s="9" t="s">
        <v>4</v>
      </c>
      <c r="K384" s="9"/>
      <c r="L384" s="9" t="s">
        <v>254</v>
      </c>
      <c r="M384" s="12">
        <f t="shared" si="20"/>
        <v>366</v>
      </c>
      <c r="N384" s="13">
        <f t="shared" si="21"/>
        <v>175</v>
      </c>
      <c r="O384" s="14">
        <f t="shared" si="22"/>
        <v>541</v>
      </c>
      <c r="P384" s="15">
        <f t="shared" si="23"/>
        <v>0.65180722891566267</v>
      </c>
    </row>
    <row r="385" spans="1:16" ht="15.75" customHeight="1" x14ac:dyDescent="0.3">
      <c r="A385" s="117" t="s">
        <v>58</v>
      </c>
      <c r="B385" s="9" t="s">
        <v>293</v>
      </c>
      <c r="C385" s="9" t="s">
        <v>87</v>
      </c>
      <c r="D385" s="9" t="s">
        <v>296</v>
      </c>
      <c r="E385" s="10">
        <v>8</v>
      </c>
      <c r="F385" s="9" t="s">
        <v>161</v>
      </c>
      <c r="G385" s="11">
        <v>0</v>
      </c>
      <c r="H385" s="9" t="s">
        <v>67</v>
      </c>
      <c r="I385" s="9" t="s">
        <v>68</v>
      </c>
      <c r="J385" s="9" t="s">
        <v>4</v>
      </c>
      <c r="K385" s="9"/>
      <c r="L385" s="9" t="s">
        <v>254</v>
      </c>
      <c r="M385" s="12">
        <f t="shared" si="20"/>
        <v>366</v>
      </c>
      <c r="N385" s="13">
        <f t="shared" si="21"/>
        <v>175</v>
      </c>
      <c r="O385" s="14">
        <f t="shared" si="22"/>
        <v>541</v>
      </c>
      <c r="P385" s="15">
        <f t="shared" si="23"/>
        <v>0.65180722891566267</v>
      </c>
    </row>
    <row r="386" spans="1:16" ht="15.75" customHeight="1" x14ac:dyDescent="0.3">
      <c r="A386" s="117" t="s">
        <v>58</v>
      </c>
      <c r="B386" s="9" t="s">
        <v>293</v>
      </c>
      <c r="C386" s="9" t="s">
        <v>79</v>
      </c>
      <c r="D386" s="9" t="s">
        <v>295</v>
      </c>
      <c r="E386" s="10">
        <v>48</v>
      </c>
      <c r="F386" s="9" t="s">
        <v>161</v>
      </c>
      <c r="G386" s="10">
        <v>48</v>
      </c>
      <c r="H386" s="9" t="s">
        <v>67</v>
      </c>
      <c r="I386" s="9" t="s">
        <v>68</v>
      </c>
      <c r="J386" s="9" t="s">
        <v>4</v>
      </c>
      <c r="K386" s="9"/>
      <c r="L386" s="9" t="s">
        <v>254</v>
      </c>
      <c r="M386" s="12">
        <f t="shared" ref="M386:M449" si="24">SUMIFS($E$2:$E$1130,$A$2:$A$1130,"осень",$I$2:$I$1130,I386)</f>
        <v>366</v>
      </c>
      <c r="N386" s="13">
        <f t="shared" ref="N386:N449" si="25">SUMIFS($E$2:$E$1130,$A$2:$A$1130,"весна",$I$2:$I$1130,I386)</f>
        <v>175</v>
      </c>
      <c r="O386" s="14">
        <f t="shared" ref="O386:O449" si="26">M386+N386</f>
        <v>541</v>
      </c>
      <c r="P386" s="15">
        <f t="shared" ref="P386:P449" si="27">O386/$P$1</f>
        <v>0.65180722891566267</v>
      </c>
    </row>
    <row r="387" spans="1:16" ht="15.75" customHeight="1" x14ac:dyDescent="0.3">
      <c r="A387" s="117" t="s">
        <v>58</v>
      </c>
      <c r="B387" s="9" t="s">
        <v>293</v>
      </c>
      <c r="C387" s="9" t="s">
        <v>79</v>
      </c>
      <c r="D387" s="9" t="s">
        <v>296</v>
      </c>
      <c r="E387" s="10">
        <v>48</v>
      </c>
      <c r="F387" s="9" t="s">
        <v>161</v>
      </c>
      <c r="G387" s="10">
        <v>48</v>
      </c>
      <c r="H387" s="9" t="s">
        <v>67</v>
      </c>
      <c r="I387" s="9" t="s">
        <v>68</v>
      </c>
      <c r="J387" s="9" t="s">
        <v>4</v>
      </c>
      <c r="K387" s="9"/>
      <c r="L387" s="9" t="s">
        <v>254</v>
      </c>
      <c r="M387" s="12">
        <f t="shared" si="24"/>
        <v>366</v>
      </c>
      <c r="N387" s="13">
        <f t="shared" si="25"/>
        <v>175</v>
      </c>
      <c r="O387" s="14">
        <f t="shared" si="26"/>
        <v>541</v>
      </c>
      <c r="P387" s="15">
        <f t="shared" si="27"/>
        <v>0.65180722891566267</v>
      </c>
    </row>
    <row r="388" spans="1:16" ht="15.75" customHeight="1" x14ac:dyDescent="0.3">
      <c r="A388" s="117" t="s">
        <v>58</v>
      </c>
      <c r="B388" s="9" t="s">
        <v>293</v>
      </c>
      <c r="C388" s="9" t="s">
        <v>80</v>
      </c>
      <c r="D388" s="9" t="s">
        <v>295</v>
      </c>
      <c r="E388" s="10">
        <v>1</v>
      </c>
      <c r="F388" s="9" t="s">
        <v>161</v>
      </c>
      <c r="G388" s="11">
        <v>0</v>
      </c>
      <c r="H388" s="9" t="s">
        <v>67</v>
      </c>
      <c r="I388" s="9" t="s">
        <v>68</v>
      </c>
      <c r="J388" s="9" t="s">
        <v>4</v>
      </c>
      <c r="K388" s="9"/>
      <c r="L388" s="9" t="s">
        <v>254</v>
      </c>
      <c r="M388" s="12">
        <f t="shared" si="24"/>
        <v>366</v>
      </c>
      <c r="N388" s="13">
        <f t="shared" si="25"/>
        <v>175</v>
      </c>
      <c r="O388" s="14">
        <f t="shared" si="26"/>
        <v>541</v>
      </c>
      <c r="P388" s="15">
        <f t="shared" si="27"/>
        <v>0.65180722891566267</v>
      </c>
    </row>
    <row r="389" spans="1:16" ht="15.75" customHeight="1" x14ac:dyDescent="0.3">
      <c r="A389" s="117" t="s">
        <v>58</v>
      </c>
      <c r="B389" s="9" t="s">
        <v>293</v>
      </c>
      <c r="C389" s="9" t="s">
        <v>80</v>
      </c>
      <c r="D389" s="9" t="s">
        <v>296</v>
      </c>
      <c r="E389" s="10">
        <v>1</v>
      </c>
      <c r="F389" s="9" t="s">
        <v>161</v>
      </c>
      <c r="G389" s="11">
        <v>0</v>
      </c>
      <c r="H389" s="9" t="s">
        <v>67</v>
      </c>
      <c r="I389" s="9" t="s">
        <v>68</v>
      </c>
      <c r="J389" s="9" t="s">
        <v>4</v>
      </c>
      <c r="K389" s="9"/>
      <c r="L389" s="9" t="s">
        <v>254</v>
      </c>
      <c r="M389" s="12">
        <f t="shared" si="24"/>
        <v>366</v>
      </c>
      <c r="N389" s="13">
        <f t="shared" si="25"/>
        <v>175</v>
      </c>
      <c r="O389" s="14">
        <f t="shared" si="26"/>
        <v>541</v>
      </c>
      <c r="P389" s="15">
        <f t="shared" si="27"/>
        <v>0.65180722891566267</v>
      </c>
    </row>
    <row r="390" spans="1:16" ht="15.75" customHeight="1" x14ac:dyDescent="0.3">
      <c r="A390" s="117" t="s">
        <v>58</v>
      </c>
      <c r="B390" s="9" t="s">
        <v>297</v>
      </c>
      <c r="C390" s="9" t="s">
        <v>73</v>
      </c>
      <c r="D390" s="9" t="s">
        <v>119</v>
      </c>
      <c r="E390" s="10">
        <v>30</v>
      </c>
      <c r="F390" s="9" t="s">
        <v>121</v>
      </c>
      <c r="G390" s="10">
        <v>30</v>
      </c>
      <c r="H390" s="9" t="s">
        <v>259</v>
      </c>
      <c r="I390" s="9" t="s">
        <v>260</v>
      </c>
      <c r="J390" s="9"/>
      <c r="K390" s="9"/>
      <c r="L390" s="9" t="s">
        <v>298</v>
      </c>
      <c r="M390" s="12">
        <f t="shared" si="24"/>
        <v>144</v>
      </c>
      <c r="N390" s="13">
        <f t="shared" si="25"/>
        <v>88.5</v>
      </c>
      <c r="O390" s="14">
        <f t="shared" si="26"/>
        <v>232.5</v>
      </c>
      <c r="P390" s="15">
        <f t="shared" si="27"/>
        <v>0.28012048192771083</v>
      </c>
    </row>
    <row r="391" spans="1:16" ht="15.75" customHeight="1" x14ac:dyDescent="0.3">
      <c r="A391" s="117" t="s">
        <v>58</v>
      </c>
      <c r="B391" s="9" t="s">
        <v>297</v>
      </c>
      <c r="C391" s="9" t="s">
        <v>87</v>
      </c>
      <c r="D391" s="9" t="s">
        <v>119</v>
      </c>
      <c r="E391" s="10">
        <v>6</v>
      </c>
      <c r="F391" s="9" t="s">
        <v>121</v>
      </c>
      <c r="G391" s="11">
        <v>0</v>
      </c>
      <c r="H391" s="9" t="s">
        <v>259</v>
      </c>
      <c r="I391" s="9" t="s">
        <v>260</v>
      </c>
      <c r="J391" s="9"/>
      <c r="K391" s="9"/>
      <c r="L391" s="9" t="s">
        <v>285</v>
      </c>
      <c r="M391" s="12">
        <f t="shared" si="24"/>
        <v>144</v>
      </c>
      <c r="N391" s="13">
        <f t="shared" si="25"/>
        <v>88.5</v>
      </c>
      <c r="O391" s="14">
        <f t="shared" si="26"/>
        <v>232.5</v>
      </c>
      <c r="P391" s="15">
        <f t="shared" si="27"/>
        <v>0.28012048192771083</v>
      </c>
    </row>
    <row r="392" spans="1:16" ht="15.75" customHeight="1" x14ac:dyDescent="0.3">
      <c r="A392" s="117" t="s">
        <v>58</v>
      </c>
      <c r="B392" s="9" t="s">
        <v>297</v>
      </c>
      <c r="C392" s="9" t="s">
        <v>79</v>
      </c>
      <c r="D392" s="9" t="s">
        <v>119</v>
      </c>
      <c r="E392" s="10">
        <v>18</v>
      </c>
      <c r="F392" s="9" t="s">
        <v>121</v>
      </c>
      <c r="G392" s="10">
        <v>18</v>
      </c>
      <c r="H392" s="9" t="s">
        <v>259</v>
      </c>
      <c r="I392" s="9" t="s">
        <v>260</v>
      </c>
      <c r="J392" s="9"/>
      <c r="K392" s="9"/>
      <c r="L392" s="9" t="s">
        <v>285</v>
      </c>
      <c r="M392" s="12">
        <f t="shared" si="24"/>
        <v>144</v>
      </c>
      <c r="N392" s="13">
        <f t="shared" si="25"/>
        <v>88.5</v>
      </c>
      <c r="O392" s="14">
        <f t="shared" si="26"/>
        <v>232.5</v>
      </c>
      <c r="P392" s="15">
        <f t="shared" si="27"/>
        <v>0.28012048192771083</v>
      </c>
    </row>
    <row r="393" spans="1:16" ht="15.75" customHeight="1" x14ac:dyDescent="0.3">
      <c r="A393" s="117" t="s">
        <v>58</v>
      </c>
      <c r="B393" s="9" t="s">
        <v>297</v>
      </c>
      <c r="C393" s="9" t="s">
        <v>100</v>
      </c>
      <c r="D393" s="9" t="s">
        <v>119</v>
      </c>
      <c r="E393" s="10">
        <v>24</v>
      </c>
      <c r="F393" s="9" t="s">
        <v>121</v>
      </c>
      <c r="G393" s="10">
        <v>12</v>
      </c>
      <c r="H393" s="9" t="s">
        <v>259</v>
      </c>
      <c r="I393" s="9" t="s">
        <v>260</v>
      </c>
      <c r="J393" s="9"/>
      <c r="K393" s="9"/>
      <c r="L393" s="9" t="s">
        <v>285</v>
      </c>
      <c r="M393" s="12">
        <f t="shared" si="24"/>
        <v>144</v>
      </c>
      <c r="N393" s="13">
        <f t="shared" si="25"/>
        <v>88.5</v>
      </c>
      <c r="O393" s="14">
        <f t="shared" si="26"/>
        <v>232.5</v>
      </c>
      <c r="P393" s="15">
        <f t="shared" si="27"/>
        <v>0.28012048192771083</v>
      </c>
    </row>
    <row r="394" spans="1:16" ht="15.75" customHeight="1" x14ac:dyDescent="0.3">
      <c r="A394" s="117" t="s">
        <v>58</v>
      </c>
      <c r="B394" s="9" t="s">
        <v>297</v>
      </c>
      <c r="C394" s="9" t="s">
        <v>80</v>
      </c>
      <c r="D394" s="9" t="s">
        <v>119</v>
      </c>
      <c r="E394" s="10">
        <v>2</v>
      </c>
      <c r="F394" s="9" t="s">
        <v>121</v>
      </c>
      <c r="G394" s="11">
        <v>0</v>
      </c>
      <c r="H394" s="9" t="s">
        <v>259</v>
      </c>
      <c r="I394" s="9" t="s">
        <v>260</v>
      </c>
      <c r="J394" s="9"/>
      <c r="K394" s="9"/>
      <c r="L394" s="9" t="s">
        <v>285</v>
      </c>
      <c r="M394" s="12">
        <f t="shared" si="24"/>
        <v>144</v>
      </c>
      <c r="N394" s="13">
        <f t="shared" si="25"/>
        <v>88.5</v>
      </c>
      <c r="O394" s="14">
        <f t="shared" si="26"/>
        <v>232.5</v>
      </c>
      <c r="P394" s="15">
        <f t="shared" si="27"/>
        <v>0.28012048192771083</v>
      </c>
    </row>
    <row r="395" spans="1:16" ht="15.75" customHeight="1" x14ac:dyDescent="0.3">
      <c r="A395" s="117" t="s">
        <v>58</v>
      </c>
      <c r="B395" s="9" t="s">
        <v>299</v>
      </c>
      <c r="C395" s="9" t="s">
        <v>73</v>
      </c>
      <c r="D395" s="9" t="s">
        <v>300</v>
      </c>
      <c r="E395" s="10">
        <v>10</v>
      </c>
      <c r="F395" s="9" t="s">
        <v>263</v>
      </c>
      <c r="G395" s="10">
        <v>10</v>
      </c>
      <c r="H395" s="9" t="s">
        <v>174</v>
      </c>
      <c r="I395" s="9" t="s">
        <v>175</v>
      </c>
      <c r="J395" s="9" t="s">
        <v>8</v>
      </c>
      <c r="K395" s="9"/>
      <c r="L395" s="9"/>
      <c r="M395" s="12">
        <f t="shared" si="24"/>
        <v>320</v>
      </c>
      <c r="N395" s="13">
        <f t="shared" si="25"/>
        <v>169</v>
      </c>
      <c r="O395" s="14">
        <f t="shared" si="26"/>
        <v>489</v>
      </c>
      <c r="P395" s="15">
        <f t="shared" si="27"/>
        <v>0.58915662650602407</v>
      </c>
    </row>
    <row r="396" spans="1:16" ht="15.75" customHeight="1" x14ac:dyDescent="0.3">
      <c r="A396" s="117" t="s">
        <v>58</v>
      </c>
      <c r="B396" s="9" t="s">
        <v>299</v>
      </c>
      <c r="C396" s="9" t="s">
        <v>79</v>
      </c>
      <c r="D396" s="9" t="s">
        <v>165</v>
      </c>
      <c r="E396" s="10">
        <v>44</v>
      </c>
      <c r="F396" s="9" t="s">
        <v>263</v>
      </c>
      <c r="G396" s="10">
        <v>44</v>
      </c>
      <c r="H396" s="9" t="s">
        <v>174</v>
      </c>
      <c r="I396" s="9" t="s">
        <v>175</v>
      </c>
      <c r="J396" s="9" t="s">
        <v>8</v>
      </c>
      <c r="K396" s="9"/>
      <c r="L396" s="9"/>
      <c r="M396" s="12">
        <f t="shared" si="24"/>
        <v>320</v>
      </c>
      <c r="N396" s="13">
        <f t="shared" si="25"/>
        <v>169</v>
      </c>
      <c r="O396" s="14">
        <f t="shared" si="26"/>
        <v>489</v>
      </c>
      <c r="P396" s="15">
        <f t="shared" si="27"/>
        <v>0.58915662650602407</v>
      </c>
    </row>
    <row r="397" spans="1:16" ht="15.75" customHeight="1" x14ac:dyDescent="0.3">
      <c r="A397" s="117" t="s">
        <v>58</v>
      </c>
      <c r="B397" s="9" t="s">
        <v>299</v>
      </c>
      <c r="C397" s="9" t="s">
        <v>79</v>
      </c>
      <c r="D397" s="9" t="s">
        <v>237</v>
      </c>
      <c r="E397" s="10">
        <v>44</v>
      </c>
      <c r="F397" s="9" t="s">
        <v>263</v>
      </c>
      <c r="G397" s="10">
        <v>44</v>
      </c>
      <c r="H397" s="9" t="s">
        <v>174</v>
      </c>
      <c r="I397" s="9" t="s">
        <v>175</v>
      </c>
      <c r="J397" s="9" t="s">
        <v>8</v>
      </c>
      <c r="K397" s="9"/>
      <c r="L397" s="9"/>
      <c r="M397" s="12">
        <f t="shared" si="24"/>
        <v>320</v>
      </c>
      <c r="N397" s="13">
        <f t="shared" si="25"/>
        <v>169</v>
      </c>
      <c r="O397" s="14">
        <f t="shared" si="26"/>
        <v>489</v>
      </c>
      <c r="P397" s="15">
        <f t="shared" si="27"/>
        <v>0.58915662650602407</v>
      </c>
    </row>
    <row r="398" spans="1:16" ht="15.75" customHeight="1" x14ac:dyDescent="0.3">
      <c r="A398" s="117" t="s">
        <v>58</v>
      </c>
      <c r="B398" s="9" t="s">
        <v>299</v>
      </c>
      <c r="C398" s="9" t="s">
        <v>79</v>
      </c>
      <c r="D398" s="9" t="s">
        <v>152</v>
      </c>
      <c r="E398" s="10">
        <v>44</v>
      </c>
      <c r="F398" s="9" t="s">
        <v>263</v>
      </c>
      <c r="G398" s="10">
        <v>44</v>
      </c>
      <c r="H398" s="9" t="s">
        <v>174</v>
      </c>
      <c r="I398" s="9" t="s">
        <v>175</v>
      </c>
      <c r="J398" s="9" t="s">
        <v>8</v>
      </c>
      <c r="K398" s="9"/>
      <c r="L398" s="9"/>
      <c r="M398" s="12">
        <f t="shared" si="24"/>
        <v>320</v>
      </c>
      <c r="N398" s="13">
        <f t="shared" si="25"/>
        <v>169</v>
      </c>
      <c r="O398" s="14">
        <f t="shared" si="26"/>
        <v>489</v>
      </c>
      <c r="P398" s="15">
        <f t="shared" si="27"/>
        <v>0.58915662650602407</v>
      </c>
    </row>
    <row r="399" spans="1:16" ht="15.75" customHeight="1" x14ac:dyDescent="0.3">
      <c r="A399" s="117" t="s">
        <v>58</v>
      </c>
      <c r="B399" s="9" t="s">
        <v>299</v>
      </c>
      <c r="C399" s="9" t="s">
        <v>79</v>
      </c>
      <c r="D399" s="9" t="s">
        <v>144</v>
      </c>
      <c r="E399" s="10">
        <v>44</v>
      </c>
      <c r="F399" s="9" t="s">
        <v>263</v>
      </c>
      <c r="G399" s="10">
        <v>44</v>
      </c>
      <c r="H399" s="9" t="s">
        <v>174</v>
      </c>
      <c r="I399" s="9" t="s">
        <v>175</v>
      </c>
      <c r="J399" s="9" t="s">
        <v>8</v>
      </c>
      <c r="K399" s="9"/>
      <c r="L399" s="9"/>
      <c r="M399" s="12">
        <f t="shared" si="24"/>
        <v>320</v>
      </c>
      <c r="N399" s="13">
        <f t="shared" si="25"/>
        <v>169</v>
      </c>
      <c r="O399" s="14">
        <f t="shared" si="26"/>
        <v>489</v>
      </c>
      <c r="P399" s="15">
        <f t="shared" si="27"/>
        <v>0.58915662650602407</v>
      </c>
    </row>
    <row r="400" spans="1:16" ht="15.75" customHeight="1" x14ac:dyDescent="0.3">
      <c r="A400" s="117" t="s">
        <v>58</v>
      </c>
      <c r="B400" s="9" t="s">
        <v>299</v>
      </c>
      <c r="C400" s="9" t="s">
        <v>111</v>
      </c>
      <c r="D400" s="9" t="s">
        <v>165</v>
      </c>
      <c r="E400" s="10">
        <v>4</v>
      </c>
      <c r="F400" s="9" t="s">
        <v>263</v>
      </c>
      <c r="G400" s="11">
        <v>0</v>
      </c>
      <c r="H400" s="9" t="s">
        <v>174</v>
      </c>
      <c r="I400" s="9" t="s">
        <v>175</v>
      </c>
      <c r="J400" s="9" t="s">
        <v>8</v>
      </c>
      <c r="K400" s="9"/>
      <c r="L400" s="9"/>
      <c r="M400" s="12">
        <f t="shared" si="24"/>
        <v>320</v>
      </c>
      <c r="N400" s="13">
        <f t="shared" si="25"/>
        <v>169</v>
      </c>
      <c r="O400" s="14">
        <f t="shared" si="26"/>
        <v>489</v>
      </c>
      <c r="P400" s="15">
        <f t="shared" si="27"/>
        <v>0.58915662650602407</v>
      </c>
    </row>
    <row r="401" spans="1:16" ht="15.75" customHeight="1" x14ac:dyDescent="0.3">
      <c r="A401" s="117" t="s">
        <v>58</v>
      </c>
      <c r="B401" s="9" t="s">
        <v>299</v>
      </c>
      <c r="C401" s="9" t="s">
        <v>111</v>
      </c>
      <c r="D401" s="9" t="s">
        <v>237</v>
      </c>
      <c r="E401" s="10">
        <v>3</v>
      </c>
      <c r="F401" s="9" t="s">
        <v>263</v>
      </c>
      <c r="G401" s="11">
        <v>0</v>
      </c>
      <c r="H401" s="9" t="s">
        <v>174</v>
      </c>
      <c r="I401" s="9" t="s">
        <v>175</v>
      </c>
      <c r="J401" s="9" t="s">
        <v>8</v>
      </c>
      <c r="K401" s="9"/>
      <c r="L401" s="9"/>
      <c r="M401" s="12">
        <f t="shared" si="24"/>
        <v>320</v>
      </c>
      <c r="N401" s="13">
        <f t="shared" si="25"/>
        <v>169</v>
      </c>
      <c r="O401" s="14">
        <f t="shared" si="26"/>
        <v>489</v>
      </c>
      <c r="P401" s="15">
        <f t="shared" si="27"/>
        <v>0.58915662650602407</v>
      </c>
    </row>
    <row r="402" spans="1:16" ht="15.75" customHeight="1" x14ac:dyDescent="0.3">
      <c r="A402" s="117" t="s">
        <v>58</v>
      </c>
      <c r="B402" s="9" t="s">
        <v>299</v>
      </c>
      <c r="C402" s="9" t="s">
        <v>111</v>
      </c>
      <c r="D402" s="9" t="s">
        <v>152</v>
      </c>
      <c r="E402" s="10">
        <v>4</v>
      </c>
      <c r="F402" s="9" t="s">
        <v>263</v>
      </c>
      <c r="G402" s="11">
        <v>0</v>
      </c>
      <c r="H402" s="9" t="s">
        <v>174</v>
      </c>
      <c r="I402" s="9" t="s">
        <v>175</v>
      </c>
      <c r="J402" s="9" t="s">
        <v>8</v>
      </c>
      <c r="K402" s="9"/>
      <c r="L402" s="9"/>
      <c r="M402" s="12">
        <f t="shared" si="24"/>
        <v>320</v>
      </c>
      <c r="N402" s="13">
        <f t="shared" si="25"/>
        <v>169</v>
      </c>
      <c r="O402" s="14">
        <f t="shared" si="26"/>
        <v>489</v>
      </c>
      <c r="P402" s="15">
        <f t="shared" si="27"/>
        <v>0.58915662650602407</v>
      </c>
    </row>
    <row r="403" spans="1:16" ht="15.75" customHeight="1" x14ac:dyDescent="0.3">
      <c r="A403" s="117" t="s">
        <v>58</v>
      </c>
      <c r="B403" s="9" t="s">
        <v>299</v>
      </c>
      <c r="C403" s="9" t="s">
        <v>111</v>
      </c>
      <c r="D403" s="9" t="s">
        <v>144</v>
      </c>
      <c r="E403" s="10">
        <v>5</v>
      </c>
      <c r="F403" s="9" t="s">
        <v>263</v>
      </c>
      <c r="G403" s="11">
        <v>0</v>
      </c>
      <c r="H403" s="9" t="s">
        <v>174</v>
      </c>
      <c r="I403" s="9" t="s">
        <v>175</v>
      </c>
      <c r="J403" s="9" t="s">
        <v>8</v>
      </c>
      <c r="K403" s="9"/>
      <c r="L403" s="9"/>
      <c r="M403" s="12">
        <f t="shared" si="24"/>
        <v>320</v>
      </c>
      <c r="N403" s="13">
        <f t="shared" si="25"/>
        <v>169</v>
      </c>
      <c r="O403" s="14">
        <f t="shared" si="26"/>
        <v>489</v>
      </c>
      <c r="P403" s="15">
        <f t="shared" si="27"/>
        <v>0.58915662650602407</v>
      </c>
    </row>
    <row r="404" spans="1:16" ht="12.75" customHeight="1" x14ac:dyDescent="0.3">
      <c r="A404" s="117" t="s">
        <v>58</v>
      </c>
      <c r="B404" s="9" t="s">
        <v>299</v>
      </c>
      <c r="C404" s="9" t="s">
        <v>80</v>
      </c>
      <c r="D404" s="9" t="s">
        <v>165</v>
      </c>
      <c r="E404" s="10">
        <v>3</v>
      </c>
      <c r="F404" s="9" t="s">
        <v>263</v>
      </c>
      <c r="G404" s="11">
        <v>0</v>
      </c>
      <c r="H404" s="9" t="s">
        <v>174</v>
      </c>
      <c r="I404" s="9" t="s">
        <v>175</v>
      </c>
      <c r="J404" s="9" t="s">
        <v>8</v>
      </c>
      <c r="K404" s="9"/>
      <c r="L404" s="9"/>
      <c r="M404" s="12">
        <f t="shared" si="24"/>
        <v>320</v>
      </c>
      <c r="N404" s="13">
        <f t="shared" si="25"/>
        <v>169</v>
      </c>
      <c r="O404" s="14">
        <f t="shared" si="26"/>
        <v>489</v>
      </c>
      <c r="P404" s="15">
        <f t="shared" si="27"/>
        <v>0.58915662650602407</v>
      </c>
    </row>
    <row r="405" spans="1:16" ht="15.75" customHeight="1" x14ac:dyDescent="0.3">
      <c r="A405" s="117" t="s">
        <v>58</v>
      </c>
      <c r="B405" s="9" t="s">
        <v>299</v>
      </c>
      <c r="C405" s="9" t="s">
        <v>80</v>
      </c>
      <c r="D405" s="9" t="s">
        <v>237</v>
      </c>
      <c r="E405" s="10">
        <v>3</v>
      </c>
      <c r="F405" s="9" t="s">
        <v>263</v>
      </c>
      <c r="G405" s="11">
        <v>0</v>
      </c>
      <c r="H405" s="9" t="s">
        <v>174</v>
      </c>
      <c r="I405" s="9" t="s">
        <v>175</v>
      </c>
      <c r="J405" s="9" t="s">
        <v>8</v>
      </c>
      <c r="K405" s="9"/>
      <c r="L405" s="9"/>
      <c r="M405" s="12">
        <f t="shared" si="24"/>
        <v>320</v>
      </c>
      <c r="N405" s="13">
        <f t="shared" si="25"/>
        <v>169</v>
      </c>
      <c r="O405" s="14">
        <f t="shared" si="26"/>
        <v>489</v>
      </c>
      <c r="P405" s="15">
        <f t="shared" si="27"/>
        <v>0.58915662650602407</v>
      </c>
    </row>
    <row r="406" spans="1:16" ht="15.75" customHeight="1" x14ac:dyDescent="0.3">
      <c r="A406" s="117" t="s">
        <v>58</v>
      </c>
      <c r="B406" s="9" t="s">
        <v>299</v>
      </c>
      <c r="C406" s="9" t="s">
        <v>80</v>
      </c>
      <c r="D406" s="9" t="s">
        <v>152</v>
      </c>
      <c r="E406" s="10">
        <v>3</v>
      </c>
      <c r="F406" s="9" t="s">
        <v>263</v>
      </c>
      <c r="G406" s="11">
        <v>0</v>
      </c>
      <c r="H406" s="9" t="s">
        <v>174</v>
      </c>
      <c r="I406" s="9" t="s">
        <v>175</v>
      </c>
      <c r="J406" s="9" t="s">
        <v>8</v>
      </c>
      <c r="K406" s="9"/>
      <c r="L406" s="9"/>
      <c r="M406" s="12">
        <f t="shared" si="24"/>
        <v>320</v>
      </c>
      <c r="N406" s="13">
        <f t="shared" si="25"/>
        <v>169</v>
      </c>
      <c r="O406" s="14">
        <f t="shared" si="26"/>
        <v>489</v>
      </c>
      <c r="P406" s="15">
        <f t="shared" si="27"/>
        <v>0.58915662650602407</v>
      </c>
    </row>
    <row r="407" spans="1:16" ht="15.75" customHeight="1" x14ac:dyDescent="0.3">
      <c r="A407" s="117" t="s">
        <v>58</v>
      </c>
      <c r="B407" s="9" t="s">
        <v>299</v>
      </c>
      <c r="C407" s="9" t="s">
        <v>80</v>
      </c>
      <c r="D407" s="9" t="s">
        <v>144</v>
      </c>
      <c r="E407" s="10">
        <v>3</v>
      </c>
      <c r="F407" s="9" t="s">
        <v>263</v>
      </c>
      <c r="G407" s="11">
        <v>0</v>
      </c>
      <c r="H407" s="9" t="s">
        <v>174</v>
      </c>
      <c r="I407" s="9" t="s">
        <v>175</v>
      </c>
      <c r="J407" s="9" t="s">
        <v>8</v>
      </c>
      <c r="K407" s="9"/>
      <c r="L407" s="9"/>
      <c r="M407" s="12">
        <f t="shared" si="24"/>
        <v>320</v>
      </c>
      <c r="N407" s="13">
        <f t="shared" si="25"/>
        <v>169</v>
      </c>
      <c r="O407" s="14">
        <f t="shared" si="26"/>
        <v>489</v>
      </c>
      <c r="P407" s="15">
        <f t="shared" si="27"/>
        <v>0.58915662650602407</v>
      </c>
    </row>
    <row r="408" spans="1:16" ht="15.75" customHeight="1" x14ac:dyDescent="0.3">
      <c r="A408" s="117" t="s">
        <v>58</v>
      </c>
      <c r="B408" s="9" t="s">
        <v>301</v>
      </c>
      <c r="C408" s="9" t="s">
        <v>73</v>
      </c>
      <c r="D408" s="9" t="s">
        <v>300</v>
      </c>
      <c r="E408" s="10">
        <v>8</v>
      </c>
      <c r="F408" s="9" t="s">
        <v>263</v>
      </c>
      <c r="G408" s="10">
        <v>8</v>
      </c>
      <c r="H408" s="9" t="s">
        <v>171</v>
      </c>
      <c r="I408" s="9" t="s">
        <v>172</v>
      </c>
      <c r="J408" s="9" t="s">
        <v>8</v>
      </c>
      <c r="K408" s="9" t="s">
        <v>205</v>
      </c>
      <c r="L408" s="9" t="s">
        <v>302</v>
      </c>
      <c r="M408" s="12">
        <f t="shared" si="24"/>
        <v>339</v>
      </c>
      <c r="N408" s="13">
        <f t="shared" si="25"/>
        <v>296</v>
      </c>
      <c r="O408" s="14">
        <f t="shared" si="26"/>
        <v>635</v>
      </c>
      <c r="P408" s="15">
        <f t="shared" si="27"/>
        <v>0.76506024096385539</v>
      </c>
    </row>
    <row r="409" spans="1:16" ht="15.75" customHeight="1" x14ac:dyDescent="0.3">
      <c r="A409" s="117" t="s">
        <v>58</v>
      </c>
      <c r="B409" s="9" t="s">
        <v>301</v>
      </c>
      <c r="C409" s="9" t="s">
        <v>79</v>
      </c>
      <c r="D409" s="9" t="s">
        <v>165</v>
      </c>
      <c r="E409" s="10">
        <v>28</v>
      </c>
      <c r="F409" s="9" t="s">
        <v>263</v>
      </c>
      <c r="G409" s="10">
        <v>28</v>
      </c>
      <c r="H409" s="9" t="s">
        <v>171</v>
      </c>
      <c r="I409" s="9" t="s">
        <v>172</v>
      </c>
      <c r="J409" s="9" t="s">
        <v>8</v>
      </c>
      <c r="K409" s="9" t="s">
        <v>205</v>
      </c>
      <c r="L409" s="9" t="s">
        <v>303</v>
      </c>
      <c r="M409" s="12">
        <f t="shared" si="24"/>
        <v>339</v>
      </c>
      <c r="N409" s="13">
        <f t="shared" si="25"/>
        <v>296</v>
      </c>
      <c r="O409" s="14">
        <f t="shared" si="26"/>
        <v>635</v>
      </c>
      <c r="P409" s="15">
        <f t="shared" si="27"/>
        <v>0.76506024096385539</v>
      </c>
    </row>
    <row r="410" spans="1:16" ht="15.75" customHeight="1" x14ac:dyDescent="0.3">
      <c r="A410" s="117" t="s">
        <v>58</v>
      </c>
      <c r="B410" s="9" t="s">
        <v>301</v>
      </c>
      <c r="C410" s="9" t="s">
        <v>79</v>
      </c>
      <c r="D410" s="9" t="s">
        <v>237</v>
      </c>
      <c r="E410" s="10">
        <v>28</v>
      </c>
      <c r="F410" s="9" t="s">
        <v>263</v>
      </c>
      <c r="G410" s="10">
        <v>28</v>
      </c>
      <c r="H410" s="9" t="s">
        <v>171</v>
      </c>
      <c r="I410" s="9" t="s">
        <v>172</v>
      </c>
      <c r="J410" s="9" t="s">
        <v>8</v>
      </c>
      <c r="K410" s="9" t="s">
        <v>205</v>
      </c>
      <c r="L410" s="9" t="s">
        <v>303</v>
      </c>
      <c r="M410" s="12">
        <f t="shared" si="24"/>
        <v>339</v>
      </c>
      <c r="N410" s="13">
        <f t="shared" si="25"/>
        <v>296</v>
      </c>
      <c r="O410" s="14">
        <f t="shared" si="26"/>
        <v>635</v>
      </c>
      <c r="P410" s="15">
        <f t="shared" si="27"/>
        <v>0.76506024096385539</v>
      </c>
    </row>
    <row r="411" spans="1:16" ht="15.75" customHeight="1" x14ac:dyDescent="0.3">
      <c r="A411" s="117" t="s">
        <v>58</v>
      </c>
      <c r="B411" s="9" t="s">
        <v>301</v>
      </c>
      <c r="C411" s="9" t="s">
        <v>79</v>
      </c>
      <c r="D411" s="9" t="s">
        <v>152</v>
      </c>
      <c r="E411" s="10">
        <v>28</v>
      </c>
      <c r="F411" s="9" t="s">
        <v>263</v>
      </c>
      <c r="G411" s="10">
        <v>28</v>
      </c>
      <c r="H411" s="9" t="s">
        <v>171</v>
      </c>
      <c r="I411" s="9" t="s">
        <v>172</v>
      </c>
      <c r="J411" s="9" t="s">
        <v>8</v>
      </c>
      <c r="K411" s="9" t="s">
        <v>205</v>
      </c>
      <c r="L411" s="9" t="s">
        <v>303</v>
      </c>
      <c r="M411" s="12">
        <f t="shared" si="24"/>
        <v>339</v>
      </c>
      <c r="N411" s="13">
        <f t="shared" si="25"/>
        <v>296</v>
      </c>
      <c r="O411" s="14">
        <f t="shared" si="26"/>
        <v>635</v>
      </c>
      <c r="P411" s="15">
        <f t="shared" si="27"/>
        <v>0.76506024096385539</v>
      </c>
    </row>
    <row r="412" spans="1:16" ht="15.75" customHeight="1" x14ac:dyDescent="0.3">
      <c r="A412" s="117" t="s">
        <v>58</v>
      </c>
      <c r="B412" s="9" t="s">
        <v>301</v>
      </c>
      <c r="C412" s="9" t="s">
        <v>79</v>
      </c>
      <c r="D412" s="9" t="s">
        <v>144</v>
      </c>
      <c r="E412" s="10">
        <v>28</v>
      </c>
      <c r="F412" s="9" t="s">
        <v>263</v>
      </c>
      <c r="G412" s="10">
        <v>28</v>
      </c>
      <c r="H412" s="9" t="s">
        <v>171</v>
      </c>
      <c r="I412" s="9" t="s">
        <v>172</v>
      </c>
      <c r="J412" s="9" t="s">
        <v>8</v>
      </c>
      <c r="K412" s="9" t="s">
        <v>205</v>
      </c>
      <c r="L412" s="9" t="s">
        <v>303</v>
      </c>
      <c r="M412" s="12">
        <f t="shared" si="24"/>
        <v>339</v>
      </c>
      <c r="N412" s="13">
        <f t="shared" si="25"/>
        <v>296</v>
      </c>
      <c r="O412" s="14">
        <f t="shared" si="26"/>
        <v>635</v>
      </c>
      <c r="P412" s="15">
        <f t="shared" si="27"/>
        <v>0.76506024096385539</v>
      </c>
    </row>
    <row r="413" spans="1:16" ht="15.75" customHeight="1" x14ac:dyDescent="0.3">
      <c r="A413" s="117" t="s">
        <v>58</v>
      </c>
      <c r="B413" s="9" t="s">
        <v>301</v>
      </c>
      <c r="C413" s="9" t="s">
        <v>142</v>
      </c>
      <c r="D413" s="9" t="s">
        <v>165</v>
      </c>
      <c r="E413" s="10">
        <v>2</v>
      </c>
      <c r="F413" s="9" t="s">
        <v>263</v>
      </c>
      <c r="G413" s="11">
        <v>0</v>
      </c>
      <c r="H413" s="9" t="s">
        <v>171</v>
      </c>
      <c r="I413" s="9" t="s">
        <v>172</v>
      </c>
      <c r="J413" s="9" t="s">
        <v>8</v>
      </c>
      <c r="K413" s="9" t="s">
        <v>205</v>
      </c>
      <c r="L413" s="9" t="s">
        <v>303</v>
      </c>
      <c r="M413" s="12">
        <f t="shared" si="24"/>
        <v>339</v>
      </c>
      <c r="N413" s="13">
        <f t="shared" si="25"/>
        <v>296</v>
      </c>
      <c r="O413" s="14">
        <f t="shared" si="26"/>
        <v>635</v>
      </c>
      <c r="P413" s="15">
        <f t="shared" si="27"/>
        <v>0.76506024096385539</v>
      </c>
    </row>
    <row r="414" spans="1:16" ht="15.75" customHeight="1" x14ac:dyDescent="0.3">
      <c r="A414" s="117" t="s">
        <v>58</v>
      </c>
      <c r="B414" s="9" t="s">
        <v>301</v>
      </c>
      <c r="C414" s="9" t="s">
        <v>142</v>
      </c>
      <c r="D414" s="9" t="s">
        <v>237</v>
      </c>
      <c r="E414" s="10">
        <v>2</v>
      </c>
      <c r="F414" s="9" t="s">
        <v>263</v>
      </c>
      <c r="G414" s="11">
        <v>0</v>
      </c>
      <c r="H414" s="9" t="s">
        <v>171</v>
      </c>
      <c r="I414" s="9" t="s">
        <v>172</v>
      </c>
      <c r="J414" s="9" t="s">
        <v>8</v>
      </c>
      <c r="K414" s="9" t="s">
        <v>205</v>
      </c>
      <c r="L414" s="9" t="s">
        <v>303</v>
      </c>
      <c r="M414" s="12">
        <f t="shared" si="24"/>
        <v>339</v>
      </c>
      <c r="N414" s="13">
        <f t="shared" si="25"/>
        <v>296</v>
      </c>
      <c r="O414" s="14">
        <f t="shared" si="26"/>
        <v>635</v>
      </c>
      <c r="P414" s="15">
        <f t="shared" si="27"/>
        <v>0.76506024096385539</v>
      </c>
    </row>
    <row r="415" spans="1:16" ht="15.75" customHeight="1" x14ac:dyDescent="0.3">
      <c r="A415" s="117" t="s">
        <v>58</v>
      </c>
      <c r="B415" s="9" t="s">
        <v>301</v>
      </c>
      <c r="C415" s="9" t="s">
        <v>142</v>
      </c>
      <c r="D415" s="9" t="s">
        <v>152</v>
      </c>
      <c r="E415" s="10">
        <v>2</v>
      </c>
      <c r="F415" s="9" t="s">
        <v>263</v>
      </c>
      <c r="G415" s="11">
        <v>0</v>
      </c>
      <c r="H415" s="9" t="s">
        <v>171</v>
      </c>
      <c r="I415" s="9" t="s">
        <v>172</v>
      </c>
      <c r="J415" s="9" t="s">
        <v>8</v>
      </c>
      <c r="K415" s="9" t="s">
        <v>205</v>
      </c>
      <c r="L415" s="9" t="s">
        <v>303</v>
      </c>
      <c r="M415" s="12">
        <f t="shared" si="24"/>
        <v>339</v>
      </c>
      <c r="N415" s="13">
        <f t="shared" si="25"/>
        <v>296</v>
      </c>
      <c r="O415" s="14">
        <f t="shared" si="26"/>
        <v>635</v>
      </c>
      <c r="P415" s="15">
        <f t="shared" si="27"/>
        <v>0.76506024096385539</v>
      </c>
    </row>
    <row r="416" spans="1:16" ht="15.75" customHeight="1" x14ac:dyDescent="0.3">
      <c r="A416" s="117" t="s">
        <v>58</v>
      </c>
      <c r="B416" s="9" t="s">
        <v>301</v>
      </c>
      <c r="C416" s="9" t="s">
        <v>142</v>
      </c>
      <c r="D416" s="9" t="s">
        <v>144</v>
      </c>
      <c r="E416" s="10">
        <v>3</v>
      </c>
      <c r="F416" s="9" t="s">
        <v>263</v>
      </c>
      <c r="G416" s="11">
        <v>0</v>
      </c>
      <c r="H416" s="9" t="s">
        <v>171</v>
      </c>
      <c r="I416" s="9" t="s">
        <v>172</v>
      </c>
      <c r="J416" s="9" t="s">
        <v>8</v>
      </c>
      <c r="K416" s="9" t="s">
        <v>205</v>
      </c>
      <c r="L416" s="9" t="s">
        <v>303</v>
      </c>
      <c r="M416" s="12">
        <f t="shared" si="24"/>
        <v>339</v>
      </c>
      <c r="N416" s="13">
        <f t="shared" si="25"/>
        <v>296</v>
      </c>
      <c r="O416" s="14">
        <f t="shared" si="26"/>
        <v>635</v>
      </c>
      <c r="P416" s="15">
        <f t="shared" si="27"/>
        <v>0.76506024096385539</v>
      </c>
    </row>
    <row r="417" spans="1:36" ht="15.75" customHeight="1" x14ac:dyDescent="0.3">
      <c r="A417" s="117" t="s">
        <v>58</v>
      </c>
      <c r="B417" s="9" t="s">
        <v>304</v>
      </c>
      <c r="C417" s="9" t="s">
        <v>73</v>
      </c>
      <c r="D417" s="9" t="s">
        <v>300</v>
      </c>
      <c r="E417" s="10">
        <v>12</v>
      </c>
      <c r="F417" s="9" t="s">
        <v>263</v>
      </c>
      <c r="G417" s="10">
        <v>12</v>
      </c>
      <c r="H417" s="9" t="s">
        <v>67</v>
      </c>
      <c r="I417" s="9" t="s">
        <v>68</v>
      </c>
      <c r="J417" s="9" t="s">
        <v>4</v>
      </c>
      <c r="K417" s="9"/>
      <c r="L417" s="9" t="s">
        <v>254</v>
      </c>
      <c r="M417" s="12">
        <f t="shared" si="24"/>
        <v>366</v>
      </c>
      <c r="N417" s="13">
        <f t="shared" si="25"/>
        <v>175</v>
      </c>
      <c r="O417" s="14">
        <f t="shared" si="26"/>
        <v>541</v>
      </c>
      <c r="P417" s="15">
        <f t="shared" si="27"/>
        <v>0.65180722891566267</v>
      </c>
    </row>
    <row r="418" spans="1:36" ht="15.75" customHeight="1" x14ac:dyDescent="0.3">
      <c r="A418" s="117" t="s">
        <v>58</v>
      </c>
      <c r="B418" s="9" t="s">
        <v>304</v>
      </c>
      <c r="C418" s="9" t="s">
        <v>79</v>
      </c>
      <c r="D418" s="9" t="s">
        <v>165</v>
      </c>
      <c r="E418" s="10">
        <v>24</v>
      </c>
      <c r="F418" s="9" t="s">
        <v>263</v>
      </c>
      <c r="G418" s="10">
        <v>24</v>
      </c>
      <c r="H418" s="9" t="s">
        <v>67</v>
      </c>
      <c r="I418" s="9" t="s">
        <v>68</v>
      </c>
      <c r="J418" s="9" t="s">
        <v>4</v>
      </c>
      <c r="K418" s="9"/>
      <c r="L418" s="9" t="s">
        <v>254</v>
      </c>
      <c r="M418" s="12">
        <f t="shared" si="24"/>
        <v>366</v>
      </c>
      <c r="N418" s="13">
        <f t="shared" si="25"/>
        <v>175</v>
      </c>
      <c r="O418" s="14">
        <f t="shared" si="26"/>
        <v>541</v>
      </c>
      <c r="P418" s="15">
        <f t="shared" si="27"/>
        <v>0.65180722891566267</v>
      </c>
    </row>
    <row r="419" spans="1:36" ht="15.75" customHeight="1" x14ac:dyDescent="0.3">
      <c r="A419" s="117" t="s">
        <v>58</v>
      </c>
      <c r="B419" s="9" t="s">
        <v>304</v>
      </c>
      <c r="C419" s="9" t="s">
        <v>79</v>
      </c>
      <c r="D419" s="9" t="s">
        <v>237</v>
      </c>
      <c r="E419" s="10">
        <v>24</v>
      </c>
      <c r="F419" s="9" t="s">
        <v>263</v>
      </c>
      <c r="G419" s="10">
        <v>24</v>
      </c>
      <c r="H419" s="9" t="s">
        <v>67</v>
      </c>
      <c r="I419" s="9" t="s">
        <v>68</v>
      </c>
      <c r="J419" s="9" t="s">
        <v>4</v>
      </c>
      <c r="K419" s="9"/>
      <c r="L419" s="9" t="s">
        <v>254</v>
      </c>
      <c r="M419" s="12">
        <f t="shared" si="24"/>
        <v>366</v>
      </c>
      <c r="N419" s="13">
        <f t="shared" si="25"/>
        <v>175</v>
      </c>
      <c r="O419" s="14">
        <f t="shared" si="26"/>
        <v>541</v>
      </c>
      <c r="P419" s="15">
        <f t="shared" si="27"/>
        <v>0.65180722891566267</v>
      </c>
    </row>
    <row r="420" spans="1:36" ht="15.75" customHeight="1" x14ac:dyDescent="0.3">
      <c r="A420" s="117" t="s">
        <v>58</v>
      </c>
      <c r="B420" s="9" t="s">
        <v>304</v>
      </c>
      <c r="C420" s="9" t="s">
        <v>79</v>
      </c>
      <c r="D420" s="9" t="s">
        <v>152</v>
      </c>
      <c r="E420" s="10">
        <v>24</v>
      </c>
      <c r="F420" s="9" t="s">
        <v>263</v>
      </c>
      <c r="G420" s="10">
        <v>24</v>
      </c>
      <c r="H420" s="9" t="s">
        <v>67</v>
      </c>
      <c r="I420" s="9" t="s">
        <v>68</v>
      </c>
      <c r="J420" s="9" t="s">
        <v>4</v>
      </c>
      <c r="K420" s="9"/>
      <c r="L420" s="9" t="s">
        <v>254</v>
      </c>
      <c r="M420" s="12">
        <f t="shared" si="24"/>
        <v>366</v>
      </c>
      <c r="N420" s="13">
        <f t="shared" si="25"/>
        <v>175</v>
      </c>
      <c r="O420" s="14">
        <f t="shared" si="26"/>
        <v>541</v>
      </c>
      <c r="P420" s="15">
        <f t="shared" si="27"/>
        <v>0.65180722891566267</v>
      </c>
    </row>
    <row r="421" spans="1:36" ht="15.75" customHeight="1" x14ac:dyDescent="0.3">
      <c r="A421" s="117" t="s">
        <v>58</v>
      </c>
      <c r="B421" s="9" t="s">
        <v>304</v>
      </c>
      <c r="C421" s="9" t="s">
        <v>79</v>
      </c>
      <c r="D421" s="9" t="s">
        <v>144</v>
      </c>
      <c r="E421" s="10">
        <v>24</v>
      </c>
      <c r="F421" s="9" t="s">
        <v>263</v>
      </c>
      <c r="G421" s="10">
        <v>24</v>
      </c>
      <c r="H421" s="9" t="s">
        <v>67</v>
      </c>
      <c r="I421" s="9" t="s">
        <v>68</v>
      </c>
      <c r="J421" s="9" t="s">
        <v>4</v>
      </c>
      <c r="K421" s="9"/>
      <c r="L421" s="9" t="s">
        <v>254</v>
      </c>
      <c r="M421" s="12">
        <f t="shared" si="24"/>
        <v>366</v>
      </c>
      <c r="N421" s="13">
        <f t="shared" si="25"/>
        <v>175</v>
      </c>
      <c r="O421" s="14">
        <f t="shared" si="26"/>
        <v>541</v>
      </c>
      <c r="P421" s="15">
        <f t="shared" si="27"/>
        <v>0.65180722891566267</v>
      </c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</row>
    <row r="422" spans="1:36" ht="15.75" customHeight="1" x14ac:dyDescent="0.3">
      <c r="A422" s="117" t="s">
        <v>58</v>
      </c>
      <c r="B422" s="9" t="s">
        <v>304</v>
      </c>
      <c r="C422" s="9" t="s">
        <v>142</v>
      </c>
      <c r="D422" s="9" t="s">
        <v>165</v>
      </c>
      <c r="E422" s="10">
        <v>2</v>
      </c>
      <c r="F422" s="9" t="s">
        <v>263</v>
      </c>
      <c r="G422" s="11">
        <v>0</v>
      </c>
      <c r="H422" s="9" t="s">
        <v>67</v>
      </c>
      <c r="I422" s="9" t="s">
        <v>68</v>
      </c>
      <c r="J422" s="9" t="s">
        <v>4</v>
      </c>
      <c r="K422" s="9"/>
      <c r="L422" s="9" t="s">
        <v>254</v>
      </c>
      <c r="M422" s="12">
        <f t="shared" si="24"/>
        <v>366</v>
      </c>
      <c r="N422" s="13">
        <f t="shared" si="25"/>
        <v>175</v>
      </c>
      <c r="O422" s="14">
        <f t="shared" si="26"/>
        <v>541</v>
      </c>
      <c r="P422" s="15">
        <f t="shared" si="27"/>
        <v>0.65180722891566267</v>
      </c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</row>
    <row r="423" spans="1:36" ht="15.75" customHeight="1" x14ac:dyDescent="0.3">
      <c r="A423" s="117" t="s">
        <v>58</v>
      </c>
      <c r="B423" s="9" t="s">
        <v>304</v>
      </c>
      <c r="C423" s="9" t="s">
        <v>142</v>
      </c>
      <c r="D423" s="9" t="s">
        <v>237</v>
      </c>
      <c r="E423" s="10">
        <v>2</v>
      </c>
      <c r="F423" s="9" t="s">
        <v>263</v>
      </c>
      <c r="G423" s="11">
        <v>0</v>
      </c>
      <c r="H423" s="9" t="s">
        <v>67</v>
      </c>
      <c r="I423" s="9" t="s">
        <v>68</v>
      </c>
      <c r="J423" s="9" t="s">
        <v>4</v>
      </c>
      <c r="K423" s="9"/>
      <c r="L423" s="9" t="s">
        <v>254</v>
      </c>
      <c r="M423" s="12">
        <f t="shared" si="24"/>
        <v>366</v>
      </c>
      <c r="N423" s="13">
        <f t="shared" si="25"/>
        <v>175</v>
      </c>
      <c r="O423" s="14">
        <f t="shared" si="26"/>
        <v>541</v>
      </c>
      <c r="P423" s="15">
        <f t="shared" si="27"/>
        <v>0.65180722891566267</v>
      </c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</row>
    <row r="424" spans="1:36" ht="15.75" customHeight="1" x14ac:dyDescent="0.3">
      <c r="A424" s="117" t="s">
        <v>58</v>
      </c>
      <c r="B424" s="9" t="s">
        <v>304</v>
      </c>
      <c r="C424" s="9" t="s">
        <v>142</v>
      </c>
      <c r="D424" s="9" t="s">
        <v>152</v>
      </c>
      <c r="E424" s="10">
        <v>2</v>
      </c>
      <c r="F424" s="9" t="s">
        <v>263</v>
      </c>
      <c r="G424" s="11">
        <v>0</v>
      </c>
      <c r="H424" s="9" t="s">
        <v>67</v>
      </c>
      <c r="I424" s="9" t="s">
        <v>68</v>
      </c>
      <c r="J424" s="9" t="s">
        <v>4</v>
      </c>
      <c r="K424" s="9"/>
      <c r="L424" s="9" t="s">
        <v>254</v>
      </c>
      <c r="M424" s="12">
        <f t="shared" si="24"/>
        <v>366</v>
      </c>
      <c r="N424" s="13">
        <f t="shared" si="25"/>
        <v>175</v>
      </c>
      <c r="O424" s="14">
        <f t="shared" si="26"/>
        <v>541</v>
      </c>
      <c r="P424" s="15">
        <f t="shared" si="27"/>
        <v>0.65180722891566267</v>
      </c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</row>
    <row r="425" spans="1:36" ht="15.75" customHeight="1" x14ac:dyDescent="0.3">
      <c r="A425" s="117" t="s">
        <v>58</v>
      </c>
      <c r="B425" s="9" t="s">
        <v>304</v>
      </c>
      <c r="C425" s="9" t="s">
        <v>142</v>
      </c>
      <c r="D425" s="9" t="s">
        <v>144</v>
      </c>
      <c r="E425" s="10">
        <v>3</v>
      </c>
      <c r="F425" s="9" t="s">
        <v>263</v>
      </c>
      <c r="G425" s="11">
        <v>0</v>
      </c>
      <c r="H425" s="9" t="s">
        <v>67</v>
      </c>
      <c r="I425" s="9" t="s">
        <v>68</v>
      </c>
      <c r="J425" s="9" t="s">
        <v>4</v>
      </c>
      <c r="K425" s="9"/>
      <c r="L425" s="9" t="s">
        <v>254</v>
      </c>
      <c r="M425" s="12">
        <f t="shared" si="24"/>
        <v>366</v>
      </c>
      <c r="N425" s="13">
        <f t="shared" si="25"/>
        <v>175</v>
      </c>
      <c r="O425" s="14">
        <f t="shared" si="26"/>
        <v>541</v>
      </c>
      <c r="P425" s="15">
        <f t="shared" si="27"/>
        <v>0.65180722891566267</v>
      </c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</row>
    <row r="426" spans="1:36" ht="15.75" customHeight="1" x14ac:dyDescent="0.3">
      <c r="A426" s="117" t="s">
        <v>58</v>
      </c>
      <c r="B426" s="9" t="s">
        <v>304</v>
      </c>
      <c r="C426" s="9" t="s">
        <v>80</v>
      </c>
      <c r="D426" s="9" t="s">
        <v>165</v>
      </c>
      <c r="E426" s="10">
        <v>1</v>
      </c>
      <c r="F426" s="9" t="s">
        <v>263</v>
      </c>
      <c r="G426" s="11">
        <v>0</v>
      </c>
      <c r="H426" s="9" t="s">
        <v>67</v>
      </c>
      <c r="I426" s="9" t="s">
        <v>68</v>
      </c>
      <c r="J426" s="9" t="s">
        <v>4</v>
      </c>
      <c r="K426" s="9"/>
      <c r="L426" s="9" t="s">
        <v>254</v>
      </c>
      <c r="M426" s="12">
        <f t="shared" si="24"/>
        <v>366</v>
      </c>
      <c r="N426" s="13">
        <f t="shared" si="25"/>
        <v>175</v>
      </c>
      <c r="O426" s="14">
        <f t="shared" si="26"/>
        <v>541</v>
      </c>
      <c r="P426" s="15">
        <f t="shared" si="27"/>
        <v>0.65180722891566267</v>
      </c>
    </row>
    <row r="427" spans="1:36" ht="15.75" customHeight="1" x14ac:dyDescent="0.3">
      <c r="A427" s="117" t="s">
        <v>58</v>
      </c>
      <c r="B427" s="9" t="s">
        <v>304</v>
      </c>
      <c r="C427" s="9" t="s">
        <v>80</v>
      </c>
      <c r="D427" s="9" t="s">
        <v>237</v>
      </c>
      <c r="E427" s="10">
        <v>1</v>
      </c>
      <c r="F427" s="9" t="s">
        <v>263</v>
      </c>
      <c r="G427" s="11">
        <v>0</v>
      </c>
      <c r="H427" s="9" t="s">
        <v>67</v>
      </c>
      <c r="I427" s="9" t="s">
        <v>68</v>
      </c>
      <c r="J427" s="9" t="s">
        <v>4</v>
      </c>
      <c r="K427" s="9"/>
      <c r="L427" s="9" t="s">
        <v>254</v>
      </c>
      <c r="M427" s="12">
        <f t="shared" si="24"/>
        <v>366</v>
      </c>
      <c r="N427" s="13">
        <f t="shared" si="25"/>
        <v>175</v>
      </c>
      <c r="O427" s="14">
        <f t="shared" si="26"/>
        <v>541</v>
      </c>
      <c r="P427" s="15">
        <f t="shared" si="27"/>
        <v>0.65180722891566267</v>
      </c>
    </row>
    <row r="428" spans="1:36" ht="15.75" customHeight="1" x14ac:dyDescent="0.3">
      <c r="A428" s="117" t="s">
        <v>58</v>
      </c>
      <c r="B428" s="9" t="s">
        <v>304</v>
      </c>
      <c r="C428" s="9" t="s">
        <v>80</v>
      </c>
      <c r="D428" s="9" t="s">
        <v>152</v>
      </c>
      <c r="E428" s="10">
        <v>1</v>
      </c>
      <c r="F428" s="9" t="s">
        <v>263</v>
      </c>
      <c r="G428" s="11">
        <v>0</v>
      </c>
      <c r="H428" s="9" t="s">
        <v>67</v>
      </c>
      <c r="I428" s="9" t="s">
        <v>68</v>
      </c>
      <c r="J428" s="9" t="s">
        <v>4</v>
      </c>
      <c r="K428" s="9"/>
      <c r="L428" s="9" t="s">
        <v>254</v>
      </c>
      <c r="M428" s="12">
        <f t="shared" si="24"/>
        <v>366</v>
      </c>
      <c r="N428" s="13">
        <f t="shared" si="25"/>
        <v>175</v>
      </c>
      <c r="O428" s="14">
        <f t="shared" si="26"/>
        <v>541</v>
      </c>
      <c r="P428" s="15">
        <f t="shared" si="27"/>
        <v>0.65180722891566267</v>
      </c>
    </row>
    <row r="429" spans="1:36" ht="15.75" customHeight="1" x14ac:dyDescent="0.3">
      <c r="A429" s="117" t="s">
        <v>58</v>
      </c>
      <c r="B429" s="9" t="s">
        <v>304</v>
      </c>
      <c r="C429" s="9" t="s">
        <v>80</v>
      </c>
      <c r="D429" s="9" t="s">
        <v>144</v>
      </c>
      <c r="E429" s="10">
        <v>1</v>
      </c>
      <c r="F429" s="9" t="s">
        <v>263</v>
      </c>
      <c r="G429" s="11">
        <v>0</v>
      </c>
      <c r="H429" s="9" t="s">
        <v>67</v>
      </c>
      <c r="I429" s="9" t="s">
        <v>68</v>
      </c>
      <c r="J429" s="9" t="s">
        <v>4</v>
      </c>
      <c r="K429" s="9"/>
      <c r="L429" s="9" t="s">
        <v>254</v>
      </c>
      <c r="M429" s="12">
        <f t="shared" si="24"/>
        <v>366</v>
      </c>
      <c r="N429" s="13">
        <f t="shared" si="25"/>
        <v>175</v>
      </c>
      <c r="O429" s="14">
        <f t="shared" si="26"/>
        <v>541</v>
      </c>
      <c r="P429" s="15">
        <f t="shared" si="27"/>
        <v>0.65180722891566267</v>
      </c>
    </row>
    <row r="430" spans="1:36" ht="15.75" customHeight="1" x14ac:dyDescent="0.3">
      <c r="A430" s="117" t="s">
        <v>58</v>
      </c>
      <c r="B430" s="9" t="s">
        <v>305</v>
      </c>
      <c r="C430" s="9" t="s">
        <v>73</v>
      </c>
      <c r="D430" s="9" t="s">
        <v>300</v>
      </c>
      <c r="E430" s="10">
        <v>20</v>
      </c>
      <c r="F430" s="9" t="s">
        <v>263</v>
      </c>
      <c r="G430" s="10">
        <v>20</v>
      </c>
      <c r="H430" s="9" t="s">
        <v>154</v>
      </c>
      <c r="I430" s="9" t="s">
        <v>155</v>
      </c>
      <c r="J430" s="9"/>
      <c r="K430" s="9"/>
      <c r="L430" s="9" t="s">
        <v>156</v>
      </c>
      <c r="M430" s="12">
        <f t="shared" si="24"/>
        <v>370</v>
      </c>
      <c r="N430" s="13">
        <f t="shared" si="25"/>
        <v>124.5</v>
      </c>
      <c r="O430" s="14">
        <f t="shared" si="26"/>
        <v>494.5</v>
      </c>
      <c r="P430" s="15">
        <f t="shared" si="27"/>
        <v>0.5957831325301205</v>
      </c>
    </row>
    <row r="431" spans="1:36" ht="15.75" customHeight="1" x14ac:dyDescent="0.3">
      <c r="A431" s="117" t="s">
        <v>58</v>
      </c>
      <c r="B431" s="9" t="s">
        <v>305</v>
      </c>
      <c r="C431" s="9" t="s">
        <v>87</v>
      </c>
      <c r="D431" s="9" t="s">
        <v>165</v>
      </c>
      <c r="E431" s="10">
        <v>2</v>
      </c>
      <c r="F431" s="9" t="s">
        <v>263</v>
      </c>
      <c r="G431" s="11">
        <v>0</v>
      </c>
      <c r="H431" s="9" t="s">
        <v>154</v>
      </c>
      <c r="I431" s="9" t="s">
        <v>155</v>
      </c>
      <c r="J431" s="9"/>
      <c r="K431" s="9"/>
      <c r="L431" s="9" t="s">
        <v>156</v>
      </c>
      <c r="M431" s="12">
        <f t="shared" si="24"/>
        <v>370</v>
      </c>
      <c r="N431" s="13">
        <f t="shared" si="25"/>
        <v>124.5</v>
      </c>
      <c r="O431" s="14">
        <f t="shared" si="26"/>
        <v>494.5</v>
      </c>
      <c r="P431" s="15">
        <f t="shared" si="27"/>
        <v>0.5957831325301205</v>
      </c>
    </row>
    <row r="432" spans="1:36" ht="15.75" customHeight="1" x14ac:dyDescent="0.3">
      <c r="A432" s="117" t="s">
        <v>58</v>
      </c>
      <c r="B432" s="9" t="s">
        <v>305</v>
      </c>
      <c r="C432" s="9" t="s">
        <v>87</v>
      </c>
      <c r="D432" s="9" t="s">
        <v>237</v>
      </c>
      <c r="E432" s="10">
        <v>2</v>
      </c>
      <c r="F432" s="9" t="s">
        <v>263</v>
      </c>
      <c r="G432" s="11">
        <v>0</v>
      </c>
      <c r="H432" s="9" t="s">
        <v>154</v>
      </c>
      <c r="I432" s="9" t="s">
        <v>155</v>
      </c>
      <c r="J432" s="9"/>
      <c r="K432" s="9"/>
      <c r="L432" s="9" t="s">
        <v>156</v>
      </c>
      <c r="M432" s="12">
        <f t="shared" si="24"/>
        <v>370</v>
      </c>
      <c r="N432" s="13">
        <f t="shared" si="25"/>
        <v>124.5</v>
      </c>
      <c r="O432" s="14">
        <f t="shared" si="26"/>
        <v>494.5</v>
      </c>
      <c r="P432" s="15">
        <f t="shared" si="27"/>
        <v>0.5957831325301205</v>
      </c>
    </row>
    <row r="433" spans="1:16" ht="15.75" customHeight="1" x14ac:dyDescent="0.3">
      <c r="A433" s="117" t="s">
        <v>58</v>
      </c>
      <c r="B433" s="9" t="s">
        <v>305</v>
      </c>
      <c r="C433" s="9" t="s">
        <v>87</v>
      </c>
      <c r="D433" s="9" t="s">
        <v>152</v>
      </c>
      <c r="E433" s="10">
        <v>2</v>
      </c>
      <c r="F433" s="9" t="s">
        <v>263</v>
      </c>
      <c r="G433" s="11">
        <v>0</v>
      </c>
      <c r="H433" s="9" t="s">
        <v>154</v>
      </c>
      <c r="I433" s="9" t="s">
        <v>155</v>
      </c>
      <c r="J433" s="9"/>
      <c r="K433" s="9"/>
      <c r="L433" s="9" t="s">
        <v>156</v>
      </c>
      <c r="M433" s="12">
        <f t="shared" si="24"/>
        <v>370</v>
      </c>
      <c r="N433" s="13">
        <f t="shared" si="25"/>
        <v>124.5</v>
      </c>
      <c r="O433" s="14">
        <f t="shared" si="26"/>
        <v>494.5</v>
      </c>
      <c r="P433" s="15">
        <f t="shared" si="27"/>
        <v>0.5957831325301205</v>
      </c>
    </row>
    <row r="434" spans="1:16" ht="15.75" customHeight="1" x14ac:dyDescent="0.3">
      <c r="A434" s="117" t="s">
        <v>58</v>
      </c>
      <c r="B434" s="9" t="s">
        <v>305</v>
      </c>
      <c r="C434" s="9" t="s">
        <v>87</v>
      </c>
      <c r="D434" s="9" t="s">
        <v>144</v>
      </c>
      <c r="E434" s="10">
        <v>3</v>
      </c>
      <c r="F434" s="9" t="s">
        <v>263</v>
      </c>
      <c r="G434" s="11">
        <v>0</v>
      </c>
      <c r="H434" s="9" t="s">
        <v>154</v>
      </c>
      <c r="I434" s="9" t="s">
        <v>155</v>
      </c>
      <c r="J434" s="9"/>
      <c r="K434" s="9"/>
      <c r="L434" s="9" t="s">
        <v>156</v>
      </c>
      <c r="M434" s="12">
        <f t="shared" si="24"/>
        <v>370</v>
      </c>
      <c r="N434" s="13">
        <f t="shared" si="25"/>
        <v>124.5</v>
      </c>
      <c r="O434" s="14">
        <f t="shared" si="26"/>
        <v>494.5</v>
      </c>
      <c r="P434" s="15">
        <f t="shared" si="27"/>
        <v>0.5957831325301205</v>
      </c>
    </row>
    <row r="435" spans="1:16" ht="15.75" customHeight="1" x14ac:dyDescent="0.3">
      <c r="A435" s="117" t="s">
        <v>58</v>
      </c>
      <c r="B435" s="9" t="s">
        <v>305</v>
      </c>
      <c r="C435" s="9" t="s">
        <v>79</v>
      </c>
      <c r="D435" s="9" t="s">
        <v>165</v>
      </c>
      <c r="E435" s="10">
        <v>34</v>
      </c>
      <c r="F435" s="9" t="s">
        <v>263</v>
      </c>
      <c r="G435" s="10">
        <v>34</v>
      </c>
      <c r="H435" s="9"/>
      <c r="I435" s="9" t="s">
        <v>155</v>
      </c>
      <c r="J435" s="9"/>
      <c r="K435" s="9"/>
      <c r="L435" s="9" t="s">
        <v>308</v>
      </c>
      <c r="M435" s="12">
        <f t="shared" si="24"/>
        <v>370</v>
      </c>
      <c r="N435" s="13">
        <f t="shared" si="25"/>
        <v>124.5</v>
      </c>
      <c r="O435" s="14">
        <f t="shared" si="26"/>
        <v>494.5</v>
      </c>
      <c r="P435" s="15">
        <f t="shared" si="27"/>
        <v>0.5957831325301205</v>
      </c>
    </row>
    <row r="436" spans="1:16" ht="15.75" customHeight="1" x14ac:dyDescent="0.3">
      <c r="A436" s="117" t="s">
        <v>58</v>
      </c>
      <c r="B436" s="9" t="s">
        <v>305</v>
      </c>
      <c r="C436" s="9" t="s">
        <v>79</v>
      </c>
      <c r="D436" s="9" t="s">
        <v>237</v>
      </c>
      <c r="E436" s="10">
        <v>34</v>
      </c>
      <c r="F436" s="9" t="s">
        <v>263</v>
      </c>
      <c r="G436" s="10">
        <v>34</v>
      </c>
      <c r="H436" s="9"/>
      <c r="I436" s="9" t="s">
        <v>155</v>
      </c>
      <c r="J436" s="9"/>
      <c r="K436" s="9"/>
      <c r="L436" s="9" t="s">
        <v>308</v>
      </c>
      <c r="M436" s="12">
        <f t="shared" si="24"/>
        <v>370</v>
      </c>
      <c r="N436" s="13">
        <f t="shared" si="25"/>
        <v>124.5</v>
      </c>
      <c r="O436" s="14">
        <f t="shared" si="26"/>
        <v>494.5</v>
      </c>
      <c r="P436" s="15">
        <f t="shared" si="27"/>
        <v>0.5957831325301205</v>
      </c>
    </row>
    <row r="437" spans="1:16" ht="15.75" customHeight="1" x14ac:dyDescent="0.3">
      <c r="A437" s="117" t="s">
        <v>58</v>
      </c>
      <c r="B437" s="9" t="s">
        <v>305</v>
      </c>
      <c r="C437" s="9" t="s">
        <v>79</v>
      </c>
      <c r="D437" s="9" t="s">
        <v>152</v>
      </c>
      <c r="E437" s="10">
        <v>34</v>
      </c>
      <c r="F437" s="9" t="s">
        <v>263</v>
      </c>
      <c r="G437" s="10">
        <v>34</v>
      </c>
      <c r="H437" s="9" t="s">
        <v>154</v>
      </c>
      <c r="I437" s="9" t="s">
        <v>155</v>
      </c>
      <c r="J437" s="9"/>
      <c r="K437" s="9"/>
      <c r="L437" s="9" t="s">
        <v>156</v>
      </c>
      <c r="M437" s="12">
        <f t="shared" si="24"/>
        <v>370</v>
      </c>
      <c r="N437" s="13">
        <f t="shared" si="25"/>
        <v>124.5</v>
      </c>
      <c r="O437" s="14">
        <f t="shared" si="26"/>
        <v>494.5</v>
      </c>
      <c r="P437" s="15">
        <f t="shared" si="27"/>
        <v>0.5957831325301205</v>
      </c>
    </row>
    <row r="438" spans="1:16" ht="15.75" customHeight="1" x14ac:dyDescent="0.3">
      <c r="A438" s="117" t="s">
        <v>58</v>
      </c>
      <c r="B438" s="9" t="s">
        <v>305</v>
      </c>
      <c r="C438" s="9" t="s">
        <v>79</v>
      </c>
      <c r="D438" s="9" t="s">
        <v>144</v>
      </c>
      <c r="E438" s="10">
        <v>34</v>
      </c>
      <c r="F438" s="9" t="s">
        <v>263</v>
      </c>
      <c r="G438" s="10">
        <v>34</v>
      </c>
      <c r="H438" s="9" t="s">
        <v>154</v>
      </c>
      <c r="I438" s="9" t="s">
        <v>155</v>
      </c>
      <c r="J438" s="9"/>
      <c r="K438" s="9"/>
      <c r="L438" s="9" t="s">
        <v>156</v>
      </c>
      <c r="M438" s="12">
        <f t="shared" si="24"/>
        <v>370</v>
      </c>
      <c r="N438" s="13">
        <f t="shared" si="25"/>
        <v>124.5</v>
      </c>
      <c r="O438" s="14">
        <f t="shared" si="26"/>
        <v>494.5</v>
      </c>
      <c r="P438" s="15">
        <f t="shared" si="27"/>
        <v>0.5957831325301205</v>
      </c>
    </row>
    <row r="439" spans="1:16" ht="15.75" customHeight="1" x14ac:dyDescent="0.3">
      <c r="A439" s="117" t="s">
        <v>58</v>
      </c>
      <c r="B439" s="9" t="s">
        <v>305</v>
      </c>
      <c r="C439" s="9" t="s">
        <v>80</v>
      </c>
      <c r="D439" s="9" t="s">
        <v>165</v>
      </c>
      <c r="E439" s="10">
        <v>1</v>
      </c>
      <c r="F439" s="9" t="s">
        <v>263</v>
      </c>
      <c r="G439" s="11">
        <v>0</v>
      </c>
      <c r="H439" s="9" t="s">
        <v>154</v>
      </c>
      <c r="I439" s="9" t="s">
        <v>155</v>
      </c>
      <c r="J439" s="9"/>
      <c r="K439" s="9"/>
      <c r="L439" s="9" t="s">
        <v>156</v>
      </c>
      <c r="M439" s="12">
        <f t="shared" si="24"/>
        <v>370</v>
      </c>
      <c r="N439" s="13">
        <f t="shared" si="25"/>
        <v>124.5</v>
      </c>
      <c r="O439" s="14">
        <f t="shared" si="26"/>
        <v>494.5</v>
      </c>
      <c r="P439" s="15">
        <f t="shared" si="27"/>
        <v>0.5957831325301205</v>
      </c>
    </row>
    <row r="440" spans="1:16" ht="15.75" customHeight="1" x14ac:dyDescent="0.3">
      <c r="A440" s="117" t="s">
        <v>58</v>
      </c>
      <c r="B440" s="9" t="s">
        <v>305</v>
      </c>
      <c r="C440" s="9" t="s">
        <v>80</v>
      </c>
      <c r="D440" s="9" t="s">
        <v>237</v>
      </c>
      <c r="E440" s="10">
        <v>1</v>
      </c>
      <c r="F440" s="9" t="s">
        <v>263</v>
      </c>
      <c r="G440" s="11">
        <v>0</v>
      </c>
      <c r="H440" s="9" t="s">
        <v>154</v>
      </c>
      <c r="I440" s="9" t="s">
        <v>155</v>
      </c>
      <c r="J440" s="9"/>
      <c r="K440" s="9"/>
      <c r="L440" s="9" t="s">
        <v>156</v>
      </c>
      <c r="M440" s="12">
        <f t="shared" si="24"/>
        <v>370</v>
      </c>
      <c r="N440" s="13">
        <f t="shared" si="25"/>
        <v>124.5</v>
      </c>
      <c r="O440" s="14">
        <f t="shared" si="26"/>
        <v>494.5</v>
      </c>
      <c r="P440" s="15">
        <f t="shared" si="27"/>
        <v>0.5957831325301205</v>
      </c>
    </row>
    <row r="441" spans="1:16" ht="15.75" customHeight="1" x14ac:dyDescent="0.3">
      <c r="A441" s="117" t="s">
        <v>58</v>
      </c>
      <c r="B441" s="9" t="s">
        <v>305</v>
      </c>
      <c r="C441" s="9" t="s">
        <v>80</v>
      </c>
      <c r="D441" s="9" t="s">
        <v>152</v>
      </c>
      <c r="E441" s="10">
        <v>1</v>
      </c>
      <c r="F441" s="9" t="s">
        <v>263</v>
      </c>
      <c r="G441" s="11">
        <v>0</v>
      </c>
      <c r="H441" s="9" t="s">
        <v>154</v>
      </c>
      <c r="I441" s="9" t="s">
        <v>155</v>
      </c>
      <c r="J441" s="9"/>
      <c r="K441" s="9"/>
      <c r="L441" s="9" t="s">
        <v>156</v>
      </c>
      <c r="M441" s="12">
        <f t="shared" si="24"/>
        <v>370</v>
      </c>
      <c r="N441" s="13">
        <f t="shared" si="25"/>
        <v>124.5</v>
      </c>
      <c r="O441" s="14">
        <f t="shared" si="26"/>
        <v>494.5</v>
      </c>
      <c r="P441" s="15">
        <f t="shared" si="27"/>
        <v>0.5957831325301205</v>
      </c>
    </row>
    <row r="442" spans="1:16" ht="15.75" customHeight="1" x14ac:dyDescent="0.3">
      <c r="A442" s="117" t="s">
        <v>58</v>
      </c>
      <c r="B442" s="9" t="s">
        <v>305</v>
      </c>
      <c r="C442" s="9" t="s">
        <v>80</v>
      </c>
      <c r="D442" s="9" t="s">
        <v>144</v>
      </c>
      <c r="E442" s="10">
        <v>1</v>
      </c>
      <c r="F442" s="9" t="s">
        <v>263</v>
      </c>
      <c r="G442" s="11">
        <v>0</v>
      </c>
      <c r="H442" s="9" t="s">
        <v>154</v>
      </c>
      <c r="I442" s="9" t="s">
        <v>155</v>
      </c>
      <c r="J442" s="9"/>
      <c r="K442" s="9"/>
      <c r="L442" s="9" t="s">
        <v>156</v>
      </c>
      <c r="M442" s="12">
        <f t="shared" si="24"/>
        <v>370</v>
      </c>
      <c r="N442" s="13">
        <f t="shared" si="25"/>
        <v>124.5</v>
      </c>
      <c r="O442" s="14">
        <f t="shared" si="26"/>
        <v>494.5</v>
      </c>
      <c r="P442" s="15">
        <f t="shared" si="27"/>
        <v>0.5957831325301205</v>
      </c>
    </row>
    <row r="443" spans="1:16" ht="15.75" customHeight="1" x14ac:dyDescent="0.3">
      <c r="A443" s="117" t="s">
        <v>58</v>
      </c>
      <c r="B443" s="9" t="s">
        <v>309</v>
      </c>
      <c r="C443" s="9" t="s">
        <v>73</v>
      </c>
      <c r="D443" s="9" t="s">
        <v>134</v>
      </c>
      <c r="E443" s="10">
        <v>16</v>
      </c>
      <c r="F443" s="9" t="s">
        <v>166</v>
      </c>
      <c r="G443" s="10">
        <v>16</v>
      </c>
      <c r="H443" s="9" t="s">
        <v>210</v>
      </c>
      <c r="I443" s="9" t="s">
        <v>211</v>
      </c>
      <c r="J443" s="9" t="s">
        <v>4</v>
      </c>
      <c r="K443" s="9"/>
      <c r="L443" s="9" t="s">
        <v>169</v>
      </c>
      <c r="M443" s="12">
        <f t="shared" si="24"/>
        <v>213</v>
      </c>
      <c r="N443" s="13">
        <f t="shared" si="25"/>
        <v>399</v>
      </c>
      <c r="O443" s="14">
        <f t="shared" si="26"/>
        <v>612</v>
      </c>
      <c r="P443" s="15">
        <f t="shared" si="27"/>
        <v>0.73734939759036144</v>
      </c>
    </row>
    <row r="444" spans="1:16" ht="15.75" customHeight="1" x14ac:dyDescent="0.3">
      <c r="A444" s="117" t="s">
        <v>58</v>
      </c>
      <c r="B444" s="9" t="s">
        <v>309</v>
      </c>
      <c r="C444" s="9" t="s">
        <v>123</v>
      </c>
      <c r="D444" s="9" t="s">
        <v>134</v>
      </c>
      <c r="E444" s="10">
        <v>18</v>
      </c>
      <c r="F444" s="9" t="s">
        <v>166</v>
      </c>
      <c r="G444" s="11">
        <v>0</v>
      </c>
      <c r="H444" s="9" t="s">
        <v>210</v>
      </c>
      <c r="I444" s="9" t="s">
        <v>211</v>
      </c>
      <c r="J444" s="9" t="s">
        <v>4</v>
      </c>
      <c r="K444" s="9"/>
      <c r="L444" s="9" t="s">
        <v>169</v>
      </c>
      <c r="M444" s="12">
        <f t="shared" si="24"/>
        <v>213</v>
      </c>
      <c r="N444" s="13">
        <f t="shared" si="25"/>
        <v>399</v>
      </c>
      <c r="O444" s="14">
        <f t="shared" si="26"/>
        <v>612</v>
      </c>
      <c r="P444" s="15">
        <f t="shared" si="27"/>
        <v>0.73734939759036144</v>
      </c>
    </row>
    <row r="445" spans="1:16" ht="15.75" customHeight="1" x14ac:dyDescent="0.3">
      <c r="A445" s="117" t="s">
        <v>58</v>
      </c>
      <c r="B445" s="9" t="s">
        <v>309</v>
      </c>
      <c r="C445" s="9" t="s">
        <v>79</v>
      </c>
      <c r="D445" s="9" t="s">
        <v>134</v>
      </c>
      <c r="E445" s="10">
        <v>28</v>
      </c>
      <c r="F445" s="9" t="s">
        <v>166</v>
      </c>
      <c r="G445" s="10">
        <v>28</v>
      </c>
      <c r="H445" s="9" t="s">
        <v>210</v>
      </c>
      <c r="I445" s="9" t="s">
        <v>211</v>
      </c>
      <c r="J445" s="9" t="s">
        <v>4</v>
      </c>
      <c r="K445" s="9"/>
      <c r="L445" s="9" t="s">
        <v>169</v>
      </c>
      <c r="M445" s="12">
        <f t="shared" si="24"/>
        <v>213</v>
      </c>
      <c r="N445" s="13">
        <f t="shared" si="25"/>
        <v>399</v>
      </c>
      <c r="O445" s="14">
        <f t="shared" si="26"/>
        <v>612</v>
      </c>
      <c r="P445" s="15">
        <f t="shared" si="27"/>
        <v>0.73734939759036144</v>
      </c>
    </row>
    <row r="446" spans="1:16" ht="15.75" customHeight="1" x14ac:dyDescent="0.3">
      <c r="A446" s="117" t="s">
        <v>58</v>
      </c>
      <c r="B446" s="9" t="s">
        <v>309</v>
      </c>
      <c r="C446" s="9" t="s">
        <v>111</v>
      </c>
      <c r="D446" s="9" t="s">
        <v>134</v>
      </c>
      <c r="E446" s="10">
        <v>3</v>
      </c>
      <c r="F446" s="9" t="s">
        <v>166</v>
      </c>
      <c r="G446" s="11">
        <v>0</v>
      </c>
      <c r="H446" s="9" t="s">
        <v>210</v>
      </c>
      <c r="I446" s="9" t="s">
        <v>211</v>
      </c>
      <c r="J446" s="9" t="s">
        <v>4</v>
      </c>
      <c r="K446" s="9"/>
      <c r="L446" s="9" t="s">
        <v>169</v>
      </c>
      <c r="M446" s="12">
        <f t="shared" si="24"/>
        <v>213</v>
      </c>
      <c r="N446" s="13">
        <f t="shared" si="25"/>
        <v>399</v>
      </c>
      <c r="O446" s="14">
        <f t="shared" si="26"/>
        <v>612</v>
      </c>
      <c r="P446" s="15">
        <f t="shared" si="27"/>
        <v>0.73734939759036144</v>
      </c>
    </row>
    <row r="447" spans="1:16" ht="15.75" customHeight="1" x14ac:dyDescent="0.3">
      <c r="A447" s="117" t="s">
        <v>58</v>
      </c>
      <c r="B447" s="9" t="s">
        <v>309</v>
      </c>
      <c r="C447" s="9" t="s">
        <v>80</v>
      </c>
      <c r="D447" s="9" t="s">
        <v>134</v>
      </c>
      <c r="E447" s="10">
        <v>3</v>
      </c>
      <c r="F447" s="9" t="s">
        <v>166</v>
      </c>
      <c r="G447" s="11">
        <v>0</v>
      </c>
      <c r="H447" s="9" t="s">
        <v>210</v>
      </c>
      <c r="I447" s="9" t="s">
        <v>211</v>
      </c>
      <c r="J447" s="9" t="s">
        <v>4</v>
      </c>
      <c r="K447" s="9"/>
      <c r="L447" s="9" t="s">
        <v>169</v>
      </c>
      <c r="M447" s="12">
        <f t="shared" si="24"/>
        <v>213</v>
      </c>
      <c r="N447" s="13">
        <f t="shared" si="25"/>
        <v>399</v>
      </c>
      <c r="O447" s="14">
        <f t="shared" si="26"/>
        <v>612</v>
      </c>
      <c r="P447" s="15">
        <f t="shared" si="27"/>
        <v>0.73734939759036144</v>
      </c>
    </row>
    <row r="448" spans="1:16" ht="15.75" customHeight="1" x14ac:dyDescent="0.3">
      <c r="A448" s="117" t="s">
        <v>58</v>
      </c>
      <c r="B448" s="9" t="s">
        <v>310</v>
      </c>
      <c r="C448" s="9" t="s">
        <v>73</v>
      </c>
      <c r="D448" s="9" t="s">
        <v>220</v>
      </c>
      <c r="E448" s="10">
        <v>28</v>
      </c>
      <c r="F448" s="9" t="s">
        <v>221</v>
      </c>
      <c r="G448" s="10">
        <v>28</v>
      </c>
      <c r="H448" s="9" t="s">
        <v>115</v>
      </c>
      <c r="I448" s="9" t="s">
        <v>85</v>
      </c>
      <c r="J448" s="9" t="s">
        <v>4</v>
      </c>
      <c r="K448" s="9"/>
      <c r="L448" s="9" t="s">
        <v>117</v>
      </c>
      <c r="M448" s="12">
        <f t="shared" si="24"/>
        <v>284</v>
      </c>
      <c r="N448" s="13">
        <f t="shared" si="25"/>
        <v>691.5</v>
      </c>
      <c r="O448" s="14">
        <f t="shared" si="26"/>
        <v>975.5</v>
      </c>
      <c r="P448" s="15">
        <f t="shared" si="27"/>
        <v>1.175301204819277</v>
      </c>
    </row>
    <row r="449" spans="1:16" ht="15.75" customHeight="1" x14ac:dyDescent="0.3">
      <c r="A449" s="117" t="s">
        <v>58</v>
      </c>
      <c r="B449" s="9" t="s">
        <v>310</v>
      </c>
      <c r="C449" s="9" t="s">
        <v>73</v>
      </c>
      <c r="D449" s="9" t="s">
        <v>160</v>
      </c>
      <c r="E449" s="10">
        <v>24</v>
      </c>
      <c r="F449" s="9" t="s">
        <v>161</v>
      </c>
      <c r="G449" s="10">
        <v>24</v>
      </c>
      <c r="H449" s="9" t="s">
        <v>115</v>
      </c>
      <c r="I449" s="9" t="s">
        <v>116</v>
      </c>
      <c r="J449" s="9" t="s">
        <v>4</v>
      </c>
      <c r="K449" s="9"/>
      <c r="L449" s="9" t="s">
        <v>117</v>
      </c>
      <c r="M449" s="12">
        <f t="shared" si="24"/>
        <v>353</v>
      </c>
      <c r="N449" s="13">
        <f t="shared" si="25"/>
        <v>367</v>
      </c>
      <c r="O449" s="14">
        <f t="shared" si="26"/>
        <v>720</v>
      </c>
      <c r="P449" s="15">
        <f t="shared" si="27"/>
        <v>0.86746987951807231</v>
      </c>
    </row>
    <row r="450" spans="1:16" ht="15.75" customHeight="1" x14ac:dyDescent="0.3">
      <c r="A450" s="117" t="s">
        <v>58</v>
      </c>
      <c r="B450" s="9" t="s">
        <v>310</v>
      </c>
      <c r="C450" s="9" t="s">
        <v>87</v>
      </c>
      <c r="D450" s="9" t="s">
        <v>162</v>
      </c>
      <c r="E450" s="10">
        <v>6</v>
      </c>
      <c r="F450" s="9" t="s">
        <v>161</v>
      </c>
      <c r="G450" s="11">
        <v>0</v>
      </c>
      <c r="H450" s="9" t="s">
        <v>115</v>
      </c>
      <c r="I450" s="9" t="s">
        <v>116</v>
      </c>
      <c r="J450" s="9" t="s">
        <v>4</v>
      </c>
      <c r="K450" s="9"/>
      <c r="L450" s="9" t="s">
        <v>117</v>
      </c>
      <c r="M450" s="12">
        <f t="shared" ref="M450:M513" si="28">SUMIFS($E$2:$E$1130,$A$2:$A$1130,"осень",$I$2:$I$1130,I450)</f>
        <v>353</v>
      </c>
      <c r="N450" s="13">
        <f t="shared" ref="N450:N513" si="29">SUMIFS($E$2:$E$1130,$A$2:$A$1130,"весна",$I$2:$I$1130,I450)</f>
        <v>367</v>
      </c>
      <c r="O450" s="14">
        <f t="shared" ref="O450:O513" si="30">M450+N450</f>
        <v>720</v>
      </c>
      <c r="P450" s="15">
        <f t="shared" ref="P450:P513" si="31">O450/$P$1</f>
        <v>0.86746987951807231</v>
      </c>
    </row>
    <row r="451" spans="1:16" ht="15.75" customHeight="1" x14ac:dyDescent="0.3">
      <c r="A451" s="117" t="s">
        <v>58</v>
      </c>
      <c r="B451" s="9" t="s">
        <v>310</v>
      </c>
      <c r="C451" s="9" t="s">
        <v>87</v>
      </c>
      <c r="D451" s="9" t="s">
        <v>163</v>
      </c>
      <c r="E451" s="10">
        <v>5</v>
      </c>
      <c r="F451" s="9" t="s">
        <v>161</v>
      </c>
      <c r="G451" s="11">
        <v>0</v>
      </c>
      <c r="H451" s="9" t="s">
        <v>115</v>
      </c>
      <c r="I451" s="9" t="s">
        <v>116</v>
      </c>
      <c r="J451" s="9" t="s">
        <v>4</v>
      </c>
      <c r="K451" s="9"/>
      <c r="L451" s="9" t="s">
        <v>117</v>
      </c>
      <c r="M451" s="12">
        <f t="shared" si="28"/>
        <v>353</v>
      </c>
      <c r="N451" s="13">
        <f t="shared" si="29"/>
        <v>367</v>
      </c>
      <c r="O451" s="14">
        <f t="shared" si="30"/>
        <v>720</v>
      </c>
      <c r="P451" s="15">
        <f t="shared" si="31"/>
        <v>0.86746987951807231</v>
      </c>
    </row>
    <row r="452" spans="1:16" ht="15.75" customHeight="1" x14ac:dyDescent="0.3">
      <c r="A452" s="117" t="s">
        <v>58</v>
      </c>
      <c r="B452" s="9" t="s">
        <v>310</v>
      </c>
      <c r="C452" s="9" t="s">
        <v>79</v>
      </c>
      <c r="D452" s="9" t="s">
        <v>162</v>
      </c>
      <c r="E452" s="10">
        <v>30</v>
      </c>
      <c r="F452" s="9" t="s">
        <v>161</v>
      </c>
      <c r="G452" s="10">
        <v>30</v>
      </c>
      <c r="H452" s="9" t="s">
        <v>115</v>
      </c>
      <c r="I452" s="9" t="s">
        <v>116</v>
      </c>
      <c r="J452" s="9" t="s">
        <v>4</v>
      </c>
      <c r="K452" s="9"/>
      <c r="L452" s="9" t="s">
        <v>117</v>
      </c>
      <c r="M452" s="12">
        <f t="shared" si="28"/>
        <v>353</v>
      </c>
      <c r="N452" s="13">
        <f t="shared" si="29"/>
        <v>367</v>
      </c>
      <c r="O452" s="14">
        <f t="shared" si="30"/>
        <v>720</v>
      </c>
      <c r="P452" s="15">
        <f t="shared" si="31"/>
        <v>0.86746987951807231</v>
      </c>
    </row>
    <row r="453" spans="1:16" ht="15.75" customHeight="1" x14ac:dyDescent="0.3">
      <c r="A453" s="117" t="s">
        <v>58</v>
      </c>
      <c r="B453" s="9" t="s">
        <v>310</v>
      </c>
      <c r="C453" s="9" t="s">
        <v>79</v>
      </c>
      <c r="D453" s="9" t="s">
        <v>163</v>
      </c>
      <c r="E453" s="10">
        <v>30</v>
      </c>
      <c r="F453" s="9" t="s">
        <v>161</v>
      </c>
      <c r="G453" s="10">
        <v>30</v>
      </c>
      <c r="H453" s="9" t="s">
        <v>115</v>
      </c>
      <c r="I453" s="9" t="s">
        <v>116</v>
      </c>
      <c r="J453" s="9" t="s">
        <v>4</v>
      </c>
      <c r="K453" s="9"/>
      <c r="L453" s="9" t="s">
        <v>117</v>
      </c>
      <c r="M453" s="12">
        <f t="shared" si="28"/>
        <v>353</v>
      </c>
      <c r="N453" s="13">
        <f t="shared" si="29"/>
        <v>367</v>
      </c>
      <c r="O453" s="14">
        <f t="shared" si="30"/>
        <v>720</v>
      </c>
      <c r="P453" s="15">
        <f t="shared" si="31"/>
        <v>0.86746987951807231</v>
      </c>
    </row>
    <row r="454" spans="1:16" ht="15.75" customHeight="1" x14ac:dyDescent="0.3">
      <c r="A454" s="117" t="s">
        <v>58</v>
      </c>
      <c r="B454" s="9" t="s">
        <v>310</v>
      </c>
      <c r="C454" s="9" t="s">
        <v>100</v>
      </c>
      <c r="D454" s="9" t="s">
        <v>220</v>
      </c>
      <c r="E454" s="10">
        <v>44</v>
      </c>
      <c r="F454" s="9" t="s">
        <v>221</v>
      </c>
      <c r="G454" s="10">
        <v>44</v>
      </c>
      <c r="H454" s="9" t="s">
        <v>84</v>
      </c>
      <c r="I454" s="9" t="s">
        <v>85</v>
      </c>
      <c r="J454" s="9"/>
      <c r="K454" s="9"/>
      <c r="L454" s="9" t="s">
        <v>89</v>
      </c>
      <c r="M454" s="12">
        <f t="shared" si="28"/>
        <v>284</v>
      </c>
      <c r="N454" s="13">
        <f t="shared" si="29"/>
        <v>691.5</v>
      </c>
      <c r="O454" s="14">
        <f t="shared" si="30"/>
        <v>975.5</v>
      </c>
      <c r="P454" s="15">
        <f t="shared" si="31"/>
        <v>1.175301204819277</v>
      </c>
    </row>
    <row r="455" spans="1:16" ht="15.75" customHeight="1" x14ac:dyDescent="0.3">
      <c r="A455" s="117" t="s">
        <v>58</v>
      </c>
      <c r="B455" s="9" t="s">
        <v>310</v>
      </c>
      <c r="C455" s="9" t="s">
        <v>111</v>
      </c>
      <c r="D455" s="9" t="s">
        <v>220</v>
      </c>
      <c r="E455" s="10">
        <v>6</v>
      </c>
      <c r="F455" s="9" t="s">
        <v>221</v>
      </c>
      <c r="G455" s="11">
        <v>0</v>
      </c>
      <c r="H455" s="9" t="s">
        <v>84</v>
      </c>
      <c r="I455" s="9" t="s">
        <v>85</v>
      </c>
      <c r="J455" s="9"/>
      <c r="K455" s="9"/>
      <c r="L455" s="9" t="s">
        <v>89</v>
      </c>
      <c r="M455" s="12">
        <f t="shared" si="28"/>
        <v>284</v>
      </c>
      <c r="N455" s="13">
        <f t="shared" si="29"/>
        <v>691.5</v>
      </c>
      <c r="O455" s="14">
        <f t="shared" si="30"/>
        <v>975.5</v>
      </c>
      <c r="P455" s="15">
        <f t="shared" si="31"/>
        <v>1.175301204819277</v>
      </c>
    </row>
    <row r="456" spans="1:16" ht="15.75" customHeight="1" x14ac:dyDescent="0.3">
      <c r="A456" s="117" t="s">
        <v>58</v>
      </c>
      <c r="B456" s="9" t="s">
        <v>310</v>
      </c>
      <c r="C456" s="9" t="s">
        <v>80</v>
      </c>
      <c r="D456" s="9" t="s">
        <v>220</v>
      </c>
      <c r="E456" s="10">
        <v>5</v>
      </c>
      <c r="F456" s="9" t="s">
        <v>221</v>
      </c>
      <c r="G456" s="11">
        <v>0</v>
      </c>
      <c r="H456" s="9" t="s">
        <v>311</v>
      </c>
      <c r="I456" s="9" t="s">
        <v>268</v>
      </c>
      <c r="J456" s="9"/>
      <c r="K456" s="9"/>
      <c r="L456" s="9" t="s">
        <v>89</v>
      </c>
      <c r="M456" s="12">
        <f t="shared" si="28"/>
        <v>9</v>
      </c>
      <c r="N456" s="13">
        <f t="shared" si="29"/>
        <v>77</v>
      </c>
      <c r="O456" s="14">
        <f t="shared" si="30"/>
        <v>86</v>
      </c>
      <c r="P456" s="15">
        <f t="shared" si="31"/>
        <v>0.10361445783132531</v>
      </c>
    </row>
    <row r="457" spans="1:16" ht="15.75" customHeight="1" x14ac:dyDescent="0.3">
      <c r="A457" s="117" t="s">
        <v>58</v>
      </c>
      <c r="B457" s="9" t="s">
        <v>310</v>
      </c>
      <c r="C457" s="9" t="s">
        <v>80</v>
      </c>
      <c r="D457" s="9" t="s">
        <v>162</v>
      </c>
      <c r="E457" s="10">
        <v>1</v>
      </c>
      <c r="F457" s="9" t="s">
        <v>161</v>
      </c>
      <c r="G457" s="11">
        <v>0</v>
      </c>
      <c r="H457" s="9" t="s">
        <v>115</v>
      </c>
      <c r="I457" s="9" t="s">
        <v>116</v>
      </c>
      <c r="J457" s="9" t="s">
        <v>4</v>
      </c>
      <c r="K457" s="9"/>
      <c r="L457" s="9" t="s">
        <v>117</v>
      </c>
      <c r="M457" s="12">
        <f t="shared" si="28"/>
        <v>353</v>
      </c>
      <c r="N457" s="13">
        <f t="shared" si="29"/>
        <v>367</v>
      </c>
      <c r="O457" s="14">
        <f t="shared" si="30"/>
        <v>720</v>
      </c>
      <c r="P457" s="15">
        <f t="shared" si="31"/>
        <v>0.86746987951807231</v>
      </c>
    </row>
    <row r="458" spans="1:16" ht="15.75" customHeight="1" x14ac:dyDescent="0.3">
      <c r="A458" s="117" t="s">
        <v>58</v>
      </c>
      <c r="B458" s="9" t="s">
        <v>310</v>
      </c>
      <c r="C458" s="9" t="s">
        <v>80</v>
      </c>
      <c r="D458" s="9" t="s">
        <v>163</v>
      </c>
      <c r="E458" s="10">
        <v>1</v>
      </c>
      <c r="F458" s="9" t="s">
        <v>161</v>
      </c>
      <c r="G458" s="11">
        <v>0</v>
      </c>
      <c r="H458" s="9" t="s">
        <v>115</v>
      </c>
      <c r="I458" s="9" t="s">
        <v>116</v>
      </c>
      <c r="J458" s="9" t="s">
        <v>4</v>
      </c>
      <c r="K458" s="9"/>
      <c r="L458" s="9" t="s">
        <v>117</v>
      </c>
      <c r="M458" s="12">
        <f t="shared" si="28"/>
        <v>353</v>
      </c>
      <c r="N458" s="13">
        <f t="shared" si="29"/>
        <v>367</v>
      </c>
      <c r="O458" s="14">
        <f t="shared" si="30"/>
        <v>720</v>
      </c>
      <c r="P458" s="15">
        <f t="shared" si="31"/>
        <v>0.86746987951807231</v>
      </c>
    </row>
    <row r="459" spans="1:16" ht="15.75" customHeight="1" x14ac:dyDescent="0.3">
      <c r="A459" s="117" t="s">
        <v>58</v>
      </c>
      <c r="B459" s="9" t="s">
        <v>312</v>
      </c>
      <c r="C459" s="9" t="s">
        <v>73</v>
      </c>
      <c r="D459" s="9" t="s">
        <v>313</v>
      </c>
      <c r="E459" s="10">
        <v>24</v>
      </c>
      <c r="F459" s="9" t="s">
        <v>314</v>
      </c>
      <c r="G459" s="10">
        <v>24</v>
      </c>
      <c r="H459" s="9" t="s">
        <v>272</v>
      </c>
      <c r="I459" s="9" t="s">
        <v>273</v>
      </c>
      <c r="J459" s="9" t="s">
        <v>8</v>
      </c>
      <c r="K459" s="9"/>
      <c r="L459" s="9"/>
      <c r="M459" s="12">
        <f t="shared" si="28"/>
        <v>552</v>
      </c>
      <c r="N459" s="13">
        <f t="shared" si="29"/>
        <v>171</v>
      </c>
      <c r="O459" s="14">
        <f t="shared" si="30"/>
        <v>723</v>
      </c>
      <c r="P459" s="15">
        <f t="shared" si="31"/>
        <v>0.87108433734939761</v>
      </c>
    </row>
    <row r="460" spans="1:16" ht="15.75" customHeight="1" x14ac:dyDescent="0.3">
      <c r="A460" s="117" t="s">
        <v>58</v>
      </c>
      <c r="B460" s="9" t="s">
        <v>312</v>
      </c>
      <c r="C460" s="9" t="s">
        <v>79</v>
      </c>
      <c r="D460" s="9" t="s">
        <v>315</v>
      </c>
      <c r="E460" s="10">
        <v>16</v>
      </c>
      <c r="F460" s="9" t="s">
        <v>314</v>
      </c>
      <c r="G460" s="10">
        <v>16</v>
      </c>
      <c r="H460" s="9" t="s">
        <v>272</v>
      </c>
      <c r="I460" s="9" t="s">
        <v>273</v>
      </c>
      <c r="J460" s="9" t="s">
        <v>8</v>
      </c>
      <c r="K460" s="9"/>
      <c r="L460" s="9"/>
      <c r="M460" s="12">
        <f t="shared" si="28"/>
        <v>552</v>
      </c>
      <c r="N460" s="13">
        <f t="shared" si="29"/>
        <v>171</v>
      </c>
      <c r="O460" s="14">
        <f t="shared" si="30"/>
        <v>723</v>
      </c>
      <c r="P460" s="15">
        <f t="shared" si="31"/>
        <v>0.87108433734939761</v>
      </c>
    </row>
    <row r="461" spans="1:16" ht="15.75" customHeight="1" x14ac:dyDescent="0.3">
      <c r="A461" s="117" t="s">
        <v>58</v>
      </c>
      <c r="B461" s="9" t="s">
        <v>312</v>
      </c>
      <c r="C461" s="9" t="s">
        <v>79</v>
      </c>
      <c r="D461" s="9" t="s">
        <v>183</v>
      </c>
      <c r="E461" s="10">
        <v>16</v>
      </c>
      <c r="F461" s="9" t="s">
        <v>314</v>
      </c>
      <c r="G461" s="10">
        <v>16</v>
      </c>
      <c r="H461" s="9" t="s">
        <v>272</v>
      </c>
      <c r="I461" s="9" t="s">
        <v>273</v>
      </c>
      <c r="J461" s="9" t="s">
        <v>8</v>
      </c>
      <c r="K461" s="9"/>
      <c r="L461" s="9"/>
      <c r="M461" s="12">
        <f t="shared" si="28"/>
        <v>552</v>
      </c>
      <c r="N461" s="13">
        <f t="shared" si="29"/>
        <v>171</v>
      </c>
      <c r="O461" s="14">
        <f t="shared" si="30"/>
        <v>723</v>
      </c>
      <c r="P461" s="15">
        <f t="shared" si="31"/>
        <v>0.87108433734939761</v>
      </c>
    </row>
    <row r="462" spans="1:16" ht="15.75" customHeight="1" x14ac:dyDescent="0.3">
      <c r="A462" s="117" t="s">
        <v>58</v>
      </c>
      <c r="B462" s="9" t="s">
        <v>312</v>
      </c>
      <c r="C462" s="9" t="s">
        <v>79</v>
      </c>
      <c r="D462" s="9" t="s">
        <v>162</v>
      </c>
      <c r="E462" s="10">
        <v>16</v>
      </c>
      <c r="F462" s="9" t="s">
        <v>314</v>
      </c>
      <c r="G462" s="10">
        <v>16</v>
      </c>
      <c r="H462" s="9" t="s">
        <v>272</v>
      </c>
      <c r="I462" s="9" t="s">
        <v>273</v>
      </c>
      <c r="J462" s="9" t="s">
        <v>8</v>
      </c>
      <c r="K462" s="9"/>
      <c r="L462" s="9"/>
      <c r="M462" s="12">
        <f t="shared" si="28"/>
        <v>552</v>
      </c>
      <c r="N462" s="13">
        <f t="shared" si="29"/>
        <v>171</v>
      </c>
      <c r="O462" s="14">
        <f t="shared" si="30"/>
        <v>723</v>
      </c>
      <c r="P462" s="15">
        <f t="shared" si="31"/>
        <v>0.87108433734939761</v>
      </c>
    </row>
    <row r="463" spans="1:16" ht="15.75" customHeight="1" x14ac:dyDescent="0.3">
      <c r="A463" s="117" t="s">
        <v>58</v>
      </c>
      <c r="B463" s="9" t="s">
        <v>312</v>
      </c>
      <c r="C463" s="9" t="s">
        <v>79</v>
      </c>
      <c r="D463" s="9" t="s">
        <v>184</v>
      </c>
      <c r="E463" s="10">
        <v>16</v>
      </c>
      <c r="F463" s="9" t="s">
        <v>314</v>
      </c>
      <c r="G463" s="10">
        <v>16</v>
      </c>
      <c r="H463" s="9" t="s">
        <v>272</v>
      </c>
      <c r="I463" s="9" t="s">
        <v>273</v>
      </c>
      <c r="J463" s="9" t="s">
        <v>8</v>
      </c>
      <c r="K463" s="9"/>
      <c r="L463" s="9"/>
      <c r="M463" s="12">
        <f t="shared" si="28"/>
        <v>552</v>
      </c>
      <c r="N463" s="13">
        <f t="shared" si="29"/>
        <v>171</v>
      </c>
      <c r="O463" s="14">
        <f t="shared" si="30"/>
        <v>723</v>
      </c>
      <c r="P463" s="15">
        <f t="shared" si="31"/>
        <v>0.87108433734939761</v>
      </c>
    </row>
    <row r="464" spans="1:16" ht="15.75" customHeight="1" x14ac:dyDescent="0.3">
      <c r="A464" s="117" t="s">
        <v>58</v>
      </c>
      <c r="B464" s="9" t="s">
        <v>312</v>
      </c>
      <c r="C464" s="9" t="s">
        <v>79</v>
      </c>
      <c r="D464" s="9" t="s">
        <v>185</v>
      </c>
      <c r="E464" s="10">
        <v>16</v>
      </c>
      <c r="F464" s="9" t="s">
        <v>314</v>
      </c>
      <c r="G464" s="10">
        <v>16</v>
      </c>
      <c r="H464" s="9" t="s">
        <v>272</v>
      </c>
      <c r="I464" s="9" t="s">
        <v>273</v>
      </c>
      <c r="J464" s="9" t="s">
        <v>8</v>
      </c>
      <c r="K464" s="9"/>
      <c r="L464" s="9"/>
      <c r="M464" s="12">
        <f t="shared" si="28"/>
        <v>552</v>
      </c>
      <c r="N464" s="13">
        <f t="shared" si="29"/>
        <v>171</v>
      </c>
      <c r="O464" s="14">
        <f t="shared" si="30"/>
        <v>723</v>
      </c>
      <c r="P464" s="15">
        <f t="shared" si="31"/>
        <v>0.87108433734939761</v>
      </c>
    </row>
    <row r="465" spans="1:16" ht="15.75" customHeight="1" x14ac:dyDescent="0.3">
      <c r="A465" s="117" t="s">
        <v>58</v>
      </c>
      <c r="B465" s="9" t="s">
        <v>312</v>
      </c>
      <c r="C465" s="9" t="s">
        <v>79</v>
      </c>
      <c r="D465" s="9" t="s">
        <v>163</v>
      </c>
      <c r="E465" s="10">
        <v>16</v>
      </c>
      <c r="F465" s="9" t="s">
        <v>314</v>
      </c>
      <c r="G465" s="10">
        <v>16</v>
      </c>
      <c r="H465" s="9" t="s">
        <v>272</v>
      </c>
      <c r="I465" s="9" t="s">
        <v>273</v>
      </c>
      <c r="J465" s="9" t="s">
        <v>8</v>
      </c>
      <c r="K465" s="9"/>
      <c r="L465" s="9"/>
      <c r="M465" s="12">
        <f t="shared" si="28"/>
        <v>552</v>
      </c>
      <c r="N465" s="13">
        <f t="shared" si="29"/>
        <v>171</v>
      </c>
      <c r="O465" s="14">
        <f t="shared" si="30"/>
        <v>723</v>
      </c>
      <c r="P465" s="15">
        <f t="shared" si="31"/>
        <v>0.87108433734939761</v>
      </c>
    </row>
    <row r="466" spans="1:16" ht="15.75" customHeight="1" x14ac:dyDescent="0.3">
      <c r="A466" s="117" t="s">
        <v>58</v>
      </c>
      <c r="B466" s="9" t="s">
        <v>312</v>
      </c>
      <c r="C466" s="9" t="s">
        <v>100</v>
      </c>
      <c r="D466" s="9" t="s">
        <v>315</v>
      </c>
      <c r="E466" s="10">
        <v>48</v>
      </c>
      <c r="F466" s="9" t="s">
        <v>314</v>
      </c>
      <c r="G466" s="10">
        <v>24</v>
      </c>
      <c r="H466" s="9" t="s">
        <v>316</v>
      </c>
      <c r="I466" s="21" t="s">
        <v>273</v>
      </c>
      <c r="J466" s="21" t="s">
        <v>8</v>
      </c>
      <c r="K466" s="9"/>
      <c r="L466" s="9"/>
      <c r="M466" s="12">
        <f t="shared" si="28"/>
        <v>552</v>
      </c>
      <c r="N466" s="13">
        <f t="shared" si="29"/>
        <v>171</v>
      </c>
      <c r="O466" s="14">
        <f t="shared" si="30"/>
        <v>723</v>
      </c>
      <c r="P466" s="15">
        <f t="shared" si="31"/>
        <v>0.87108433734939761</v>
      </c>
    </row>
    <row r="467" spans="1:16" ht="15.75" customHeight="1" x14ac:dyDescent="0.3">
      <c r="A467" s="117" t="s">
        <v>58</v>
      </c>
      <c r="B467" s="9" t="s">
        <v>312</v>
      </c>
      <c r="C467" s="9" t="s">
        <v>100</v>
      </c>
      <c r="D467" s="9" t="s">
        <v>183</v>
      </c>
      <c r="E467" s="10">
        <v>24</v>
      </c>
      <c r="F467" s="9" t="s">
        <v>314</v>
      </c>
      <c r="G467" s="10">
        <v>24</v>
      </c>
      <c r="H467" s="9" t="s">
        <v>272</v>
      </c>
      <c r="I467" s="9" t="s">
        <v>273</v>
      </c>
      <c r="J467" s="9" t="s">
        <v>8</v>
      </c>
      <c r="K467" s="9"/>
      <c r="L467" s="9"/>
      <c r="M467" s="12">
        <f t="shared" si="28"/>
        <v>552</v>
      </c>
      <c r="N467" s="13">
        <f t="shared" si="29"/>
        <v>171</v>
      </c>
      <c r="O467" s="14">
        <f t="shared" si="30"/>
        <v>723</v>
      </c>
      <c r="P467" s="15">
        <f t="shared" si="31"/>
        <v>0.87108433734939761</v>
      </c>
    </row>
    <row r="468" spans="1:16" ht="15.75" customHeight="1" x14ac:dyDescent="0.3">
      <c r="A468" s="117" t="s">
        <v>58</v>
      </c>
      <c r="B468" s="9" t="s">
        <v>312</v>
      </c>
      <c r="C468" s="9" t="s">
        <v>100</v>
      </c>
      <c r="D468" s="9" t="s">
        <v>162</v>
      </c>
      <c r="E468" s="10">
        <v>48</v>
      </c>
      <c r="F468" s="9" t="s">
        <v>314</v>
      </c>
      <c r="G468" s="10">
        <v>24</v>
      </c>
      <c r="H468" s="9" t="s">
        <v>272</v>
      </c>
      <c r="I468" s="9" t="s">
        <v>273</v>
      </c>
      <c r="J468" s="9" t="s">
        <v>8</v>
      </c>
      <c r="K468" s="9"/>
      <c r="L468" s="9"/>
      <c r="M468" s="12">
        <f t="shared" si="28"/>
        <v>552</v>
      </c>
      <c r="N468" s="13">
        <f t="shared" si="29"/>
        <v>171</v>
      </c>
      <c r="O468" s="14">
        <f t="shared" si="30"/>
        <v>723</v>
      </c>
      <c r="P468" s="15">
        <f t="shared" si="31"/>
        <v>0.87108433734939761</v>
      </c>
    </row>
    <row r="469" spans="1:16" ht="15.75" customHeight="1" x14ac:dyDescent="0.3">
      <c r="A469" s="117" t="s">
        <v>58</v>
      </c>
      <c r="B469" s="9" t="s">
        <v>312</v>
      </c>
      <c r="C469" s="9" t="s">
        <v>100</v>
      </c>
      <c r="D469" s="9" t="s">
        <v>184</v>
      </c>
      <c r="E469" s="10">
        <v>48</v>
      </c>
      <c r="F469" s="9" t="s">
        <v>314</v>
      </c>
      <c r="G469" s="10">
        <v>24</v>
      </c>
      <c r="H469" s="9" t="s">
        <v>272</v>
      </c>
      <c r="I469" s="9" t="s">
        <v>273</v>
      </c>
      <c r="J469" s="9" t="s">
        <v>8</v>
      </c>
      <c r="K469" s="9"/>
      <c r="L469" s="9"/>
      <c r="M469" s="12">
        <f t="shared" si="28"/>
        <v>552</v>
      </c>
      <c r="N469" s="13">
        <f t="shared" si="29"/>
        <v>171</v>
      </c>
      <c r="O469" s="14">
        <f t="shared" si="30"/>
        <v>723</v>
      </c>
      <c r="P469" s="15">
        <f t="shared" si="31"/>
        <v>0.87108433734939761</v>
      </c>
    </row>
    <row r="470" spans="1:16" ht="15.75" customHeight="1" x14ac:dyDescent="0.3">
      <c r="A470" s="117" t="s">
        <v>58</v>
      </c>
      <c r="B470" s="9" t="s">
        <v>312</v>
      </c>
      <c r="C470" s="9" t="s">
        <v>100</v>
      </c>
      <c r="D470" s="9" t="s">
        <v>185</v>
      </c>
      <c r="E470" s="10">
        <v>48</v>
      </c>
      <c r="F470" s="9" t="s">
        <v>314</v>
      </c>
      <c r="G470" s="10">
        <v>24</v>
      </c>
      <c r="H470" s="9" t="s">
        <v>316</v>
      </c>
      <c r="I470" s="21" t="s">
        <v>273</v>
      </c>
      <c r="J470" s="21" t="s">
        <v>8</v>
      </c>
      <c r="K470" s="9"/>
      <c r="L470" s="9"/>
      <c r="M470" s="12">
        <f t="shared" si="28"/>
        <v>552</v>
      </c>
      <c r="N470" s="13">
        <f t="shared" si="29"/>
        <v>171</v>
      </c>
      <c r="O470" s="14">
        <f t="shared" si="30"/>
        <v>723</v>
      </c>
      <c r="P470" s="15">
        <f t="shared" si="31"/>
        <v>0.87108433734939761</v>
      </c>
    </row>
    <row r="471" spans="1:16" ht="15.75" customHeight="1" x14ac:dyDescent="0.3">
      <c r="A471" s="117" t="s">
        <v>58</v>
      </c>
      <c r="B471" s="9" t="s">
        <v>312</v>
      </c>
      <c r="C471" s="9" t="s">
        <v>100</v>
      </c>
      <c r="D471" s="9" t="s">
        <v>163</v>
      </c>
      <c r="E471" s="10">
        <v>24</v>
      </c>
      <c r="F471" s="9" t="s">
        <v>314</v>
      </c>
      <c r="G471" s="10">
        <v>24</v>
      </c>
      <c r="H471" s="9" t="s">
        <v>272</v>
      </c>
      <c r="I471" s="9" t="s">
        <v>273</v>
      </c>
      <c r="J471" s="9" t="s">
        <v>8</v>
      </c>
      <c r="K471" s="9"/>
      <c r="L471" s="9"/>
      <c r="M471" s="12">
        <f t="shared" si="28"/>
        <v>552</v>
      </c>
      <c r="N471" s="13">
        <f t="shared" si="29"/>
        <v>171</v>
      </c>
      <c r="O471" s="14">
        <f t="shared" si="30"/>
        <v>723</v>
      </c>
      <c r="P471" s="15">
        <f t="shared" si="31"/>
        <v>0.87108433734939761</v>
      </c>
    </row>
    <row r="472" spans="1:16" ht="15.75" customHeight="1" x14ac:dyDescent="0.3">
      <c r="A472" s="117" t="s">
        <v>58</v>
      </c>
      <c r="B472" s="9" t="s">
        <v>312</v>
      </c>
      <c r="C472" s="9" t="s">
        <v>111</v>
      </c>
      <c r="D472" s="9" t="s">
        <v>315</v>
      </c>
      <c r="E472" s="10">
        <v>8</v>
      </c>
      <c r="F472" s="9" t="s">
        <v>314</v>
      </c>
      <c r="G472" s="11">
        <v>0</v>
      </c>
      <c r="H472" s="9" t="s">
        <v>272</v>
      </c>
      <c r="I472" s="9" t="s">
        <v>273</v>
      </c>
      <c r="J472" s="9" t="s">
        <v>8</v>
      </c>
      <c r="K472" s="9"/>
      <c r="L472" s="9"/>
      <c r="M472" s="12">
        <f t="shared" si="28"/>
        <v>552</v>
      </c>
      <c r="N472" s="13">
        <f t="shared" si="29"/>
        <v>171</v>
      </c>
      <c r="O472" s="14">
        <f t="shared" si="30"/>
        <v>723</v>
      </c>
      <c r="P472" s="15">
        <f t="shared" si="31"/>
        <v>0.87108433734939761</v>
      </c>
    </row>
    <row r="473" spans="1:16" ht="15.75" customHeight="1" x14ac:dyDescent="0.3">
      <c r="A473" s="117" t="s">
        <v>58</v>
      </c>
      <c r="B473" s="9" t="s">
        <v>312</v>
      </c>
      <c r="C473" s="9" t="s">
        <v>111</v>
      </c>
      <c r="D473" s="9" t="s">
        <v>183</v>
      </c>
      <c r="E473" s="10">
        <v>8</v>
      </c>
      <c r="F473" s="9" t="s">
        <v>314</v>
      </c>
      <c r="G473" s="11">
        <v>0</v>
      </c>
      <c r="H473" s="9" t="s">
        <v>272</v>
      </c>
      <c r="I473" s="9" t="s">
        <v>273</v>
      </c>
      <c r="J473" s="9" t="s">
        <v>8</v>
      </c>
      <c r="K473" s="9"/>
      <c r="L473" s="9"/>
      <c r="M473" s="12">
        <f t="shared" si="28"/>
        <v>552</v>
      </c>
      <c r="N473" s="13">
        <f t="shared" si="29"/>
        <v>171</v>
      </c>
      <c r="O473" s="14">
        <f t="shared" si="30"/>
        <v>723</v>
      </c>
      <c r="P473" s="15">
        <f t="shared" si="31"/>
        <v>0.87108433734939761</v>
      </c>
    </row>
    <row r="474" spans="1:16" ht="15.75" customHeight="1" x14ac:dyDescent="0.3">
      <c r="A474" s="117" t="s">
        <v>58</v>
      </c>
      <c r="B474" s="9" t="s">
        <v>312</v>
      </c>
      <c r="C474" s="9" t="s">
        <v>111</v>
      </c>
      <c r="D474" s="9" t="s">
        <v>162</v>
      </c>
      <c r="E474" s="10">
        <v>9</v>
      </c>
      <c r="F474" s="9" t="s">
        <v>314</v>
      </c>
      <c r="G474" s="11">
        <v>0</v>
      </c>
      <c r="H474" s="9" t="s">
        <v>272</v>
      </c>
      <c r="I474" s="9" t="s">
        <v>273</v>
      </c>
      <c r="J474" s="9" t="s">
        <v>8</v>
      </c>
      <c r="K474" s="9"/>
      <c r="L474" s="9"/>
      <c r="M474" s="12">
        <f t="shared" si="28"/>
        <v>552</v>
      </c>
      <c r="N474" s="13">
        <f t="shared" si="29"/>
        <v>171</v>
      </c>
      <c r="O474" s="14">
        <f t="shared" si="30"/>
        <v>723</v>
      </c>
      <c r="P474" s="15">
        <f t="shared" si="31"/>
        <v>0.87108433734939761</v>
      </c>
    </row>
    <row r="475" spans="1:16" ht="15.75" customHeight="1" x14ac:dyDescent="0.3">
      <c r="A475" s="117" t="s">
        <v>58</v>
      </c>
      <c r="B475" s="9" t="s">
        <v>312</v>
      </c>
      <c r="C475" s="9" t="s">
        <v>111</v>
      </c>
      <c r="D475" s="9" t="s">
        <v>184</v>
      </c>
      <c r="E475" s="10">
        <v>9</v>
      </c>
      <c r="F475" s="9" t="s">
        <v>314</v>
      </c>
      <c r="G475" s="11">
        <v>0</v>
      </c>
      <c r="H475" s="9" t="s">
        <v>272</v>
      </c>
      <c r="I475" s="9" t="s">
        <v>273</v>
      </c>
      <c r="J475" s="9" t="s">
        <v>8</v>
      </c>
      <c r="K475" s="9"/>
      <c r="L475" s="9"/>
      <c r="M475" s="12">
        <f t="shared" si="28"/>
        <v>552</v>
      </c>
      <c r="N475" s="13">
        <f t="shared" si="29"/>
        <v>171</v>
      </c>
      <c r="O475" s="14">
        <f t="shared" si="30"/>
        <v>723</v>
      </c>
      <c r="P475" s="15">
        <f t="shared" si="31"/>
        <v>0.87108433734939761</v>
      </c>
    </row>
    <row r="476" spans="1:16" ht="15.75" customHeight="1" x14ac:dyDescent="0.3">
      <c r="A476" s="117" t="s">
        <v>58</v>
      </c>
      <c r="B476" s="9" t="s">
        <v>312</v>
      </c>
      <c r="C476" s="9" t="s">
        <v>111</v>
      </c>
      <c r="D476" s="9" t="s">
        <v>185</v>
      </c>
      <c r="E476" s="10">
        <v>12</v>
      </c>
      <c r="F476" s="9" t="s">
        <v>314</v>
      </c>
      <c r="G476" s="11">
        <v>0</v>
      </c>
      <c r="H476" s="9" t="s">
        <v>272</v>
      </c>
      <c r="I476" s="9" t="s">
        <v>273</v>
      </c>
      <c r="J476" s="9" t="s">
        <v>8</v>
      </c>
      <c r="K476" s="9"/>
      <c r="L476" s="9"/>
      <c r="M476" s="12">
        <f t="shared" si="28"/>
        <v>552</v>
      </c>
      <c r="N476" s="13">
        <f t="shared" si="29"/>
        <v>171</v>
      </c>
      <c r="O476" s="14">
        <f t="shared" si="30"/>
        <v>723</v>
      </c>
      <c r="P476" s="15">
        <f t="shared" si="31"/>
        <v>0.87108433734939761</v>
      </c>
    </row>
    <row r="477" spans="1:16" ht="15.75" customHeight="1" x14ac:dyDescent="0.3">
      <c r="A477" s="117" t="s">
        <v>58</v>
      </c>
      <c r="B477" s="9" t="s">
        <v>312</v>
      </c>
      <c r="C477" s="9" t="s">
        <v>111</v>
      </c>
      <c r="D477" s="9" t="s">
        <v>163</v>
      </c>
      <c r="E477" s="10">
        <v>7</v>
      </c>
      <c r="F477" s="9" t="s">
        <v>314</v>
      </c>
      <c r="G477" s="11">
        <v>0</v>
      </c>
      <c r="H477" s="9" t="s">
        <v>272</v>
      </c>
      <c r="I477" s="9" t="s">
        <v>273</v>
      </c>
      <c r="J477" s="9" t="s">
        <v>8</v>
      </c>
      <c r="K477" s="9"/>
      <c r="L477" s="9"/>
      <c r="M477" s="12">
        <f t="shared" si="28"/>
        <v>552</v>
      </c>
      <c r="N477" s="13">
        <f t="shared" si="29"/>
        <v>171</v>
      </c>
      <c r="O477" s="14">
        <f t="shared" si="30"/>
        <v>723</v>
      </c>
      <c r="P477" s="15">
        <f t="shared" si="31"/>
        <v>0.87108433734939761</v>
      </c>
    </row>
    <row r="478" spans="1:16" ht="15.75" customHeight="1" x14ac:dyDescent="0.3">
      <c r="A478" s="117" t="s">
        <v>58</v>
      </c>
      <c r="B478" s="9" t="s">
        <v>312</v>
      </c>
      <c r="C478" s="9" t="s">
        <v>80</v>
      </c>
      <c r="D478" s="9" t="s">
        <v>315</v>
      </c>
      <c r="E478" s="10">
        <v>3</v>
      </c>
      <c r="F478" s="9" t="s">
        <v>314</v>
      </c>
      <c r="G478" s="11">
        <v>0</v>
      </c>
      <c r="H478" s="9" t="s">
        <v>272</v>
      </c>
      <c r="I478" s="9" t="s">
        <v>273</v>
      </c>
      <c r="J478" s="9" t="s">
        <v>8</v>
      </c>
      <c r="K478" s="9"/>
      <c r="L478" s="9"/>
      <c r="M478" s="12">
        <f t="shared" si="28"/>
        <v>552</v>
      </c>
      <c r="N478" s="13">
        <f t="shared" si="29"/>
        <v>171</v>
      </c>
      <c r="O478" s="14">
        <f t="shared" si="30"/>
        <v>723</v>
      </c>
      <c r="P478" s="15">
        <f t="shared" si="31"/>
        <v>0.87108433734939761</v>
      </c>
    </row>
    <row r="479" spans="1:16" ht="15.75" customHeight="1" x14ac:dyDescent="0.3">
      <c r="A479" s="117" t="s">
        <v>58</v>
      </c>
      <c r="B479" s="9" t="s">
        <v>312</v>
      </c>
      <c r="C479" s="9" t="s">
        <v>80</v>
      </c>
      <c r="D479" s="9" t="s">
        <v>183</v>
      </c>
      <c r="E479" s="10">
        <v>3</v>
      </c>
      <c r="F479" s="9" t="s">
        <v>314</v>
      </c>
      <c r="G479" s="11">
        <v>0</v>
      </c>
      <c r="H479" s="9" t="s">
        <v>272</v>
      </c>
      <c r="I479" s="9" t="s">
        <v>273</v>
      </c>
      <c r="J479" s="9" t="s">
        <v>8</v>
      </c>
      <c r="K479" s="9"/>
      <c r="L479" s="9"/>
      <c r="M479" s="12">
        <f t="shared" si="28"/>
        <v>552</v>
      </c>
      <c r="N479" s="13">
        <f t="shared" si="29"/>
        <v>171</v>
      </c>
      <c r="O479" s="14">
        <f t="shared" si="30"/>
        <v>723</v>
      </c>
      <c r="P479" s="15">
        <f t="shared" si="31"/>
        <v>0.87108433734939761</v>
      </c>
    </row>
    <row r="480" spans="1:16" ht="15.75" customHeight="1" x14ac:dyDescent="0.3">
      <c r="A480" s="117" t="s">
        <v>58</v>
      </c>
      <c r="B480" s="9" t="s">
        <v>312</v>
      </c>
      <c r="C480" s="9" t="s">
        <v>80</v>
      </c>
      <c r="D480" s="9" t="s">
        <v>162</v>
      </c>
      <c r="E480" s="10">
        <v>3</v>
      </c>
      <c r="F480" s="9" t="s">
        <v>314</v>
      </c>
      <c r="G480" s="11">
        <v>0</v>
      </c>
      <c r="H480" s="9" t="s">
        <v>272</v>
      </c>
      <c r="I480" s="9" t="s">
        <v>273</v>
      </c>
      <c r="J480" s="9" t="s">
        <v>8</v>
      </c>
      <c r="K480" s="9"/>
      <c r="L480" s="9"/>
      <c r="M480" s="12">
        <f t="shared" si="28"/>
        <v>552</v>
      </c>
      <c r="N480" s="13">
        <f t="shared" si="29"/>
        <v>171</v>
      </c>
      <c r="O480" s="14">
        <f t="shared" si="30"/>
        <v>723</v>
      </c>
      <c r="P480" s="15">
        <f t="shared" si="31"/>
        <v>0.87108433734939761</v>
      </c>
    </row>
    <row r="481" spans="1:16" ht="15.75" customHeight="1" x14ac:dyDescent="0.3">
      <c r="A481" s="117" t="s">
        <v>58</v>
      </c>
      <c r="B481" s="9" t="s">
        <v>312</v>
      </c>
      <c r="C481" s="9" t="s">
        <v>80</v>
      </c>
      <c r="D481" s="9" t="s">
        <v>184</v>
      </c>
      <c r="E481" s="10">
        <v>3</v>
      </c>
      <c r="F481" s="9" t="s">
        <v>314</v>
      </c>
      <c r="G481" s="11">
        <v>0</v>
      </c>
      <c r="H481" s="9" t="s">
        <v>272</v>
      </c>
      <c r="I481" s="9" t="s">
        <v>273</v>
      </c>
      <c r="J481" s="9" t="s">
        <v>8</v>
      </c>
      <c r="K481" s="9"/>
      <c r="L481" s="9"/>
      <c r="M481" s="12">
        <f t="shared" si="28"/>
        <v>552</v>
      </c>
      <c r="N481" s="13">
        <f t="shared" si="29"/>
        <v>171</v>
      </c>
      <c r="O481" s="14">
        <f t="shared" si="30"/>
        <v>723</v>
      </c>
      <c r="P481" s="15">
        <f t="shared" si="31"/>
        <v>0.87108433734939761</v>
      </c>
    </row>
    <row r="482" spans="1:16" ht="15.75" customHeight="1" x14ac:dyDescent="0.3">
      <c r="A482" s="117" t="s">
        <v>58</v>
      </c>
      <c r="B482" s="9" t="s">
        <v>312</v>
      </c>
      <c r="C482" s="9" t="s">
        <v>80</v>
      </c>
      <c r="D482" s="9" t="s">
        <v>185</v>
      </c>
      <c r="E482" s="10">
        <v>3</v>
      </c>
      <c r="F482" s="9" t="s">
        <v>314</v>
      </c>
      <c r="G482" s="11">
        <v>0</v>
      </c>
      <c r="H482" s="9" t="s">
        <v>272</v>
      </c>
      <c r="I482" s="9" t="s">
        <v>273</v>
      </c>
      <c r="J482" s="9" t="s">
        <v>8</v>
      </c>
      <c r="K482" s="9"/>
      <c r="L482" s="9"/>
      <c r="M482" s="12">
        <f t="shared" si="28"/>
        <v>552</v>
      </c>
      <c r="N482" s="13">
        <f t="shared" si="29"/>
        <v>171</v>
      </c>
      <c r="O482" s="14">
        <f t="shared" si="30"/>
        <v>723</v>
      </c>
      <c r="P482" s="15">
        <f t="shared" si="31"/>
        <v>0.87108433734939761</v>
      </c>
    </row>
    <row r="483" spans="1:16" ht="15.75" customHeight="1" x14ac:dyDescent="0.3">
      <c r="A483" s="117" t="s">
        <v>58</v>
      </c>
      <c r="B483" s="9" t="s">
        <v>312</v>
      </c>
      <c r="C483" s="9" t="s">
        <v>80</v>
      </c>
      <c r="D483" s="9" t="s">
        <v>163</v>
      </c>
      <c r="E483" s="10">
        <v>3</v>
      </c>
      <c r="F483" s="9" t="s">
        <v>314</v>
      </c>
      <c r="G483" s="11">
        <v>0</v>
      </c>
      <c r="H483" s="9" t="s">
        <v>272</v>
      </c>
      <c r="I483" s="9" t="s">
        <v>273</v>
      </c>
      <c r="J483" s="9" t="s">
        <v>8</v>
      </c>
      <c r="K483" s="9"/>
      <c r="L483" s="9"/>
      <c r="M483" s="12">
        <f t="shared" si="28"/>
        <v>552</v>
      </c>
      <c r="N483" s="13">
        <f t="shared" si="29"/>
        <v>171</v>
      </c>
      <c r="O483" s="14">
        <f t="shared" si="30"/>
        <v>723</v>
      </c>
      <c r="P483" s="15">
        <f t="shared" si="31"/>
        <v>0.87108433734939761</v>
      </c>
    </row>
    <row r="484" spans="1:16" ht="15.75" customHeight="1" x14ac:dyDescent="0.3">
      <c r="A484" s="117" t="s">
        <v>58</v>
      </c>
      <c r="B484" s="9" t="s">
        <v>317</v>
      </c>
      <c r="C484" s="9" t="s">
        <v>73</v>
      </c>
      <c r="D484" s="9" t="s">
        <v>318</v>
      </c>
      <c r="E484" s="10">
        <v>24</v>
      </c>
      <c r="F484" s="9" t="s">
        <v>319</v>
      </c>
      <c r="G484" s="10">
        <v>24</v>
      </c>
      <c r="H484" s="9" t="s">
        <v>257</v>
      </c>
      <c r="I484" s="9" t="s">
        <v>258</v>
      </c>
      <c r="J484" s="9" t="s">
        <v>8</v>
      </c>
      <c r="K484" s="9"/>
      <c r="L484" s="9"/>
      <c r="M484" s="12">
        <f t="shared" si="28"/>
        <v>331</v>
      </c>
      <c r="N484" s="13">
        <f t="shared" si="29"/>
        <v>520</v>
      </c>
      <c r="O484" s="14">
        <f t="shared" si="30"/>
        <v>851</v>
      </c>
      <c r="P484" s="15">
        <f t="shared" si="31"/>
        <v>1.0253012048192771</v>
      </c>
    </row>
    <row r="485" spans="1:16" ht="15.75" customHeight="1" x14ac:dyDescent="0.3">
      <c r="A485" s="117" t="s">
        <v>58</v>
      </c>
      <c r="B485" s="9" t="s">
        <v>317</v>
      </c>
      <c r="C485" s="9" t="s">
        <v>87</v>
      </c>
      <c r="D485" s="9" t="s">
        <v>318</v>
      </c>
      <c r="E485" s="10">
        <v>1</v>
      </c>
      <c r="F485" s="9" t="s">
        <v>319</v>
      </c>
      <c r="G485" s="11">
        <v>0</v>
      </c>
      <c r="H485" s="9" t="s">
        <v>257</v>
      </c>
      <c r="I485" s="9" t="s">
        <v>258</v>
      </c>
      <c r="J485" s="9" t="s">
        <v>8</v>
      </c>
      <c r="K485" s="9"/>
      <c r="L485" s="9"/>
      <c r="M485" s="12">
        <f t="shared" si="28"/>
        <v>331</v>
      </c>
      <c r="N485" s="13">
        <f t="shared" si="29"/>
        <v>520</v>
      </c>
      <c r="O485" s="14">
        <f t="shared" si="30"/>
        <v>851</v>
      </c>
      <c r="P485" s="15">
        <f t="shared" si="31"/>
        <v>1.0253012048192771</v>
      </c>
    </row>
    <row r="486" spans="1:16" ht="15.75" customHeight="1" x14ac:dyDescent="0.3">
      <c r="A486" s="117" t="s">
        <v>58</v>
      </c>
      <c r="B486" s="9" t="s">
        <v>317</v>
      </c>
      <c r="C486" s="9" t="s">
        <v>79</v>
      </c>
      <c r="D486" s="9" t="s">
        <v>318</v>
      </c>
      <c r="E486" s="10">
        <v>8</v>
      </c>
      <c r="F486" s="9" t="s">
        <v>319</v>
      </c>
      <c r="G486" s="10">
        <v>8</v>
      </c>
      <c r="H486" s="9" t="s">
        <v>257</v>
      </c>
      <c r="I486" s="9" t="s">
        <v>258</v>
      </c>
      <c r="J486" s="9" t="s">
        <v>8</v>
      </c>
      <c r="K486" s="9"/>
      <c r="L486" s="9"/>
      <c r="M486" s="12">
        <f t="shared" si="28"/>
        <v>331</v>
      </c>
      <c r="N486" s="13">
        <f t="shared" si="29"/>
        <v>520</v>
      </c>
      <c r="O486" s="14">
        <f t="shared" si="30"/>
        <v>851</v>
      </c>
      <c r="P486" s="15">
        <f t="shared" si="31"/>
        <v>1.0253012048192771</v>
      </c>
    </row>
    <row r="487" spans="1:16" ht="15.75" customHeight="1" x14ac:dyDescent="0.3">
      <c r="A487" s="117" t="s">
        <v>58</v>
      </c>
      <c r="B487" s="9" t="s">
        <v>317</v>
      </c>
      <c r="C487" s="9" t="s">
        <v>80</v>
      </c>
      <c r="D487" s="9" t="s">
        <v>318</v>
      </c>
      <c r="E487" s="10">
        <v>1</v>
      </c>
      <c r="F487" s="9" t="s">
        <v>319</v>
      </c>
      <c r="G487" s="11">
        <v>0</v>
      </c>
      <c r="H487" s="9" t="s">
        <v>257</v>
      </c>
      <c r="I487" s="9" t="s">
        <v>258</v>
      </c>
      <c r="J487" s="9" t="s">
        <v>8</v>
      </c>
      <c r="K487" s="9"/>
      <c r="L487" s="9"/>
      <c r="M487" s="12">
        <f t="shared" si="28"/>
        <v>331</v>
      </c>
      <c r="N487" s="13">
        <f t="shared" si="29"/>
        <v>520</v>
      </c>
      <c r="O487" s="14">
        <f t="shared" si="30"/>
        <v>851</v>
      </c>
      <c r="P487" s="15">
        <f t="shared" si="31"/>
        <v>1.0253012048192771</v>
      </c>
    </row>
    <row r="488" spans="1:16" ht="15.75" customHeight="1" x14ac:dyDescent="0.3">
      <c r="A488" s="117" t="s">
        <v>58</v>
      </c>
      <c r="B488" s="9" t="s">
        <v>320</v>
      </c>
      <c r="C488" s="9" t="s">
        <v>73</v>
      </c>
      <c r="D488" s="9" t="s">
        <v>321</v>
      </c>
      <c r="E488" s="10">
        <v>68</v>
      </c>
      <c r="F488" s="9" t="s">
        <v>322</v>
      </c>
      <c r="G488" s="10">
        <v>68</v>
      </c>
      <c r="H488" s="9" t="s">
        <v>171</v>
      </c>
      <c r="I488" s="9" t="s">
        <v>172</v>
      </c>
      <c r="J488" s="9" t="s">
        <v>8</v>
      </c>
      <c r="K488" s="9"/>
      <c r="L488" s="9" t="s">
        <v>323</v>
      </c>
      <c r="M488" s="12">
        <f t="shared" si="28"/>
        <v>339</v>
      </c>
      <c r="N488" s="13">
        <f t="shared" si="29"/>
        <v>296</v>
      </c>
      <c r="O488" s="14">
        <f t="shared" si="30"/>
        <v>635</v>
      </c>
      <c r="P488" s="15">
        <f t="shared" si="31"/>
        <v>0.76506024096385539</v>
      </c>
    </row>
    <row r="489" spans="1:16" ht="15.75" customHeight="1" x14ac:dyDescent="0.3">
      <c r="A489" s="117" t="s">
        <v>58</v>
      </c>
      <c r="B489" s="9" t="s">
        <v>320</v>
      </c>
      <c r="C489" s="9" t="s">
        <v>79</v>
      </c>
      <c r="D489" s="9" t="s">
        <v>321</v>
      </c>
      <c r="E489" s="10">
        <v>20</v>
      </c>
      <c r="F489" s="9" t="s">
        <v>322</v>
      </c>
      <c r="G489" s="10">
        <v>20</v>
      </c>
      <c r="H489" s="9" t="s">
        <v>171</v>
      </c>
      <c r="I489" s="9" t="s">
        <v>172</v>
      </c>
      <c r="J489" s="9" t="s">
        <v>8</v>
      </c>
      <c r="K489" s="9"/>
      <c r="L489" s="9" t="s">
        <v>323</v>
      </c>
      <c r="M489" s="12">
        <f t="shared" si="28"/>
        <v>339</v>
      </c>
      <c r="N489" s="13">
        <f t="shared" si="29"/>
        <v>296</v>
      </c>
      <c r="O489" s="14">
        <f t="shared" si="30"/>
        <v>635</v>
      </c>
      <c r="P489" s="15">
        <f t="shared" si="31"/>
        <v>0.76506024096385539</v>
      </c>
    </row>
    <row r="490" spans="1:16" ht="15.75" customHeight="1" x14ac:dyDescent="0.3">
      <c r="A490" s="117" t="s">
        <v>58</v>
      </c>
      <c r="B490" s="9" t="s">
        <v>320</v>
      </c>
      <c r="C490" s="9" t="s">
        <v>111</v>
      </c>
      <c r="D490" s="9" t="s">
        <v>321</v>
      </c>
      <c r="E490" s="10">
        <v>1</v>
      </c>
      <c r="F490" s="9" t="s">
        <v>322</v>
      </c>
      <c r="G490" s="11">
        <v>0</v>
      </c>
      <c r="H490" s="9" t="s">
        <v>171</v>
      </c>
      <c r="I490" s="9" t="s">
        <v>172</v>
      </c>
      <c r="J490" s="9" t="s">
        <v>8</v>
      </c>
      <c r="K490" s="9"/>
      <c r="L490" s="9" t="s">
        <v>323</v>
      </c>
      <c r="M490" s="12">
        <f t="shared" si="28"/>
        <v>339</v>
      </c>
      <c r="N490" s="13">
        <f t="shared" si="29"/>
        <v>296</v>
      </c>
      <c r="O490" s="14">
        <f t="shared" si="30"/>
        <v>635</v>
      </c>
      <c r="P490" s="15">
        <f t="shared" si="31"/>
        <v>0.76506024096385539</v>
      </c>
    </row>
    <row r="491" spans="1:16" ht="15.75" customHeight="1" x14ac:dyDescent="0.3">
      <c r="A491" s="117" t="s">
        <v>58</v>
      </c>
      <c r="B491" s="9" t="s">
        <v>320</v>
      </c>
      <c r="C491" s="9" t="s">
        <v>80</v>
      </c>
      <c r="D491" s="9" t="s">
        <v>321</v>
      </c>
      <c r="E491" s="10">
        <v>5</v>
      </c>
      <c r="F491" s="9" t="s">
        <v>322</v>
      </c>
      <c r="G491" s="11">
        <v>0</v>
      </c>
      <c r="H491" s="9" t="s">
        <v>171</v>
      </c>
      <c r="I491" s="9" t="s">
        <v>172</v>
      </c>
      <c r="J491" s="9" t="s">
        <v>8</v>
      </c>
      <c r="K491" s="9"/>
      <c r="L491" s="9" t="s">
        <v>323</v>
      </c>
      <c r="M491" s="12">
        <f t="shared" si="28"/>
        <v>339</v>
      </c>
      <c r="N491" s="13">
        <f t="shared" si="29"/>
        <v>296</v>
      </c>
      <c r="O491" s="14">
        <f t="shared" si="30"/>
        <v>635</v>
      </c>
      <c r="P491" s="15">
        <f t="shared" si="31"/>
        <v>0.76506024096385539</v>
      </c>
    </row>
    <row r="492" spans="1:16" ht="15.75" customHeight="1" x14ac:dyDescent="0.3">
      <c r="A492" s="117" t="s">
        <v>58</v>
      </c>
      <c r="B492" s="9" t="s">
        <v>324</v>
      </c>
      <c r="C492" s="9" t="s">
        <v>73</v>
      </c>
      <c r="D492" s="9" t="s">
        <v>325</v>
      </c>
      <c r="E492" s="10">
        <v>68</v>
      </c>
      <c r="F492" s="9" t="s">
        <v>319</v>
      </c>
      <c r="G492" s="10">
        <v>68</v>
      </c>
      <c r="H492" s="9" t="s">
        <v>257</v>
      </c>
      <c r="I492" s="22" t="s">
        <v>97</v>
      </c>
      <c r="J492" s="9" t="s">
        <v>8</v>
      </c>
      <c r="K492" s="9"/>
      <c r="L492" s="9" t="s">
        <v>326</v>
      </c>
      <c r="M492" s="12">
        <f t="shared" si="28"/>
        <v>501</v>
      </c>
      <c r="N492" s="13">
        <f t="shared" si="29"/>
        <v>486.5</v>
      </c>
      <c r="O492" s="14">
        <f t="shared" si="30"/>
        <v>987.5</v>
      </c>
      <c r="P492" s="15">
        <f t="shared" si="31"/>
        <v>1.1897590361445782</v>
      </c>
    </row>
    <row r="493" spans="1:16" ht="15.75" customHeight="1" x14ac:dyDescent="0.3">
      <c r="A493" s="117" t="s">
        <v>58</v>
      </c>
      <c r="B493" s="9" t="s">
        <v>324</v>
      </c>
      <c r="C493" s="9" t="s">
        <v>79</v>
      </c>
      <c r="D493" s="9" t="s">
        <v>325</v>
      </c>
      <c r="E493" s="10">
        <v>20</v>
      </c>
      <c r="F493" s="9" t="s">
        <v>319</v>
      </c>
      <c r="G493" s="10">
        <v>20</v>
      </c>
      <c r="H493" s="9" t="s">
        <v>257</v>
      </c>
      <c r="I493" s="22" t="s">
        <v>97</v>
      </c>
      <c r="J493" s="9" t="s">
        <v>8</v>
      </c>
      <c r="K493" s="9"/>
      <c r="L493" s="9" t="s">
        <v>326</v>
      </c>
      <c r="M493" s="12">
        <f t="shared" si="28"/>
        <v>501</v>
      </c>
      <c r="N493" s="13">
        <f t="shared" si="29"/>
        <v>486.5</v>
      </c>
      <c r="O493" s="14">
        <f t="shared" si="30"/>
        <v>987.5</v>
      </c>
      <c r="P493" s="15">
        <f t="shared" si="31"/>
        <v>1.1897590361445782</v>
      </c>
    </row>
    <row r="494" spans="1:16" ht="15.75" customHeight="1" x14ac:dyDescent="0.3">
      <c r="A494" s="117" t="s">
        <v>58</v>
      </c>
      <c r="B494" s="9" t="s">
        <v>324</v>
      </c>
      <c r="C494" s="9" t="s">
        <v>111</v>
      </c>
      <c r="D494" s="9" t="s">
        <v>325</v>
      </c>
      <c r="E494" s="10">
        <v>2</v>
      </c>
      <c r="F494" s="9" t="s">
        <v>319</v>
      </c>
      <c r="G494" s="11">
        <v>0</v>
      </c>
      <c r="H494" s="9" t="s">
        <v>257</v>
      </c>
      <c r="I494" s="22" t="s">
        <v>97</v>
      </c>
      <c r="J494" s="9" t="s">
        <v>8</v>
      </c>
      <c r="K494" s="9"/>
      <c r="L494" s="9" t="s">
        <v>326</v>
      </c>
      <c r="M494" s="12">
        <f t="shared" si="28"/>
        <v>501</v>
      </c>
      <c r="N494" s="13">
        <f t="shared" si="29"/>
        <v>486.5</v>
      </c>
      <c r="O494" s="14">
        <f t="shared" si="30"/>
        <v>987.5</v>
      </c>
      <c r="P494" s="15">
        <f t="shared" si="31"/>
        <v>1.1897590361445782</v>
      </c>
    </row>
    <row r="495" spans="1:16" ht="15.75" customHeight="1" x14ac:dyDescent="0.3">
      <c r="A495" s="117" t="s">
        <v>58</v>
      </c>
      <c r="B495" s="9" t="s">
        <v>324</v>
      </c>
      <c r="C495" s="9" t="s">
        <v>80</v>
      </c>
      <c r="D495" s="9" t="s">
        <v>325</v>
      </c>
      <c r="E495" s="10">
        <v>5</v>
      </c>
      <c r="F495" s="9" t="s">
        <v>319</v>
      </c>
      <c r="G495" s="11">
        <v>0</v>
      </c>
      <c r="H495" s="9" t="s">
        <v>257</v>
      </c>
      <c r="I495" s="22" t="s">
        <v>97</v>
      </c>
      <c r="J495" s="9" t="s">
        <v>8</v>
      </c>
      <c r="K495" s="9"/>
      <c r="L495" s="9" t="s">
        <v>326</v>
      </c>
      <c r="M495" s="12">
        <f t="shared" si="28"/>
        <v>501</v>
      </c>
      <c r="N495" s="13">
        <f t="shared" si="29"/>
        <v>486.5</v>
      </c>
      <c r="O495" s="14">
        <f t="shared" si="30"/>
        <v>987.5</v>
      </c>
      <c r="P495" s="15">
        <f t="shared" si="31"/>
        <v>1.1897590361445782</v>
      </c>
    </row>
    <row r="496" spans="1:16" ht="15.75" customHeight="1" x14ac:dyDescent="0.3">
      <c r="A496" s="117" t="s">
        <v>58</v>
      </c>
      <c r="B496" s="9" t="s">
        <v>327</v>
      </c>
      <c r="C496" s="9" t="s">
        <v>73</v>
      </c>
      <c r="D496" s="9" t="s">
        <v>82</v>
      </c>
      <c r="E496" s="10">
        <v>16</v>
      </c>
      <c r="F496" s="9" t="s">
        <v>83</v>
      </c>
      <c r="G496" s="10">
        <v>16</v>
      </c>
      <c r="H496" s="9" t="s">
        <v>84</v>
      </c>
      <c r="I496" s="9" t="s">
        <v>85</v>
      </c>
      <c r="J496" s="9"/>
      <c r="K496" s="9"/>
      <c r="L496" s="9" t="s">
        <v>86</v>
      </c>
      <c r="M496" s="12">
        <f t="shared" si="28"/>
        <v>284</v>
      </c>
      <c r="N496" s="13">
        <f t="shared" si="29"/>
        <v>691.5</v>
      </c>
      <c r="O496" s="14">
        <f t="shared" si="30"/>
        <v>975.5</v>
      </c>
      <c r="P496" s="15">
        <f t="shared" si="31"/>
        <v>1.175301204819277</v>
      </c>
    </row>
    <row r="497" spans="1:16" ht="15.75" customHeight="1" x14ac:dyDescent="0.3">
      <c r="A497" s="117" t="s">
        <v>58</v>
      </c>
      <c r="B497" s="9" t="s">
        <v>327</v>
      </c>
      <c r="C497" s="9" t="s">
        <v>73</v>
      </c>
      <c r="D497" s="9" t="s">
        <v>126</v>
      </c>
      <c r="E497" s="10">
        <v>32</v>
      </c>
      <c r="F497" s="9" t="s">
        <v>127</v>
      </c>
      <c r="G497" s="10">
        <v>32</v>
      </c>
      <c r="H497" s="9" t="s">
        <v>84</v>
      </c>
      <c r="I497" s="9" t="s">
        <v>85</v>
      </c>
      <c r="J497" s="9"/>
      <c r="K497" s="9"/>
      <c r="L497" s="9" t="s">
        <v>86</v>
      </c>
      <c r="M497" s="12">
        <f t="shared" si="28"/>
        <v>284</v>
      </c>
      <c r="N497" s="13">
        <f t="shared" si="29"/>
        <v>691.5</v>
      </c>
      <c r="O497" s="14">
        <f t="shared" si="30"/>
        <v>975.5</v>
      </c>
      <c r="P497" s="15">
        <f t="shared" si="31"/>
        <v>1.175301204819277</v>
      </c>
    </row>
    <row r="498" spans="1:16" ht="15.75" customHeight="1" x14ac:dyDescent="0.3">
      <c r="A498" s="117" t="s">
        <v>58</v>
      </c>
      <c r="B498" s="9" t="s">
        <v>327</v>
      </c>
      <c r="C498" s="9" t="s">
        <v>87</v>
      </c>
      <c r="D498" s="9" t="s">
        <v>88</v>
      </c>
      <c r="E498" s="10">
        <v>7</v>
      </c>
      <c r="F498" s="9" t="s">
        <v>83</v>
      </c>
      <c r="G498" s="11">
        <v>0</v>
      </c>
      <c r="H498" s="9" t="s">
        <v>84</v>
      </c>
      <c r="I498" s="9" t="s">
        <v>85</v>
      </c>
      <c r="J498" s="9"/>
      <c r="K498" s="9"/>
      <c r="L498" s="9" t="s">
        <v>89</v>
      </c>
      <c r="M498" s="12">
        <f t="shared" si="28"/>
        <v>284</v>
      </c>
      <c r="N498" s="13">
        <f t="shared" si="29"/>
        <v>691.5</v>
      </c>
      <c r="O498" s="14">
        <f t="shared" si="30"/>
        <v>975.5</v>
      </c>
      <c r="P498" s="15">
        <f t="shared" si="31"/>
        <v>1.175301204819277</v>
      </c>
    </row>
    <row r="499" spans="1:16" ht="15.75" customHeight="1" x14ac:dyDescent="0.3">
      <c r="A499" s="117" t="s">
        <v>58</v>
      </c>
      <c r="B499" s="9" t="s">
        <v>327</v>
      </c>
      <c r="C499" s="9" t="s">
        <v>87</v>
      </c>
      <c r="D499" s="9" t="s">
        <v>90</v>
      </c>
      <c r="E499" s="10">
        <v>7</v>
      </c>
      <c r="F499" s="9" t="s">
        <v>83</v>
      </c>
      <c r="G499" s="11">
        <v>0</v>
      </c>
      <c r="H499" s="9" t="s">
        <v>84</v>
      </c>
      <c r="I499" s="9" t="s">
        <v>85</v>
      </c>
      <c r="J499" s="9"/>
      <c r="K499" s="9"/>
      <c r="L499" s="9" t="s">
        <v>89</v>
      </c>
      <c r="M499" s="12">
        <f t="shared" si="28"/>
        <v>284</v>
      </c>
      <c r="N499" s="13">
        <f t="shared" si="29"/>
        <v>691.5</v>
      </c>
      <c r="O499" s="14">
        <f t="shared" si="30"/>
        <v>975.5</v>
      </c>
      <c r="P499" s="15">
        <f t="shared" si="31"/>
        <v>1.175301204819277</v>
      </c>
    </row>
    <row r="500" spans="1:16" ht="15.75" customHeight="1" x14ac:dyDescent="0.3">
      <c r="A500" s="117" t="s">
        <v>58</v>
      </c>
      <c r="B500" s="9" t="s">
        <v>327</v>
      </c>
      <c r="C500" s="9" t="s">
        <v>87</v>
      </c>
      <c r="D500" s="9" t="s">
        <v>126</v>
      </c>
      <c r="E500" s="10">
        <v>5</v>
      </c>
      <c r="F500" s="9" t="s">
        <v>127</v>
      </c>
      <c r="G500" s="11">
        <v>0</v>
      </c>
      <c r="H500" s="9" t="s">
        <v>84</v>
      </c>
      <c r="I500" s="9" t="s">
        <v>85</v>
      </c>
      <c r="J500" s="9"/>
      <c r="K500" s="9"/>
      <c r="L500" s="9" t="s">
        <v>89</v>
      </c>
      <c r="M500" s="12">
        <f t="shared" si="28"/>
        <v>284</v>
      </c>
      <c r="N500" s="13">
        <f t="shared" si="29"/>
        <v>691.5</v>
      </c>
      <c r="O500" s="14">
        <f t="shared" si="30"/>
        <v>975.5</v>
      </c>
      <c r="P500" s="15">
        <f t="shared" si="31"/>
        <v>1.175301204819277</v>
      </c>
    </row>
    <row r="501" spans="1:16" ht="15.75" customHeight="1" x14ac:dyDescent="0.3">
      <c r="A501" s="117" t="s">
        <v>58</v>
      </c>
      <c r="B501" s="9" t="s">
        <v>327</v>
      </c>
      <c r="C501" s="9" t="s">
        <v>79</v>
      </c>
      <c r="D501" s="9" t="s">
        <v>88</v>
      </c>
      <c r="E501" s="10">
        <v>38</v>
      </c>
      <c r="F501" s="9" t="s">
        <v>83</v>
      </c>
      <c r="G501" s="10">
        <v>38</v>
      </c>
      <c r="H501" s="9" t="s">
        <v>186</v>
      </c>
      <c r="I501" s="9" t="s">
        <v>187</v>
      </c>
      <c r="J501" s="9"/>
      <c r="K501" s="9"/>
      <c r="L501" s="9"/>
      <c r="M501" s="12">
        <f t="shared" si="28"/>
        <v>127</v>
      </c>
      <c r="N501" s="13">
        <f t="shared" si="29"/>
        <v>133.5</v>
      </c>
      <c r="O501" s="14">
        <f t="shared" si="30"/>
        <v>260.5</v>
      </c>
      <c r="P501" s="15">
        <f t="shared" si="31"/>
        <v>0.31385542168674696</v>
      </c>
    </row>
    <row r="502" spans="1:16" ht="15.75" customHeight="1" x14ac:dyDescent="0.3">
      <c r="A502" s="117" t="s">
        <v>58</v>
      </c>
      <c r="B502" s="9" t="s">
        <v>327</v>
      </c>
      <c r="C502" s="9" t="s">
        <v>79</v>
      </c>
      <c r="D502" s="9" t="s">
        <v>90</v>
      </c>
      <c r="E502" s="10">
        <v>38</v>
      </c>
      <c r="F502" s="9" t="s">
        <v>83</v>
      </c>
      <c r="G502" s="10">
        <v>38</v>
      </c>
      <c r="H502" s="9" t="s">
        <v>328</v>
      </c>
      <c r="I502" s="9" t="s">
        <v>329</v>
      </c>
      <c r="J502" s="9"/>
      <c r="K502" s="9"/>
      <c r="L502" s="9"/>
      <c r="M502" s="12">
        <f t="shared" si="28"/>
        <v>39</v>
      </c>
      <c r="N502" s="13">
        <f t="shared" si="29"/>
        <v>194</v>
      </c>
      <c r="O502" s="14">
        <f t="shared" si="30"/>
        <v>233</v>
      </c>
      <c r="P502" s="15">
        <f t="shared" si="31"/>
        <v>0.28072289156626506</v>
      </c>
    </row>
    <row r="503" spans="1:16" ht="15.75" customHeight="1" x14ac:dyDescent="0.3">
      <c r="A503" s="117" t="s">
        <v>58</v>
      </c>
      <c r="B503" s="9" t="s">
        <v>327</v>
      </c>
      <c r="C503" s="9" t="s">
        <v>79</v>
      </c>
      <c r="D503" s="9" t="s">
        <v>126</v>
      </c>
      <c r="E503" s="10">
        <v>16</v>
      </c>
      <c r="F503" s="9" t="s">
        <v>127</v>
      </c>
      <c r="G503" s="10">
        <v>16</v>
      </c>
      <c r="H503" s="9" t="s">
        <v>84</v>
      </c>
      <c r="I503" s="9" t="s">
        <v>85</v>
      </c>
      <c r="J503" s="9"/>
      <c r="K503" s="9"/>
      <c r="L503" s="9" t="s">
        <v>267</v>
      </c>
      <c r="M503" s="12">
        <f t="shared" si="28"/>
        <v>284</v>
      </c>
      <c r="N503" s="13">
        <f t="shared" si="29"/>
        <v>691.5</v>
      </c>
      <c r="O503" s="14">
        <f t="shared" si="30"/>
        <v>975.5</v>
      </c>
      <c r="P503" s="15">
        <f t="shared" si="31"/>
        <v>1.175301204819277</v>
      </c>
    </row>
    <row r="504" spans="1:16" ht="15.75" customHeight="1" x14ac:dyDescent="0.3">
      <c r="A504" s="117" t="s">
        <v>58</v>
      </c>
      <c r="B504" s="9" t="s">
        <v>327</v>
      </c>
      <c r="C504" s="9" t="s">
        <v>100</v>
      </c>
      <c r="D504" s="9" t="s">
        <v>126</v>
      </c>
      <c r="E504" s="10">
        <v>24</v>
      </c>
      <c r="F504" s="9" t="s">
        <v>127</v>
      </c>
      <c r="G504" s="10">
        <v>24</v>
      </c>
      <c r="H504" s="9" t="s">
        <v>84</v>
      </c>
      <c r="I504" s="9" t="s">
        <v>85</v>
      </c>
      <c r="J504" s="9"/>
      <c r="K504" s="9"/>
      <c r="L504" s="9" t="s">
        <v>267</v>
      </c>
      <c r="M504" s="12">
        <f t="shared" si="28"/>
        <v>284</v>
      </c>
      <c r="N504" s="13">
        <f t="shared" si="29"/>
        <v>691.5</v>
      </c>
      <c r="O504" s="14">
        <f t="shared" si="30"/>
        <v>975.5</v>
      </c>
      <c r="P504" s="15">
        <f t="shared" si="31"/>
        <v>1.175301204819277</v>
      </c>
    </row>
    <row r="505" spans="1:16" ht="15.75" customHeight="1" x14ac:dyDescent="0.3">
      <c r="A505" s="117" t="s">
        <v>58</v>
      </c>
      <c r="B505" s="9" t="s">
        <v>327</v>
      </c>
      <c r="C505" s="9" t="s">
        <v>80</v>
      </c>
      <c r="D505" s="9" t="s">
        <v>88</v>
      </c>
      <c r="E505" s="10">
        <v>1</v>
      </c>
      <c r="F505" s="9" t="s">
        <v>83</v>
      </c>
      <c r="G505" s="11">
        <v>0</v>
      </c>
      <c r="H505" s="9" t="s">
        <v>186</v>
      </c>
      <c r="I505" s="9" t="s">
        <v>187</v>
      </c>
      <c r="J505" s="9"/>
      <c r="K505" s="9"/>
      <c r="L505" s="9"/>
      <c r="M505" s="12">
        <f t="shared" si="28"/>
        <v>127</v>
      </c>
      <c r="N505" s="13">
        <f t="shared" si="29"/>
        <v>133.5</v>
      </c>
      <c r="O505" s="14">
        <f t="shared" si="30"/>
        <v>260.5</v>
      </c>
      <c r="P505" s="15">
        <f t="shared" si="31"/>
        <v>0.31385542168674696</v>
      </c>
    </row>
    <row r="506" spans="1:16" ht="15.75" customHeight="1" x14ac:dyDescent="0.3">
      <c r="A506" s="117" t="s">
        <v>58</v>
      </c>
      <c r="B506" s="9" t="s">
        <v>327</v>
      </c>
      <c r="C506" s="9" t="s">
        <v>80</v>
      </c>
      <c r="D506" s="9" t="s">
        <v>90</v>
      </c>
      <c r="E506" s="10">
        <v>1</v>
      </c>
      <c r="F506" s="9" t="s">
        <v>83</v>
      </c>
      <c r="G506" s="11">
        <v>0</v>
      </c>
      <c r="H506" s="9" t="s">
        <v>328</v>
      </c>
      <c r="I506" s="9" t="s">
        <v>329</v>
      </c>
      <c r="J506" s="9"/>
      <c r="K506" s="9"/>
      <c r="L506" s="9"/>
      <c r="M506" s="12">
        <f t="shared" si="28"/>
        <v>39</v>
      </c>
      <c r="N506" s="13">
        <f t="shared" si="29"/>
        <v>194</v>
      </c>
      <c r="O506" s="14">
        <f t="shared" si="30"/>
        <v>233</v>
      </c>
      <c r="P506" s="15">
        <f t="shared" si="31"/>
        <v>0.28072289156626506</v>
      </c>
    </row>
    <row r="507" spans="1:16" ht="15.75" customHeight="1" x14ac:dyDescent="0.3">
      <c r="A507" s="117" t="s">
        <v>58</v>
      </c>
      <c r="B507" s="9" t="s">
        <v>327</v>
      </c>
      <c r="C507" s="9" t="s">
        <v>80</v>
      </c>
      <c r="D507" s="9" t="s">
        <v>126</v>
      </c>
      <c r="E507" s="10">
        <v>2</v>
      </c>
      <c r="F507" s="9" t="s">
        <v>127</v>
      </c>
      <c r="G507" s="11">
        <v>0</v>
      </c>
      <c r="H507" s="9" t="s">
        <v>84</v>
      </c>
      <c r="I507" s="9" t="s">
        <v>85</v>
      </c>
      <c r="J507" s="9"/>
      <c r="K507" s="9"/>
      <c r="L507" s="9" t="s">
        <v>89</v>
      </c>
      <c r="M507" s="12">
        <f t="shared" si="28"/>
        <v>284</v>
      </c>
      <c r="N507" s="13">
        <f t="shared" si="29"/>
        <v>691.5</v>
      </c>
      <c r="O507" s="14">
        <f t="shared" si="30"/>
        <v>975.5</v>
      </c>
      <c r="P507" s="15">
        <f t="shared" si="31"/>
        <v>1.175301204819277</v>
      </c>
    </row>
    <row r="508" spans="1:16" ht="15.75" customHeight="1" x14ac:dyDescent="0.3">
      <c r="A508" s="117" t="s">
        <v>58</v>
      </c>
      <c r="B508" s="9" t="s">
        <v>330</v>
      </c>
      <c r="C508" s="9" t="s">
        <v>79</v>
      </c>
      <c r="D508" s="9" t="s">
        <v>287</v>
      </c>
      <c r="E508" s="10">
        <v>72</v>
      </c>
      <c r="F508" s="9"/>
      <c r="G508" s="10">
        <v>72</v>
      </c>
      <c r="H508" s="9" t="s">
        <v>200</v>
      </c>
      <c r="I508" s="9" t="s">
        <v>201</v>
      </c>
      <c r="J508" s="9" t="s">
        <v>4</v>
      </c>
      <c r="K508" s="9"/>
      <c r="L508" s="9" t="s">
        <v>202</v>
      </c>
      <c r="M508" s="12">
        <f t="shared" si="28"/>
        <v>647</v>
      </c>
      <c r="N508" s="13">
        <f t="shared" si="29"/>
        <v>461.5</v>
      </c>
      <c r="O508" s="14">
        <f t="shared" si="30"/>
        <v>1108.5</v>
      </c>
      <c r="P508" s="15">
        <f t="shared" si="31"/>
        <v>1.3355421686746989</v>
      </c>
    </row>
    <row r="509" spans="1:16" ht="15.75" customHeight="1" x14ac:dyDescent="0.3">
      <c r="A509" s="117" t="s">
        <v>58</v>
      </c>
      <c r="B509" s="9" t="s">
        <v>330</v>
      </c>
      <c r="C509" s="9" t="s">
        <v>111</v>
      </c>
      <c r="D509" s="9" t="s">
        <v>287</v>
      </c>
      <c r="E509" s="10">
        <v>4</v>
      </c>
      <c r="F509" s="9"/>
      <c r="G509" s="11">
        <v>0</v>
      </c>
      <c r="H509" s="9" t="s">
        <v>200</v>
      </c>
      <c r="I509" s="9" t="s">
        <v>201</v>
      </c>
      <c r="J509" s="9" t="s">
        <v>4</v>
      </c>
      <c r="K509" s="9"/>
      <c r="L509" s="9" t="s">
        <v>202</v>
      </c>
      <c r="M509" s="12">
        <f t="shared" si="28"/>
        <v>647</v>
      </c>
      <c r="N509" s="13">
        <f t="shared" si="29"/>
        <v>461.5</v>
      </c>
      <c r="O509" s="14">
        <f t="shared" si="30"/>
        <v>1108.5</v>
      </c>
      <c r="P509" s="15">
        <f t="shared" si="31"/>
        <v>1.3355421686746989</v>
      </c>
    </row>
    <row r="510" spans="1:16" ht="15.75" customHeight="1" x14ac:dyDescent="0.3">
      <c r="A510" s="117" t="s">
        <v>58</v>
      </c>
      <c r="B510" s="9" t="s">
        <v>330</v>
      </c>
      <c r="C510" s="9" t="s">
        <v>80</v>
      </c>
      <c r="D510" s="9" t="s">
        <v>287</v>
      </c>
      <c r="E510" s="10">
        <v>2</v>
      </c>
      <c r="F510" s="9"/>
      <c r="G510" s="11">
        <v>0</v>
      </c>
      <c r="H510" s="9" t="s">
        <v>200</v>
      </c>
      <c r="I510" s="9" t="s">
        <v>201</v>
      </c>
      <c r="J510" s="9" t="s">
        <v>4</v>
      </c>
      <c r="K510" s="9"/>
      <c r="L510" s="9" t="s">
        <v>202</v>
      </c>
      <c r="M510" s="12">
        <f t="shared" si="28"/>
        <v>647</v>
      </c>
      <c r="N510" s="13">
        <f t="shared" si="29"/>
        <v>461.5</v>
      </c>
      <c r="O510" s="14">
        <f t="shared" si="30"/>
        <v>1108.5</v>
      </c>
      <c r="P510" s="15">
        <f t="shared" si="31"/>
        <v>1.3355421686746989</v>
      </c>
    </row>
    <row r="511" spans="1:16" ht="15.75" customHeight="1" x14ac:dyDescent="0.3">
      <c r="A511" s="117" t="s">
        <v>58</v>
      </c>
      <c r="B511" s="9" t="s">
        <v>331</v>
      </c>
      <c r="C511" s="9" t="s">
        <v>73</v>
      </c>
      <c r="D511" s="9" t="s">
        <v>132</v>
      </c>
      <c r="E511" s="10">
        <v>14</v>
      </c>
      <c r="F511" s="9" t="s">
        <v>133</v>
      </c>
      <c r="G511" s="10">
        <v>14</v>
      </c>
      <c r="H511" s="9" t="s">
        <v>200</v>
      </c>
      <c r="I511" s="9" t="s">
        <v>201</v>
      </c>
      <c r="J511" s="9" t="s">
        <v>4</v>
      </c>
      <c r="K511" s="9"/>
      <c r="L511" s="9"/>
      <c r="M511" s="12">
        <f t="shared" si="28"/>
        <v>647</v>
      </c>
      <c r="N511" s="13">
        <f t="shared" si="29"/>
        <v>461.5</v>
      </c>
      <c r="O511" s="14">
        <f t="shared" si="30"/>
        <v>1108.5</v>
      </c>
      <c r="P511" s="15">
        <f t="shared" si="31"/>
        <v>1.3355421686746989</v>
      </c>
    </row>
    <row r="512" spans="1:16" ht="15.75" customHeight="1" x14ac:dyDescent="0.3">
      <c r="A512" s="117" t="s">
        <v>58</v>
      </c>
      <c r="B512" s="9" t="s">
        <v>331</v>
      </c>
      <c r="C512" s="9" t="s">
        <v>79</v>
      </c>
      <c r="D512" s="9" t="s">
        <v>132</v>
      </c>
      <c r="E512" s="10">
        <v>24</v>
      </c>
      <c r="F512" s="9" t="s">
        <v>133</v>
      </c>
      <c r="G512" s="10">
        <v>24</v>
      </c>
      <c r="H512" s="9" t="s">
        <v>200</v>
      </c>
      <c r="I512" s="9" t="s">
        <v>201</v>
      </c>
      <c r="J512" s="9" t="s">
        <v>4</v>
      </c>
      <c r="K512" s="9"/>
      <c r="L512" s="9"/>
      <c r="M512" s="12">
        <f t="shared" si="28"/>
        <v>647</v>
      </c>
      <c r="N512" s="13">
        <f t="shared" si="29"/>
        <v>461.5</v>
      </c>
      <c r="O512" s="14">
        <f t="shared" si="30"/>
        <v>1108.5</v>
      </c>
      <c r="P512" s="15">
        <f t="shared" si="31"/>
        <v>1.3355421686746989</v>
      </c>
    </row>
    <row r="513" spans="1:16" ht="15.75" customHeight="1" x14ac:dyDescent="0.3">
      <c r="A513" s="117" t="s">
        <v>58</v>
      </c>
      <c r="B513" s="9" t="s">
        <v>331</v>
      </c>
      <c r="C513" s="9" t="s">
        <v>142</v>
      </c>
      <c r="D513" s="9" t="s">
        <v>132</v>
      </c>
      <c r="E513" s="10">
        <v>2</v>
      </c>
      <c r="F513" s="9" t="s">
        <v>133</v>
      </c>
      <c r="G513" s="11">
        <v>0</v>
      </c>
      <c r="H513" s="9" t="s">
        <v>200</v>
      </c>
      <c r="I513" s="9" t="s">
        <v>201</v>
      </c>
      <c r="J513" s="9" t="s">
        <v>4</v>
      </c>
      <c r="K513" s="9"/>
      <c r="L513" s="9"/>
      <c r="M513" s="12">
        <f t="shared" si="28"/>
        <v>647</v>
      </c>
      <c r="N513" s="13">
        <f t="shared" si="29"/>
        <v>461.5</v>
      </c>
      <c r="O513" s="14">
        <f t="shared" si="30"/>
        <v>1108.5</v>
      </c>
      <c r="P513" s="15">
        <f t="shared" si="31"/>
        <v>1.3355421686746989</v>
      </c>
    </row>
    <row r="514" spans="1:16" ht="15.75" customHeight="1" x14ac:dyDescent="0.3">
      <c r="A514" s="117" t="s">
        <v>58</v>
      </c>
      <c r="B514" s="9" t="s">
        <v>331</v>
      </c>
      <c r="C514" s="9" t="s">
        <v>80</v>
      </c>
      <c r="D514" s="9" t="s">
        <v>132</v>
      </c>
      <c r="E514" s="10">
        <v>1</v>
      </c>
      <c r="F514" s="9" t="s">
        <v>133</v>
      </c>
      <c r="G514" s="11">
        <v>0</v>
      </c>
      <c r="H514" s="9" t="s">
        <v>200</v>
      </c>
      <c r="I514" s="9" t="s">
        <v>201</v>
      </c>
      <c r="J514" s="9" t="s">
        <v>4</v>
      </c>
      <c r="K514" s="9"/>
      <c r="L514" s="9"/>
      <c r="M514" s="12">
        <f t="shared" ref="M514:M577" si="32">SUMIFS($E$2:$E$1130,$A$2:$A$1130,"осень",$I$2:$I$1130,I514)</f>
        <v>647</v>
      </c>
      <c r="N514" s="13">
        <f t="shared" ref="N514:N577" si="33">SUMIFS($E$2:$E$1130,$A$2:$A$1130,"весна",$I$2:$I$1130,I514)</f>
        <v>461.5</v>
      </c>
      <c r="O514" s="14">
        <f t="shared" ref="O514:O577" si="34">M514+N514</f>
        <v>1108.5</v>
      </c>
      <c r="P514" s="15">
        <f t="shared" ref="P514:P577" si="35">O514/$P$1</f>
        <v>1.3355421686746989</v>
      </c>
    </row>
    <row r="515" spans="1:16" ht="15.75" customHeight="1" x14ac:dyDescent="0.3">
      <c r="A515" s="117" t="s">
        <v>58</v>
      </c>
      <c r="B515" s="9" t="s">
        <v>332</v>
      </c>
      <c r="C515" s="9" t="s">
        <v>333</v>
      </c>
      <c r="D515" s="9" t="s">
        <v>165</v>
      </c>
      <c r="E515" s="10">
        <v>15</v>
      </c>
      <c r="F515" s="9"/>
      <c r="G515" s="11">
        <v>0</v>
      </c>
      <c r="H515" s="9" t="s">
        <v>200</v>
      </c>
      <c r="I515" s="9" t="s">
        <v>201</v>
      </c>
      <c r="J515" s="9" t="s">
        <v>4</v>
      </c>
      <c r="K515" s="9"/>
      <c r="L515" s="9" t="s">
        <v>197</v>
      </c>
      <c r="M515" s="12">
        <f t="shared" si="32"/>
        <v>647</v>
      </c>
      <c r="N515" s="13">
        <f t="shared" si="33"/>
        <v>461.5</v>
      </c>
      <c r="O515" s="14">
        <f t="shared" si="34"/>
        <v>1108.5</v>
      </c>
      <c r="P515" s="15">
        <f t="shared" si="35"/>
        <v>1.3355421686746989</v>
      </c>
    </row>
    <row r="516" spans="1:16" ht="15.75" customHeight="1" x14ac:dyDescent="0.3">
      <c r="A516" s="117" t="s">
        <v>58</v>
      </c>
      <c r="B516" s="9" t="s">
        <v>332</v>
      </c>
      <c r="C516" s="9" t="s">
        <v>333</v>
      </c>
      <c r="D516" s="9" t="s">
        <v>237</v>
      </c>
      <c r="E516" s="10">
        <v>13</v>
      </c>
      <c r="F516" s="9"/>
      <c r="G516" s="11">
        <v>0</v>
      </c>
      <c r="H516" s="9" t="s">
        <v>65</v>
      </c>
      <c r="I516" s="9" t="s">
        <v>66</v>
      </c>
      <c r="J516" s="9" t="s">
        <v>4</v>
      </c>
      <c r="K516" s="9"/>
      <c r="L516" s="9"/>
      <c r="M516" s="12">
        <f t="shared" si="32"/>
        <v>291</v>
      </c>
      <c r="N516" s="13">
        <f t="shared" si="33"/>
        <v>650.5</v>
      </c>
      <c r="O516" s="14">
        <f t="shared" si="34"/>
        <v>941.5</v>
      </c>
      <c r="P516" s="15">
        <f t="shared" si="35"/>
        <v>1.1343373493975903</v>
      </c>
    </row>
    <row r="517" spans="1:16" ht="15.75" customHeight="1" x14ac:dyDescent="0.3">
      <c r="A517" s="117" t="s">
        <v>58</v>
      </c>
      <c r="B517" s="9" t="s">
        <v>332</v>
      </c>
      <c r="C517" s="9" t="s">
        <v>333</v>
      </c>
      <c r="D517" s="9" t="s">
        <v>152</v>
      </c>
      <c r="E517" s="10">
        <v>15</v>
      </c>
      <c r="F517" s="9"/>
      <c r="G517" s="11">
        <v>0</v>
      </c>
      <c r="H517" s="9" t="s">
        <v>257</v>
      </c>
      <c r="I517" s="9" t="s">
        <v>258</v>
      </c>
      <c r="J517" s="9" t="s">
        <v>8</v>
      </c>
      <c r="K517" s="9"/>
      <c r="L517" s="9"/>
      <c r="M517" s="12">
        <f t="shared" si="32"/>
        <v>331</v>
      </c>
      <c r="N517" s="13">
        <f t="shared" si="33"/>
        <v>520</v>
      </c>
      <c r="O517" s="14">
        <f t="shared" si="34"/>
        <v>851</v>
      </c>
      <c r="P517" s="15">
        <f t="shared" si="35"/>
        <v>1.0253012048192771</v>
      </c>
    </row>
    <row r="518" spans="1:16" ht="15.75" customHeight="1" x14ac:dyDescent="0.3">
      <c r="A518" s="117" t="s">
        <v>58</v>
      </c>
      <c r="B518" s="9" t="s">
        <v>332</v>
      </c>
      <c r="C518" s="9" t="s">
        <v>333</v>
      </c>
      <c r="D518" s="9" t="s">
        <v>144</v>
      </c>
      <c r="E518" s="10">
        <v>19</v>
      </c>
      <c r="F518" s="9"/>
      <c r="G518" s="11">
        <v>0</v>
      </c>
      <c r="H518" s="9" t="s">
        <v>146</v>
      </c>
      <c r="I518" s="9" t="s">
        <v>147</v>
      </c>
      <c r="J518" s="9"/>
      <c r="K518" s="9"/>
      <c r="L518" s="9" t="s">
        <v>334</v>
      </c>
      <c r="M518" s="12">
        <f t="shared" si="32"/>
        <v>279</v>
      </c>
      <c r="N518" s="13">
        <f t="shared" si="33"/>
        <v>475.5</v>
      </c>
      <c r="O518" s="14">
        <f t="shared" si="34"/>
        <v>754.5</v>
      </c>
      <c r="P518" s="15">
        <f t="shared" si="35"/>
        <v>0.90903614457831328</v>
      </c>
    </row>
    <row r="519" spans="1:16" ht="15.75" customHeight="1" x14ac:dyDescent="0.3">
      <c r="A519" s="117" t="s">
        <v>58</v>
      </c>
      <c r="B519" s="9" t="s">
        <v>335</v>
      </c>
      <c r="C519" s="9" t="s">
        <v>333</v>
      </c>
      <c r="D519" s="9" t="s">
        <v>287</v>
      </c>
      <c r="E519" s="10">
        <v>28</v>
      </c>
      <c r="F519" s="9"/>
      <c r="G519" s="11">
        <v>0</v>
      </c>
      <c r="H519" s="21" t="s">
        <v>70</v>
      </c>
      <c r="I519" s="21" t="s">
        <v>71</v>
      </c>
      <c r="J519" s="9"/>
      <c r="K519" s="9"/>
      <c r="L519" s="9"/>
      <c r="M519" s="12">
        <f t="shared" si="32"/>
        <v>391</v>
      </c>
      <c r="N519" s="13">
        <f t="shared" si="33"/>
        <v>436.5</v>
      </c>
      <c r="O519" s="14">
        <f t="shared" si="34"/>
        <v>827.5</v>
      </c>
      <c r="P519" s="15">
        <f t="shared" si="35"/>
        <v>0.99698795180722888</v>
      </c>
    </row>
    <row r="520" spans="1:16" ht="15.75" customHeight="1" x14ac:dyDescent="0.3">
      <c r="A520" s="117" t="s">
        <v>58</v>
      </c>
      <c r="B520" s="9" t="s">
        <v>335</v>
      </c>
      <c r="C520" s="9" t="s">
        <v>333</v>
      </c>
      <c r="D520" s="9" t="s">
        <v>165</v>
      </c>
      <c r="E520" s="10">
        <v>15</v>
      </c>
      <c r="F520" s="9"/>
      <c r="G520" s="11">
        <v>0</v>
      </c>
      <c r="H520" s="21" t="s">
        <v>70</v>
      </c>
      <c r="I520" s="21" t="s">
        <v>71</v>
      </c>
      <c r="J520" s="9"/>
      <c r="K520" s="9"/>
      <c r="L520" s="9"/>
      <c r="M520" s="12">
        <f t="shared" si="32"/>
        <v>391</v>
      </c>
      <c r="N520" s="13">
        <f t="shared" si="33"/>
        <v>436.5</v>
      </c>
      <c r="O520" s="14">
        <f t="shared" si="34"/>
        <v>827.5</v>
      </c>
      <c r="P520" s="15">
        <f t="shared" si="35"/>
        <v>0.99698795180722888</v>
      </c>
    </row>
    <row r="521" spans="1:16" ht="15.75" customHeight="1" x14ac:dyDescent="0.3">
      <c r="A521" s="117" t="s">
        <v>58</v>
      </c>
      <c r="B521" s="9" t="s">
        <v>335</v>
      </c>
      <c r="C521" s="9" t="s">
        <v>333</v>
      </c>
      <c r="D521" s="9" t="s">
        <v>237</v>
      </c>
      <c r="E521" s="10">
        <v>13</v>
      </c>
      <c r="F521" s="9"/>
      <c r="G521" s="11">
        <v>0</v>
      </c>
      <c r="H521" s="21" t="s">
        <v>70</v>
      </c>
      <c r="I521" s="21" t="s">
        <v>71</v>
      </c>
      <c r="J521" s="9"/>
      <c r="K521" s="9"/>
      <c r="L521" s="9"/>
      <c r="M521" s="12">
        <f t="shared" si="32"/>
        <v>391</v>
      </c>
      <c r="N521" s="13">
        <f t="shared" si="33"/>
        <v>436.5</v>
      </c>
      <c r="O521" s="14">
        <f t="shared" si="34"/>
        <v>827.5</v>
      </c>
      <c r="P521" s="15">
        <f t="shared" si="35"/>
        <v>0.99698795180722888</v>
      </c>
    </row>
    <row r="522" spans="1:16" ht="15.75" customHeight="1" x14ac:dyDescent="0.3">
      <c r="A522" s="117" t="s">
        <v>58</v>
      </c>
      <c r="B522" s="9" t="s">
        <v>335</v>
      </c>
      <c r="C522" s="9" t="s">
        <v>333</v>
      </c>
      <c r="D522" s="9" t="s">
        <v>152</v>
      </c>
      <c r="E522" s="10">
        <v>15</v>
      </c>
      <c r="F522" s="9"/>
      <c r="G522" s="11">
        <v>0</v>
      </c>
      <c r="H522" s="21" t="s">
        <v>70</v>
      </c>
      <c r="I522" s="21" t="s">
        <v>71</v>
      </c>
      <c r="J522" s="9"/>
      <c r="K522" s="9"/>
      <c r="L522" s="9"/>
      <c r="M522" s="12">
        <f t="shared" si="32"/>
        <v>391</v>
      </c>
      <c r="N522" s="13">
        <f t="shared" si="33"/>
        <v>436.5</v>
      </c>
      <c r="O522" s="14">
        <f t="shared" si="34"/>
        <v>827.5</v>
      </c>
      <c r="P522" s="15">
        <f t="shared" si="35"/>
        <v>0.99698795180722888</v>
      </c>
    </row>
    <row r="523" spans="1:16" ht="15.75" customHeight="1" x14ac:dyDescent="0.3">
      <c r="A523" s="117" t="s">
        <v>58</v>
      </c>
      <c r="B523" s="9" t="s">
        <v>335</v>
      </c>
      <c r="C523" s="9" t="s">
        <v>333</v>
      </c>
      <c r="D523" s="9" t="s">
        <v>144</v>
      </c>
      <c r="E523" s="10">
        <v>19</v>
      </c>
      <c r="F523" s="9"/>
      <c r="G523" s="11">
        <v>0</v>
      </c>
      <c r="H523" s="21" t="s">
        <v>70</v>
      </c>
      <c r="I523" s="21" t="s">
        <v>71</v>
      </c>
      <c r="J523" s="9"/>
      <c r="K523" s="9"/>
      <c r="L523" s="9"/>
      <c r="M523" s="12">
        <f t="shared" si="32"/>
        <v>391</v>
      </c>
      <c r="N523" s="13">
        <f t="shared" si="33"/>
        <v>436.5</v>
      </c>
      <c r="O523" s="14">
        <f t="shared" si="34"/>
        <v>827.5</v>
      </c>
      <c r="P523" s="15">
        <f t="shared" si="35"/>
        <v>0.99698795180722888</v>
      </c>
    </row>
    <row r="524" spans="1:16" ht="15.75" customHeight="1" x14ac:dyDescent="0.3">
      <c r="A524" s="117" t="s">
        <v>58</v>
      </c>
      <c r="B524" s="21" t="s">
        <v>336</v>
      </c>
      <c r="C524" s="21" t="s">
        <v>336</v>
      </c>
      <c r="D524" s="21" t="s">
        <v>134</v>
      </c>
      <c r="E524" s="23">
        <v>30</v>
      </c>
      <c r="F524" s="24"/>
      <c r="G524" s="25">
        <v>0</v>
      </c>
      <c r="H524" s="24" t="s">
        <v>230</v>
      </c>
      <c r="I524" s="24" t="s">
        <v>231</v>
      </c>
      <c r="J524" s="24" t="s">
        <v>4</v>
      </c>
      <c r="K524" s="24"/>
      <c r="L524" s="24" t="s">
        <v>337</v>
      </c>
      <c r="M524" s="12">
        <f t="shared" si="32"/>
        <v>116</v>
      </c>
      <c r="N524" s="13">
        <f t="shared" si="33"/>
        <v>105</v>
      </c>
      <c r="O524" s="14">
        <f t="shared" si="34"/>
        <v>221</v>
      </c>
      <c r="P524" s="15">
        <f t="shared" si="35"/>
        <v>0.26626506024096386</v>
      </c>
    </row>
    <row r="525" spans="1:16" ht="15.75" customHeight="1" x14ac:dyDescent="0.3">
      <c r="A525" s="117" t="s">
        <v>58</v>
      </c>
      <c r="B525" s="21" t="s">
        <v>336</v>
      </c>
      <c r="C525" s="21" t="s">
        <v>336</v>
      </c>
      <c r="D525" s="21" t="s">
        <v>134</v>
      </c>
      <c r="E525" s="23">
        <v>30</v>
      </c>
      <c r="F525" s="24"/>
      <c r="G525" s="25">
        <v>0</v>
      </c>
      <c r="H525" s="24" t="s">
        <v>128</v>
      </c>
      <c r="I525" s="24" t="s">
        <v>129</v>
      </c>
      <c r="J525" s="24" t="s">
        <v>8</v>
      </c>
      <c r="K525" s="24"/>
      <c r="L525" s="24" t="s">
        <v>337</v>
      </c>
      <c r="M525" s="12">
        <f t="shared" si="32"/>
        <v>348</v>
      </c>
      <c r="N525" s="13">
        <f t="shared" si="33"/>
        <v>583</v>
      </c>
      <c r="O525" s="14">
        <f t="shared" si="34"/>
        <v>931</v>
      </c>
      <c r="P525" s="15">
        <f t="shared" si="35"/>
        <v>1.1216867469879519</v>
      </c>
    </row>
    <row r="526" spans="1:16" ht="15.75" customHeight="1" x14ac:dyDescent="0.3">
      <c r="A526" s="117" t="s">
        <v>58</v>
      </c>
      <c r="B526" s="21" t="s">
        <v>336</v>
      </c>
      <c r="C526" s="21" t="s">
        <v>336</v>
      </c>
      <c r="D526" s="21" t="s">
        <v>134</v>
      </c>
      <c r="E526" s="23">
        <v>15</v>
      </c>
      <c r="F526" s="24"/>
      <c r="G526" s="25">
        <v>0</v>
      </c>
      <c r="H526" s="24" t="s">
        <v>171</v>
      </c>
      <c r="I526" s="24" t="s">
        <v>172</v>
      </c>
      <c r="J526" s="24" t="s">
        <v>8</v>
      </c>
      <c r="K526" s="24"/>
      <c r="L526" s="24" t="s">
        <v>338</v>
      </c>
      <c r="M526" s="12">
        <f t="shared" si="32"/>
        <v>339</v>
      </c>
      <c r="N526" s="13">
        <f t="shared" si="33"/>
        <v>296</v>
      </c>
      <c r="O526" s="14">
        <f t="shared" si="34"/>
        <v>635</v>
      </c>
      <c r="P526" s="15">
        <f t="shared" si="35"/>
        <v>0.76506024096385539</v>
      </c>
    </row>
    <row r="527" spans="1:16" ht="15.75" customHeight="1" x14ac:dyDescent="0.3">
      <c r="A527" s="117" t="s">
        <v>58</v>
      </c>
      <c r="B527" s="21" t="s">
        <v>336</v>
      </c>
      <c r="C527" s="21" t="s">
        <v>336</v>
      </c>
      <c r="D527" s="21" t="s">
        <v>134</v>
      </c>
      <c r="E527" s="23">
        <v>15</v>
      </c>
      <c r="F527" s="24"/>
      <c r="G527" s="25">
        <v>0</v>
      </c>
      <c r="H527" s="24" t="s">
        <v>174</v>
      </c>
      <c r="I527" s="24" t="s">
        <v>175</v>
      </c>
      <c r="J527" s="24" t="s">
        <v>8</v>
      </c>
      <c r="K527" s="24"/>
      <c r="L527" s="24" t="s">
        <v>338</v>
      </c>
      <c r="M527" s="12">
        <f t="shared" si="32"/>
        <v>320</v>
      </c>
      <c r="N527" s="13">
        <f t="shared" si="33"/>
        <v>169</v>
      </c>
      <c r="O527" s="14">
        <f t="shared" si="34"/>
        <v>489</v>
      </c>
      <c r="P527" s="15">
        <f t="shared" si="35"/>
        <v>0.58915662650602407</v>
      </c>
    </row>
    <row r="528" spans="1:16" ht="15.75" customHeight="1" x14ac:dyDescent="0.3">
      <c r="A528" s="117" t="s">
        <v>58</v>
      </c>
      <c r="B528" s="21" t="s">
        <v>336</v>
      </c>
      <c r="C528" s="21" t="s">
        <v>336</v>
      </c>
      <c r="D528" s="21" t="s">
        <v>139</v>
      </c>
      <c r="E528" s="23">
        <v>15</v>
      </c>
      <c r="F528" s="9"/>
      <c r="G528" s="11">
        <v>0</v>
      </c>
      <c r="H528" s="9" t="s">
        <v>65</v>
      </c>
      <c r="I528" s="9" t="s">
        <v>66</v>
      </c>
      <c r="J528" s="9" t="s">
        <v>4</v>
      </c>
      <c r="K528" s="9"/>
      <c r="L528" s="9" t="s">
        <v>338</v>
      </c>
      <c r="M528" s="12">
        <f t="shared" si="32"/>
        <v>291</v>
      </c>
      <c r="N528" s="13">
        <f t="shared" si="33"/>
        <v>650.5</v>
      </c>
      <c r="O528" s="14">
        <f t="shared" si="34"/>
        <v>941.5</v>
      </c>
      <c r="P528" s="15">
        <f t="shared" si="35"/>
        <v>1.1343373493975903</v>
      </c>
    </row>
    <row r="529" spans="1:16" ht="15.75" customHeight="1" x14ac:dyDescent="0.3">
      <c r="A529" s="117" t="s">
        <v>58</v>
      </c>
      <c r="B529" s="21" t="s">
        <v>336</v>
      </c>
      <c r="C529" s="21" t="s">
        <v>336</v>
      </c>
      <c r="D529" s="21" t="s">
        <v>139</v>
      </c>
      <c r="E529" s="23">
        <v>15</v>
      </c>
      <c r="F529" s="9"/>
      <c r="G529" s="11">
        <v>0</v>
      </c>
      <c r="H529" s="9" t="s">
        <v>272</v>
      </c>
      <c r="I529" s="9" t="s">
        <v>273</v>
      </c>
      <c r="J529" s="9" t="s">
        <v>8</v>
      </c>
      <c r="K529" s="9"/>
      <c r="L529" s="9" t="s">
        <v>338</v>
      </c>
      <c r="M529" s="12">
        <f t="shared" si="32"/>
        <v>552</v>
      </c>
      <c r="N529" s="13">
        <f t="shared" si="33"/>
        <v>171</v>
      </c>
      <c r="O529" s="14">
        <f t="shared" si="34"/>
        <v>723</v>
      </c>
      <c r="P529" s="15">
        <f t="shared" si="35"/>
        <v>0.87108433734939761</v>
      </c>
    </row>
    <row r="530" spans="1:16" ht="15.75" customHeight="1" x14ac:dyDescent="0.3">
      <c r="A530" s="117" t="s">
        <v>58</v>
      </c>
      <c r="B530" s="21" t="s">
        <v>336</v>
      </c>
      <c r="C530" s="21" t="s">
        <v>336</v>
      </c>
      <c r="D530" s="21" t="s">
        <v>139</v>
      </c>
      <c r="E530" s="23">
        <v>15</v>
      </c>
      <c r="F530" s="9"/>
      <c r="G530" s="11">
        <v>0</v>
      </c>
      <c r="H530" s="9" t="s">
        <v>63</v>
      </c>
      <c r="I530" s="9" t="s">
        <v>64</v>
      </c>
      <c r="J530" s="9" t="s">
        <v>4</v>
      </c>
      <c r="K530" s="9"/>
      <c r="L530" s="9" t="s">
        <v>338</v>
      </c>
      <c r="M530" s="12">
        <f t="shared" si="32"/>
        <v>284</v>
      </c>
      <c r="N530" s="13">
        <f t="shared" si="33"/>
        <v>140</v>
      </c>
      <c r="O530" s="14">
        <f t="shared" si="34"/>
        <v>424</v>
      </c>
      <c r="P530" s="15">
        <f t="shared" si="35"/>
        <v>0.51084337349397591</v>
      </c>
    </row>
    <row r="531" spans="1:16" ht="15.75" customHeight="1" x14ac:dyDescent="0.3">
      <c r="A531" s="117" t="s">
        <v>58</v>
      </c>
      <c r="B531" s="21" t="s">
        <v>336</v>
      </c>
      <c r="C531" s="21" t="s">
        <v>336</v>
      </c>
      <c r="D531" s="21" t="s">
        <v>139</v>
      </c>
      <c r="E531" s="23">
        <v>15</v>
      </c>
      <c r="F531" s="9"/>
      <c r="G531" s="11">
        <v>0</v>
      </c>
      <c r="H531" s="9" t="s">
        <v>70</v>
      </c>
      <c r="I531" s="9" t="s">
        <v>71</v>
      </c>
      <c r="J531" s="9"/>
      <c r="K531" s="9"/>
      <c r="L531" s="9" t="s">
        <v>338</v>
      </c>
      <c r="M531" s="12">
        <f t="shared" si="32"/>
        <v>391</v>
      </c>
      <c r="N531" s="13">
        <f t="shared" si="33"/>
        <v>436.5</v>
      </c>
      <c r="O531" s="14">
        <f t="shared" si="34"/>
        <v>827.5</v>
      </c>
      <c r="P531" s="15">
        <f t="shared" si="35"/>
        <v>0.99698795180722888</v>
      </c>
    </row>
    <row r="532" spans="1:16" ht="15.75" customHeight="1" x14ac:dyDescent="0.3">
      <c r="A532" s="117" t="s">
        <v>58</v>
      </c>
      <c r="B532" s="21" t="s">
        <v>336</v>
      </c>
      <c r="C532" s="21" t="s">
        <v>336</v>
      </c>
      <c r="D532" s="21" t="s">
        <v>139</v>
      </c>
      <c r="E532" s="23">
        <v>15</v>
      </c>
      <c r="F532" s="9"/>
      <c r="G532" s="11">
        <v>0</v>
      </c>
      <c r="H532" s="9" t="s">
        <v>115</v>
      </c>
      <c r="I532" s="9" t="s">
        <v>116</v>
      </c>
      <c r="J532" s="9" t="s">
        <v>4</v>
      </c>
      <c r="K532" s="9"/>
      <c r="L532" s="9" t="s">
        <v>338</v>
      </c>
      <c r="M532" s="12">
        <f t="shared" si="32"/>
        <v>353</v>
      </c>
      <c r="N532" s="13">
        <f t="shared" si="33"/>
        <v>367</v>
      </c>
      <c r="O532" s="14">
        <f t="shared" si="34"/>
        <v>720</v>
      </c>
      <c r="P532" s="15">
        <f t="shared" si="35"/>
        <v>0.86746987951807231</v>
      </c>
    </row>
    <row r="533" spans="1:16" ht="15.75" customHeight="1" x14ac:dyDescent="0.3">
      <c r="A533" s="117" t="s">
        <v>58</v>
      </c>
      <c r="B533" s="21" t="s">
        <v>336</v>
      </c>
      <c r="C533" s="21" t="s">
        <v>336</v>
      </c>
      <c r="D533" s="21" t="s">
        <v>140</v>
      </c>
      <c r="E533" s="23">
        <v>30</v>
      </c>
      <c r="F533" s="9"/>
      <c r="G533" s="11">
        <v>0</v>
      </c>
      <c r="H533" s="9" t="s">
        <v>154</v>
      </c>
      <c r="I533" s="9" t="s">
        <v>155</v>
      </c>
      <c r="J533" s="9"/>
      <c r="K533" s="9" t="s">
        <v>337</v>
      </c>
      <c r="L533" s="9"/>
      <c r="M533" s="12">
        <f t="shared" si="32"/>
        <v>370</v>
      </c>
      <c r="N533" s="13">
        <f t="shared" si="33"/>
        <v>124.5</v>
      </c>
      <c r="O533" s="14">
        <f t="shared" si="34"/>
        <v>494.5</v>
      </c>
      <c r="P533" s="15">
        <f t="shared" si="35"/>
        <v>0.5957831325301205</v>
      </c>
    </row>
    <row r="534" spans="1:16" ht="15.75" customHeight="1" x14ac:dyDescent="0.3">
      <c r="A534" s="117" t="s">
        <v>58</v>
      </c>
      <c r="B534" s="21" t="s">
        <v>336</v>
      </c>
      <c r="C534" s="21" t="s">
        <v>336</v>
      </c>
      <c r="D534" s="21" t="s">
        <v>140</v>
      </c>
      <c r="E534" s="23">
        <v>30</v>
      </c>
      <c r="F534" s="9"/>
      <c r="G534" s="11">
        <v>0</v>
      </c>
      <c r="H534" s="9" t="s">
        <v>96</v>
      </c>
      <c r="I534" s="9" t="s">
        <v>97</v>
      </c>
      <c r="J534" s="9" t="s">
        <v>8</v>
      </c>
      <c r="K534" s="9" t="s">
        <v>337</v>
      </c>
      <c r="L534" s="9"/>
      <c r="M534" s="12">
        <f t="shared" si="32"/>
        <v>501</v>
      </c>
      <c r="N534" s="13">
        <f t="shared" si="33"/>
        <v>486.5</v>
      </c>
      <c r="O534" s="14">
        <f t="shared" si="34"/>
        <v>987.5</v>
      </c>
      <c r="P534" s="15">
        <f t="shared" si="35"/>
        <v>1.1897590361445782</v>
      </c>
    </row>
    <row r="535" spans="1:16" ht="15.75" customHeight="1" x14ac:dyDescent="0.3">
      <c r="A535" s="117" t="s">
        <v>58</v>
      </c>
      <c r="B535" s="21" t="s">
        <v>336</v>
      </c>
      <c r="C535" s="21" t="s">
        <v>336</v>
      </c>
      <c r="D535" s="21" t="s">
        <v>140</v>
      </c>
      <c r="E535" s="23">
        <v>15</v>
      </c>
      <c r="F535" s="9"/>
      <c r="G535" s="11">
        <v>0</v>
      </c>
      <c r="H535" s="9" t="s">
        <v>250</v>
      </c>
      <c r="I535" s="9" t="s">
        <v>251</v>
      </c>
      <c r="J535" s="9"/>
      <c r="K535" s="9" t="s">
        <v>338</v>
      </c>
      <c r="L535" s="9"/>
      <c r="M535" s="12">
        <f t="shared" si="32"/>
        <v>179</v>
      </c>
      <c r="N535" s="13">
        <f t="shared" si="33"/>
        <v>72</v>
      </c>
      <c r="O535" s="14">
        <f t="shared" si="34"/>
        <v>251</v>
      </c>
      <c r="P535" s="15">
        <f t="shared" si="35"/>
        <v>0.30240963855421688</v>
      </c>
    </row>
    <row r="536" spans="1:16" ht="15.75" customHeight="1" x14ac:dyDescent="0.3">
      <c r="A536" s="117" t="s">
        <v>58</v>
      </c>
      <c r="B536" s="21" t="s">
        <v>336</v>
      </c>
      <c r="C536" s="21" t="s">
        <v>336</v>
      </c>
      <c r="D536" s="21" t="s">
        <v>141</v>
      </c>
      <c r="E536" s="10">
        <v>30</v>
      </c>
      <c r="F536" s="9"/>
      <c r="G536" s="11">
        <v>0</v>
      </c>
      <c r="H536" s="9" t="s">
        <v>146</v>
      </c>
      <c r="I536" s="9" t="s">
        <v>147</v>
      </c>
      <c r="J536" s="9"/>
      <c r="K536" s="9" t="s">
        <v>337</v>
      </c>
      <c r="L536" s="9" t="s">
        <v>334</v>
      </c>
      <c r="M536" s="12">
        <f t="shared" si="32"/>
        <v>279</v>
      </c>
      <c r="N536" s="13">
        <f t="shared" si="33"/>
        <v>475.5</v>
      </c>
      <c r="O536" s="14">
        <f t="shared" si="34"/>
        <v>754.5</v>
      </c>
      <c r="P536" s="15">
        <f t="shared" si="35"/>
        <v>0.90903614457831328</v>
      </c>
    </row>
    <row r="537" spans="1:16" ht="15.75" customHeight="1" x14ac:dyDescent="0.3">
      <c r="A537" s="117" t="s">
        <v>58</v>
      </c>
      <c r="B537" s="21" t="s">
        <v>336</v>
      </c>
      <c r="C537" s="21" t="s">
        <v>336</v>
      </c>
      <c r="D537" s="21" t="s">
        <v>141</v>
      </c>
      <c r="E537" s="10">
        <v>30</v>
      </c>
      <c r="F537" s="9"/>
      <c r="G537" s="11">
        <v>0</v>
      </c>
      <c r="H537" s="9" t="s">
        <v>94</v>
      </c>
      <c r="I537" s="9" t="s">
        <v>95</v>
      </c>
      <c r="J537" s="9"/>
      <c r="K537" s="9" t="s">
        <v>337</v>
      </c>
      <c r="L537" s="9"/>
      <c r="M537" s="12">
        <f t="shared" si="32"/>
        <v>283</v>
      </c>
      <c r="N537" s="13">
        <f t="shared" si="33"/>
        <v>440</v>
      </c>
      <c r="O537" s="14">
        <f t="shared" si="34"/>
        <v>723</v>
      </c>
      <c r="P537" s="15">
        <f t="shared" si="35"/>
        <v>0.87108433734939761</v>
      </c>
    </row>
    <row r="538" spans="1:16" ht="15.75" customHeight="1" x14ac:dyDescent="0.3">
      <c r="A538" s="117" t="s">
        <v>58</v>
      </c>
      <c r="B538" s="21" t="s">
        <v>336</v>
      </c>
      <c r="C538" s="21" t="s">
        <v>336</v>
      </c>
      <c r="D538" s="21" t="s">
        <v>141</v>
      </c>
      <c r="E538" s="10">
        <v>15</v>
      </c>
      <c r="F538" s="9"/>
      <c r="G538" s="11">
        <v>0</v>
      </c>
      <c r="H538" s="9" t="s">
        <v>76</v>
      </c>
      <c r="I538" s="9" t="s">
        <v>77</v>
      </c>
      <c r="J538" s="9"/>
      <c r="K538" s="9" t="s">
        <v>338</v>
      </c>
      <c r="L538" s="9"/>
      <c r="M538" s="12">
        <f t="shared" si="32"/>
        <v>249</v>
      </c>
      <c r="N538" s="13">
        <f t="shared" si="33"/>
        <v>294</v>
      </c>
      <c r="O538" s="14">
        <f t="shared" si="34"/>
        <v>543</v>
      </c>
      <c r="P538" s="15">
        <f t="shared" si="35"/>
        <v>0.6542168674698795</v>
      </c>
    </row>
    <row r="539" spans="1:16" ht="15.75" customHeight="1" x14ac:dyDescent="0.3">
      <c r="A539" s="117" t="s">
        <v>58</v>
      </c>
      <c r="B539" s="21" t="s">
        <v>336</v>
      </c>
      <c r="C539" s="21" t="s">
        <v>336</v>
      </c>
      <c r="D539" s="21" t="s">
        <v>141</v>
      </c>
      <c r="E539" s="10">
        <v>15</v>
      </c>
      <c r="F539" s="9"/>
      <c r="G539" s="11">
        <v>0</v>
      </c>
      <c r="H539" s="9" t="s">
        <v>245</v>
      </c>
      <c r="I539" s="9" t="s">
        <v>246</v>
      </c>
      <c r="J539" s="9"/>
      <c r="K539" s="9" t="s">
        <v>338</v>
      </c>
      <c r="L539" s="9"/>
      <c r="M539" s="12">
        <f t="shared" si="32"/>
        <v>200</v>
      </c>
      <c r="N539" s="13">
        <f t="shared" si="33"/>
        <v>271</v>
      </c>
      <c r="O539" s="14">
        <f t="shared" si="34"/>
        <v>471</v>
      </c>
      <c r="P539" s="15">
        <f t="shared" si="35"/>
        <v>0.56746987951807226</v>
      </c>
    </row>
    <row r="540" spans="1:16" ht="15.75" customHeight="1" x14ac:dyDescent="0.3">
      <c r="A540" s="117" t="s">
        <v>58</v>
      </c>
      <c r="B540" s="9" t="s">
        <v>336</v>
      </c>
      <c r="C540" s="9" t="s">
        <v>336</v>
      </c>
      <c r="D540" s="9" t="s">
        <v>165</v>
      </c>
      <c r="E540" s="10">
        <v>15</v>
      </c>
      <c r="F540" s="9"/>
      <c r="G540" s="11">
        <v>0</v>
      </c>
      <c r="H540" s="9" t="s">
        <v>230</v>
      </c>
      <c r="I540" s="24" t="s">
        <v>231</v>
      </c>
      <c r="J540" s="24" t="s">
        <v>4</v>
      </c>
      <c r="K540" s="9"/>
      <c r="L540" s="9"/>
      <c r="M540" s="12">
        <f t="shared" si="32"/>
        <v>116</v>
      </c>
      <c r="N540" s="13">
        <f t="shared" si="33"/>
        <v>105</v>
      </c>
      <c r="O540" s="14">
        <f t="shared" si="34"/>
        <v>221</v>
      </c>
      <c r="P540" s="15">
        <f t="shared" si="35"/>
        <v>0.26626506024096386</v>
      </c>
    </row>
    <row r="541" spans="1:16" ht="15.75" customHeight="1" x14ac:dyDescent="0.3">
      <c r="A541" s="117" t="s">
        <v>58</v>
      </c>
      <c r="B541" s="9" t="s">
        <v>336</v>
      </c>
      <c r="C541" s="9" t="s">
        <v>336</v>
      </c>
      <c r="D541" s="9" t="s">
        <v>165</v>
      </c>
      <c r="E541" s="10">
        <v>15</v>
      </c>
      <c r="F541" s="9"/>
      <c r="G541" s="11">
        <v>0</v>
      </c>
      <c r="H541" s="9" t="s">
        <v>128</v>
      </c>
      <c r="I541" s="9" t="s">
        <v>129</v>
      </c>
      <c r="J541" s="9" t="s">
        <v>8</v>
      </c>
      <c r="K541" s="9"/>
      <c r="L541" s="9"/>
      <c r="M541" s="12">
        <f t="shared" si="32"/>
        <v>348</v>
      </c>
      <c r="N541" s="13">
        <f t="shared" si="33"/>
        <v>583</v>
      </c>
      <c r="O541" s="14">
        <f t="shared" si="34"/>
        <v>931</v>
      </c>
      <c r="P541" s="15">
        <f t="shared" si="35"/>
        <v>1.1216867469879519</v>
      </c>
    </row>
    <row r="542" spans="1:16" ht="15.75" customHeight="1" x14ac:dyDescent="0.3">
      <c r="A542" s="117" t="s">
        <v>58</v>
      </c>
      <c r="B542" s="9" t="s">
        <v>336</v>
      </c>
      <c r="C542" s="9" t="s">
        <v>336</v>
      </c>
      <c r="D542" s="9" t="s">
        <v>165</v>
      </c>
      <c r="E542" s="10">
        <v>15</v>
      </c>
      <c r="F542" s="9"/>
      <c r="G542" s="11">
        <v>0</v>
      </c>
      <c r="H542" s="9" t="s">
        <v>210</v>
      </c>
      <c r="I542" s="9" t="s">
        <v>211</v>
      </c>
      <c r="J542" s="9" t="s">
        <v>4</v>
      </c>
      <c r="K542" s="9"/>
      <c r="L542" s="9" t="s">
        <v>169</v>
      </c>
      <c r="M542" s="12">
        <f t="shared" si="32"/>
        <v>213</v>
      </c>
      <c r="N542" s="13">
        <f t="shared" si="33"/>
        <v>399</v>
      </c>
      <c r="O542" s="14">
        <f t="shared" si="34"/>
        <v>612</v>
      </c>
      <c r="P542" s="15">
        <f t="shared" si="35"/>
        <v>0.73734939759036144</v>
      </c>
    </row>
    <row r="543" spans="1:16" ht="15.75" customHeight="1" x14ac:dyDescent="0.3">
      <c r="A543" s="117" t="s">
        <v>58</v>
      </c>
      <c r="B543" s="9" t="s">
        <v>336</v>
      </c>
      <c r="C543" s="9" t="s">
        <v>336</v>
      </c>
      <c r="D543" s="9" t="s">
        <v>165</v>
      </c>
      <c r="E543" s="10">
        <v>15</v>
      </c>
      <c r="F543" s="9"/>
      <c r="G543" s="11">
        <v>0</v>
      </c>
      <c r="H543" s="9" t="s">
        <v>171</v>
      </c>
      <c r="I543" s="9" t="s">
        <v>172</v>
      </c>
      <c r="J543" s="9" t="s">
        <v>8</v>
      </c>
      <c r="K543" s="9"/>
      <c r="L543" s="9"/>
      <c r="M543" s="12">
        <f t="shared" si="32"/>
        <v>339</v>
      </c>
      <c r="N543" s="13">
        <f t="shared" si="33"/>
        <v>296</v>
      </c>
      <c r="O543" s="14">
        <f t="shared" si="34"/>
        <v>635</v>
      </c>
      <c r="P543" s="15">
        <f t="shared" si="35"/>
        <v>0.76506024096385539</v>
      </c>
    </row>
    <row r="544" spans="1:16" ht="15.75" customHeight="1" x14ac:dyDescent="0.3">
      <c r="A544" s="117" t="s">
        <v>58</v>
      </c>
      <c r="B544" s="9" t="s">
        <v>336</v>
      </c>
      <c r="C544" s="9" t="s">
        <v>336</v>
      </c>
      <c r="D544" s="9" t="s">
        <v>165</v>
      </c>
      <c r="E544" s="10">
        <v>30</v>
      </c>
      <c r="F544" s="9"/>
      <c r="G544" s="11">
        <v>0</v>
      </c>
      <c r="H544" s="9" t="s">
        <v>174</v>
      </c>
      <c r="I544" s="9" t="s">
        <v>175</v>
      </c>
      <c r="J544" s="9" t="s">
        <v>8</v>
      </c>
      <c r="K544" s="9"/>
      <c r="L544" s="9"/>
      <c r="M544" s="12">
        <f t="shared" si="32"/>
        <v>320</v>
      </c>
      <c r="N544" s="13">
        <f t="shared" si="33"/>
        <v>169</v>
      </c>
      <c r="O544" s="14">
        <f t="shared" si="34"/>
        <v>489</v>
      </c>
      <c r="P544" s="15">
        <f t="shared" si="35"/>
        <v>0.58915662650602407</v>
      </c>
    </row>
    <row r="545" spans="1:16" ht="15.75" customHeight="1" x14ac:dyDescent="0.3">
      <c r="A545" s="117" t="s">
        <v>58</v>
      </c>
      <c r="B545" s="9" t="s">
        <v>336</v>
      </c>
      <c r="C545" s="9" t="s">
        <v>336</v>
      </c>
      <c r="D545" s="9" t="s">
        <v>165</v>
      </c>
      <c r="E545" s="10">
        <v>15</v>
      </c>
      <c r="F545" s="9"/>
      <c r="G545" s="11">
        <v>0</v>
      </c>
      <c r="H545" s="9" t="s">
        <v>167</v>
      </c>
      <c r="I545" s="9" t="s">
        <v>168</v>
      </c>
      <c r="J545" s="9" t="s">
        <v>4</v>
      </c>
      <c r="K545" s="9"/>
      <c r="L545" s="9"/>
      <c r="M545" s="12">
        <f t="shared" si="32"/>
        <v>456</v>
      </c>
      <c r="N545" s="13">
        <f t="shared" si="33"/>
        <v>362</v>
      </c>
      <c r="O545" s="14">
        <f t="shared" si="34"/>
        <v>818</v>
      </c>
      <c r="P545" s="15">
        <f t="shared" si="35"/>
        <v>0.98554216867469879</v>
      </c>
    </row>
    <row r="546" spans="1:16" ht="15.75" customHeight="1" x14ac:dyDescent="0.3">
      <c r="A546" s="117" t="s">
        <v>58</v>
      </c>
      <c r="B546" s="21" t="s">
        <v>336</v>
      </c>
      <c r="C546" s="21" t="s">
        <v>336</v>
      </c>
      <c r="D546" s="21" t="s">
        <v>237</v>
      </c>
      <c r="E546" s="23">
        <v>15</v>
      </c>
      <c r="F546" s="9"/>
      <c r="G546" s="11">
        <v>0</v>
      </c>
      <c r="H546" s="9" t="s">
        <v>70</v>
      </c>
      <c r="I546" s="9" t="s">
        <v>99</v>
      </c>
      <c r="J546" s="9" t="s">
        <v>4</v>
      </c>
      <c r="K546" s="26" t="s">
        <v>338</v>
      </c>
      <c r="L546" s="9"/>
      <c r="M546" s="12">
        <f t="shared" si="32"/>
        <v>239</v>
      </c>
      <c r="N546" s="13">
        <f t="shared" si="33"/>
        <v>196.5</v>
      </c>
      <c r="O546" s="14">
        <f t="shared" si="34"/>
        <v>435.5</v>
      </c>
      <c r="P546" s="15">
        <f t="shared" si="35"/>
        <v>0.52469879518072293</v>
      </c>
    </row>
    <row r="547" spans="1:16" ht="15.75" customHeight="1" x14ac:dyDescent="0.3">
      <c r="A547" s="117" t="s">
        <v>58</v>
      </c>
      <c r="B547" s="21" t="s">
        <v>336</v>
      </c>
      <c r="C547" s="21" t="s">
        <v>336</v>
      </c>
      <c r="D547" s="21" t="s">
        <v>237</v>
      </c>
      <c r="E547" s="23">
        <v>15</v>
      </c>
      <c r="F547" s="9"/>
      <c r="G547" s="11">
        <v>0</v>
      </c>
      <c r="H547" s="9" t="s">
        <v>65</v>
      </c>
      <c r="I547" s="9" t="s">
        <v>66</v>
      </c>
      <c r="J547" s="9"/>
      <c r="K547" s="26" t="s">
        <v>338</v>
      </c>
      <c r="L547" s="9"/>
      <c r="M547" s="12">
        <f t="shared" si="32"/>
        <v>291</v>
      </c>
      <c r="N547" s="13">
        <f t="shared" si="33"/>
        <v>650.5</v>
      </c>
      <c r="O547" s="14">
        <f t="shared" si="34"/>
        <v>941.5</v>
      </c>
      <c r="P547" s="15">
        <f t="shared" si="35"/>
        <v>1.1343373493975903</v>
      </c>
    </row>
    <row r="548" spans="1:16" ht="15.75" customHeight="1" x14ac:dyDescent="0.3">
      <c r="A548" s="117" t="s">
        <v>58</v>
      </c>
      <c r="B548" s="21" t="s">
        <v>336</v>
      </c>
      <c r="C548" s="21" t="s">
        <v>336</v>
      </c>
      <c r="D548" s="21" t="s">
        <v>237</v>
      </c>
      <c r="E548" s="23">
        <v>15</v>
      </c>
      <c r="F548" s="9"/>
      <c r="G548" s="11">
        <v>0</v>
      </c>
      <c r="H548" s="9"/>
      <c r="I548" s="9" t="s">
        <v>116</v>
      </c>
      <c r="J548" s="9" t="s">
        <v>4</v>
      </c>
      <c r="K548" s="26" t="s">
        <v>338</v>
      </c>
      <c r="L548" s="9" t="s">
        <v>117</v>
      </c>
      <c r="M548" s="12">
        <f t="shared" si="32"/>
        <v>353</v>
      </c>
      <c r="N548" s="13">
        <f t="shared" si="33"/>
        <v>367</v>
      </c>
      <c r="O548" s="14">
        <f t="shared" si="34"/>
        <v>720</v>
      </c>
      <c r="P548" s="15">
        <f t="shared" si="35"/>
        <v>0.86746987951807231</v>
      </c>
    </row>
    <row r="549" spans="1:16" ht="15.75" customHeight="1" x14ac:dyDescent="0.3">
      <c r="A549" s="117" t="s">
        <v>58</v>
      </c>
      <c r="B549" s="21" t="s">
        <v>336</v>
      </c>
      <c r="C549" s="21" t="s">
        <v>336</v>
      </c>
      <c r="D549" s="21" t="s">
        <v>237</v>
      </c>
      <c r="E549" s="23">
        <v>15</v>
      </c>
      <c r="F549" s="9"/>
      <c r="G549" s="11">
        <v>0</v>
      </c>
      <c r="H549" s="9" t="s">
        <v>63</v>
      </c>
      <c r="I549" s="9" t="s">
        <v>273</v>
      </c>
      <c r="J549" s="9"/>
      <c r="K549" s="26" t="s">
        <v>338</v>
      </c>
      <c r="L549" s="9" t="s">
        <v>122</v>
      </c>
      <c r="M549" s="12">
        <f t="shared" si="32"/>
        <v>552</v>
      </c>
      <c r="N549" s="13">
        <f t="shared" si="33"/>
        <v>171</v>
      </c>
      <c r="O549" s="14">
        <f t="shared" si="34"/>
        <v>723</v>
      </c>
      <c r="P549" s="15">
        <f t="shared" si="35"/>
        <v>0.87108433734939761</v>
      </c>
    </row>
    <row r="550" spans="1:16" ht="15.75" customHeight="1" x14ac:dyDescent="0.3">
      <c r="A550" s="117" t="s">
        <v>58</v>
      </c>
      <c r="B550" s="21" t="s">
        <v>336</v>
      </c>
      <c r="C550" s="21" t="s">
        <v>336</v>
      </c>
      <c r="D550" s="21" t="s">
        <v>237</v>
      </c>
      <c r="E550" s="23">
        <v>15</v>
      </c>
      <c r="F550" s="9"/>
      <c r="G550" s="11">
        <v>0</v>
      </c>
      <c r="H550" s="9" t="s">
        <v>272</v>
      </c>
      <c r="I550" s="9" t="s">
        <v>64</v>
      </c>
      <c r="J550" s="9"/>
      <c r="K550" s="26" t="s">
        <v>338</v>
      </c>
      <c r="L550" s="9"/>
      <c r="M550" s="12">
        <f t="shared" si="32"/>
        <v>284</v>
      </c>
      <c r="N550" s="13">
        <f t="shared" si="33"/>
        <v>140</v>
      </c>
      <c r="O550" s="14">
        <f t="shared" si="34"/>
        <v>424</v>
      </c>
      <c r="P550" s="15">
        <f t="shared" si="35"/>
        <v>0.51084337349397591</v>
      </c>
    </row>
    <row r="551" spans="1:16" ht="15.75" customHeight="1" x14ac:dyDescent="0.3">
      <c r="A551" s="117" t="s">
        <v>58</v>
      </c>
      <c r="B551" s="18" t="s">
        <v>336</v>
      </c>
      <c r="C551" s="18" t="s">
        <v>336</v>
      </c>
      <c r="D551" s="18" t="s">
        <v>237</v>
      </c>
      <c r="E551" s="19">
        <v>15</v>
      </c>
      <c r="F551" s="18"/>
      <c r="G551" s="27">
        <v>0</v>
      </c>
      <c r="H551" s="18" t="s">
        <v>272</v>
      </c>
      <c r="I551" s="20" t="s">
        <v>71</v>
      </c>
      <c r="J551" s="18"/>
      <c r="K551" s="18"/>
      <c r="L551" s="28" t="s">
        <v>339</v>
      </c>
      <c r="M551" s="12">
        <f t="shared" si="32"/>
        <v>391</v>
      </c>
      <c r="N551" s="13">
        <f t="shared" si="33"/>
        <v>436.5</v>
      </c>
      <c r="O551" s="14">
        <f t="shared" si="34"/>
        <v>827.5</v>
      </c>
      <c r="P551" s="15">
        <f t="shared" si="35"/>
        <v>0.99698795180722888</v>
      </c>
    </row>
    <row r="552" spans="1:16" ht="15.75" customHeight="1" x14ac:dyDescent="0.3">
      <c r="A552" s="117" t="s">
        <v>58</v>
      </c>
      <c r="B552" s="9" t="s">
        <v>336</v>
      </c>
      <c r="C552" s="9" t="s">
        <v>336</v>
      </c>
      <c r="D552" s="9" t="s">
        <v>152</v>
      </c>
      <c r="E552" s="10">
        <v>15</v>
      </c>
      <c r="F552" s="9"/>
      <c r="G552" s="11">
        <v>0</v>
      </c>
      <c r="H552" s="9" t="s">
        <v>257</v>
      </c>
      <c r="I552" s="9" t="s">
        <v>258</v>
      </c>
      <c r="J552" s="9" t="s">
        <v>8</v>
      </c>
      <c r="K552" s="9"/>
      <c r="L552" s="9"/>
      <c r="M552" s="12">
        <f t="shared" si="32"/>
        <v>331</v>
      </c>
      <c r="N552" s="13">
        <f t="shared" si="33"/>
        <v>520</v>
      </c>
      <c r="O552" s="14">
        <f t="shared" si="34"/>
        <v>851</v>
      </c>
      <c r="P552" s="15">
        <f t="shared" si="35"/>
        <v>1.0253012048192771</v>
      </c>
    </row>
    <row r="553" spans="1:16" ht="15.75" customHeight="1" x14ac:dyDescent="0.3">
      <c r="A553" s="117" t="s">
        <v>58</v>
      </c>
      <c r="B553" s="9" t="s">
        <v>336</v>
      </c>
      <c r="C553" s="9" t="s">
        <v>336</v>
      </c>
      <c r="D553" s="9" t="s">
        <v>152</v>
      </c>
      <c r="E553" s="10">
        <v>30</v>
      </c>
      <c r="F553" s="9"/>
      <c r="G553" s="11">
        <v>0</v>
      </c>
      <c r="H553" s="9" t="s">
        <v>96</v>
      </c>
      <c r="I553" s="9" t="s">
        <v>97</v>
      </c>
      <c r="J553" s="9" t="s">
        <v>8</v>
      </c>
      <c r="K553" s="9"/>
      <c r="L553" s="9"/>
      <c r="M553" s="12">
        <f t="shared" si="32"/>
        <v>501</v>
      </c>
      <c r="N553" s="13">
        <f t="shared" si="33"/>
        <v>486.5</v>
      </c>
      <c r="O553" s="14">
        <f t="shared" si="34"/>
        <v>987.5</v>
      </c>
      <c r="P553" s="15">
        <f t="shared" si="35"/>
        <v>1.1897590361445782</v>
      </c>
    </row>
    <row r="554" spans="1:16" ht="15.75" customHeight="1" x14ac:dyDescent="0.3">
      <c r="A554" s="117" t="s">
        <v>58</v>
      </c>
      <c r="B554" s="9" t="s">
        <v>336</v>
      </c>
      <c r="C554" s="9" t="s">
        <v>336</v>
      </c>
      <c r="D554" s="9" t="s">
        <v>152</v>
      </c>
      <c r="E554" s="10">
        <v>15</v>
      </c>
      <c r="F554" s="9"/>
      <c r="G554" s="11">
        <v>0</v>
      </c>
      <c r="H554" s="9" t="s">
        <v>94</v>
      </c>
      <c r="I554" s="9" t="s">
        <v>95</v>
      </c>
      <c r="J554" s="9"/>
      <c r="K554" s="9"/>
      <c r="L554" s="9"/>
      <c r="M554" s="12">
        <f t="shared" si="32"/>
        <v>283</v>
      </c>
      <c r="N554" s="13">
        <f t="shared" si="33"/>
        <v>440</v>
      </c>
      <c r="O554" s="14">
        <f t="shared" si="34"/>
        <v>723</v>
      </c>
      <c r="P554" s="15">
        <f t="shared" si="35"/>
        <v>0.87108433734939761</v>
      </c>
    </row>
    <row r="555" spans="1:16" ht="15.75" customHeight="1" x14ac:dyDescent="0.3">
      <c r="A555" s="117" t="s">
        <v>58</v>
      </c>
      <c r="B555" s="9" t="s">
        <v>336</v>
      </c>
      <c r="C555" s="9" t="s">
        <v>336</v>
      </c>
      <c r="D555" s="9" t="s">
        <v>152</v>
      </c>
      <c r="E555" s="10">
        <v>15</v>
      </c>
      <c r="F555" s="9"/>
      <c r="G555" s="11">
        <v>0</v>
      </c>
      <c r="H555" s="9" t="s">
        <v>76</v>
      </c>
      <c r="I555" s="9" t="s">
        <v>77</v>
      </c>
      <c r="J555" s="9"/>
      <c r="K555" s="9"/>
      <c r="L555" s="9"/>
      <c r="M555" s="12">
        <f t="shared" si="32"/>
        <v>249</v>
      </c>
      <c r="N555" s="13">
        <f t="shared" si="33"/>
        <v>294</v>
      </c>
      <c r="O555" s="14">
        <f t="shared" si="34"/>
        <v>543</v>
      </c>
      <c r="P555" s="15">
        <f t="shared" si="35"/>
        <v>0.6542168674698795</v>
      </c>
    </row>
    <row r="556" spans="1:16" ht="15.75" customHeight="1" x14ac:dyDescent="0.3">
      <c r="A556" s="117" t="s">
        <v>58</v>
      </c>
      <c r="B556" s="18" t="s">
        <v>336</v>
      </c>
      <c r="C556" s="18" t="s">
        <v>336</v>
      </c>
      <c r="D556" s="18" t="s">
        <v>152</v>
      </c>
      <c r="E556" s="19">
        <v>30</v>
      </c>
      <c r="F556" s="18"/>
      <c r="G556" s="27">
        <v>0</v>
      </c>
      <c r="H556" s="18" t="s">
        <v>250</v>
      </c>
      <c r="I556" s="30" t="s">
        <v>258</v>
      </c>
      <c r="J556" s="18"/>
      <c r="K556" s="18"/>
      <c r="L556" s="28" t="s">
        <v>339</v>
      </c>
      <c r="M556" s="12">
        <f t="shared" si="32"/>
        <v>331</v>
      </c>
      <c r="N556" s="13">
        <f t="shared" si="33"/>
        <v>520</v>
      </c>
      <c r="O556" s="14">
        <f t="shared" si="34"/>
        <v>851</v>
      </c>
      <c r="P556" s="15">
        <f t="shared" si="35"/>
        <v>1.0253012048192771</v>
      </c>
    </row>
    <row r="557" spans="1:16" ht="15.75" customHeight="1" x14ac:dyDescent="0.3">
      <c r="A557" s="117" t="s">
        <v>58</v>
      </c>
      <c r="B557" s="21" t="s">
        <v>336</v>
      </c>
      <c r="C557" s="21" t="s">
        <v>336</v>
      </c>
      <c r="D557" s="21" t="s">
        <v>144</v>
      </c>
      <c r="E557" s="23">
        <v>45</v>
      </c>
      <c r="F557" s="9"/>
      <c r="G557" s="11">
        <v>0</v>
      </c>
      <c r="H557" s="9" t="s">
        <v>146</v>
      </c>
      <c r="I557" s="9" t="s">
        <v>147</v>
      </c>
      <c r="J557" s="9"/>
      <c r="K557" s="9" t="s">
        <v>340</v>
      </c>
      <c r="L557" s="9" t="s">
        <v>334</v>
      </c>
      <c r="M557" s="12">
        <f t="shared" si="32"/>
        <v>279</v>
      </c>
      <c r="N557" s="13">
        <f t="shared" si="33"/>
        <v>475.5</v>
      </c>
      <c r="O557" s="14">
        <f t="shared" si="34"/>
        <v>754.5</v>
      </c>
      <c r="P557" s="15">
        <f t="shared" si="35"/>
        <v>0.90903614457831328</v>
      </c>
    </row>
    <row r="558" spans="1:16" ht="15.75" customHeight="1" x14ac:dyDescent="0.3">
      <c r="A558" s="117" t="s">
        <v>58</v>
      </c>
      <c r="B558" s="21" t="s">
        <v>336</v>
      </c>
      <c r="C558" s="21" t="s">
        <v>336</v>
      </c>
      <c r="D558" s="21" t="s">
        <v>144</v>
      </c>
      <c r="E558" s="23">
        <v>30</v>
      </c>
      <c r="F558" s="9"/>
      <c r="G558" s="11">
        <v>0</v>
      </c>
      <c r="H558" s="9" t="s">
        <v>94</v>
      </c>
      <c r="I558" s="9" t="s">
        <v>95</v>
      </c>
      <c r="J558" s="9"/>
      <c r="K558" s="9" t="s">
        <v>337</v>
      </c>
      <c r="L558" s="9"/>
      <c r="M558" s="12">
        <f t="shared" si="32"/>
        <v>283</v>
      </c>
      <c r="N558" s="13">
        <f t="shared" si="33"/>
        <v>440</v>
      </c>
      <c r="O558" s="14">
        <f t="shared" si="34"/>
        <v>723</v>
      </c>
      <c r="P558" s="15">
        <f t="shared" si="35"/>
        <v>0.87108433734939761</v>
      </c>
    </row>
    <row r="559" spans="1:16" ht="15.75" customHeight="1" x14ac:dyDescent="0.3">
      <c r="A559" s="117" t="s">
        <v>58</v>
      </c>
      <c r="B559" s="21" t="s">
        <v>336</v>
      </c>
      <c r="C559" s="21" t="s">
        <v>336</v>
      </c>
      <c r="D559" s="21" t="s">
        <v>144</v>
      </c>
      <c r="E559" s="23">
        <v>30</v>
      </c>
      <c r="F559" s="9"/>
      <c r="G559" s="11">
        <v>0</v>
      </c>
      <c r="H559" s="9" t="s">
        <v>245</v>
      </c>
      <c r="I559" s="9" t="s">
        <v>246</v>
      </c>
      <c r="J559" s="9"/>
      <c r="K559" s="9" t="s">
        <v>337</v>
      </c>
      <c r="L559" s="9"/>
      <c r="M559" s="12">
        <f t="shared" si="32"/>
        <v>200</v>
      </c>
      <c r="N559" s="13">
        <f t="shared" si="33"/>
        <v>271</v>
      </c>
      <c r="O559" s="14">
        <f t="shared" si="34"/>
        <v>471</v>
      </c>
      <c r="P559" s="15">
        <f t="shared" si="35"/>
        <v>0.56746987951807226</v>
      </c>
    </row>
    <row r="560" spans="1:16" ht="15.75" customHeight="1" x14ac:dyDescent="0.3">
      <c r="A560" s="117" t="s">
        <v>58</v>
      </c>
      <c r="B560" s="21" t="s">
        <v>336</v>
      </c>
      <c r="C560" s="21" t="s">
        <v>336</v>
      </c>
      <c r="D560" s="21" t="s">
        <v>144</v>
      </c>
      <c r="E560" s="23">
        <v>30</v>
      </c>
      <c r="F560" s="9"/>
      <c r="G560" s="11">
        <v>0</v>
      </c>
      <c r="H560" s="9" t="s">
        <v>76</v>
      </c>
      <c r="I560" s="9" t="s">
        <v>77</v>
      </c>
      <c r="J560" s="9"/>
      <c r="K560" s="9" t="s">
        <v>337</v>
      </c>
      <c r="L560" s="9"/>
      <c r="M560" s="12">
        <f t="shared" si="32"/>
        <v>249</v>
      </c>
      <c r="N560" s="13">
        <f t="shared" si="33"/>
        <v>294</v>
      </c>
      <c r="O560" s="14">
        <f t="shared" si="34"/>
        <v>543</v>
      </c>
      <c r="P560" s="15">
        <f t="shared" si="35"/>
        <v>0.6542168674698795</v>
      </c>
    </row>
    <row r="561" spans="1:16" ht="15.75" customHeight="1" x14ac:dyDescent="0.3">
      <c r="A561" s="117" t="s">
        <v>58</v>
      </c>
      <c r="B561" s="9" t="s">
        <v>341</v>
      </c>
      <c r="C561" s="9" t="s">
        <v>341</v>
      </c>
      <c r="D561" s="9" t="s">
        <v>342</v>
      </c>
      <c r="E561" s="10">
        <v>50</v>
      </c>
      <c r="F561" s="9"/>
      <c r="G561" s="11">
        <v>0</v>
      </c>
      <c r="H561" s="9" t="s">
        <v>257</v>
      </c>
      <c r="I561" s="9" t="s">
        <v>258</v>
      </c>
      <c r="J561" s="9" t="s">
        <v>8</v>
      </c>
      <c r="K561" s="9"/>
      <c r="L561" s="9" t="s">
        <v>343</v>
      </c>
      <c r="M561" s="12">
        <f t="shared" si="32"/>
        <v>331</v>
      </c>
      <c r="N561" s="13">
        <f t="shared" si="33"/>
        <v>520</v>
      </c>
      <c r="O561" s="14">
        <f t="shared" si="34"/>
        <v>851</v>
      </c>
      <c r="P561" s="15">
        <f t="shared" si="35"/>
        <v>1.0253012048192771</v>
      </c>
    </row>
    <row r="562" spans="1:16" ht="15.75" customHeight="1" x14ac:dyDescent="0.3">
      <c r="A562" s="117" t="s">
        <v>58</v>
      </c>
      <c r="B562" s="9" t="s">
        <v>341</v>
      </c>
      <c r="C562" s="9" t="s">
        <v>341</v>
      </c>
      <c r="D562" s="9" t="s">
        <v>321</v>
      </c>
      <c r="E562" s="10">
        <v>25</v>
      </c>
      <c r="F562" s="9"/>
      <c r="G562" s="11">
        <v>0</v>
      </c>
      <c r="H562" s="9" t="s">
        <v>171</v>
      </c>
      <c r="I562" s="9" t="s">
        <v>172</v>
      </c>
      <c r="J562" s="9" t="s">
        <v>8</v>
      </c>
      <c r="K562" s="9"/>
      <c r="L562" s="9" t="s">
        <v>323</v>
      </c>
      <c r="M562" s="12">
        <f t="shared" si="32"/>
        <v>339</v>
      </c>
      <c r="N562" s="13">
        <f t="shared" si="33"/>
        <v>296</v>
      </c>
      <c r="O562" s="14">
        <f t="shared" si="34"/>
        <v>635</v>
      </c>
      <c r="P562" s="15">
        <f t="shared" si="35"/>
        <v>0.76506024096385539</v>
      </c>
    </row>
    <row r="563" spans="1:16" ht="15.75" customHeight="1" x14ac:dyDescent="0.3">
      <c r="A563" s="117" t="s">
        <v>58</v>
      </c>
      <c r="B563" s="9" t="s">
        <v>341</v>
      </c>
      <c r="C563" s="9" t="s">
        <v>341</v>
      </c>
      <c r="D563" s="9" t="s">
        <v>344</v>
      </c>
      <c r="E563" s="10">
        <v>50</v>
      </c>
      <c r="F563" s="9"/>
      <c r="G563" s="11">
        <v>0</v>
      </c>
      <c r="H563" s="9" t="s">
        <v>76</v>
      </c>
      <c r="I563" s="9" t="s">
        <v>77</v>
      </c>
      <c r="J563" s="9"/>
      <c r="K563" s="9"/>
      <c r="L563" s="9" t="s">
        <v>345</v>
      </c>
      <c r="M563" s="12">
        <f t="shared" si="32"/>
        <v>249</v>
      </c>
      <c r="N563" s="13">
        <f t="shared" si="33"/>
        <v>294</v>
      </c>
      <c r="O563" s="14">
        <f t="shared" si="34"/>
        <v>543</v>
      </c>
      <c r="P563" s="15">
        <f t="shared" si="35"/>
        <v>0.6542168674698795</v>
      </c>
    </row>
    <row r="564" spans="1:16" ht="15.75" customHeight="1" x14ac:dyDescent="0.3">
      <c r="A564" s="117" t="s">
        <v>58</v>
      </c>
      <c r="B564" s="9" t="s">
        <v>341</v>
      </c>
      <c r="C564" s="9" t="s">
        <v>341</v>
      </c>
      <c r="D564" s="9" t="s">
        <v>346</v>
      </c>
      <c r="E564" s="10">
        <v>25</v>
      </c>
      <c r="F564" s="9"/>
      <c r="G564" s="11">
        <v>0</v>
      </c>
      <c r="H564" s="9" t="s">
        <v>257</v>
      </c>
      <c r="I564" s="9" t="s">
        <v>258</v>
      </c>
      <c r="J564" s="9" t="s">
        <v>8</v>
      </c>
      <c r="K564" s="9"/>
      <c r="L564" s="9" t="s">
        <v>347</v>
      </c>
      <c r="M564" s="12">
        <f t="shared" si="32"/>
        <v>331</v>
      </c>
      <c r="N564" s="13">
        <f t="shared" si="33"/>
        <v>520</v>
      </c>
      <c r="O564" s="14">
        <f t="shared" si="34"/>
        <v>851</v>
      </c>
      <c r="P564" s="15">
        <f t="shared" si="35"/>
        <v>1.0253012048192771</v>
      </c>
    </row>
    <row r="565" spans="1:16" ht="15.75" customHeight="1" x14ac:dyDescent="0.3">
      <c r="A565" s="117" t="s">
        <v>58</v>
      </c>
      <c r="B565" s="9" t="s">
        <v>341</v>
      </c>
      <c r="C565" s="9" t="s">
        <v>341</v>
      </c>
      <c r="D565" s="9" t="s">
        <v>289</v>
      </c>
      <c r="E565" s="10">
        <v>25</v>
      </c>
      <c r="F565" s="9"/>
      <c r="G565" s="11">
        <v>0</v>
      </c>
      <c r="H565" s="9" t="s">
        <v>76</v>
      </c>
      <c r="I565" s="9" t="s">
        <v>77</v>
      </c>
      <c r="J565" s="9"/>
      <c r="K565" s="9"/>
      <c r="L565" s="9" t="s">
        <v>290</v>
      </c>
      <c r="M565" s="12">
        <f t="shared" si="32"/>
        <v>249</v>
      </c>
      <c r="N565" s="13">
        <f t="shared" si="33"/>
        <v>294</v>
      </c>
      <c r="O565" s="14">
        <f t="shared" si="34"/>
        <v>543</v>
      </c>
      <c r="P565" s="15">
        <f t="shared" si="35"/>
        <v>0.6542168674698795</v>
      </c>
    </row>
    <row r="566" spans="1:16" ht="15.75" customHeight="1" x14ac:dyDescent="0.3">
      <c r="A566" s="117" t="s">
        <v>58</v>
      </c>
      <c r="B566" s="9" t="s">
        <v>341</v>
      </c>
      <c r="C566" s="9" t="s">
        <v>341</v>
      </c>
      <c r="D566" s="9" t="s">
        <v>325</v>
      </c>
      <c r="E566" s="10">
        <v>75</v>
      </c>
      <c r="F566" s="9"/>
      <c r="G566" s="11">
        <v>0</v>
      </c>
      <c r="H566" s="9" t="s">
        <v>257</v>
      </c>
      <c r="I566" s="9" t="s">
        <v>258</v>
      </c>
      <c r="J566" s="9" t="s">
        <v>8</v>
      </c>
      <c r="K566" s="9"/>
      <c r="L566" s="9" t="s">
        <v>326</v>
      </c>
      <c r="M566" s="12">
        <f t="shared" si="32"/>
        <v>331</v>
      </c>
      <c r="N566" s="13">
        <f t="shared" si="33"/>
        <v>520</v>
      </c>
      <c r="O566" s="14">
        <f t="shared" si="34"/>
        <v>851</v>
      </c>
      <c r="P566" s="15">
        <f t="shared" si="35"/>
        <v>1.0253012048192771</v>
      </c>
    </row>
    <row r="567" spans="1:16" ht="15.75" customHeight="1" x14ac:dyDescent="0.3">
      <c r="A567" s="117" t="s">
        <v>58</v>
      </c>
      <c r="B567" s="9" t="s">
        <v>341</v>
      </c>
      <c r="C567" s="9" t="s">
        <v>341</v>
      </c>
      <c r="D567" s="9" t="s">
        <v>74</v>
      </c>
      <c r="E567" s="10">
        <v>25</v>
      </c>
      <c r="F567" s="9"/>
      <c r="G567" s="11">
        <v>0</v>
      </c>
      <c r="H567" s="9" t="s">
        <v>76</v>
      </c>
      <c r="I567" s="9" t="s">
        <v>77</v>
      </c>
      <c r="J567" s="9"/>
      <c r="K567" s="9"/>
      <c r="L567" s="9" t="s">
        <v>78</v>
      </c>
      <c r="M567" s="12">
        <f t="shared" si="32"/>
        <v>249</v>
      </c>
      <c r="N567" s="13">
        <f t="shared" si="33"/>
        <v>294</v>
      </c>
      <c r="O567" s="14">
        <f t="shared" si="34"/>
        <v>543</v>
      </c>
      <c r="P567" s="15">
        <f t="shared" si="35"/>
        <v>0.6542168674698795</v>
      </c>
    </row>
    <row r="568" spans="1:16" ht="15.75" customHeight="1" x14ac:dyDescent="0.3">
      <c r="A568" s="117" t="s">
        <v>58</v>
      </c>
      <c r="B568" s="9" t="s">
        <v>341</v>
      </c>
      <c r="C568" s="9" t="s">
        <v>341</v>
      </c>
      <c r="D568" s="9" t="s">
        <v>318</v>
      </c>
      <c r="E568" s="10">
        <v>25</v>
      </c>
      <c r="F568" s="9"/>
      <c r="G568" s="11">
        <v>0</v>
      </c>
      <c r="H568" s="9" t="s">
        <v>257</v>
      </c>
      <c r="I568" s="9" t="s">
        <v>258</v>
      </c>
      <c r="J568" s="9" t="s">
        <v>8</v>
      </c>
      <c r="K568" s="9"/>
      <c r="L568" s="9" t="s">
        <v>348</v>
      </c>
      <c r="M568" s="12">
        <f t="shared" si="32"/>
        <v>331</v>
      </c>
      <c r="N568" s="13">
        <f t="shared" si="33"/>
        <v>520</v>
      </c>
      <c r="O568" s="14">
        <f t="shared" si="34"/>
        <v>851</v>
      </c>
      <c r="P568" s="15">
        <f t="shared" si="35"/>
        <v>1.0253012048192771</v>
      </c>
    </row>
    <row r="569" spans="1:16" ht="15.75" customHeight="1" x14ac:dyDescent="0.3">
      <c r="A569" s="117" t="s">
        <v>58</v>
      </c>
      <c r="B569" s="9" t="s">
        <v>341</v>
      </c>
      <c r="C569" s="9" t="s">
        <v>341</v>
      </c>
      <c r="D569" s="9" t="s">
        <v>318</v>
      </c>
      <c r="E569" s="10">
        <v>50</v>
      </c>
      <c r="F569" s="9"/>
      <c r="G569" s="11">
        <v>0</v>
      </c>
      <c r="H569" s="9" t="s">
        <v>96</v>
      </c>
      <c r="I569" s="9" t="s">
        <v>97</v>
      </c>
      <c r="J569" s="9" t="s">
        <v>8</v>
      </c>
      <c r="K569" s="9"/>
      <c r="L569" s="9" t="s">
        <v>349</v>
      </c>
      <c r="M569" s="12">
        <f t="shared" si="32"/>
        <v>501</v>
      </c>
      <c r="N569" s="13">
        <f t="shared" si="33"/>
        <v>486.5</v>
      </c>
      <c r="O569" s="14">
        <f t="shared" si="34"/>
        <v>987.5</v>
      </c>
      <c r="P569" s="15">
        <f t="shared" si="35"/>
        <v>1.1897590361445782</v>
      </c>
    </row>
    <row r="570" spans="1:16" ht="15.75" customHeight="1" x14ac:dyDescent="0.3">
      <c r="A570" s="32" t="s">
        <v>59</v>
      </c>
      <c r="B570" s="9" t="s">
        <v>62</v>
      </c>
      <c r="C570" s="9" t="s">
        <v>62</v>
      </c>
      <c r="D570" s="9"/>
      <c r="E570" s="10">
        <v>75</v>
      </c>
      <c r="F570" s="9"/>
      <c r="G570" s="11">
        <v>0</v>
      </c>
      <c r="H570" s="9" t="s">
        <v>63</v>
      </c>
      <c r="I570" s="9" t="s">
        <v>64</v>
      </c>
      <c r="J570" s="9" t="s">
        <v>4</v>
      </c>
      <c r="K570" s="9"/>
      <c r="L570" s="9"/>
      <c r="M570" s="12">
        <f t="shared" si="32"/>
        <v>284</v>
      </c>
      <c r="N570" s="13">
        <f t="shared" si="33"/>
        <v>140</v>
      </c>
      <c r="O570" s="14">
        <f t="shared" si="34"/>
        <v>424</v>
      </c>
      <c r="P570" s="15">
        <f t="shared" si="35"/>
        <v>0.51084337349397591</v>
      </c>
    </row>
    <row r="571" spans="1:16" ht="15.75" customHeight="1" x14ac:dyDescent="0.3">
      <c r="A571" s="32" t="s">
        <v>59</v>
      </c>
      <c r="B571" s="9" t="s">
        <v>62</v>
      </c>
      <c r="C571" s="9" t="s">
        <v>62</v>
      </c>
      <c r="D571" s="9"/>
      <c r="E571" s="10">
        <v>25</v>
      </c>
      <c r="F571" s="9"/>
      <c r="G571" s="11">
        <v>0</v>
      </c>
      <c r="H571" s="9" t="s">
        <v>67</v>
      </c>
      <c r="I571" s="9" t="s">
        <v>68</v>
      </c>
      <c r="J571" s="9" t="s">
        <v>4</v>
      </c>
      <c r="K571" s="9"/>
      <c r="L571" s="9"/>
      <c r="M571" s="12">
        <f t="shared" si="32"/>
        <v>366</v>
      </c>
      <c r="N571" s="13">
        <f t="shared" si="33"/>
        <v>175</v>
      </c>
      <c r="O571" s="14">
        <f t="shared" si="34"/>
        <v>541</v>
      </c>
      <c r="P571" s="15">
        <f t="shared" si="35"/>
        <v>0.65180722891566267</v>
      </c>
    </row>
    <row r="572" spans="1:16" ht="15.75" customHeight="1" x14ac:dyDescent="0.3">
      <c r="A572" s="32" t="s">
        <v>59</v>
      </c>
      <c r="B572" s="9" t="s">
        <v>62</v>
      </c>
      <c r="C572" s="9" t="s">
        <v>62</v>
      </c>
      <c r="D572" s="9"/>
      <c r="E572" s="10">
        <v>50</v>
      </c>
      <c r="F572" s="9"/>
      <c r="G572" s="11">
        <v>0</v>
      </c>
      <c r="H572" s="9" t="s">
        <v>65</v>
      </c>
      <c r="I572" s="9" t="s">
        <v>66</v>
      </c>
      <c r="J572" s="9" t="s">
        <v>4</v>
      </c>
      <c r="K572" s="9"/>
      <c r="L572" s="9"/>
      <c r="M572" s="12">
        <f t="shared" si="32"/>
        <v>291</v>
      </c>
      <c r="N572" s="13">
        <f t="shared" si="33"/>
        <v>650.5</v>
      </c>
      <c r="O572" s="14">
        <f t="shared" si="34"/>
        <v>941.5</v>
      </c>
      <c r="P572" s="15">
        <f t="shared" si="35"/>
        <v>1.1343373493975903</v>
      </c>
    </row>
    <row r="573" spans="1:16" ht="15.75" customHeight="1" x14ac:dyDescent="0.3">
      <c r="A573" s="32" t="s">
        <v>59</v>
      </c>
      <c r="B573" s="9" t="s">
        <v>69</v>
      </c>
      <c r="C573" s="9" t="s">
        <v>69</v>
      </c>
      <c r="D573" s="9"/>
      <c r="E573" s="10">
        <v>30</v>
      </c>
      <c r="F573" s="9"/>
      <c r="G573" s="11">
        <v>0</v>
      </c>
      <c r="H573" s="9" t="s">
        <v>70</v>
      </c>
      <c r="I573" s="9" t="s">
        <v>71</v>
      </c>
      <c r="J573" s="9"/>
      <c r="K573" s="9"/>
      <c r="L573" s="9"/>
      <c r="M573" s="12">
        <f t="shared" si="32"/>
        <v>391</v>
      </c>
      <c r="N573" s="13">
        <f t="shared" si="33"/>
        <v>436.5</v>
      </c>
      <c r="O573" s="14">
        <f t="shared" si="34"/>
        <v>827.5</v>
      </c>
      <c r="P573" s="15">
        <f t="shared" si="35"/>
        <v>0.99698795180722888</v>
      </c>
    </row>
    <row r="574" spans="1:16" ht="15.75" customHeight="1" x14ac:dyDescent="0.3">
      <c r="A574" s="32" t="s">
        <v>59</v>
      </c>
      <c r="B574" s="9" t="s">
        <v>350</v>
      </c>
      <c r="C574" s="9" t="s">
        <v>73</v>
      </c>
      <c r="D574" s="9" t="s">
        <v>103</v>
      </c>
      <c r="E574" s="10">
        <v>24</v>
      </c>
      <c r="F574" s="9" t="s">
        <v>107</v>
      </c>
      <c r="G574" s="10">
        <v>24</v>
      </c>
      <c r="H574" s="9" t="s">
        <v>84</v>
      </c>
      <c r="I574" s="9" t="s">
        <v>85</v>
      </c>
      <c r="J574" s="9"/>
      <c r="K574" s="9"/>
      <c r="L574" s="9" t="s">
        <v>351</v>
      </c>
      <c r="M574" s="12">
        <f t="shared" si="32"/>
        <v>284</v>
      </c>
      <c r="N574" s="13">
        <f t="shared" si="33"/>
        <v>691.5</v>
      </c>
      <c r="O574" s="14">
        <f t="shared" si="34"/>
        <v>975.5</v>
      </c>
      <c r="P574" s="15">
        <f t="shared" si="35"/>
        <v>1.175301204819277</v>
      </c>
    </row>
    <row r="575" spans="1:16" ht="15.75" customHeight="1" x14ac:dyDescent="0.3">
      <c r="A575" s="32" t="s">
        <v>59</v>
      </c>
      <c r="B575" s="9" t="s">
        <v>350</v>
      </c>
      <c r="C575" s="9" t="s">
        <v>100</v>
      </c>
      <c r="D575" s="9" t="s">
        <v>103</v>
      </c>
      <c r="E575" s="10">
        <v>80</v>
      </c>
      <c r="F575" s="9" t="s">
        <v>107</v>
      </c>
      <c r="G575" s="10">
        <v>40</v>
      </c>
      <c r="H575" s="9" t="s">
        <v>84</v>
      </c>
      <c r="I575" s="9" t="s">
        <v>85</v>
      </c>
      <c r="J575" s="9"/>
      <c r="K575" s="9"/>
      <c r="L575" s="9" t="s">
        <v>351</v>
      </c>
      <c r="M575" s="12">
        <f t="shared" si="32"/>
        <v>284</v>
      </c>
      <c r="N575" s="13">
        <f t="shared" si="33"/>
        <v>691.5</v>
      </c>
      <c r="O575" s="14">
        <f t="shared" si="34"/>
        <v>975.5</v>
      </c>
      <c r="P575" s="15">
        <f t="shared" si="35"/>
        <v>1.175301204819277</v>
      </c>
    </row>
    <row r="576" spans="1:16" ht="15.75" customHeight="1" x14ac:dyDescent="0.3">
      <c r="A576" s="32" t="s">
        <v>59</v>
      </c>
      <c r="B576" s="9" t="s">
        <v>350</v>
      </c>
      <c r="C576" s="9" t="s">
        <v>142</v>
      </c>
      <c r="D576" s="9" t="s">
        <v>103</v>
      </c>
      <c r="E576" s="10">
        <v>6</v>
      </c>
      <c r="F576" s="9" t="s">
        <v>107</v>
      </c>
      <c r="G576" s="11">
        <v>0</v>
      </c>
      <c r="H576" s="9" t="s">
        <v>84</v>
      </c>
      <c r="I576" s="9" t="s">
        <v>85</v>
      </c>
      <c r="J576" s="9"/>
      <c r="K576" s="9"/>
      <c r="L576" s="9" t="s">
        <v>351</v>
      </c>
      <c r="M576" s="12">
        <f t="shared" si="32"/>
        <v>284</v>
      </c>
      <c r="N576" s="13">
        <f t="shared" si="33"/>
        <v>691.5</v>
      </c>
      <c r="O576" s="14">
        <f t="shared" si="34"/>
        <v>975.5</v>
      </c>
      <c r="P576" s="15">
        <f t="shared" si="35"/>
        <v>1.175301204819277</v>
      </c>
    </row>
    <row r="577" spans="1:16" ht="15.75" customHeight="1" x14ac:dyDescent="0.3">
      <c r="A577" s="32" t="s">
        <v>59</v>
      </c>
      <c r="B577" s="9" t="s">
        <v>350</v>
      </c>
      <c r="C577" s="9" t="s">
        <v>80</v>
      </c>
      <c r="D577" s="9" t="s">
        <v>103</v>
      </c>
      <c r="E577" s="10">
        <v>1</v>
      </c>
      <c r="F577" s="9" t="s">
        <v>107</v>
      </c>
      <c r="G577" s="11">
        <v>0</v>
      </c>
      <c r="H577" s="9" t="s">
        <v>84</v>
      </c>
      <c r="I577" s="9" t="s">
        <v>85</v>
      </c>
      <c r="J577" s="9"/>
      <c r="K577" s="9"/>
      <c r="L577" s="9" t="s">
        <v>351</v>
      </c>
      <c r="M577" s="12">
        <f t="shared" si="32"/>
        <v>284</v>
      </c>
      <c r="N577" s="13">
        <f t="shared" si="33"/>
        <v>691.5</v>
      </c>
      <c r="O577" s="14">
        <f t="shared" si="34"/>
        <v>975.5</v>
      </c>
      <c r="P577" s="15">
        <f t="shared" si="35"/>
        <v>1.175301204819277</v>
      </c>
    </row>
    <row r="578" spans="1:16" ht="15.75" customHeight="1" x14ac:dyDescent="0.3">
      <c r="A578" s="32" t="s">
        <v>59</v>
      </c>
      <c r="B578" s="9" t="s">
        <v>352</v>
      </c>
      <c r="C578" s="9" t="s">
        <v>73</v>
      </c>
      <c r="D578" s="9" t="s">
        <v>220</v>
      </c>
      <c r="E578" s="10">
        <v>22</v>
      </c>
      <c r="F578" s="9" t="s">
        <v>221</v>
      </c>
      <c r="G578" s="10">
        <v>22</v>
      </c>
      <c r="H578" s="9" t="s">
        <v>91</v>
      </c>
      <c r="I578" s="9" t="s">
        <v>92</v>
      </c>
      <c r="J578" s="9" t="s">
        <v>4</v>
      </c>
      <c r="K578" s="9"/>
      <c r="L578" s="9"/>
      <c r="M578" s="12">
        <f t="shared" ref="M578:M641" si="36">SUMIFS($E$2:$E$1130,$A$2:$A$1130,"осень",$I$2:$I$1130,I578)</f>
        <v>405</v>
      </c>
      <c r="N578" s="13">
        <f t="shared" ref="N578:N641" si="37">SUMIFS($E$2:$E$1130,$A$2:$A$1130,"весна",$I$2:$I$1130,I578)</f>
        <v>478</v>
      </c>
      <c r="O578" s="14">
        <f t="shared" ref="O578:O641" si="38">M578+N578</f>
        <v>883</v>
      </c>
      <c r="P578" s="15">
        <f t="shared" ref="P578:P641" si="39">O578/$P$1</f>
        <v>1.0638554216867471</v>
      </c>
    </row>
    <row r="579" spans="1:16" ht="15.75" customHeight="1" x14ac:dyDescent="0.3">
      <c r="A579" s="32" t="s">
        <v>59</v>
      </c>
      <c r="B579" s="9" t="s">
        <v>352</v>
      </c>
      <c r="C579" s="9" t="s">
        <v>79</v>
      </c>
      <c r="D579" s="9" t="s">
        <v>220</v>
      </c>
      <c r="E579" s="10">
        <v>28</v>
      </c>
      <c r="F579" s="9" t="s">
        <v>221</v>
      </c>
      <c r="G579" s="10">
        <v>28</v>
      </c>
      <c r="H579" s="9" t="s">
        <v>91</v>
      </c>
      <c r="I579" s="9" t="s">
        <v>92</v>
      </c>
      <c r="J579" s="9" t="s">
        <v>4</v>
      </c>
      <c r="K579" s="9"/>
      <c r="L579" s="9"/>
      <c r="M579" s="12">
        <f t="shared" si="36"/>
        <v>405</v>
      </c>
      <c r="N579" s="13">
        <f t="shared" si="37"/>
        <v>478</v>
      </c>
      <c r="O579" s="14">
        <f t="shared" si="38"/>
        <v>883</v>
      </c>
      <c r="P579" s="15">
        <f t="shared" si="39"/>
        <v>1.0638554216867471</v>
      </c>
    </row>
    <row r="580" spans="1:16" ht="15.75" customHeight="1" x14ac:dyDescent="0.3">
      <c r="A580" s="32" t="s">
        <v>59</v>
      </c>
      <c r="B580" s="9" t="s">
        <v>352</v>
      </c>
      <c r="C580" s="9" t="s">
        <v>142</v>
      </c>
      <c r="D580" s="9" t="s">
        <v>220</v>
      </c>
      <c r="E580" s="10">
        <v>4</v>
      </c>
      <c r="F580" s="9" t="s">
        <v>221</v>
      </c>
      <c r="G580" s="11">
        <v>0</v>
      </c>
      <c r="H580" s="9" t="s">
        <v>91</v>
      </c>
      <c r="I580" s="9" t="s">
        <v>92</v>
      </c>
      <c r="J580" s="9" t="s">
        <v>4</v>
      </c>
      <c r="K580" s="9"/>
      <c r="L580" s="9"/>
      <c r="M580" s="12">
        <f t="shared" si="36"/>
        <v>405</v>
      </c>
      <c r="N580" s="13">
        <f t="shared" si="37"/>
        <v>478</v>
      </c>
      <c r="O580" s="14">
        <f t="shared" si="38"/>
        <v>883</v>
      </c>
      <c r="P580" s="15">
        <f t="shared" si="39"/>
        <v>1.0638554216867471</v>
      </c>
    </row>
    <row r="581" spans="1:16" ht="15.75" customHeight="1" x14ac:dyDescent="0.3">
      <c r="A581" s="32" t="s">
        <v>59</v>
      </c>
      <c r="B581" s="9" t="s">
        <v>352</v>
      </c>
      <c r="C581" s="9" t="s">
        <v>80</v>
      </c>
      <c r="D581" s="9" t="s">
        <v>220</v>
      </c>
      <c r="E581" s="10">
        <v>2</v>
      </c>
      <c r="F581" s="9" t="s">
        <v>221</v>
      </c>
      <c r="G581" s="11">
        <v>0</v>
      </c>
      <c r="H581" s="9" t="s">
        <v>91</v>
      </c>
      <c r="I581" s="9" t="s">
        <v>92</v>
      </c>
      <c r="J581" s="9" t="s">
        <v>4</v>
      </c>
      <c r="K581" s="9"/>
      <c r="L581" s="9"/>
      <c r="M581" s="12">
        <f t="shared" si="36"/>
        <v>405</v>
      </c>
      <c r="N581" s="13">
        <f t="shared" si="37"/>
        <v>478</v>
      </c>
      <c r="O581" s="14">
        <f t="shared" si="38"/>
        <v>883</v>
      </c>
      <c r="P581" s="15">
        <f t="shared" si="39"/>
        <v>1.0638554216867471</v>
      </c>
    </row>
    <row r="582" spans="1:16" ht="15.75" customHeight="1" x14ac:dyDescent="0.3">
      <c r="A582" s="32" t="s">
        <v>59</v>
      </c>
      <c r="B582" s="9" t="s">
        <v>353</v>
      </c>
      <c r="C582" s="9" t="s">
        <v>73</v>
      </c>
      <c r="D582" s="9" t="s">
        <v>220</v>
      </c>
      <c r="E582" s="10">
        <v>22</v>
      </c>
      <c r="F582" s="9" t="s">
        <v>221</v>
      </c>
      <c r="G582" s="10">
        <v>22</v>
      </c>
      <c r="H582" s="9" t="s">
        <v>174</v>
      </c>
      <c r="I582" s="9" t="s">
        <v>175</v>
      </c>
      <c r="J582" s="9" t="s">
        <v>8</v>
      </c>
      <c r="K582" s="9"/>
      <c r="L582" s="9"/>
      <c r="M582" s="12">
        <f t="shared" si="36"/>
        <v>320</v>
      </c>
      <c r="N582" s="13">
        <f t="shared" si="37"/>
        <v>169</v>
      </c>
      <c r="O582" s="14">
        <f t="shared" si="38"/>
        <v>489</v>
      </c>
      <c r="P582" s="15">
        <f t="shared" si="39"/>
        <v>0.58915662650602407</v>
      </c>
    </row>
    <row r="583" spans="1:16" ht="15.75" customHeight="1" x14ac:dyDescent="0.3">
      <c r="A583" s="32" t="s">
        <v>59</v>
      </c>
      <c r="B583" s="9" t="s">
        <v>353</v>
      </c>
      <c r="C583" s="9" t="s">
        <v>79</v>
      </c>
      <c r="D583" s="9" t="s">
        <v>220</v>
      </c>
      <c r="E583" s="10">
        <v>28</v>
      </c>
      <c r="F583" s="9" t="s">
        <v>221</v>
      </c>
      <c r="G583" s="10">
        <v>28</v>
      </c>
      <c r="H583" s="9" t="s">
        <v>186</v>
      </c>
      <c r="I583" s="9" t="s">
        <v>187</v>
      </c>
      <c r="J583" s="9"/>
      <c r="K583" s="9"/>
      <c r="L583" s="9"/>
      <c r="M583" s="12">
        <f t="shared" si="36"/>
        <v>127</v>
      </c>
      <c r="N583" s="13">
        <f t="shared" si="37"/>
        <v>133.5</v>
      </c>
      <c r="O583" s="14">
        <f t="shared" si="38"/>
        <v>260.5</v>
      </c>
      <c r="P583" s="15">
        <f t="shared" si="39"/>
        <v>0.31385542168674696</v>
      </c>
    </row>
    <row r="584" spans="1:16" ht="15.75" customHeight="1" x14ac:dyDescent="0.3">
      <c r="A584" s="32" t="s">
        <v>59</v>
      </c>
      <c r="B584" s="9" t="s">
        <v>353</v>
      </c>
      <c r="C584" s="9" t="s">
        <v>111</v>
      </c>
      <c r="D584" s="9" t="s">
        <v>220</v>
      </c>
      <c r="E584" s="10">
        <v>6</v>
      </c>
      <c r="F584" s="9" t="s">
        <v>221</v>
      </c>
      <c r="G584" s="11">
        <v>0</v>
      </c>
      <c r="H584" s="9" t="s">
        <v>174</v>
      </c>
      <c r="I584" s="9" t="s">
        <v>175</v>
      </c>
      <c r="J584" s="9" t="s">
        <v>8</v>
      </c>
      <c r="K584" s="9"/>
      <c r="L584" s="9"/>
      <c r="M584" s="12">
        <f t="shared" si="36"/>
        <v>320</v>
      </c>
      <c r="N584" s="13">
        <f t="shared" si="37"/>
        <v>169</v>
      </c>
      <c r="O584" s="14">
        <f t="shared" si="38"/>
        <v>489</v>
      </c>
      <c r="P584" s="15">
        <f t="shared" si="39"/>
        <v>0.58915662650602407</v>
      </c>
    </row>
    <row r="585" spans="1:16" ht="15.75" customHeight="1" x14ac:dyDescent="0.3">
      <c r="A585" s="32" t="s">
        <v>59</v>
      </c>
      <c r="B585" s="9" t="s">
        <v>353</v>
      </c>
      <c r="C585" s="9" t="s">
        <v>80</v>
      </c>
      <c r="D585" s="9" t="s">
        <v>220</v>
      </c>
      <c r="E585" s="10">
        <v>4</v>
      </c>
      <c r="F585" s="9" t="s">
        <v>221</v>
      </c>
      <c r="G585" s="11">
        <v>0</v>
      </c>
      <c r="H585" s="9" t="s">
        <v>354</v>
      </c>
      <c r="I585" s="9" t="s">
        <v>187</v>
      </c>
      <c r="J585" s="9" t="s">
        <v>21</v>
      </c>
      <c r="K585" s="9"/>
      <c r="L585" s="9"/>
      <c r="M585" s="12">
        <f t="shared" si="36"/>
        <v>127</v>
      </c>
      <c r="N585" s="13">
        <f t="shared" si="37"/>
        <v>133.5</v>
      </c>
      <c r="O585" s="14">
        <f t="shared" si="38"/>
        <v>260.5</v>
      </c>
      <c r="P585" s="15">
        <f t="shared" si="39"/>
        <v>0.31385542168674696</v>
      </c>
    </row>
    <row r="586" spans="1:16" ht="15.75" customHeight="1" x14ac:dyDescent="0.3">
      <c r="A586" s="32" t="s">
        <v>59</v>
      </c>
      <c r="B586" s="9" t="s">
        <v>355</v>
      </c>
      <c r="C586" s="9" t="s">
        <v>73</v>
      </c>
      <c r="D586" s="9" t="s">
        <v>134</v>
      </c>
      <c r="E586" s="10">
        <v>12</v>
      </c>
      <c r="F586" s="9" t="s">
        <v>166</v>
      </c>
      <c r="G586" s="10">
        <v>12</v>
      </c>
      <c r="H586" s="9" t="s">
        <v>174</v>
      </c>
      <c r="I586" s="9" t="s">
        <v>175</v>
      </c>
      <c r="J586" s="9" t="s">
        <v>8</v>
      </c>
      <c r="K586" s="9"/>
      <c r="L586" s="9"/>
      <c r="M586" s="12">
        <f t="shared" si="36"/>
        <v>320</v>
      </c>
      <c r="N586" s="13">
        <f t="shared" si="37"/>
        <v>169</v>
      </c>
      <c r="O586" s="14">
        <f t="shared" si="38"/>
        <v>489</v>
      </c>
      <c r="P586" s="15">
        <f t="shared" si="39"/>
        <v>0.58915662650602407</v>
      </c>
    </row>
    <row r="587" spans="1:16" ht="15.75" customHeight="1" x14ac:dyDescent="0.3">
      <c r="A587" s="32" t="s">
        <v>59</v>
      </c>
      <c r="B587" s="9" t="s">
        <v>355</v>
      </c>
      <c r="C587" s="9" t="s">
        <v>79</v>
      </c>
      <c r="D587" s="9" t="s">
        <v>134</v>
      </c>
      <c r="E587" s="10">
        <v>22</v>
      </c>
      <c r="F587" s="9" t="s">
        <v>166</v>
      </c>
      <c r="G587" s="10">
        <v>22</v>
      </c>
      <c r="H587" s="9" t="s">
        <v>174</v>
      </c>
      <c r="I587" s="9" t="s">
        <v>175</v>
      </c>
      <c r="J587" s="9" t="s">
        <v>8</v>
      </c>
      <c r="K587" s="9"/>
      <c r="L587" s="9"/>
      <c r="M587" s="12">
        <f t="shared" si="36"/>
        <v>320</v>
      </c>
      <c r="N587" s="13">
        <f t="shared" si="37"/>
        <v>169</v>
      </c>
      <c r="O587" s="14">
        <f t="shared" si="38"/>
        <v>489</v>
      </c>
      <c r="P587" s="15">
        <f t="shared" si="39"/>
        <v>0.58915662650602407</v>
      </c>
    </row>
    <row r="588" spans="1:16" ht="15.75" customHeight="1" x14ac:dyDescent="0.3">
      <c r="A588" s="32" t="s">
        <v>59</v>
      </c>
      <c r="B588" s="9" t="s">
        <v>355</v>
      </c>
      <c r="C588" s="9" t="s">
        <v>142</v>
      </c>
      <c r="D588" s="9" t="s">
        <v>134</v>
      </c>
      <c r="E588" s="10">
        <v>2</v>
      </c>
      <c r="F588" s="9" t="s">
        <v>166</v>
      </c>
      <c r="G588" s="11">
        <v>0</v>
      </c>
      <c r="H588" s="9" t="s">
        <v>174</v>
      </c>
      <c r="I588" s="9" t="s">
        <v>175</v>
      </c>
      <c r="J588" s="9" t="s">
        <v>8</v>
      </c>
      <c r="K588" s="9"/>
      <c r="L588" s="9"/>
      <c r="M588" s="12">
        <f t="shared" si="36"/>
        <v>320</v>
      </c>
      <c r="N588" s="13">
        <f t="shared" si="37"/>
        <v>169</v>
      </c>
      <c r="O588" s="14">
        <f t="shared" si="38"/>
        <v>489</v>
      </c>
      <c r="P588" s="15">
        <f t="shared" si="39"/>
        <v>0.58915662650602407</v>
      </c>
    </row>
    <row r="589" spans="1:16" ht="15.75" customHeight="1" x14ac:dyDescent="0.3">
      <c r="A589" s="32" t="s">
        <v>59</v>
      </c>
      <c r="B589" s="9" t="s">
        <v>355</v>
      </c>
      <c r="C589" s="9" t="s">
        <v>80</v>
      </c>
      <c r="D589" s="9" t="s">
        <v>134</v>
      </c>
      <c r="E589" s="10">
        <v>1</v>
      </c>
      <c r="F589" s="9" t="s">
        <v>166</v>
      </c>
      <c r="G589" s="11">
        <v>0</v>
      </c>
      <c r="H589" s="9" t="s">
        <v>174</v>
      </c>
      <c r="I589" s="9" t="s">
        <v>175</v>
      </c>
      <c r="J589" s="9" t="s">
        <v>8</v>
      </c>
      <c r="K589" s="9"/>
      <c r="L589" s="9"/>
      <c r="M589" s="12">
        <f t="shared" si="36"/>
        <v>320</v>
      </c>
      <c r="N589" s="13">
        <f t="shared" si="37"/>
        <v>169</v>
      </c>
      <c r="O589" s="14">
        <f t="shared" si="38"/>
        <v>489</v>
      </c>
      <c r="P589" s="15">
        <f t="shared" si="39"/>
        <v>0.58915662650602407</v>
      </c>
    </row>
    <row r="590" spans="1:16" ht="15.75" customHeight="1" x14ac:dyDescent="0.3">
      <c r="A590" s="32" t="s">
        <v>59</v>
      </c>
      <c r="B590" s="9" t="s">
        <v>356</v>
      </c>
      <c r="C590" s="9" t="s">
        <v>73</v>
      </c>
      <c r="D590" s="9" t="s">
        <v>300</v>
      </c>
      <c r="E590" s="10">
        <v>16</v>
      </c>
      <c r="F590" s="9" t="s">
        <v>263</v>
      </c>
      <c r="G590" s="10">
        <v>16</v>
      </c>
      <c r="H590" s="9" t="s">
        <v>94</v>
      </c>
      <c r="I590" s="9" t="s">
        <v>95</v>
      </c>
      <c r="J590" s="9"/>
      <c r="K590" s="9"/>
      <c r="L590" s="9"/>
      <c r="M590" s="12">
        <f t="shared" si="36"/>
        <v>283</v>
      </c>
      <c r="N590" s="13">
        <f t="shared" si="37"/>
        <v>440</v>
      </c>
      <c r="O590" s="14">
        <f t="shared" si="38"/>
        <v>723</v>
      </c>
      <c r="P590" s="15">
        <f t="shared" si="39"/>
        <v>0.87108433734939761</v>
      </c>
    </row>
    <row r="591" spans="1:16" ht="15.75" customHeight="1" x14ac:dyDescent="0.3">
      <c r="A591" s="32" t="s">
        <v>59</v>
      </c>
      <c r="B591" s="9" t="s">
        <v>356</v>
      </c>
      <c r="C591" s="9" t="s">
        <v>123</v>
      </c>
      <c r="D591" s="9" t="s">
        <v>165</v>
      </c>
      <c r="E591" s="10">
        <v>21</v>
      </c>
      <c r="F591" s="9" t="s">
        <v>263</v>
      </c>
      <c r="G591" s="11">
        <v>0</v>
      </c>
      <c r="H591" s="9" t="s">
        <v>94</v>
      </c>
      <c r="I591" s="9" t="s">
        <v>95</v>
      </c>
      <c r="J591" s="9"/>
      <c r="K591" s="9"/>
      <c r="L591" s="9"/>
      <c r="M591" s="12">
        <f t="shared" si="36"/>
        <v>283</v>
      </c>
      <c r="N591" s="13">
        <f t="shared" si="37"/>
        <v>440</v>
      </c>
      <c r="O591" s="14">
        <f t="shared" si="38"/>
        <v>723</v>
      </c>
      <c r="P591" s="15">
        <f t="shared" si="39"/>
        <v>0.87108433734939761</v>
      </c>
    </row>
    <row r="592" spans="1:16" ht="15.75" customHeight="1" x14ac:dyDescent="0.3">
      <c r="A592" s="32" t="s">
        <v>59</v>
      </c>
      <c r="B592" s="9" t="s">
        <v>356</v>
      </c>
      <c r="C592" s="9" t="s">
        <v>123</v>
      </c>
      <c r="D592" s="9" t="s">
        <v>237</v>
      </c>
      <c r="E592" s="10">
        <v>18</v>
      </c>
      <c r="F592" s="9" t="s">
        <v>263</v>
      </c>
      <c r="G592" s="11">
        <v>0</v>
      </c>
      <c r="H592" s="9" t="s">
        <v>94</v>
      </c>
      <c r="I592" s="9" t="s">
        <v>95</v>
      </c>
      <c r="J592" s="9"/>
      <c r="K592" s="9"/>
      <c r="L592" s="9"/>
      <c r="M592" s="12">
        <f t="shared" si="36"/>
        <v>283</v>
      </c>
      <c r="N592" s="13">
        <f t="shared" si="37"/>
        <v>440</v>
      </c>
      <c r="O592" s="14">
        <f t="shared" si="38"/>
        <v>723</v>
      </c>
      <c r="P592" s="15">
        <f t="shared" si="39"/>
        <v>0.87108433734939761</v>
      </c>
    </row>
    <row r="593" spans="1:16" ht="15.75" customHeight="1" x14ac:dyDescent="0.3">
      <c r="A593" s="32" t="s">
        <v>59</v>
      </c>
      <c r="B593" s="9" t="s">
        <v>356</v>
      </c>
      <c r="C593" s="9" t="s">
        <v>123</v>
      </c>
      <c r="D593" s="9" t="s">
        <v>152</v>
      </c>
      <c r="E593" s="10">
        <v>21</v>
      </c>
      <c r="F593" s="9" t="s">
        <v>263</v>
      </c>
      <c r="G593" s="11">
        <v>0</v>
      </c>
      <c r="H593" s="9" t="s">
        <v>94</v>
      </c>
      <c r="I593" s="9" t="s">
        <v>95</v>
      </c>
      <c r="J593" s="9"/>
      <c r="K593" s="9"/>
      <c r="L593" s="9"/>
      <c r="M593" s="12">
        <f t="shared" si="36"/>
        <v>283</v>
      </c>
      <c r="N593" s="13">
        <f t="shared" si="37"/>
        <v>440</v>
      </c>
      <c r="O593" s="14">
        <f t="shared" si="38"/>
        <v>723</v>
      </c>
      <c r="P593" s="15">
        <f t="shared" si="39"/>
        <v>0.87108433734939761</v>
      </c>
    </row>
    <row r="594" spans="1:16" ht="15.75" customHeight="1" x14ac:dyDescent="0.3">
      <c r="A594" s="32" t="s">
        <v>59</v>
      </c>
      <c r="B594" s="9" t="s">
        <v>356</v>
      </c>
      <c r="C594" s="9" t="s">
        <v>123</v>
      </c>
      <c r="D594" s="9" t="s">
        <v>144</v>
      </c>
      <c r="E594" s="10">
        <v>27</v>
      </c>
      <c r="F594" s="9" t="s">
        <v>263</v>
      </c>
      <c r="G594" s="11">
        <v>0</v>
      </c>
      <c r="H594" s="9" t="s">
        <v>94</v>
      </c>
      <c r="I594" s="9" t="s">
        <v>95</v>
      </c>
      <c r="J594" s="9"/>
      <c r="K594" s="9"/>
      <c r="L594" s="9"/>
      <c r="M594" s="12">
        <f t="shared" si="36"/>
        <v>283</v>
      </c>
      <c r="N594" s="13">
        <f t="shared" si="37"/>
        <v>440</v>
      </c>
      <c r="O594" s="14">
        <f t="shared" si="38"/>
        <v>723</v>
      </c>
      <c r="P594" s="15">
        <f t="shared" si="39"/>
        <v>0.87108433734939761</v>
      </c>
    </row>
    <row r="595" spans="1:16" ht="15.75" customHeight="1" x14ac:dyDescent="0.3">
      <c r="A595" s="32" t="s">
        <v>59</v>
      </c>
      <c r="B595" s="9" t="s">
        <v>356</v>
      </c>
      <c r="C595" s="9" t="s">
        <v>79</v>
      </c>
      <c r="D595" s="9" t="s">
        <v>165</v>
      </c>
      <c r="E595" s="10">
        <v>12</v>
      </c>
      <c r="F595" s="9" t="s">
        <v>263</v>
      </c>
      <c r="G595" s="10">
        <v>44</v>
      </c>
      <c r="H595" s="9"/>
      <c r="I595" s="9" t="s">
        <v>147</v>
      </c>
      <c r="J595" s="9"/>
      <c r="K595" s="9"/>
      <c r="L595" s="9"/>
      <c r="M595" s="12">
        <f t="shared" si="36"/>
        <v>279</v>
      </c>
      <c r="N595" s="13">
        <f t="shared" si="37"/>
        <v>475.5</v>
      </c>
      <c r="O595" s="14">
        <f t="shared" si="38"/>
        <v>754.5</v>
      </c>
      <c r="P595" s="15">
        <f t="shared" si="39"/>
        <v>0.90903614457831328</v>
      </c>
    </row>
    <row r="596" spans="1:16" ht="15.75" customHeight="1" x14ac:dyDescent="0.3">
      <c r="A596" s="32" t="s">
        <v>59</v>
      </c>
      <c r="B596" s="9" t="s">
        <v>356</v>
      </c>
      <c r="C596" s="9" t="s">
        <v>79</v>
      </c>
      <c r="D596" s="9" t="s">
        <v>165</v>
      </c>
      <c r="E596" s="10">
        <v>32</v>
      </c>
      <c r="F596" s="9" t="s">
        <v>263</v>
      </c>
      <c r="G596" s="10">
        <v>44</v>
      </c>
      <c r="H596" s="9" t="s">
        <v>94</v>
      </c>
      <c r="I596" s="9" t="s">
        <v>95</v>
      </c>
      <c r="J596" s="9"/>
      <c r="K596" s="9"/>
      <c r="L596" s="9"/>
      <c r="M596" s="12">
        <f t="shared" si="36"/>
        <v>283</v>
      </c>
      <c r="N596" s="13">
        <f t="shared" si="37"/>
        <v>440</v>
      </c>
      <c r="O596" s="14">
        <f t="shared" si="38"/>
        <v>723</v>
      </c>
      <c r="P596" s="15">
        <f t="shared" si="39"/>
        <v>0.87108433734939761</v>
      </c>
    </row>
    <row r="597" spans="1:16" ht="15.75" customHeight="1" x14ac:dyDescent="0.3">
      <c r="A597" s="32" t="s">
        <v>59</v>
      </c>
      <c r="B597" s="9" t="s">
        <v>356</v>
      </c>
      <c r="C597" s="9" t="s">
        <v>79</v>
      </c>
      <c r="D597" s="9" t="s">
        <v>237</v>
      </c>
      <c r="E597" s="10">
        <v>12</v>
      </c>
      <c r="F597" s="9" t="s">
        <v>263</v>
      </c>
      <c r="G597" s="10">
        <v>44</v>
      </c>
      <c r="H597" s="9"/>
      <c r="I597" s="9" t="s">
        <v>147</v>
      </c>
      <c r="J597" s="9"/>
      <c r="K597" s="9"/>
      <c r="L597" s="9"/>
      <c r="M597" s="12">
        <f t="shared" si="36"/>
        <v>279</v>
      </c>
      <c r="N597" s="13">
        <f t="shared" si="37"/>
        <v>475.5</v>
      </c>
      <c r="O597" s="14">
        <f t="shared" si="38"/>
        <v>754.5</v>
      </c>
      <c r="P597" s="15">
        <f t="shared" si="39"/>
        <v>0.90903614457831328</v>
      </c>
    </row>
    <row r="598" spans="1:16" ht="15.75" customHeight="1" x14ac:dyDescent="0.3">
      <c r="A598" s="32" t="s">
        <v>59</v>
      </c>
      <c r="B598" s="9" t="s">
        <v>356</v>
      </c>
      <c r="C598" s="9" t="s">
        <v>79</v>
      </c>
      <c r="D598" s="9" t="s">
        <v>237</v>
      </c>
      <c r="E598" s="10">
        <v>32</v>
      </c>
      <c r="F598" s="9" t="s">
        <v>263</v>
      </c>
      <c r="G598" s="10">
        <v>44</v>
      </c>
      <c r="H598" s="9" t="s">
        <v>94</v>
      </c>
      <c r="I598" s="9" t="s">
        <v>95</v>
      </c>
      <c r="J598" s="9"/>
      <c r="K598" s="9"/>
      <c r="L598" s="9"/>
      <c r="M598" s="12">
        <f t="shared" si="36"/>
        <v>283</v>
      </c>
      <c r="N598" s="13">
        <f t="shared" si="37"/>
        <v>440</v>
      </c>
      <c r="O598" s="14">
        <f t="shared" si="38"/>
        <v>723</v>
      </c>
      <c r="P598" s="15">
        <f t="shared" si="39"/>
        <v>0.87108433734939761</v>
      </c>
    </row>
    <row r="599" spans="1:16" ht="15.75" customHeight="1" x14ac:dyDescent="0.3">
      <c r="A599" s="32" t="s">
        <v>59</v>
      </c>
      <c r="B599" s="9" t="s">
        <v>356</v>
      </c>
      <c r="C599" s="9" t="s">
        <v>79</v>
      </c>
      <c r="D599" s="9" t="s">
        <v>152</v>
      </c>
      <c r="E599" s="10">
        <v>12</v>
      </c>
      <c r="F599" s="9" t="s">
        <v>263</v>
      </c>
      <c r="G599" s="10">
        <v>44</v>
      </c>
      <c r="H599" s="9"/>
      <c r="I599" s="9" t="s">
        <v>147</v>
      </c>
      <c r="J599" s="9"/>
      <c r="K599" s="9"/>
      <c r="L599" s="9"/>
      <c r="M599" s="12">
        <f t="shared" si="36"/>
        <v>279</v>
      </c>
      <c r="N599" s="13">
        <f t="shared" si="37"/>
        <v>475.5</v>
      </c>
      <c r="O599" s="14">
        <f t="shared" si="38"/>
        <v>754.5</v>
      </c>
      <c r="P599" s="15">
        <f t="shared" si="39"/>
        <v>0.90903614457831328</v>
      </c>
    </row>
    <row r="600" spans="1:16" ht="15.75" customHeight="1" x14ac:dyDescent="0.3">
      <c r="A600" s="32" t="s">
        <v>59</v>
      </c>
      <c r="B600" s="9" t="s">
        <v>356</v>
      </c>
      <c r="C600" s="9" t="s">
        <v>79</v>
      </c>
      <c r="D600" s="9" t="s">
        <v>152</v>
      </c>
      <c r="E600" s="10">
        <v>32</v>
      </c>
      <c r="F600" s="9" t="s">
        <v>263</v>
      </c>
      <c r="G600" s="10">
        <v>44</v>
      </c>
      <c r="H600" s="9" t="s">
        <v>94</v>
      </c>
      <c r="I600" s="9" t="s">
        <v>95</v>
      </c>
      <c r="J600" s="9"/>
      <c r="K600" s="9"/>
      <c r="L600" s="9"/>
      <c r="M600" s="12">
        <f t="shared" si="36"/>
        <v>283</v>
      </c>
      <c r="N600" s="13">
        <f t="shared" si="37"/>
        <v>440</v>
      </c>
      <c r="O600" s="14">
        <f t="shared" si="38"/>
        <v>723</v>
      </c>
      <c r="P600" s="15">
        <f t="shared" si="39"/>
        <v>0.87108433734939761</v>
      </c>
    </row>
    <row r="601" spans="1:16" ht="15.75" customHeight="1" x14ac:dyDescent="0.3">
      <c r="A601" s="32" t="s">
        <v>59</v>
      </c>
      <c r="B601" s="9" t="s">
        <v>356</v>
      </c>
      <c r="C601" s="9" t="s">
        <v>79</v>
      </c>
      <c r="D601" s="9" t="s">
        <v>144</v>
      </c>
      <c r="E601" s="10">
        <v>12</v>
      </c>
      <c r="F601" s="9" t="s">
        <v>263</v>
      </c>
      <c r="G601" s="10">
        <v>44</v>
      </c>
      <c r="H601" s="9"/>
      <c r="I601" s="9" t="s">
        <v>147</v>
      </c>
      <c r="J601" s="9"/>
      <c r="K601" s="9"/>
      <c r="L601" s="9"/>
      <c r="M601" s="12">
        <f t="shared" si="36"/>
        <v>279</v>
      </c>
      <c r="N601" s="13">
        <f t="shared" si="37"/>
        <v>475.5</v>
      </c>
      <c r="O601" s="14">
        <f t="shared" si="38"/>
        <v>754.5</v>
      </c>
      <c r="P601" s="15">
        <f t="shared" si="39"/>
        <v>0.90903614457831328</v>
      </c>
    </row>
    <row r="602" spans="1:16" ht="15.75" customHeight="1" x14ac:dyDescent="0.3">
      <c r="A602" s="32" t="s">
        <v>59</v>
      </c>
      <c r="B602" s="9" t="s">
        <v>356</v>
      </c>
      <c r="C602" s="9" t="s">
        <v>79</v>
      </c>
      <c r="D602" s="9" t="s">
        <v>144</v>
      </c>
      <c r="E602" s="10">
        <v>32</v>
      </c>
      <c r="F602" s="9" t="s">
        <v>263</v>
      </c>
      <c r="G602" s="10">
        <v>44</v>
      </c>
      <c r="H602" s="9" t="s">
        <v>94</v>
      </c>
      <c r="I602" s="9" t="s">
        <v>95</v>
      </c>
      <c r="J602" s="9"/>
      <c r="K602" s="9"/>
      <c r="L602" s="9"/>
      <c r="M602" s="12">
        <f t="shared" si="36"/>
        <v>283</v>
      </c>
      <c r="N602" s="13">
        <f t="shared" si="37"/>
        <v>440</v>
      </c>
      <c r="O602" s="14">
        <f t="shared" si="38"/>
        <v>723</v>
      </c>
      <c r="P602" s="15">
        <f t="shared" si="39"/>
        <v>0.87108433734939761</v>
      </c>
    </row>
    <row r="603" spans="1:16" ht="15.75" customHeight="1" x14ac:dyDescent="0.3">
      <c r="A603" s="32" t="s">
        <v>59</v>
      </c>
      <c r="B603" s="9" t="s">
        <v>356</v>
      </c>
      <c r="C603" s="9" t="s">
        <v>111</v>
      </c>
      <c r="D603" s="9" t="s">
        <v>165</v>
      </c>
      <c r="E603" s="10">
        <v>4</v>
      </c>
      <c r="F603" s="9" t="s">
        <v>263</v>
      </c>
      <c r="G603" s="11">
        <v>0</v>
      </c>
      <c r="H603" s="9" t="s">
        <v>94</v>
      </c>
      <c r="I603" s="9" t="s">
        <v>95</v>
      </c>
      <c r="J603" s="9"/>
      <c r="K603" s="9"/>
      <c r="L603" s="9"/>
      <c r="M603" s="12">
        <f t="shared" si="36"/>
        <v>283</v>
      </c>
      <c r="N603" s="13">
        <f t="shared" si="37"/>
        <v>440</v>
      </c>
      <c r="O603" s="14">
        <f t="shared" si="38"/>
        <v>723</v>
      </c>
      <c r="P603" s="15">
        <f t="shared" si="39"/>
        <v>0.87108433734939761</v>
      </c>
    </row>
    <row r="604" spans="1:16" ht="15.75" customHeight="1" x14ac:dyDescent="0.3">
      <c r="A604" s="32" t="s">
        <v>59</v>
      </c>
      <c r="B604" s="9" t="s">
        <v>356</v>
      </c>
      <c r="C604" s="9" t="s">
        <v>111</v>
      </c>
      <c r="D604" s="9" t="s">
        <v>237</v>
      </c>
      <c r="E604" s="10">
        <v>3</v>
      </c>
      <c r="F604" s="9" t="s">
        <v>263</v>
      </c>
      <c r="G604" s="11">
        <v>0</v>
      </c>
      <c r="H604" s="9" t="s">
        <v>94</v>
      </c>
      <c r="I604" s="9" t="s">
        <v>95</v>
      </c>
      <c r="J604" s="9"/>
      <c r="K604" s="9"/>
      <c r="L604" s="9"/>
      <c r="M604" s="12">
        <f t="shared" si="36"/>
        <v>283</v>
      </c>
      <c r="N604" s="13">
        <f t="shared" si="37"/>
        <v>440</v>
      </c>
      <c r="O604" s="14">
        <f t="shared" si="38"/>
        <v>723</v>
      </c>
      <c r="P604" s="15">
        <f t="shared" si="39"/>
        <v>0.87108433734939761</v>
      </c>
    </row>
    <row r="605" spans="1:16" ht="15.75" customHeight="1" x14ac:dyDescent="0.3">
      <c r="A605" s="32" t="s">
        <v>59</v>
      </c>
      <c r="B605" s="9" t="s">
        <v>356</v>
      </c>
      <c r="C605" s="9" t="s">
        <v>111</v>
      </c>
      <c r="D605" s="9" t="s">
        <v>152</v>
      </c>
      <c r="E605" s="10">
        <v>4</v>
      </c>
      <c r="F605" s="9" t="s">
        <v>263</v>
      </c>
      <c r="G605" s="11">
        <v>0</v>
      </c>
      <c r="H605" s="9" t="s">
        <v>94</v>
      </c>
      <c r="I605" s="9" t="s">
        <v>95</v>
      </c>
      <c r="J605" s="9"/>
      <c r="K605" s="9"/>
      <c r="L605" s="9"/>
      <c r="M605" s="12">
        <f t="shared" si="36"/>
        <v>283</v>
      </c>
      <c r="N605" s="13">
        <f t="shared" si="37"/>
        <v>440</v>
      </c>
      <c r="O605" s="14">
        <f t="shared" si="38"/>
        <v>723</v>
      </c>
      <c r="P605" s="15">
        <f t="shared" si="39"/>
        <v>0.87108433734939761</v>
      </c>
    </row>
    <row r="606" spans="1:16" ht="15.75" customHeight="1" x14ac:dyDescent="0.3">
      <c r="A606" s="32" t="s">
        <v>59</v>
      </c>
      <c r="B606" s="9" t="s">
        <v>356</v>
      </c>
      <c r="C606" s="9" t="s">
        <v>111</v>
      </c>
      <c r="D606" s="9" t="s">
        <v>144</v>
      </c>
      <c r="E606" s="10">
        <v>5</v>
      </c>
      <c r="F606" s="9" t="s">
        <v>263</v>
      </c>
      <c r="G606" s="11">
        <v>0</v>
      </c>
      <c r="H606" s="9" t="s">
        <v>94</v>
      </c>
      <c r="I606" s="9" t="s">
        <v>95</v>
      </c>
      <c r="J606" s="9"/>
      <c r="K606" s="9"/>
      <c r="L606" s="9"/>
      <c r="M606" s="12">
        <f t="shared" si="36"/>
        <v>283</v>
      </c>
      <c r="N606" s="13">
        <f t="shared" si="37"/>
        <v>440</v>
      </c>
      <c r="O606" s="14">
        <f t="shared" si="38"/>
        <v>723</v>
      </c>
      <c r="P606" s="15">
        <f t="shared" si="39"/>
        <v>0.87108433734939761</v>
      </c>
    </row>
    <row r="607" spans="1:16" ht="15.75" customHeight="1" x14ac:dyDescent="0.3">
      <c r="A607" s="32" t="s">
        <v>59</v>
      </c>
      <c r="B607" s="9" t="s">
        <v>356</v>
      </c>
      <c r="C607" s="9" t="s">
        <v>80</v>
      </c>
      <c r="D607" s="9" t="s">
        <v>165</v>
      </c>
      <c r="E607" s="10">
        <v>3</v>
      </c>
      <c r="F607" s="9" t="s">
        <v>263</v>
      </c>
      <c r="G607" s="11">
        <v>0</v>
      </c>
      <c r="H607" s="9" t="s">
        <v>94</v>
      </c>
      <c r="I607" s="9" t="s">
        <v>95</v>
      </c>
      <c r="J607" s="9"/>
      <c r="K607" s="9"/>
      <c r="L607" s="9"/>
      <c r="M607" s="12">
        <f t="shared" si="36"/>
        <v>283</v>
      </c>
      <c r="N607" s="13">
        <f t="shared" si="37"/>
        <v>440</v>
      </c>
      <c r="O607" s="14">
        <f t="shared" si="38"/>
        <v>723</v>
      </c>
      <c r="P607" s="15">
        <f t="shared" si="39"/>
        <v>0.87108433734939761</v>
      </c>
    </row>
    <row r="608" spans="1:16" ht="15.75" customHeight="1" x14ac:dyDescent="0.3">
      <c r="A608" s="32" t="s">
        <v>59</v>
      </c>
      <c r="B608" s="9" t="s">
        <v>356</v>
      </c>
      <c r="C608" s="9" t="s">
        <v>80</v>
      </c>
      <c r="D608" s="9" t="s">
        <v>237</v>
      </c>
      <c r="E608" s="10">
        <v>3</v>
      </c>
      <c r="F608" s="9" t="s">
        <v>263</v>
      </c>
      <c r="G608" s="11">
        <v>0</v>
      </c>
      <c r="H608" s="9" t="s">
        <v>94</v>
      </c>
      <c r="I608" s="9" t="s">
        <v>95</v>
      </c>
      <c r="J608" s="9"/>
      <c r="K608" s="9"/>
      <c r="L608" s="9"/>
      <c r="M608" s="12">
        <f t="shared" si="36"/>
        <v>283</v>
      </c>
      <c r="N608" s="13">
        <f t="shared" si="37"/>
        <v>440</v>
      </c>
      <c r="O608" s="14">
        <f t="shared" si="38"/>
        <v>723</v>
      </c>
      <c r="P608" s="15">
        <f t="shared" si="39"/>
        <v>0.87108433734939761</v>
      </c>
    </row>
    <row r="609" spans="1:16" ht="15.75" customHeight="1" x14ac:dyDescent="0.3">
      <c r="A609" s="32" t="s">
        <v>59</v>
      </c>
      <c r="B609" s="9" t="s">
        <v>356</v>
      </c>
      <c r="C609" s="9" t="s">
        <v>80</v>
      </c>
      <c r="D609" s="9" t="s">
        <v>152</v>
      </c>
      <c r="E609" s="10">
        <v>3</v>
      </c>
      <c r="F609" s="9" t="s">
        <v>263</v>
      </c>
      <c r="G609" s="11">
        <v>0</v>
      </c>
      <c r="H609" s="9" t="s">
        <v>94</v>
      </c>
      <c r="I609" s="9" t="s">
        <v>95</v>
      </c>
      <c r="J609" s="9"/>
      <c r="K609" s="9"/>
      <c r="L609" s="9"/>
      <c r="M609" s="12">
        <f t="shared" si="36"/>
        <v>283</v>
      </c>
      <c r="N609" s="13">
        <f t="shared" si="37"/>
        <v>440</v>
      </c>
      <c r="O609" s="14">
        <f t="shared" si="38"/>
        <v>723</v>
      </c>
      <c r="P609" s="15">
        <f t="shared" si="39"/>
        <v>0.87108433734939761</v>
      </c>
    </row>
    <row r="610" spans="1:16" ht="15.75" customHeight="1" x14ac:dyDescent="0.3">
      <c r="A610" s="32" t="s">
        <v>59</v>
      </c>
      <c r="B610" s="9" t="s">
        <v>356</v>
      </c>
      <c r="C610" s="9" t="s">
        <v>80</v>
      </c>
      <c r="D610" s="9" t="s">
        <v>144</v>
      </c>
      <c r="E610" s="10">
        <v>3</v>
      </c>
      <c r="F610" s="9" t="s">
        <v>263</v>
      </c>
      <c r="G610" s="11">
        <v>0</v>
      </c>
      <c r="H610" s="9" t="s">
        <v>94</v>
      </c>
      <c r="I610" s="9" t="s">
        <v>95</v>
      </c>
      <c r="J610" s="9"/>
      <c r="K610" s="9"/>
      <c r="L610" s="9"/>
      <c r="M610" s="12">
        <f t="shared" si="36"/>
        <v>283</v>
      </c>
      <c r="N610" s="13">
        <f t="shared" si="37"/>
        <v>440</v>
      </c>
      <c r="O610" s="14">
        <f t="shared" si="38"/>
        <v>723</v>
      </c>
      <c r="P610" s="15">
        <f t="shared" si="39"/>
        <v>0.87108433734939761</v>
      </c>
    </row>
    <row r="611" spans="1:16" ht="15.75" customHeight="1" x14ac:dyDescent="0.3">
      <c r="A611" s="32" t="s">
        <v>59</v>
      </c>
      <c r="B611" s="9" t="s">
        <v>357</v>
      </c>
      <c r="C611" s="9" t="s">
        <v>73</v>
      </c>
      <c r="D611" s="9" t="s">
        <v>287</v>
      </c>
      <c r="E611" s="10">
        <v>18</v>
      </c>
      <c r="F611" s="9" t="s">
        <v>133</v>
      </c>
      <c r="G611" s="10">
        <v>18</v>
      </c>
      <c r="H611" s="9" t="s">
        <v>98</v>
      </c>
      <c r="I611" s="9" t="s">
        <v>99</v>
      </c>
      <c r="J611" s="9" t="s">
        <v>4</v>
      </c>
      <c r="K611" s="9"/>
      <c r="L611" s="9"/>
      <c r="M611" s="12">
        <f t="shared" si="36"/>
        <v>239</v>
      </c>
      <c r="N611" s="13">
        <f t="shared" si="37"/>
        <v>196.5</v>
      </c>
      <c r="O611" s="14">
        <f t="shared" si="38"/>
        <v>435.5</v>
      </c>
      <c r="P611" s="15">
        <f t="shared" si="39"/>
        <v>0.52469879518072293</v>
      </c>
    </row>
    <row r="612" spans="1:16" ht="15.75" customHeight="1" x14ac:dyDescent="0.3">
      <c r="A612" s="32" t="s">
        <v>59</v>
      </c>
      <c r="B612" s="9" t="s">
        <v>357</v>
      </c>
      <c r="C612" s="9" t="s">
        <v>79</v>
      </c>
      <c r="D612" s="9" t="s">
        <v>287</v>
      </c>
      <c r="E612" s="10">
        <v>46</v>
      </c>
      <c r="F612" s="9" t="s">
        <v>133</v>
      </c>
      <c r="G612" s="10">
        <v>46</v>
      </c>
      <c r="H612" s="21"/>
      <c r="I612" s="21" t="s">
        <v>358</v>
      </c>
      <c r="J612" s="21"/>
      <c r="K612" s="9"/>
      <c r="L612" s="9"/>
      <c r="M612" s="12">
        <f t="shared" si="36"/>
        <v>0</v>
      </c>
      <c r="N612" s="13">
        <f t="shared" si="37"/>
        <v>233</v>
      </c>
      <c r="O612" s="14">
        <f t="shared" si="38"/>
        <v>233</v>
      </c>
      <c r="P612" s="15">
        <f t="shared" si="39"/>
        <v>0.28072289156626506</v>
      </c>
    </row>
    <row r="613" spans="1:16" ht="15.75" customHeight="1" x14ac:dyDescent="0.3">
      <c r="A613" s="32" t="s">
        <v>59</v>
      </c>
      <c r="B613" s="9" t="s">
        <v>357</v>
      </c>
      <c r="C613" s="9" t="s">
        <v>111</v>
      </c>
      <c r="D613" s="9" t="s">
        <v>287</v>
      </c>
      <c r="E613" s="10">
        <v>4</v>
      </c>
      <c r="F613" s="9" t="s">
        <v>133</v>
      </c>
      <c r="G613" s="11">
        <v>0</v>
      </c>
      <c r="H613" s="9" t="s">
        <v>98</v>
      </c>
      <c r="I613" s="9" t="s">
        <v>99</v>
      </c>
      <c r="J613" s="9" t="s">
        <v>4</v>
      </c>
      <c r="K613" s="9"/>
      <c r="L613" s="9"/>
      <c r="M613" s="12">
        <f t="shared" si="36"/>
        <v>239</v>
      </c>
      <c r="N613" s="13">
        <f t="shared" si="37"/>
        <v>196.5</v>
      </c>
      <c r="O613" s="14">
        <f t="shared" si="38"/>
        <v>435.5</v>
      </c>
      <c r="P613" s="15">
        <f t="shared" si="39"/>
        <v>0.52469879518072293</v>
      </c>
    </row>
    <row r="614" spans="1:16" ht="15.75" customHeight="1" x14ac:dyDescent="0.3">
      <c r="A614" s="32" t="s">
        <v>59</v>
      </c>
      <c r="B614" s="9" t="s">
        <v>357</v>
      </c>
      <c r="C614" s="9" t="s">
        <v>80</v>
      </c>
      <c r="D614" s="9" t="s">
        <v>287</v>
      </c>
      <c r="E614" s="10">
        <v>3</v>
      </c>
      <c r="F614" s="9" t="s">
        <v>133</v>
      </c>
      <c r="G614" s="11">
        <v>0</v>
      </c>
      <c r="H614" s="9" t="s">
        <v>98</v>
      </c>
      <c r="I614" s="9" t="s">
        <v>99</v>
      </c>
      <c r="J614" s="9" t="s">
        <v>4</v>
      </c>
      <c r="K614" s="9"/>
      <c r="L614" s="9"/>
      <c r="M614" s="12">
        <f t="shared" si="36"/>
        <v>239</v>
      </c>
      <c r="N614" s="13">
        <f t="shared" si="37"/>
        <v>196.5</v>
      </c>
      <c r="O614" s="14">
        <f t="shared" si="38"/>
        <v>435.5</v>
      </c>
      <c r="P614" s="15">
        <f t="shared" si="39"/>
        <v>0.52469879518072293</v>
      </c>
    </row>
    <row r="615" spans="1:16" ht="15.75" customHeight="1" x14ac:dyDescent="0.3">
      <c r="A615" s="32" t="s">
        <v>59</v>
      </c>
      <c r="B615" s="9" t="s">
        <v>359</v>
      </c>
      <c r="C615" s="9" t="s">
        <v>73</v>
      </c>
      <c r="D615" s="9" t="s">
        <v>287</v>
      </c>
      <c r="E615" s="10">
        <v>18</v>
      </c>
      <c r="F615" s="9" t="s">
        <v>133</v>
      </c>
      <c r="G615" s="10">
        <v>18</v>
      </c>
      <c r="H615" s="9" t="s">
        <v>84</v>
      </c>
      <c r="I615" s="9" t="s">
        <v>85</v>
      </c>
      <c r="J615" s="9"/>
      <c r="K615" s="9"/>
      <c r="L615" s="9"/>
      <c r="M615" s="12">
        <f t="shared" si="36"/>
        <v>284</v>
      </c>
      <c r="N615" s="13">
        <f t="shared" si="37"/>
        <v>691.5</v>
      </c>
      <c r="O615" s="14">
        <f t="shared" si="38"/>
        <v>975.5</v>
      </c>
      <c r="P615" s="15">
        <f t="shared" si="39"/>
        <v>1.175301204819277</v>
      </c>
    </row>
    <row r="616" spans="1:16" ht="15.75" customHeight="1" x14ac:dyDescent="0.3">
      <c r="A616" s="32" t="s">
        <v>59</v>
      </c>
      <c r="B616" s="9" t="s">
        <v>359</v>
      </c>
      <c r="C616" s="9" t="s">
        <v>79</v>
      </c>
      <c r="D616" s="9" t="s">
        <v>287</v>
      </c>
      <c r="E616" s="10">
        <v>46</v>
      </c>
      <c r="F616" s="9" t="s">
        <v>133</v>
      </c>
      <c r="G616" s="10">
        <v>46</v>
      </c>
      <c r="H616" s="9" t="s">
        <v>84</v>
      </c>
      <c r="I616" s="9" t="s">
        <v>85</v>
      </c>
      <c r="J616" s="9"/>
      <c r="K616" s="9"/>
      <c r="L616" s="9"/>
      <c r="M616" s="12">
        <f t="shared" si="36"/>
        <v>284</v>
      </c>
      <c r="N616" s="13">
        <f t="shared" si="37"/>
        <v>691.5</v>
      </c>
      <c r="O616" s="14">
        <f t="shared" si="38"/>
        <v>975.5</v>
      </c>
      <c r="P616" s="15">
        <f t="shared" si="39"/>
        <v>1.175301204819277</v>
      </c>
    </row>
    <row r="617" spans="1:16" ht="15.75" customHeight="1" x14ac:dyDescent="0.3">
      <c r="A617" s="32" t="s">
        <v>59</v>
      </c>
      <c r="B617" s="9" t="s">
        <v>359</v>
      </c>
      <c r="C617" s="9" t="s">
        <v>111</v>
      </c>
      <c r="D617" s="9" t="s">
        <v>287</v>
      </c>
      <c r="E617" s="10">
        <v>4</v>
      </c>
      <c r="F617" s="9" t="s">
        <v>133</v>
      </c>
      <c r="G617" s="11">
        <v>0</v>
      </c>
      <c r="H617" s="9" t="s">
        <v>84</v>
      </c>
      <c r="I617" s="9" t="s">
        <v>85</v>
      </c>
      <c r="J617" s="9"/>
      <c r="K617" s="9"/>
      <c r="L617" s="9"/>
      <c r="M617" s="12">
        <f t="shared" si="36"/>
        <v>284</v>
      </c>
      <c r="N617" s="13">
        <f t="shared" si="37"/>
        <v>691.5</v>
      </c>
      <c r="O617" s="14">
        <f t="shared" si="38"/>
        <v>975.5</v>
      </c>
      <c r="P617" s="15">
        <f t="shared" si="39"/>
        <v>1.175301204819277</v>
      </c>
    </row>
    <row r="618" spans="1:16" ht="15.75" customHeight="1" x14ac:dyDescent="0.3">
      <c r="A618" s="32" t="s">
        <v>59</v>
      </c>
      <c r="B618" s="9" t="s">
        <v>359</v>
      </c>
      <c r="C618" s="9" t="s">
        <v>80</v>
      </c>
      <c r="D618" s="9" t="s">
        <v>287</v>
      </c>
      <c r="E618" s="10">
        <v>3</v>
      </c>
      <c r="F618" s="9" t="s">
        <v>133</v>
      </c>
      <c r="G618" s="11">
        <v>0</v>
      </c>
      <c r="H618" s="9" t="s">
        <v>84</v>
      </c>
      <c r="I618" s="9" t="s">
        <v>85</v>
      </c>
      <c r="J618" s="9"/>
      <c r="K618" s="9"/>
      <c r="L618" s="9"/>
      <c r="M618" s="12">
        <f t="shared" si="36"/>
        <v>284</v>
      </c>
      <c r="N618" s="13">
        <f t="shared" si="37"/>
        <v>691.5</v>
      </c>
      <c r="O618" s="14">
        <f t="shared" si="38"/>
        <v>975.5</v>
      </c>
      <c r="P618" s="15">
        <f t="shared" si="39"/>
        <v>1.175301204819277</v>
      </c>
    </row>
    <row r="619" spans="1:16" ht="15.75" customHeight="1" x14ac:dyDescent="0.3">
      <c r="A619" s="32" t="s">
        <v>59</v>
      </c>
      <c r="B619" s="9" t="s">
        <v>360</v>
      </c>
      <c r="C619" s="9" t="s">
        <v>73</v>
      </c>
      <c r="D619" s="9" t="s">
        <v>199</v>
      </c>
      <c r="E619" s="10">
        <v>16</v>
      </c>
      <c r="F619" s="9" t="s">
        <v>195</v>
      </c>
      <c r="G619" s="10">
        <v>16</v>
      </c>
      <c r="H619" s="9" t="s">
        <v>128</v>
      </c>
      <c r="I619" s="9" t="s">
        <v>129</v>
      </c>
      <c r="J619" s="9" t="s">
        <v>8</v>
      </c>
      <c r="K619" s="9"/>
      <c r="L619" s="9"/>
      <c r="M619" s="12">
        <f t="shared" si="36"/>
        <v>348</v>
      </c>
      <c r="N619" s="13">
        <f t="shared" si="37"/>
        <v>583</v>
      </c>
      <c r="O619" s="14">
        <f t="shared" si="38"/>
        <v>931</v>
      </c>
      <c r="P619" s="15">
        <f t="shared" si="39"/>
        <v>1.1216867469879519</v>
      </c>
    </row>
    <row r="620" spans="1:16" ht="15.75" customHeight="1" x14ac:dyDescent="0.3">
      <c r="A620" s="32" t="s">
        <v>59</v>
      </c>
      <c r="B620" s="9" t="s">
        <v>360</v>
      </c>
      <c r="C620" s="9" t="s">
        <v>79</v>
      </c>
      <c r="D620" s="9" t="s">
        <v>199</v>
      </c>
      <c r="E620" s="10">
        <v>16</v>
      </c>
      <c r="F620" s="9" t="s">
        <v>195</v>
      </c>
      <c r="G620" s="10">
        <v>16</v>
      </c>
      <c r="H620" s="9" t="s">
        <v>128</v>
      </c>
      <c r="I620" s="9" t="s">
        <v>129</v>
      </c>
      <c r="J620" s="9" t="s">
        <v>8</v>
      </c>
      <c r="K620" s="9"/>
      <c r="L620" s="9"/>
      <c r="M620" s="12">
        <f t="shared" si="36"/>
        <v>348</v>
      </c>
      <c r="N620" s="13">
        <f t="shared" si="37"/>
        <v>583</v>
      </c>
      <c r="O620" s="14">
        <f t="shared" si="38"/>
        <v>931</v>
      </c>
      <c r="P620" s="15">
        <f t="shared" si="39"/>
        <v>1.1216867469879519</v>
      </c>
    </row>
    <row r="621" spans="1:16" ht="15.75" customHeight="1" x14ac:dyDescent="0.3">
      <c r="A621" s="32" t="s">
        <v>59</v>
      </c>
      <c r="B621" s="9" t="s">
        <v>360</v>
      </c>
      <c r="C621" s="9" t="s">
        <v>142</v>
      </c>
      <c r="D621" s="9" t="s">
        <v>199</v>
      </c>
      <c r="E621" s="10">
        <v>8</v>
      </c>
      <c r="F621" s="9" t="s">
        <v>195</v>
      </c>
      <c r="G621" s="11">
        <v>0</v>
      </c>
      <c r="H621" s="9" t="s">
        <v>128</v>
      </c>
      <c r="I621" s="9" t="s">
        <v>129</v>
      </c>
      <c r="J621" s="9" t="s">
        <v>8</v>
      </c>
      <c r="K621" s="9"/>
      <c r="L621" s="9"/>
      <c r="M621" s="12">
        <f t="shared" si="36"/>
        <v>348</v>
      </c>
      <c r="N621" s="13">
        <f t="shared" si="37"/>
        <v>583</v>
      </c>
      <c r="O621" s="14">
        <f t="shared" si="38"/>
        <v>931</v>
      </c>
      <c r="P621" s="15">
        <f t="shared" si="39"/>
        <v>1.1216867469879519</v>
      </c>
    </row>
    <row r="622" spans="1:16" ht="15.75" customHeight="1" x14ac:dyDescent="0.3">
      <c r="A622" s="32" t="s">
        <v>59</v>
      </c>
      <c r="B622" s="9" t="s">
        <v>360</v>
      </c>
      <c r="C622" s="9" t="s">
        <v>80</v>
      </c>
      <c r="D622" s="9" t="s">
        <v>199</v>
      </c>
      <c r="E622" s="10">
        <v>1</v>
      </c>
      <c r="F622" s="9" t="s">
        <v>195</v>
      </c>
      <c r="G622" s="11">
        <v>0</v>
      </c>
      <c r="H622" s="9" t="s">
        <v>128</v>
      </c>
      <c r="I622" s="9" t="s">
        <v>129</v>
      </c>
      <c r="J622" s="9" t="s">
        <v>8</v>
      </c>
      <c r="K622" s="9"/>
      <c r="L622" s="9"/>
      <c r="M622" s="12">
        <f t="shared" si="36"/>
        <v>348</v>
      </c>
      <c r="N622" s="13">
        <f t="shared" si="37"/>
        <v>583</v>
      </c>
      <c r="O622" s="14">
        <f t="shared" si="38"/>
        <v>931</v>
      </c>
      <c r="P622" s="15">
        <f t="shared" si="39"/>
        <v>1.1216867469879519</v>
      </c>
    </row>
    <row r="623" spans="1:16" ht="15.75" customHeight="1" x14ac:dyDescent="0.3">
      <c r="A623" s="32" t="s">
        <v>59</v>
      </c>
      <c r="B623" s="9" t="s">
        <v>361</v>
      </c>
      <c r="C623" s="9" t="s">
        <v>73</v>
      </c>
      <c r="D623" s="9" t="s">
        <v>126</v>
      </c>
      <c r="E623" s="10">
        <v>14</v>
      </c>
      <c r="F623" s="9" t="s">
        <v>127</v>
      </c>
      <c r="G623" s="10">
        <v>14</v>
      </c>
      <c r="H623" s="9" t="s">
        <v>210</v>
      </c>
      <c r="I623" s="9" t="s">
        <v>211</v>
      </c>
      <c r="J623" s="9" t="s">
        <v>4</v>
      </c>
      <c r="K623" s="9"/>
      <c r="L623" s="9"/>
      <c r="M623" s="12">
        <f t="shared" si="36"/>
        <v>213</v>
      </c>
      <c r="N623" s="13">
        <f t="shared" si="37"/>
        <v>399</v>
      </c>
      <c r="O623" s="14">
        <f t="shared" si="38"/>
        <v>612</v>
      </c>
      <c r="P623" s="15">
        <f t="shared" si="39"/>
        <v>0.73734939759036144</v>
      </c>
    </row>
    <row r="624" spans="1:16" ht="15.75" customHeight="1" x14ac:dyDescent="0.3">
      <c r="A624" s="32" t="s">
        <v>59</v>
      </c>
      <c r="B624" s="9" t="s">
        <v>361</v>
      </c>
      <c r="C624" s="9" t="s">
        <v>79</v>
      </c>
      <c r="D624" s="9" t="s">
        <v>126</v>
      </c>
      <c r="E624" s="10">
        <v>16</v>
      </c>
      <c r="F624" s="9" t="s">
        <v>127</v>
      </c>
      <c r="G624" s="10">
        <v>16</v>
      </c>
      <c r="H624" s="9" t="s">
        <v>210</v>
      </c>
      <c r="I624" s="9" t="s">
        <v>211</v>
      </c>
      <c r="J624" s="9" t="s">
        <v>4</v>
      </c>
      <c r="K624" s="9"/>
      <c r="L624" s="9"/>
      <c r="M624" s="12">
        <f t="shared" si="36"/>
        <v>213</v>
      </c>
      <c r="N624" s="13">
        <f t="shared" si="37"/>
        <v>399</v>
      </c>
      <c r="O624" s="14">
        <f t="shared" si="38"/>
        <v>612</v>
      </c>
      <c r="P624" s="15">
        <f t="shared" si="39"/>
        <v>0.73734939759036144</v>
      </c>
    </row>
    <row r="625" spans="1:16" ht="15.75" customHeight="1" x14ac:dyDescent="0.3">
      <c r="A625" s="32" t="s">
        <v>59</v>
      </c>
      <c r="B625" s="9" t="s">
        <v>361</v>
      </c>
      <c r="C625" s="9" t="s">
        <v>142</v>
      </c>
      <c r="D625" s="9" t="s">
        <v>126</v>
      </c>
      <c r="E625" s="10">
        <v>5</v>
      </c>
      <c r="F625" s="9" t="s">
        <v>127</v>
      </c>
      <c r="G625" s="11">
        <v>0</v>
      </c>
      <c r="H625" s="9" t="s">
        <v>210</v>
      </c>
      <c r="I625" s="9" t="s">
        <v>211</v>
      </c>
      <c r="J625" s="9" t="s">
        <v>4</v>
      </c>
      <c r="K625" s="9"/>
      <c r="L625" s="9"/>
      <c r="M625" s="12">
        <f t="shared" si="36"/>
        <v>213</v>
      </c>
      <c r="N625" s="13">
        <f t="shared" si="37"/>
        <v>399</v>
      </c>
      <c r="O625" s="14">
        <f t="shared" si="38"/>
        <v>612</v>
      </c>
      <c r="P625" s="15">
        <f t="shared" si="39"/>
        <v>0.73734939759036144</v>
      </c>
    </row>
    <row r="626" spans="1:16" ht="15.75" customHeight="1" x14ac:dyDescent="0.3">
      <c r="A626" s="32" t="s">
        <v>59</v>
      </c>
      <c r="B626" s="9" t="s">
        <v>361</v>
      </c>
      <c r="C626" s="9" t="s">
        <v>80</v>
      </c>
      <c r="D626" s="9" t="s">
        <v>126</v>
      </c>
      <c r="E626" s="10">
        <v>1</v>
      </c>
      <c r="F626" s="9" t="s">
        <v>127</v>
      </c>
      <c r="G626" s="11">
        <v>0</v>
      </c>
      <c r="H626" s="9" t="s">
        <v>210</v>
      </c>
      <c r="I626" s="9" t="s">
        <v>211</v>
      </c>
      <c r="J626" s="9" t="s">
        <v>4</v>
      </c>
      <c r="K626" s="9"/>
      <c r="L626" s="9"/>
      <c r="M626" s="12">
        <f t="shared" si="36"/>
        <v>213</v>
      </c>
      <c r="N626" s="13">
        <f t="shared" si="37"/>
        <v>399</v>
      </c>
      <c r="O626" s="14">
        <f t="shared" si="38"/>
        <v>612</v>
      </c>
      <c r="P626" s="15">
        <f t="shared" si="39"/>
        <v>0.73734939759036144</v>
      </c>
    </row>
    <row r="627" spans="1:16" ht="15.75" customHeight="1" x14ac:dyDescent="0.3">
      <c r="A627" s="32" t="s">
        <v>59</v>
      </c>
      <c r="B627" s="9" t="s">
        <v>362</v>
      </c>
      <c r="C627" s="9" t="s">
        <v>73</v>
      </c>
      <c r="D627" s="9" t="s">
        <v>139</v>
      </c>
      <c r="E627" s="10">
        <v>18</v>
      </c>
      <c r="F627" s="9" t="s">
        <v>238</v>
      </c>
      <c r="G627" s="10">
        <v>18</v>
      </c>
      <c r="H627" s="9" t="s">
        <v>65</v>
      </c>
      <c r="I627" s="9" t="s">
        <v>66</v>
      </c>
      <c r="J627" s="9" t="s">
        <v>4</v>
      </c>
      <c r="K627" s="9"/>
      <c r="L627" s="9"/>
      <c r="M627" s="12">
        <f t="shared" si="36"/>
        <v>291</v>
      </c>
      <c r="N627" s="13">
        <f t="shared" si="37"/>
        <v>650.5</v>
      </c>
      <c r="O627" s="14">
        <f t="shared" si="38"/>
        <v>941.5</v>
      </c>
      <c r="P627" s="15">
        <f t="shared" si="39"/>
        <v>1.1343373493975903</v>
      </c>
    </row>
    <row r="628" spans="1:16" ht="15.75" customHeight="1" x14ac:dyDescent="0.3">
      <c r="A628" s="32" t="s">
        <v>59</v>
      </c>
      <c r="B628" s="9" t="s">
        <v>362</v>
      </c>
      <c r="C628" s="9" t="s">
        <v>87</v>
      </c>
      <c r="D628" s="9" t="s">
        <v>139</v>
      </c>
      <c r="E628" s="10">
        <v>2</v>
      </c>
      <c r="F628" s="9" t="s">
        <v>238</v>
      </c>
      <c r="G628" s="11">
        <v>0</v>
      </c>
      <c r="H628" s="9" t="s">
        <v>65</v>
      </c>
      <c r="I628" s="9" t="s">
        <v>66</v>
      </c>
      <c r="J628" s="9" t="s">
        <v>4</v>
      </c>
      <c r="K628" s="9"/>
      <c r="L628" s="9"/>
      <c r="M628" s="12">
        <f t="shared" si="36"/>
        <v>291</v>
      </c>
      <c r="N628" s="13">
        <f t="shared" si="37"/>
        <v>650.5</v>
      </c>
      <c r="O628" s="14">
        <f t="shared" si="38"/>
        <v>941.5</v>
      </c>
      <c r="P628" s="15">
        <f t="shared" si="39"/>
        <v>1.1343373493975903</v>
      </c>
    </row>
    <row r="629" spans="1:16" ht="15.75" customHeight="1" x14ac:dyDescent="0.3">
      <c r="A629" s="32" t="s">
        <v>59</v>
      </c>
      <c r="B629" s="9" t="s">
        <v>362</v>
      </c>
      <c r="C629" s="9" t="s">
        <v>79</v>
      </c>
      <c r="D629" s="9" t="s">
        <v>139</v>
      </c>
      <c r="E629" s="10">
        <v>34</v>
      </c>
      <c r="F629" s="9" t="s">
        <v>238</v>
      </c>
      <c r="G629" s="10">
        <v>34</v>
      </c>
      <c r="H629" s="9" t="s">
        <v>65</v>
      </c>
      <c r="I629" s="9" t="s">
        <v>66</v>
      </c>
      <c r="J629" s="9" t="s">
        <v>4</v>
      </c>
      <c r="K629" s="9"/>
      <c r="L629" s="9"/>
      <c r="M629" s="12">
        <f t="shared" si="36"/>
        <v>291</v>
      </c>
      <c r="N629" s="13">
        <f t="shared" si="37"/>
        <v>650.5</v>
      </c>
      <c r="O629" s="14">
        <f t="shared" si="38"/>
        <v>941.5</v>
      </c>
      <c r="P629" s="15">
        <f t="shared" si="39"/>
        <v>1.1343373493975903</v>
      </c>
    </row>
    <row r="630" spans="1:16" ht="15.75" customHeight="1" x14ac:dyDescent="0.3">
      <c r="A630" s="32" t="s">
        <v>59</v>
      </c>
      <c r="B630" s="9" t="s">
        <v>362</v>
      </c>
      <c r="C630" s="9" t="s">
        <v>100</v>
      </c>
      <c r="D630" s="9" t="s">
        <v>139</v>
      </c>
      <c r="E630" s="10">
        <v>16</v>
      </c>
      <c r="F630" s="9" t="s">
        <v>238</v>
      </c>
      <c r="G630" s="10">
        <v>16</v>
      </c>
      <c r="H630" s="9" t="s">
        <v>65</v>
      </c>
      <c r="I630" s="9" t="s">
        <v>66</v>
      </c>
      <c r="J630" s="9" t="s">
        <v>4</v>
      </c>
      <c r="K630" s="9"/>
      <c r="L630" s="9"/>
      <c r="M630" s="12">
        <f t="shared" si="36"/>
        <v>291</v>
      </c>
      <c r="N630" s="13">
        <f t="shared" si="37"/>
        <v>650.5</v>
      </c>
      <c r="O630" s="14">
        <f t="shared" si="38"/>
        <v>941.5</v>
      </c>
      <c r="P630" s="15">
        <f t="shared" si="39"/>
        <v>1.1343373493975903</v>
      </c>
    </row>
    <row r="631" spans="1:16" ht="15.75" customHeight="1" x14ac:dyDescent="0.3">
      <c r="A631" s="32" t="s">
        <v>59</v>
      </c>
      <c r="B631" s="9" t="s">
        <v>362</v>
      </c>
      <c r="C631" s="9" t="s">
        <v>80</v>
      </c>
      <c r="D631" s="9" t="s">
        <v>139</v>
      </c>
      <c r="E631" s="10">
        <v>1</v>
      </c>
      <c r="F631" s="9" t="s">
        <v>238</v>
      </c>
      <c r="G631" s="11">
        <v>0</v>
      </c>
      <c r="H631" s="9" t="s">
        <v>65</v>
      </c>
      <c r="I631" s="9" t="s">
        <v>66</v>
      </c>
      <c r="J631" s="9" t="s">
        <v>4</v>
      </c>
      <c r="K631" s="9"/>
      <c r="L631" s="9"/>
      <c r="M631" s="12">
        <f t="shared" si="36"/>
        <v>291</v>
      </c>
      <c r="N631" s="13">
        <f t="shared" si="37"/>
        <v>650.5</v>
      </c>
      <c r="O631" s="14">
        <f t="shared" si="38"/>
        <v>941.5</v>
      </c>
      <c r="P631" s="15">
        <f t="shared" si="39"/>
        <v>1.1343373493975903</v>
      </c>
    </row>
    <row r="632" spans="1:16" ht="15.75" customHeight="1" x14ac:dyDescent="0.3">
      <c r="A632" s="32" t="s">
        <v>59</v>
      </c>
      <c r="B632" s="9" t="s">
        <v>363</v>
      </c>
      <c r="C632" s="9" t="s">
        <v>73</v>
      </c>
      <c r="D632" s="9" t="s">
        <v>139</v>
      </c>
      <c r="E632" s="10">
        <v>12</v>
      </c>
      <c r="F632" s="9" t="s">
        <v>238</v>
      </c>
      <c r="G632" s="10">
        <v>12</v>
      </c>
      <c r="H632" s="9" t="s">
        <v>272</v>
      </c>
      <c r="I632" s="9" t="s">
        <v>273</v>
      </c>
      <c r="J632" s="9" t="s">
        <v>8</v>
      </c>
      <c r="K632" s="9"/>
      <c r="L632" s="9"/>
      <c r="M632" s="12">
        <f t="shared" si="36"/>
        <v>552</v>
      </c>
      <c r="N632" s="13">
        <f t="shared" si="37"/>
        <v>171</v>
      </c>
      <c r="O632" s="14">
        <f t="shared" si="38"/>
        <v>723</v>
      </c>
      <c r="P632" s="15">
        <f t="shared" si="39"/>
        <v>0.87108433734939761</v>
      </c>
    </row>
    <row r="633" spans="1:16" ht="15.75" customHeight="1" x14ac:dyDescent="0.3">
      <c r="A633" s="32" t="s">
        <v>59</v>
      </c>
      <c r="B633" s="9" t="s">
        <v>363</v>
      </c>
      <c r="C633" s="9" t="s">
        <v>123</v>
      </c>
      <c r="D633" s="9" t="s">
        <v>139</v>
      </c>
      <c r="E633" s="10">
        <v>15</v>
      </c>
      <c r="F633" s="9" t="s">
        <v>238</v>
      </c>
      <c r="G633" s="11">
        <v>0</v>
      </c>
      <c r="H633" s="9" t="s">
        <v>272</v>
      </c>
      <c r="I633" s="9" t="s">
        <v>273</v>
      </c>
      <c r="J633" s="9" t="s">
        <v>8</v>
      </c>
      <c r="K633" s="9"/>
      <c r="L633" s="9"/>
      <c r="M633" s="12">
        <f t="shared" si="36"/>
        <v>552</v>
      </c>
      <c r="N633" s="13">
        <f t="shared" si="37"/>
        <v>171</v>
      </c>
      <c r="O633" s="14">
        <f t="shared" si="38"/>
        <v>723</v>
      </c>
      <c r="P633" s="15">
        <f t="shared" si="39"/>
        <v>0.87108433734939761</v>
      </c>
    </row>
    <row r="634" spans="1:16" ht="15.75" customHeight="1" x14ac:dyDescent="0.3">
      <c r="A634" s="32" t="s">
        <v>59</v>
      </c>
      <c r="B634" s="9" t="s">
        <v>363</v>
      </c>
      <c r="C634" s="9" t="s">
        <v>87</v>
      </c>
      <c r="D634" s="9" t="s">
        <v>139</v>
      </c>
      <c r="E634" s="10">
        <v>2</v>
      </c>
      <c r="F634" s="9" t="s">
        <v>238</v>
      </c>
      <c r="G634" s="11">
        <v>0</v>
      </c>
      <c r="H634" s="9" t="s">
        <v>272</v>
      </c>
      <c r="I634" s="9" t="s">
        <v>273</v>
      </c>
      <c r="J634" s="9" t="s">
        <v>8</v>
      </c>
      <c r="K634" s="9"/>
      <c r="L634" s="9"/>
      <c r="M634" s="12">
        <f t="shared" si="36"/>
        <v>552</v>
      </c>
      <c r="N634" s="13">
        <f t="shared" si="37"/>
        <v>171</v>
      </c>
      <c r="O634" s="14">
        <f t="shared" si="38"/>
        <v>723</v>
      </c>
      <c r="P634" s="15">
        <f t="shared" si="39"/>
        <v>0.87108433734939761</v>
      </c>
    </row>
    <row r="635" spans="1:16" ht="15.75" customHeight="1" x14ac:dyDescent="0.3">
      <c r="A635" s="32" t="s">
        <v>59</v>
      </c>
      <c r="B635" s="9" t="s">
        <v>363</v>
      </c>
      <c r="C635" s="9" t="s">
        <v>79</v>
      </c>
      <c r="D635" s="9" t="s">
        <v>139</v>
      </c>
      <c r="E635" s="10">
        <v>14</v>
      </c>
      <c r="F635" s="9" t="s">
        <v>238</v>
      </c>
      <c r="G635" s="10">
        <v>14</v>
      </c>
      <c r="H635" s="9" t="s">
        <v>272</v>
      </c>
      <c r="I635" s="9" t="s">
        <v>273</v>
      </c>
      <c r="J635" s="9" t="s">
        <v>8</v>
      </c>
      <c r="K635" s="9"/>
      <c r="L635" s="9"/>
      <c r="M635" s="12">
        <f t="shared" si="36"/>
        <v>552</v>
      </c>
      <c r="N635" s="13">
        <f t="shared" si="37"/>
        <v>171</v>
      </c>
      <c r="O635" s="14">
        <f t="shared" si="38"/>
        <v>723</v>
      </c>
      <c r="P635" s="15">
        <f t="shared" si="39"/>
        <v>0.87108433734939761</v>
      </c>
    </row>
    <row r="636" spans="1:16" ht="15.75" customHeight="1" x14ac:dyDescent="0.3">
      <c r="A636" s="32" t="s">
        <v>59</v>
      </c>
      <c r="B636" s="9" t="s">
        <v>363</v>
      </c>
      <c r="C636" s="9" t="s">
        <v>100</v>
      </c>
      <c r="D636" s="9" t="s">
        <v>139</v>
      </c>
      <c r="E636" s="10">
        <v>24</v>
      </c>
      <c r="F636" s="9" t="s">
        <v>238</v>
      </c>
      <c r="G636" s="10">
        <v>24</v>
      </c>
      <c r="H636" s="9" t="s">
        <v>272</v>
      </c>
      <c r="I636" s="9" t="s">
        <v>273</v>
      </c>
      <c r="J636" s="9" t="s">
        <v>8</v>
      </c>
      <c r="K636" s="9"/>
      <c r="L636" s="9"/>
      <c r="M636" s="12">
        <f t="shared" si="36"/>
        <v>552</v>
      </c>
      <c r="N636" s="13">
        <f t="shared" si="37"/>
        <v>171</v>
      </c>
      <c r="O636" s="14">
        <f t="shared" si="38"/>
        <v>723</v>
      </c>
      <c r="P636" s="15">
        <f t="shared" si="39"/>
        <v>0.87108433734939761</v>
      </c>
    </row>
    <row r="637" spans="1:16" ht="15.75" customHeight="1" x14ac:dyDescent="0.3">
      <c r="A637" s="32" t="s">
        <v>59</v>
      </c>
      <c r="B637" s="9" t="s">
        <v>363</v>
      </c>
      <c r="C637" s="9" t="s">
        <v>80</v>
      </c>
      <c r="D637" s="9" t="s">
        <v>139</v>
      </c>
      <c r="E637" s="10">
        <v>1</v>
      </c>
      <c r="F637" s="9" t="s">
        <v>238</v>
      </c>
      <c r="G637" s="11">
        <v>0</v>
      </c>
      <c r="H637" s="9" t="s">
        <v>272</v>
      </c>
      <c r="I637" s="9" t="s">
        <v>273</v>
      </c>
      <c r="J637" s="9" t="s">
        <v>8</v>
      </c>
      <c r="K637" s="9"/>
      <c r="L637" s="9"/>
      <c r="M637" s="12">
        <f t="shared" si="36"/>
        <v>552</v>
      </c>
      <c r="N637" s="13">
        <f t="shared" si="37"/>
        <v>171</v>
      </c>
      <c r="O637" s="14">
        <f t="shared" si="38"/>
        <v>723</v>
      </c>
      <c r="P637" s="15">
        <f t="shared" si="39"/>
        <v>0.87108433734939761</v>
      </c>
    </row>
    <row r="638" spans="1:16" ht="15.75" customHeight="1" x14ac:dyDescent="0.3">
      <c r="A638" s="32" t="s">
        <v>59</v>
      </c>
      <c r="B638" s="9" t="s">
        <v>364</v>
      </c>
      <c r="C638" s="9" t="s">
        <v>73</v>
      </c>
      <c r="D638" s="9" t="s">
        <v>140</v>
      </c>
      <c r="E638" s="10">
        <v>18</v>
      </c>
      <c r="F638" s="9" t="s">
        <v>153</v>
      </c>
      <c r="G638" s="10">
        <v>18</v>
      </c>
      <c r="H638" s="9" t="s">
        <v>306</v>
      </c>
      <c r="I638" s="9" t="s">
        <v>307</v>
      </c>
      <c r="J638" s="9"/>
      <c r="K638" s="9"/>
      <c r="L638" s="9"/>
      <c r="M638" s="12">
        <f t="shared" si="36"/>
        <v>0</v>
      </c>
      <c r="N638" s="13">
        <f t="shared" si="37"/>
        <v>72</v>
      </c>
      <c r="O638" s="14">
        <f t="shared" si="38"/>
        <v>72</v>
      </c>
      <c r="P638" s="15">
        <f t="shared" si="39"/>
        <v>8.6746987951807228E-2</v>
      </c>
    </row>
    <row r="639" spans="1:16" ht="15.75" customHeight="1" x14ac:dyDescent="0.3">
      <c r="A639" s="32" t="s">
        <v>59</v>
      </c>
      <c r="B639" s="9" t="s">
        <v>364</v>
      </c>
      <c r="C639" s="9" t="s">
        <v>123</v>
      </c>
      <c r="D639" s="9" t="s">
        <v>140</v>
      </c>
      <c r="E639" s="10">
        <v>15</v>
      </c>
      <c r="F639" s="9" t="s">
        <v>153</v>
      </c>
      <c r="G639" s="11">
        <v>0</v>
      </c>
      <c r="H639" s="9" t="s">
        <v>306</v>
      </c>
      <c r="I639" s="9" t="s">
        <v>307</v>
      </c>
      <c r="J639" s="9"/>
      <c r="K639" s="9"/>
      <c r="L639" s="9"/>
      <c r="M639" s="12">
        <f t="shared" si="36"/>
        <v>0</v>
      </c>
      <c r="N639" s="13">
        <f t="shared" si="37"/>
        <v>72</v>
      </c>
      <c r="O639" s="14">
        <f t="shared" si="38"/>
        <v>72</v>
      </c>
      <c r="P639" s="15">
        <f t="shared" si="39"/>
        <v>8.6746987951807228E-2</v>
      </c>
    </row>
    <row r="640" spans="1:16" ht="15.75" customHeight="1" x14ac:dyDescent="0.3">
      <c r="A640" s="32" t="s">
        <v>59</v>
      </c>
      <c r="B640" s="9" t="s">
        <v>364</v>
      </c>
      <c r="C640" s="9" t="s">
        <v>87</v>
      </c>
      <c r="D640" s="9" t="s">
        <v>140</v>
      </c>
      <c r="E640" s="10">
        <v>2</v>
      </c>
      <c r="F640" s="9" t="s">
        <v>153</v>
      </c>
      <c r="G640" s="11">
        <v>0</v>
      </c>
      <c r="H640" s="9" t="s">
        <v>306</v>
      </c>
      <c r="I640" s="9" t="s">
        <v>307</v>
      </c>
      <c r="J640" s="9"/>
      <c r="K640" s="9"/>
      <c r="L640" s="9"/>
      <c r="M640" s="12">
        <f t="shared" si="36"/>
        <v>0</v>
      </c>
      <c r="N640" s="13">
        <f t="shared" si="37"/>
        <v>72</v>
      </c>
      <c r="O640" s="14">
        <f t="shared" si="38"/>
        <v>72</v>
      </c>
      <c r="P640" s="15">
        <f t="shared" si="39"/>
        <v>8.6746987951807228E-2</v>
      </c>
    </row>
    <row r="641" spans="1:16" ht="15.75" customHeight="1" x14ac:dyDescent="0.3">
      <c r="A641" s="32" t="s">
        <v>59</v>
      </c>
      <c r="B641" s="9" t="s">
        <v>364</v>
      </c>
      <c r="C641" s="9" t="s">
        <v>79</v>
      </c>
      <c r="D641" s="9" t="s">
        <v>140</v>
      </c>
      <c r="E641" s="10">
        <v>36</v>
      </c>
      <c r="F641" s="9" t="s">
        <v>153</v>
      </c>
      <c r="G641" s="10">
        <v>36</v>
      </c>
      <c r="H641" s="9" t="s">
        <v>306</v>
      </c>
      <c r="I641" s="9" t="s">
        <v>307</v>
      </c>
      <c r="J641" s="9"/>
      <c r="K641" s="9"/>
      <c r="L641" s="9"/>
      <c r="M641" s="12">
        <f t="shared" si="36"/>
        <v>0</v>
      </c>
      <c r="N641" s="13">
        <f t="shared" si="37"/>
        <v>72</v>
      </c>
      <c r="O641" s="14">
        <f t="shared" si="38"/>
        <v>72</v>
      </c>
      <c r="P641" s="15">
        <f t="shared" si="39"/>
        <v>8.6746987951807228E-2</v>
      </c>
    </row>
    <row r="642" spans="1:16" ht="15.75" customHeight="1" x14ac:dyDescent="0.3">
      <c r="A642" s="32" t="s">
        <v>59</v>
      </c>
      <c r="B642" s="9" t="s">
        <v>364</v>
      </c>
      <c r="C642" s="9" t="s">
        <v>100</v>
      </c>
      <c r="D642" s="9" t="s">
        <v>140</v>
      </c>
      <c r="E642" s="10">
        <v>12</v>
      </c>
      <c r="F642" s="9" t="s">
        <v>153</v>
      </c>
      <c r="G642" s="10">
        <v>12</v>
      </c>
      <c r="H642" s="9" t="s">
        <v>257</v>
      </c>
      <c r="I642" s="9" t="s">
        <v>258</v>
      </c>
      <c r="J642" s="9" t="s">
        <v>8</v>
      </c>
      <c r="K642" s="9"/>
      <c r="L642" s="9"/>
      <c r="M642" s="12">
        <f t="shared" ref="M642:M705" si="40">SUMIFS($E$2:$E$1130,$A$2:$A$1130,"осень",$I$2:$I$1130,I642)</f>
        <v>331</v>
      </c>
      <c r="N642" s="13">
        <f t="shared" ref="N642:N705" si="41">SUMIFS($E$2:$E$1130,$A$2:$A$1130,"весна",$I$2:$I$1130,I642)</f>
        <v>520</v>
      </c>
      <c r="O642" s="14">
        <f t="shared" ref="O642:O705" si="42">M642+N642</f>
        <v>851</v>
      </c>
      <c r="P642" s="15">
        <f t="shared" ref="P642:P705" si="43">O642/$P$1</f>
        <v>1.0253012048192771</v>
      </c>
    </row>
    <row r="643" spans="1:16" ht="15.75" customHeight="1" x14ac:dyDescent="0.3">
      <c r="A643" s="32" t="s">
        <v>59</v>
      </c>
      <c r="B643" s="9" t="s">
        <v>364</v>
      </c>
      <c r="C643" s="9" t="s">
        <v>80</v>
      </c>
      <c r="D643" s="9" t="s">
        <v>140</v>
      </c>
      <c r="E643" s="10">
        <v>1</v>
      </c>
      <c r="F643" s="9" t="s">
        <v>153</v>
      </c>
      <c r="G643" s="11">
        <v>0</v>
      </c>
      <c r="H643" s="9" t="s">
        <v>306</v>
      </c>
      <c r="I643" s="9" t="s">
        <v>307</v>
      </c>
      <c r="J643" s="9"/>
      <c r="K643" s="9"/>
      <c r="L643" s="9"/>
      <c r="M643" s="12">
        <f t="shared" si="40"/>
        <v>0</v>
      </c>
      <c r="N643" s="13">
        <f t="shared" si="41"/>
        <v>72</v>
      </c>
      <c r="O643" s="14">
        <f t="shared" si="42"/>
        <v>72</v>
      </c>
      <c r="P643" s="15">
        <f t="shared" si="43"/>
        <v>8.6746987951807228E-2</v>
      </c>
    </row>
    <row r="644" spans="1:16" ht="15.75" customHeight="1" x14ac:dyDescent="0.3">
      <c r="A644" s="32" t="s">
        <v>59</v>
      </c>
      <c r="B644" s="9" t="s">
        <v>365</v>
      </c>
      <c r="C644" s="9" t="s">
        <v>73</v>
      </c>
      <c r="D644" s="9" t="s">
        <v>140</v>
      </c>
      <c r="E644" s="10">
        <v>24</v>
      </c>
      <c r="F644" s="9" t="s">
        <v>153</v>
      </c>
      <c r="G644" s="10">
        <v>24</v>
      </c>
      <c r="H644" s="9" t="s">
        <v>96</v>
      </c>
      <c r="I644" s="9" t="s">
        <v>97</v>
      </c>
      <c r="J644" s="9" t="s">
        <v>8</v>
      </c>
      <c r="K644" s="9"/>
      <c r="L644" s="9"/>
      <c r="M644" s="12">
        <f t="shared" si="40"/>
        <v>501</v>
      </c>
      <c r="N644" s="13">
        <f t="shared" si="41"/>
        <v>486.5</v>
      </c>
      <c r="O644" s="14">
        <f t="shared" si="42"/>
        <v>987.5</v>
      </c>
      <c r="P644" s="15">
        <f t="shared" si="43"/>
        <v>1.1897590361445782</v>
      </c>
    </row>
    <row r="645" spans="1:16" ht="15.75" customHeight="1" x14ac:dyDescent="0.3">
      <c r="A645" s="32" t="s">
        <v>59</v>
      </c>
      <c r="B645" s="9" t="s">
        <v>365</v>
      </c>
      <c r="C645" s="9" t="s">
        <v>73</v>
      </c>
      <c r="D645" s="9" t="s">
        <v>160</v>
      </c>
      <c r="E645" s="10">
        <v>32</v>
      </c>
      <c r="F645" s="9" t="s">
        <v>161</v>
      </c>
      <c r="G645" s="10">
        <v>32</v>
      </c>
      <c r="H645" s="9" t="s">
        <v>96</v>
      </c>
      <c r="I645" s="9" t="s">
        <v>97</v>
      </c>
      <c r="J645" s="9" t="s">
        <v>8</v>
      </c>
      <c r="K645" s="9"/>
      <c r="L645" s="9"/>
      <c r="M645" s="12">
        <f t="shared" si="40"/>
        <v>501</v>
      </c>
      <c r="N645" s="13">
        <f t="shared" si="41"/>
        <v>486.5</v>
      </c>
      <c r="O645" s="14">
        <f t="shared" si="42"/>
        <v>987.5</v>
      </c>
      <c r="P645" s="15">
        <f t="shared" si="43"/>
        <v>1.1897590361445782</v>
      </c>
    </row>
    <row r="646" spans="1:16" ht="15.75" customHeight="1" x14ac:dyDescent="0.3">
      <c r="A646" s="32" t="s">
        <v>59</v>
      </c>
      <c r="B646" s="9" t="s">
        <v>365</v>
      </c>
      <c r="C646" s="9" t="s">
        <v>123</v>
      </c>
      <c r="D646" s="9" t="s">
        <v>140</v>
      </c>
      <c r="E646" s="10">
        <v>15</v>
      </c>
      <c r="F646" s="9" t="s">
        <v>153</v>
      </c>
      <c r="G646" s="11">
        <v>0</v>
      </c>
      <c r="H646" s="9" t="s">
        <v>96</v>
      </c>
      <c r="I646" s="9" t="s">
        <v>97</v>
      </c>
      <c r="J646" s="9" t="s">
        <v>8</v>
      </c>
      <c r="K646" s="9"/>
      <c r="L646" s="9"/>
      <c r="M646" s="12">
        <f t="shared" si="40"/>
        <v>501</v>
      </c>
      <c r="N646" s="13">
        <f t="shared" si="41"/>
        <v>486.5</v>
      </c>
      <c r="O646" s="14">
        <f t="shared" si="42"/>
        <v>987.5</v>
      </c>
      <c r="P646" s="15">
        <f t="shared" si="43"/>
        <v>1.1897590361445782</v>
      </c>
    </row>
    <row r="647" spans="1:16" ht="15.75" customHeight="1" x14ac:dyDescent="0.3">
      <c r="A647" s="32" t="s">
        <v>59</v>
      </c>
      <c r="B647" s="9" t="s">
        <v>365</v>
      </c>
      <c r="C647" s="9" t="s">
        <v>79</v>
      </c>
      <c r="D647" s="9" t="s">
        <v>140</v>
      </c>
      <c r="E647" s="10">
        <v>32</v>
      </c>
      <c r="F647" s="9" t="s">
        <v>153</v>
      </c>
      <c r="G647" s="10">
        <v>32</v>
      </c>
      <c r="H647" s="9" t="s">
        <v>96</v>
      </c>
      <c r="I647" s="9" t="s">
        <v>97</v>
      </c>
      <c r="J647" s="9" t="s">
        <v>8</v>
      </c>
      <c r="K647" s="9"/>
      <c r="L647" s="9"/>
      <c r="M647" s="12">
        <f t="shared" si="40"/>
        <v>501</v>
      </c>
      <c r="N647" s="13">
        <f t="shared" si="41"/>
        <v>486.5</v>
      </c>
      <c r="O647" s="14">
        <f t="shared" si="42"/>
        <v>987.5</v>
      </c>
      <c r="P647" s="15">
        <f t="shared" si="43"/>
        <v>1.1897590361445782</v>
      </c>
    </row>
    <row r="648" spans="1:16" ht="15.75" customHeight="1" x14ac:dyDescent="0.3">
      <c r="A648" s="32" t="s">
        <v>59</v>
      </c>
      <c r="B648" s="9" t="s">
        <v>365</v>
      </c>
      <c r="C648" s="9" t="s">
        <v>79</v>
      </c>
      <c r="D648" s="9" t="s">
        <v>162</v>
      </c>
      <c r="E648" s="10">
        <v>20</v>
      </c>
      <c r="F648" s="9" t="s">
        <v>161</v>
      </c>
      <c r="G648" s="10">
        <v>20</v>
      </c>
      <c r="H648" s="9" t="s">
        <v>96</v>
      </c>
      <c r="I648" s="9" t="s">
        <v>97</v>
      </c>
      <c r="J648" s="9" t="s">
        <v>8</v>
      </c>
      <c r="K648" s="9"/>
      <c r="L648" s="9"/>
      <c r="M648" s="12">
        <f t="shared" si="40"/>
        <v>501</v>
      </c>
      <c r="N648" s="13">
        <f t="shared" si="41"/>
        <v>486.5</v>
      </c>
      <c r="O648" s="14">
        <f t="shared" si="42"/>
        <v>987.5</v>
      </c>
      <c r="P648" s="15">
        <f t="shared" si="43"/>
        <v>1.1897590361445782</v>
      </c>
    </row>
    <row r="649" spans="1:16" ht="15.75" customHeight="1" x14ac:dyDescent="0.3">
      <c r="A649" s="32" t="s">
        <v>59</v>
      </c>
      <c r="B649" s="9" t="s">
        <v>365</v>
      </c>
      <c r="C649" s="9" t="s">
        <v>79</v>
      </c>
      <c r="D649" s="9" t="s">
        <v>163</v>
      </c>
      <c r="E649" s="10">
        <v>20</v>
      </c>
      <c r="F649" s="9" t="s">
        <v>161</v>
      </c>
      <c r="G649" s="10">
        <v>20</v>
      </c>
      <c r="H649" s="9" t="s">
        <v>96</v>
      </c>
      <c r="I649" s="9" t="s">
        <v>97</v>
      </c>
      <c r="J649" s="9" t="s">
        <v>8</v>
      </c>
      <c r="K649" s="9"/>
      <c r="L649" s="9"/>
      <c r="M649" s="12">
        <f t="shared" si="40"/>
        <v>501</v>
      </c>
      <c r="N649" s="13">
        <f t="shared" si="41"/>
        <v>486.5</v>
      </c>
      <c r="O649" s="14">
        <f t="shared" si="42"/>
        <v>987.5</v>
      </c>
      <c r="P649" s="15">
        <f t="shared" si="43"/>
        <v>1.1897590361445782</v>
      </c>
    </row>
    <row r="650" spans="1:16" ht="15.75" customHeight="1" x14ac:dyDescent="0.3">
      <c r="A650" s="32" t="s">
        <v>59</v>
      </c>
      <c r="B650" s="9" t="s">
        <v>365</v>
      </c>
      <c r="C650" s="9" t="s">
        <v>100</v>
      </c>
      <c r="D650" s="9" t="s">
        <v>140</v>
      </c>
      <c r="E650" s="10">
        <v>8</v>
      </c>
      <c r="F650" s="9" t="s">
        <v>153</v>
      </c>
      <c r="G650" s="10">
        <v>8</v>
      </c>
      <c r="H650" s="9" t="s">
        <v>96</v>
      </c>
      <c r="I650" s="9" t="s">
        <v>97</v>
      </c>
      <c r="J650" s="9" t="s">
        <v>8</v>
      </c>
      <c r="K650" s="9"/>
      <c r="L650" s="9"/>
      <c r="M650" s="12">
        <f t="shared" si="40"/>
        <v>501</v>
      </c>
      <c r="N650" s="13">
        <f t="shared" si="41"/>
        <v>486.5</v>
      </c>
      <c r="O650" s="14">
        <f t="shared" si="42"/>
        <v>987.5</v>
      </c>
      <c r="P650" s="15">
        <f t="shared" si="43"/>
        <v>1.1897590361445782</v>
      </c>
    </row>
    <row r="651" spans="1:16" ht="15.75" customHeight="1" x14ac:dyDescent="0.3">
      <c r="A651" s="32" t="s">
        <v>59</v>
      </c>
      <c r="B651" s="9" t="s">
        <v>365</v>
      </c>
      <c r="C651" s="9" t="s">
        <v>100</v>
      </c>
      <c r="D651" s="9" t="s">
        <v>162</v>
      </c>
      <c r="E651" s="10">
        <v>32</v>
      </c>
      <c r="F651" s="9" t="s">
        <v>161</v>
      </c>
      <c r="G651" s="10">
        <v>16</v>
      </c>
      <c r="H651" s="9" t="s">
        <v>96</v>
      </c>
      <c r="I651" s="9" t="s">
        <v>97</v>
      </c>
      <c r="J651" s="9" t="s">
        <v>8</v>
      </c>
      <c r="K651" s="9"/>
      <c r="L651" s="9"/>
      <c r="M651" s="12">
        <f t="shared" si="40"/>
        <v>501</v>
      </c>
      <c r="N651" s="13">
        <f t="shared" si="41"/>
        <v>486.5</v>
      </c>
      <c r="O651" s="14">
        <f t="shared" si="42"/>
        <v>987.5</v>
      </c>
      <c r="P651" s="15">
        <f t="shared" si="43"/>
        <v>1.1897590361445782</v>
      </c>
    </row>
    <row r="652" spans="1:16" ht="15.75" customHeight="1" x14ac:dyDescent="0.3">
      <c r="A652" s="32" t="s">
        <v>59</v>
      </c>
      <c r="B652" s="9" t="s">
        <v>365</v>
      </c>
      <c r="C652" s="9" t="s">
        <v>100</v>
      </c>
      <c r="D652" s="9" t="s">
        <v>163</v>
      </c>
      <c r="E652" s="10">
        <v>16</v>
      </c>
      <c r="F652" s="9" t="s">
        <v>161</v>
      </c>
      <c r="G652" s="10">
        <v>16</v>
      </c>
      <c r="H652" s="9" t="s">
        <v>96</v>
      </c>
      <c r="I652" s="9" t="s">
        <v>97</v>
      </c>
      <c r="J652" s="9" t="s">
        <v>8</v>
      </c>
      <c r="K652" s="9"/>
      <c r="L652" s="9"/>
      <c r="M652" s="12">
        <f t="shared" si="40"/>
        <v>501</v>
      </c>
      <c r="N652" s="13">
        <f t="shared" si="41"/>
        <v>486.5</v>
      </c>
      <c r="O652" s="14">
        <f t="shared" si="42"/>
        <v>987.5</v>
      </c>
      <c r="P652" s="15">
        <f t="shared" si="43"/>
        <v>1.1897590361445782</v>
      </c>
    </row>
    <row r="653" spans="1:16" ht="15.75" customHeight="1" x14ac:dyDescent="0.3">
      <c r="A653" s="32" t="s">
        <v>59</v>
      </c>
      <c r="B653" s="9" t="s">
        <v>365</v>
      </c>
      <c r="C653" s="9" t="s">
        <v>111</v>
      </c>
      <c r="D653" s="9" t="s">
        <v>140</v>
      </c>
      <c r="E653" s="10">
        <v>3</v>
      </c>
      <c r="F653" s="9" t="s">
        <v>153</v>
      </c>
      <c r="G653" s="11">
        <v>0</v>
      </c>
      <c r="H653" s="9" t="s">
        <v>96</v>
      </c>
      <c r="I653" s="9" t="s">
        <v>97</v>
      </c>
      <c r="J653" s="9" t="s">
        <v>8</v>
      </c>
      <c r="K653" s="9"/>
      <c r="L653" s="9"/>
      <c r="M653" s="12">
        <f t="shared" si="40"/>
        <v>501</v>
      </c>
      <c r="N653" s="13">
        <f t="shared" si="41"/>
        <v>486.5</v>
      </c>
      <c r="O653" s="14">
        <f t="shared" si="42"/>
        <v>987.5</v>
      </c>
      <c r="P653" s="15">
        <f t="shared" si="43"/>
        <v>1.1897590361445782</v>
      </c>
    </row>
    <row r="654" spans="1:16" ht="15.75" customHeight="1" x14ac:dyDescent="0.3">
      <c r="A654" s="32" t="s">
        <v>59</v>
      </c>
      <c r="B654" s="9" t="s">
        <v>365</v>
      </c>
      <c r="C654" s="9" t="s">
        <v>111</v>
      </c>
      <c r="D654" s="9" t="s">
        <v>162</v>
      </c>
      <c r="E654" s="10">
        <v>9</v>
      </c>
      <c r="F654" s="9" t="s">
        <v>161</v>
      </c>
      <c r="G654" s="11">
        <v>0</v>
      </c>
      <c r="H654" s="9" t="s">
        <v>96</v>
      </c>
      <c r="I654" s="9" t="s">
        <v>97</v>
      </c>
      <c r="J654" s="9" t="s">
        <v>8</v>
      </c>
      <c r="K654" s="9"/>
      <c r="L654" s="9"/>
      <c r="M654" s="12">
        <f t="shared" si="40"/>
        <v>501</v>
      </c>
      <c r="N654" s="13">
        <f t="shared" si="41"/>
        <v>486.5</v>
      </c>
      <c r="O654" s="14">
        <f t="shared" si="42"/>
        <v>987.5</v>
      </c>
      <c r="P654" s="15">
        <f t="shared" si="43"/>
        <v>1.1897590361445782</v>
      </c>
    </row>
    <row r="655" spans="1:16" ht="15.75" customHeight="1" x14ac:dyDescent="0.3">
      <c r="A655" s="32" t="s">
        <v>59</v>
      </c>
      <c r="B655" s="9" t="s">
        <v>365</v>
      </c>
      <c r="C655" s="9" t="s">
        <v>111</v>
      </c>
      <c r="D655" s="9" t="s">
        <v>163</v>
      </c>
      <c r="E655" s="10">
        <v>7</v>
      </c>
      <c r="F655" s="9" t="s">
        <v>161</v>
      </c>
      <c r="G655" s="11">
        <v>0</v>
      </c>
      <c r="H655" s="9" t="s">
        <v>96</v>
      </c>
      <c r="I655" s="9" t="s">
        <v>97</v>
      </c>
      <c r="J655" s="9" t="s">
        <v>8</v>
      </c>
      <c r="K655" s="9"/>
      <c r="L655" s="9"/>
      <c r="M655" s="12">
        <f t="shared" si="40"/>
        <v>501</v>
      </c>
      <c r="N655" s="13">
        <f t="shared" si="41"/>
        <v>486.5</v>
      </c>
      <c r="O655" s="14">
        <f t="shared" si="42"/>
        <v>987.5</v>
      </c>
      <c r="P655" s="15">
        <f t="shared" si="43"/>
        <v>1.1897590361445782</v>
      </c>
    </row>
    <row r="656" spans="1:16" ht="15.75" customHeight="1" x14ac:dyDescent="0.3">
      <c r="A656" s="32" t="s">
        <v>59</v>
      </c>
      <c r="B656" s="9" t="s">
        <v>365</v>
      </c>
      <c r="C656" s="9" t="s">
        <v>80</v>
      </c>
      <c r="D656" s="9" t="s">
        <v>140</v>
      </c>
      <c r="E656" s="10">
        <v>3</v>
      </c>
      <c r="F656" s="9" t="s">
        <v>153</v>
      </c>
      <c r="G656" s="11">
        <v>0</v>
      </c>
      <c r="H656" s="9" t="s">
        <v>96</v>
      </c>
      <c r="I656" s="9" t="s">
        <v>97</v>
      </c>
      <c r="J656" s="9" t="s">
        <v>8</v>
      </c>
      <c r="K656" s="9"/>
      <c r="L656" s="9"/>
      <c r="M656" s="12">
        <f t="shared" si="40"/>
        <v>501</v>
      </c>
      <c r="N656" s="13">
        <f t="shared" si="41"/>
        <v>486.5</v>
      </c>
      <c r="O656" s="14">
        <f t="shared" si="42"/>
        <v>987.5</v>
      </c>
      <c r="P656" s="15">
        <f t="shared" si="43"/>
        <v>1.1897590361445782</v>
      </c>
    </row>
    <row r="657" spans="1:16" ht="15.75" customHeight="1" x14ac:dyDescent="0.3">
      <c r="A657" s="32" t="s">
        <v>59</v>
      </c>
      <c r="B657" s="9" t="s">
        <v>365</v>
      </c>
      <c r="C657" s="9" t="s">
        <v>80</v>
      </c>
      <c r="D657" s="9" t="s">
        <v>162</v>
      </c>
      <c r="E657" s="10">
        <v>4</v>
      </c>
      <c r="F657" s="9" t="s">
        <v>161</v>
      </c>
      <c r="G657" s="11">
        <v>0</v>
      </c>
      <c r="H657" s="9" t="s">
        <v>96</v>
      </c>
      <c r="I657" s="9" t="s">
        <v>97</v>
      </c>
      <c r="J657" s="9" t="s">
        <v>8</v>
      </c>
      <c r="K657" s="9"/>
      <c r="L657" s="9"/>
      <c r="M657" s="12">
        <f t="shared" si="40"/>
        <v>501</v>
      </c>
      <c r="N657" s="13">
        <f t="shared" si="41"/>
        <v>486.5</v>
      </c>
      <c r="O657" s="14">
        <f t="shared" si="42"/>
        <v>987.5</v>
      </c>
      <c r="P657" s="15">
        <f t="shared" si="43"/>
        <v>1.1897590361445782</v>
      </c>
    </row>
    <row r="658" spans="1:16" ht="15.75" customHeight="1" x14ac:dyDescent="0.3">
      <c r="A658" s="32" t="s">
        <v>59</v>
      </c>
      <c r="B658" s="9" t="s">
        <v>365</v>
      </c>
      <c r="C658" s="9" t="s">
        <v>80</v>
      </c>
      <c r="D658" s="9" t="s">
        <v>163</v>
      </c>
      <c r="E658" s="10">
        <v>4</v>
      </c>
      <c r="F658" s="9" t="s">
        <v>161</v>
      </c>
      <c r="G658" s="11">
        <v>0</v>
      </c>
      <c r="H658" s="9" t="s">
        <v>96</v>
      </c>
      <c r="I658" s="9" t="s">
        <v>97</v>
      </c>
      <c r="J658" s="9" t="s">
        <v>8</v>
      </c>
      <c r="K658" s="9"/>
      <c r="L658" s="9"/>
      <c r="M658" s="12">
        <f t="shared" si="40"/>
        <v>501</v>
      </c>
      <c r="N658" s="13">
        <f t="shared" si="41"/>
        <v>486.5</v>
      </c>
      <c r="O658" s="14">
        <f t="shared" si="42"/>
        <v>987.5</v>
      </c>
      <c r="P658" s="15">
        <f t="shared" si="43"/>
        <v>1.1897590361445782</v>
      </c>
    </row>
    <row r="659" spans="1:16" ht="15.75" customHeight="1" x14ac:dyDescent="0.3">
      <c r="A659" s="32" t="s">
        <v>59</v>
      </c>
      <c r="B659" s="9" t="s">
        <v>366</v>
      </c>
      <c r="C659" s="9" t="s">
        <v>73</v>
      </c>
      <c r="D659" s="9" t="s">
        <v>103</v>
      </c>
      <c r="E659" s="10">
        <v>24</v>
      </c>
      <c r="F659" s="9" t="s">
        <v>107</v>
      </c>
      <c r="G659" s="10">
        <v>24</v>
      </c>
      <c r="H659" s="9" t="s">
        <v>146</v>
      </c>
      <c r="I659" s="9" t="s">
        <v>147</v>
      </c>
      <c r="J659" s="9"/>
      <c r="K659" s="9"/>
      <c r="L659" s="9"/>
      <c r="M659" s="12">
        <f t="shared" si="40"/>
        <v>279</v>
      </c>
      <c r="N659" s="13">
        <f t="shared" si="41"/>
        <v>475.5</v>
      </c>
      <c r="O659" s="14">
        <f t="shared" si="42"/>
        <v>754.5</v>
      </c>
      <c r="P659" s="15">
        <f t="shared" si="43"/>
        <v>0.90903614457831328</v>
      </c>
    </row>
    <row r="660" spans="1:16" ht="15.75" customHeight="1" x14ac:dyDescent="0.3">
      <c r="A660" s="32" t="s">
        <v>59</v>
      </c>
      <c r="B660" s="9" t="s">
        <v>366</v>
      </c>
      <c r="C660" s="9" t="s">
        <v>79</v>
      </c>
      <c r="D660" s="9" t="s">
        <v>103</v>
      </c>
      <c r="E660" s="10">
        <v>12</v>
      </c>
      <c r="F660" s="9" t="s">
        <v>107</v>
      </c>
      <c r="G660" s="10">
        <v>12</v>
      </c>
      <c r="H660" s="9" t="s">
        <v>146</v>
      </c>
      <c r="I660" s="9" t="s">
        <v>147</v>
      </c>
      <c r="J660" s="9"/>
      <c r="K660" s="9"/>
      <c r="L660" s="9"/>
      <c r="M660" s="12">
        <f t="shared" si="40"/>
        <v>279</v>
      </c>
      <c r="N660" s="13">
        <f t="shared" si="41"/>
        <v>475.5</v>
      </c>
      <c r="O660" s="14">
        <f t="shared" si="42"/>
        <v>754.5</v>
      </c>
      <c r="P660" s="15">
        <f t="shared" si="43"/>
        <v>0.90903614457831328</v>
      </c>
    </row>
    <row r="661" spans="1:16" ht="15.75" customHeight="1" x14ac:dyDescent="0.3">
      <c r="A661" s="32" t="s">
        <v>59</v>
      </c>
      <c r="B661" s="9" t="s">
        <v>366</v>
      </c>
      <c r="C661" s="9" t="s">
        <v>100</v>
      </c>
      <c r="D661" s="9" t="s">
        <v>103</v>
      </c>
      <c r="E661" s="10">
        <v>56</v>
      </c>
      <c r="F661" s="9" t="s">
        <v>107</v>
      </c>
      <c r="G661" s="10">
        <v>28</v>
      </c>
      <c r="H661" s="9" t="s">
        <v>146</v>
      </c>
      <c r="I661" s="9" t="s">
        <v>147</v>
      </c>
      <c r="J661" s="9"/>
      <c r="K661" s="9"/>
      <c r="L661" s="9"/>
      <c r="M661" s="12">
        <f t="shared" si="40"/>
        <v>279</v>
      </c>
      <c r="N661" s="13">
        <f t="shared" si="41"/>
        <v>475.5</v>
      </c>
      <c r="O661" s="14">
        <f t="shared" si="42"/>
        <v>754.5</v>
      </c>
      <c r="P661" s="15">
        <f t="shared" si="43"/>
        <v>0.90903614457831328</v>
      </c>
    </row>
    <row r="662" spans="1:16" ht="15.75" customHeight="1" x14ac:dyDescent="0.3">
      <c r="A662" s="32" t="s">
        <v>59</v>
      </c>
      <c r="B662" s="9" t="s">
        <v>366</v>
      </c>
      <c r="C662" s="9" t="s">
        <v>111</v>
      </c>
      <c r="D662" s="9" t="s">
        <v>103</v>
      </c>
      <c r="E662" s="10">
        <v>8</v>
      </c>
      <c r="F662" s="9" t="s">
        <v>107</v>
      </c>
      <c r="G662" s="11">
        <v>0</v>
      </c>
      <c r="H662" s="9" t="s">
        <v>146</v>
      </c>
      <c r="I662" s="9" t="s">
        <v>147</v>
      </c>
      <c r="J662" s="9"/>
      <c r="K662" s="9"/>
      <c r="L662" s="9"/>
      <c r="M662" s="12">
        <f t="shared" si="40"/>
        <v>279</v>
      </c>
      <c r="N662" s="13">
        <f t="shared" si="41"/>
        <v>475.5</v>
      </c>
      <c r="O662" s="14">
        <f t="shared" si="42"/>
        <v>754.5</v>
      </c>
      <c r="P662" s="15">
        <f t="shared" si="43"/>
        <v>0.90903614457831328</v>
      </c>
    </row>
    <row r="663" spans="1:16" ht="15.75" customHeight="1" x14ac:dyDescent="0.3">
      <c r="A663" s="32" t="s">
        <v>59</v>
      </c>
      <c r="B663" s="9" t="s">
        <v>366</v>
      </c>
      <c r="C663" s="9" t="s">
        <v>80</v>
      </c>
      <c r="D663" s="9" t="s">
        <v>103</v>
      </c>
      <c r="E663" s="10">
        <v>3</v>
      </c>
      <c r="F663" s="9" t="s">
        <v>107</v>
      </c>
      <c r="G663" s="11">
        <v>0</v>
      </c>
      <c r="H663" s="9" t="s">
        <v>146</v>
      </c>
      <c r="I663" s="9" t="s">
        <v>147</v>
      </c>
      <c r="J663" s="9"/>
      <c r="K663" s="9"/>
      <c r="L663" s="9"/>
      <c r="M663" s="12">
        <f t="shared" si="40"/>
        <v>279</v>
      </c>
      <c r="N663" s="13">
        <f t="shared" si="41"/>
        <v>475.5</v>
      </c>
      <c r="O663" s="14">
        <f t="shared" si="42"/>
        <v>754.5</v>
      </c>
      <c r="P663" s="15">
        <f t="shared" si="43"/>
        <v>0.90903614457831328</v>
      </c>
    </row>
    <row r="664" spans="1:16" ht="15.75" customHeight="1" x14ac:dyDescent="0.3">
      <c r="A664" s="32" t="s">
        <v>59</v>
      </c>
      <c r="B664" s="9" t="s">
        <v>367</v>
      </c>
      <c r="C664" s="9" t="s">
        <v>73</v>
      </c>
      <c r="D664" s="9" t="s">
        <v>160</v>
      </c>
      <c r="E664" s="10">
        <v>32</v>
      </c>
      <c r="F664" s="9" t="s">
        <v>161</v>
      </c>
      <c r="G664" s="10">
        <v>32</v>
      </c>
      <c r="H664" s="9" t="s">
        <v>316</v>
      </c>
      <c r="I664" s="9" t="s">
        <v>358</v>
      </c>
      <c r="J664" s="9" t="s">
        <v>4</v>
      </c>
      <c r="K664" s="9"/>
      <c r="L664" s="9"/>
      <c r="M664" s="12">
        <f t="shared" si="40"/>
        <v>0</v>
      </c>
      <c r="N664" s="13">
        <f t="shared" si="41"/>
        <v>233</v>
      </c>
      <c r="O664" s="14">
        <f t="shared" si="42"/>
        <v>233</v>
      </c>
      <c r="P664" s="15">
        <f t="shared" si="43"/>
        <v>0.28072289156626506</v>
      </c>
    </row>
    <row r="665" spans="1:16" ht="15.75" customHeight="1" x14ac:dyDescent="0.3">
      <c r="A665" s="32" t="s">
        <v>59</v>
      </c>
      <c r="B665" s="9" t="s">
        <v>367</v>
      </c>
      <c r="C665" s="9" t="s">
        <v>87</v>
      </c>
      <c r="D665" s="9" t="s">
        <v>162</v>
      </c>
      <c r="E665" s="10">
        <v>6</v>
      </c>
      <c r="F665" s="9" t="s">
        <v>161</v>
      </c>
      <c r="G665" s="11">
        <v>0</v>
      </c>
      <c r="H665" s="9" t="s">
        <v>316</v>
      </c>
      <c r="I665" s="9" t="s">
        <v>358</v>
      </c>
      <c r="J665" s="9" t="s">
        <v>4</v>
      </c>
      <c r="K665" s="9"/>
      <c r="L665" s="9"/>
      <c r="M665" s="12">
        <f t="shared" si="40"/>
        <v>0</v>
      </c>
      <c r="N665" s="13">
        <f t="shared" si="41"/>
        <v>233</v>
      </c>
      <c r="O665" s="14">
        <f t="shared" si="42"/>
        <v>233</v>
      </c>
      <c r="P665" s="15">
        <f t="shared" si="43"/>
        <v>0.28072289156626506</v>
      </c>
    </row>
    <row r="666" spans="1:16" ht="15.75" customHeight="1" x14ac:dyDescent="0.3">
      <c r="A666" s="32" t="s">
        <v>59</v>
      </c>
      <c r="B666" s="9" t="s">
        <v>367</v>
      </c>
      <c r="C666" s="9" t="s">
        <v>87</v>
      </c>
      <c r="D666" s="9" t="s">
        <v>163</v>
      </c>
      <c r="E666" s="10">
        <v>5</v>
      </c>
      <c r="F666" s="9" t="s">
        <v>161</v>
      </c>
      <c r="G666" s="11">
        <v>0</v>
      </c>
      <c r="H666" s="9" t="s">
        <v>316</v>
      </c>
      <c r="I666" s="9" t="s">
        <v>358</v>
      </c>
      <c r="J666" s="9" t="s">
        <v>4</v>
      </c>
      <c r="K666" s="9"/>
      <c r="L666" s="9"/>
      <c r="M666" s="12">
        <f t="shared" si="40"/>
        <v>0</v>
      </c>
      <c r="N666" s="13">
        <f t="shared" si="41"/>
        <v>233</v>
      </c>
      <c r="O666" s="14">
        <f t="shared" si="42"/>
        <v>233</v>
      </c>
      <c r="P666" s="15">
        <f t="shared" si="43"/>
        <v>0.28072289156626506</v>
      </c>
    </row>
    <row r="667" spans="1:16" ht="15.75" customHeight="1" x14ac:dyDescent="0.3">
      <c r="A667" s="32" t="s">
        <v>59</v>
      </c>
      <c r="B667" s="9" t="s">
        <v>367</v>
      </c>
      <c r="C667" s="9" t="s">
        <v>79</v>
      </c>
      <c r="D667" s="9" t="s">
        <v>162</v>
      </c>
      <c r="E667" s="10">
        <v>16</v>
      </c>
      <c r="F667" s="9" t="s">
        <v>161</v>
      </c>
      <c r="G667" s="10">
        <v>16</v>
      </c>
      <c r="H667" s="9" t="s">
        <v>316</v>
      </c>
      <c r="I667" s="9" t="s">
        <v>358</v>
      </c>
      <c r="J667" s="9"/>
      <c r="K667" s="9"/>
      <c r="L667" s="9"/>
      <c r="M667" s="12">
        <f t="shared" si="40"/>
        <v>0</v>
      </c>
      <c r="N667" s="13">
        <f t="shared" si="41"/>
        <v>233</v>
      </c>
      <c r="O667" s="14">
        <f t="shared" si="42"/>
        <v>233</v>
      </c>
      <c r="P667" s="15">
        <f t="shared" si="43"/>
        <v>0.28072289156626506</v>
      </c>
    </row>
    <row r="668" spans="1:16" ht="15.75" customHeight="1" x14ac:dyDescent="0.3">
      <c r="A668" s="32" t="s">
        <v>59</v>
      </c>
      <c r="B668" s="9" t="s">
        <v>367</v>
      </c>
      <c r="C668" s="9" t="s">
        <v>79</v>
      </c>
      <c r="D668" s="9" t="s">
        <v>163</v>
      </c>
      <c r="E668" s="10">
        <v>16</v>
      </c>
      <c r="F668" s="9" t="s">
        <v>161</v>
      </c>
      <c r="G668" s="10">
        <v>16</v>
      </c>
      <c r="H668" s="9" t="s">
        <v>316</v>
      </c>
      <c r="I668" s="9" t="s">
        <v>358</v>
      </c>
      <c r="J668" s="9"/>
      <c r="K668" s="9"/>
      <c r="L668" s="9"/>
      <c r="M668" s="12">
        <f t="shared" si="40"/>
        <v>0</v>
      </c>
      <c r="N668" s="13">
        <f t="shared" si="41"/>
        <v>233</v>
      </c>
      <c r="O668" s="14">
        <f t="shared" si="42"/>
        <v>233</v>
      </c>
      <c r="P668" s="15">
        <f t="shared" si="43"/>
        <v>0.28072289156626506</v>
      </c>
    </row>
    <row r="669" spans="1:16" ht="15.75" customHeight="1" x14ac:dyDescent="0.3">
      <c r="A669" s="32" t="s">
        <v>59</v>
      </c>
      <c r="B669" s="9" t="s">
        <v>367</v>
      </c>
      <c r="C669" s="9" t="s">
        <v>100</v>
      </c>
      <c r="D669" s="9" t="s">
        <v>162</v>
      </c>
      <c r="E669" s="10">
        <v>32</v>
      </c>
      <c r="F669" s="9" t="s">
        <v>161</v>
      </c>
      <c r="G669" s="10">
        <v>16</v>
      </c>
      <c r="H669" s="9" t="s">
        <v>316</v>
      </c>
      <c r="I669" s="9" t="s">
        <v>358</v>
      </c>
      <c r="J669" s="9"/>
      <c r="K669" s="9"/>
      <c r="L669" s="9"/>
      <c r="M669" s="12">
        <f t="shared" si="40"/>
        <v>0</v>
      </c>
      <c r="N669" s="13">
        <f t="shared" si="41"/>
        <v>233</v>
      </c>
      <c r="O669" s="14">
        <f t="shared" si="42"/>
        <v>233</v>
      </c>
      <c r="P669" s="15">
        <f t="shared" si="43"/>
        <v>0.28072289156626506</v>
      </c>
    </row>
    <row r="670" spans="1:16" ht="15.75" customHeight="1" x14ac:dyDescent="0.3">
      <c r="A670" s="32" t="s">
        <v>59</v>
      </c>
      <c r="B670" s="9" t="s">
        <v>367</v>
      </c>
      <c r="C670" s="9" t="s">
        <v>100</v>
      </c>
      <c r="D670" s="9" t="s">
        <v>163</v>
      </c>
      <c r="E670" s="10">
        <v>16</v>
      </c>
      <c r="F670" s="9" t="s">
        <v>161</v>
      </c>
      <c r="G670" s="10">
        <v>16</v>
      </c>
      <c r="H670" s="9" t="s">
        <v>316</v>
      </c>
      <c r="I670" s="9" t="s">
        <v>358</v>
      </c>
      <c r="J670" s="9"/>
      <c r="K670" s="9"/>
      <c r="L670" s="9"/>
      <c r="M670" s="12">
        <f t="shared" si="40"/>
        <v>0</v>
      </c>
      <c r="N670" s="13">
        <f t="shared" si="41"/>
        <v>233</v>
      </c>
      <c r="O670" s="14">
        <f t="shared" si="42"/>
        <v>233</v>
      </c>
      <c r="P670" s="15">
        <f t="shared" si="43"/>
        <v>0.28072289156626506</v>
      </c>
    </row>
    <row r="671" spans="1:16" ht="15.75" customHeight="1" x14ac:dyDescent="0.3">
      <c r="A671" s="32" t="s">
        <v>59</v>
      </c>
      <c r="B671" s="9" t="s">
        <v>367</v>
      </c>
      <c r="C671" s="9" t="s">
        <v>80</v>
      </c>
      <c r="D671" s="9" t="s">
        <v>162</v>
      </c>
      <c r="E671" s="10">
        <v>2</v>
      </c>
      <c r="F671" s="9" t="s">
        <v>161</v>
      </c>
      <c r="G671" s="11">
        <v>0</v>
      </c>
      <c r="H671" s="9" t="s">
        <v>316</v>
      </c>
      <c r="I671" s="9" t="s">
        <v>358</v>
      </c>
      <c r="J671" s="9"/>
      <c r="K671" s="9"/>
      <c r="L671" s="9"/>
      <c r="M671" s="12">
        <f t="shared" si="40"/>
        <v>0</v>
      </c>
      <c r="N671" s="13">
        <f t="shared" si="41"/>
        <v>233</v>
      </c>
      <c r="O671" s="14">
        <f t="shared" si="42"/>
        <v>233</v>
      </c>
      <c r="P671" s="15">
        <f t="shared" si="43"/>
        <v>0.28072289156626506</v>
      </c>
    </row>
    <row r="672" spans="1:16" ht="15.75" customHeight="1" x14ac:dyDescent="0.3">
      <c r="A672" s="32" t="s">
        <v>59</v>
      </c>
      <c r="B672" s="9" t="s">
        <v>367</v>
      </c>
      <c r="C672" s="9" t="s">
        <v>80</v>
      </c>
      <c r="D672" s="9" t="s">
        <v>163</v>
      </c>
      <c r="E672" s="10">
        <v>2</v>
      </c>
      <c r="F672" s="9" t="s">
        <v>161</v>
      </c>
      <c r="G672" s="11">
        <v>0</v>
      </c>
      <c r="H672" s="9" t="s">
        <v>316</v>
      </c>
      <c r="I672" s="9" t="s">
        <v>358</v>
      </c>
      <c r="J672" s="9"/>
      <c r="K672" s="9"/>
      <c r="L672" s="9"/>
      <c r="M672" s="12">
        <f t="shared" si="40"/>
        <v>0</v>
      </c>
      <c r="N672" s="13">
        <f t="shared" si="41"/>
        <v>233</v>
      </c>
      <c r="O672" s="14">
        <f t="shared" si="42"/>
        <v>233</v>
      </c>
      <c r="P672" s="15">
        <f t="shared" si="43"/>
        <v>0.28072289156626506</v>
      </c>
    </row>
    <row r="673" spans="1:16" ht="15.75" customHeight="1" x14ac:dyDescent="0.3">
      <c r="A673" s="32" t="s">
        <v>59</v>
      </c>
      <c r="B673" s="9" t="s">
        <v>368</v>
      </c>
      <c r="C673" s="9" t="s">
        <v>73</v>
      </c>
      <c r="D673" s="9" t="s">
        <v>160</v>
      </c>
      <c r="E673" s="10">
        <v>32</v>
      </c>
      <c r="F673" s="9" t="s">
        <v>161</v>
      </c>
      <c r="G673" s="10">
        <v>32</v>
      </c>
      <c r="H673" s="9" t="s">
        <v>70</v>
      </c>
      <c r="I673" s="9" t="s">
        <v>71</v>
      </c>
      <c r="J673" s="9"/>
      <c r="K673" s="9"/>
      <c r="L673" s="9"/>
      <c r="M673" s="12">
        <f t="shared" si="40"/>
        <v>391</v>
      </c>
      <c r="N673" s="13">
        <f t="shared" si="41"/>
        <v>436.5</v>
      </c>
      <c r="O673" s="14">
        <f t="shared" si="42"/>
        <v>827.5</v>
      </c>
      <c r="P673" s="15">
        <f t="shared" si="43"/>
        <v>0.99698795180722888</v>
      </c>
    </row>
    <row r="674" spans="1:16" ht="15.75" customHeight="1" x14ac:dyDescent="0.3">
      <c r="A674" s="32" t="s">
        <v>59</v>
      </c>
      <c r="B674" s="9" t="s">
        <v>368</v>
      </c>
      <c r="C674" s="9" t="s">
        <v>79</v>
      </c>
      <c r="D674" s="9" t="s">
        <v>162</v>
      </c>
      <c r="E674" s="10">
        <v>20</v>
      </c>
      <c r="F674" s="9" t="s">
        <v>161</v>
      </c>
      <c r="G674" s="10">
        <v>20</v>
      </c>
      <c r="H674" s="9" t="s">
        <v>70</v>
      </c>
      <c r="I674" s="9" t="s">
        <v>71</v>
      </c>
      <c r="J674" s="9"/>
      <c r="K674" s="9"/>
      <c r="L674" s="9"/>
      <c r="M674" s="12">
        <f t="shared" si="40"/>
        <v>391</v>
      </c>
      <c r="N674" s="13">
        <f t="shared" si="41"/>
        <v>436.5</v>
      </c>
      <c r="O674" s="14">
        <f t="shared" si="42"/>
        <v>827.5</v>
      </c>
      <c r="P674" s="15">
        <f t="shared" si="43"/>
        <v>0.99698795180722888</v>
      </c>
    </row>
    <row r="675" spans="1:16" ht="15.75" customHeight="1" x14ac:dyDescent="0.3">
      <c r="A675" s="32" t="s">
        <v>59</v>
      </c>
      <c r="B675" s="9" t="s">
        <v>368</v>
      </c>
      <c r="C675" s="9" t="s">
        <v>79</v>
      </c>
      <c r="D675" s="9" t="s">
        <v>163</v>
      </c>
      <c r="E675" s="10">
        <v>20</v>
      </c>
      <c r="F675" s="9" t="s">
        <v>161</v>
      </c>
      <c r="G675" s="10">
        <v>20</v>
      </c>
      <c r="H675" s="9" t="s">
        <v>70</v>
      </c>
      <c r="I675" s="9" t="s">
        <v>71</v>
      </c>
      <c r="J675" s="9"/>
      <c r="K675" s="9"/>
      <c r="L675" s="9"/>
      <c r="M675" s="12">
        <f t="shared" si="40"/>
        <v>391</v>
      </c>
      <c r="N675" s="13">
        <f t="shared" si="41"/>
        <v>436.5</v>
      </c>
      <c r="O675" s="14">
        <f t="shared" si="42"/>
        <v>827.5</v>
      </c>
      <c r="P675" s="15">
        <f t="shared" si="43"/>
        <v>0.99698795180722888</v>
      </c>
    </row>
    <row r="676" spans="1:16" ht="15.75" customHeight="1" x14ac:dyDescent="0.3">
      <c r="A676" s="32" t="s">
        <v>59</v>
      </c>
      <c r="B676" s="21" t="s">
        <v>368</v>
      </c>
      <c r="C676" s="21" t="s">
        <v>100</v>
      </c>
      <c r="D676" s="21" t="s">
        <v>162</v>
      </c>
      <c r="E676" s="23">
        <v>16</v>
      </c>
      <c r="F676" s="9" t="s">
        <v>161</v>
      </c>
      <c r="G676" s="10">
        <v>16</v>
      </c>
      <c r="H676" s="9" t="s">
        <v>70</v>
      </c>
      <c r="I676" s="9" t="s">
        <v>71</v>
      </c>
      <c r="J676" s="9"/>
      <c r="K676" s="9"/>
      <c r="L676" s="9"/>
      <c r="M676" s="12">
        <f t="shared" si="40"/>
        <v>391</v>
      </c>
      <c r="N676" s="13">
        <f t="shared" si="41"/>
        <v>436.5</v>
      </c>
      <c r="O676" s="14">
        <f t="shared" si="42"/>
        <v>827.5</v>
      </c>
      <c r="P676" s="15">
        <f t="shared" si="43"/>
        <v>0.99698795180722888</v>
      </c>
    </row>
    <row r="677" spans="1:16" ht="15.75" customHeight="1" x14ac:dyDescent="0.3">
      <c r="A677" s="32" t="s">
        <v>59</v>
      </c>
      <c r="B677" s="21" t="s">
        <v>368</v>
      </c>
      <c r="C677" s="21" t="s">
        <v>100</v>
      </c>
      <c r="D677" s="21" t="s">
        <v>162</v>
      </c>
      <c r="E677" s="23">
        <v>16</v>
      </c>
      <c r="F677" s="9" t="s">
        <v>161</v>
      </c>
      <c r="G677" s="10">
        <v>16</v>
      </c>
      <c r="H677" s="9" t="s">
        <v>98</v>
      </c>
      <c r="I677" s="9" t="s">
        <v>99</v>
      </c>
      <c r="J677" s="9" t="s">
        <v>4</v>
      </c>
      <c r="K677" s="9"/>
      <c r="L677" s="9"/>
      <c r="M677" s="12">
        <f t="shared" si="40"/>
        <v>239</v>
      </c>
      <c r="N677" s="13">
        <f t="shared" si="41"/>
        <v>196.5</v>
      </c>
      <c r="O677" s="14">
        <f t="shared" si="42"/>
        <v>435.5</v>
      </c>
      <c r="P677" s="15">
        <f t="shared" si="43"/>
        <v>0.52469879518072293</v>
      </c>
    </row>
    <row r="678" spans="1:16" ht="15.75" customHeight="1" x14ac:dyDescent="0.3">
      <c r="A678" s="32" t="s">
        <v>59</v>
      </c>
      <c r="B678" s="9" t="s">
        <v>368</v>
      </c>
      <c r="C678" s="9" t="s">
        <v>100</v>
      </c>
      <c r="D678" s="9" t="s">
        <v>163</v>
      </c>
      <c r="E678" s="10">
        <v>16</v>
      </c>
      <c r="F678" s="9" t="s">
        <v>161</v>
      </c>
      <c r="G678" s="10">
        <v>16</v>
      </c>
      <c r="H678" s="9" t="s">
        <v>98</v>
      </c>
      <c r="I678" s="9" t="s">
        <v>99</v>
      </c>
      <c r="J678" s="9" t="s">
        <v>4</v>
      </c>
      <c r="K678" s="9"/>
      <c r="L678" s="9"/>
      <c r="M678" s="12">
        <f t="shared" si="40"/>
        <v>239</v>
      </c>
      <c r="N678" s="13">
        <f t="shared" si="41"/>
        <v>196.5</v>
      </c>
      <c r="O678" s="14">
        <f t="shared" si="42"/>
        <v>435.5</v>
      </c>
      <c r="P678" s="15">
        <f t="shared" si="43"/>
        <v>0.52469879518072293</v>
      </c>
    </row>
    <row r="679" spans="1:16" ht="15.75" customHeight="1" x14ac:dyDescent="0.3">
      <c r="A679" s="32" t="s">
        <v>59</v>
      </c>
      <c r="B679" s="9" t="s">
        <v>368</v>
      </c>
      <c r="C679" s="9" t="s">
        <v>111</v>
      </c>
      <c r="D679" s="9" t="s">
        <v>162</v>
      </c>
      <c r="E679" s="10">
        <v>9</v>
      </c>
      <c r="F679" s="9" t="s">
        <v>161</v>
      </c>
      <c r="G679" s="11">
        <v>0</v>
      </c>
      <c r="H679" s="9" t="s">
        <v>70</v>
      </c>
      <c r="I679" s="9" t="s">
        <v>71</v>
      </c>
      <c r="J679" s="9"/>
      <c r="K679" s="9"/>
      <c r="L679" s="9"/>
      <c r="M679" s="12">
        <f t="shared" si="40"/>
        <v>391</v>
      </c>
      <c r="N679" s="13">
        <f t="shared" si="41"/>
        <v>436.5</v>
      </c>
      <c r="O679" s="14">
        <f t="shared" si="42"/>
        <v>827.5</v>
      </c>
      <c r="P679" s="15">
        <f t="shared" si="43"/>
        <v>0.99698795180722888</v>
      </c>
    </row>
    <row r="680" spans="1:16" ht="15.75" customHeight="1" x14ac:dyDescent="0.3">
      <c r="A680" s="32" t="s">
        <v>59</v>
      </c>
      <c r="B680" s="9" t="s">
        <v>368</v>
      </c>
      <c r="C680" s="9" t="s">
        <v>111</v>
      </c>
      <c r="D680" s="9" t="s">
        <v>163</v>
      </c>
      <c r="E680" s="10">
        <v>7</v>
      </c>
      <c r="F680" s="9" t="s">
        <v>161</v>
      </c>
      <c r="G680" s="11">
        <v>0</v>
      </c>
      <c r="H680" s="9" t="s">
        <v>70</v>
      </c>
      <c r="I680" s="9" t="s">
        <v>71</v>
      </c>
      <c r="J680" s="9"/>
      <c r="K680" s="9"/>
      <c r="L680" s="9"/>
      <c r="M680" s="12">
        <f t="shared" si="40"/>
        <v>391</v>
      </c>
      <c r="N680" s="13">
        <f t="shared" si="41"/>
        <v>436.5</v>
      </c>
      <c r="O680" s="14">
        <f t="shared" si="42"/>
        <v>827.5</v>
      </c>
      <c r="P680" s="15">
        <f t="shared" si="43"/>
        <v>0.99698795180722888</v>
      </c>
    </row>
    <row r="681" spans="1:16" ht="15.75" customHeight="1" x14ac:dyDescent="0.3">
      <c r="A681" s="32" t="s">
        <v>59</v>
      </c>
      <c r="B681" s="9" t="s">
        <v>368</v>
      </c>
      <c r="C681" s="9" t="s">
        <v>80</v>
      </c>
      <c r="D681" s="9" t="s">
        <v>162</v>
      </c>
      <c r="E681" s="10">
        <v>4</v>
      </c>
      <c r="F681" s="9" t="s">
        <v>161</v>
      </c>
      <c r="G681" s="11">
        <v>0</v>
      </c>
      <c r="H681" s="9" t="s">
        <v>70</v>
      </c>
      <c r="I681" s="9" t="s">
        <v>71</v>
      </c>
      <c r="J681" s="9"/>
      <c r="K681" s="9"/>
      <c r="L681" s="9"/>
      <c r="M681" s="12">
        <f t="shared" si="40"/>
        <v>391</v>
      </c>
      <c r="N681" s="13">
        <f t="shared" si="41"/>
        <v>436.5</v>
      </c>
      <c r="O681" s="14">
        <f t="shared" si="42"/>
        <v>827.5</v>
      </c>
      <c r="P681" s="15">
        <f t="shared" si="43"/>
        <v>0.99698795180722888</v>
      </c>
    </row>
    <row r="682" spans="1:16" ht="15.75" customHeight="1" x14ac:dyDescent="0.3">
      <c r="A682" s="32" t="s">
        <v>59</v>
      </c>
      <c r="B682" s="9" t="s">
        <v>368</v>
      </c>
      <c r="C682" s="9" t="s">
        <v>80</v>
      </c>
      <c r="D682" s="9" t="s">
        <v>163</v>
      </c>
      <c r="E682" s="10">
        <v>4</v>
      </c>
      <c r="F682" s="9" t="s">
        <v>161</v>
      </c>
      <c r="G682" s="11">
        <v>0</v>
      </c>
      <c r="H682" s="9" t="s">
        <v>70</v>
      </c>
      <c r="I682" s="9" t="s">
        <v>71</v>
      </c>
      <c r="J682" s="9"/>
      <c r="K682" s="9"/>
      <c r="L682" s="9"/>
      <c r="M682" s="12">
        <f t="shared" si="40"/>
        <v>391</v>
      </c>
      <c r="N682" s="13">
        <f t="shared" si="41"/>
        <v>436.5</v>
      </c>
      <c r="O682" s="14">
        <f t="shared" si="42"/>
        <v>827.5</v>
      </c>
      <c r="P682" s="15">
        <f t="shared" si="43"/>
        <v>0.99698795180722888</v>
      </c>
    </row>
    <row r="683" spans="1:16" ht="15.75" customHeight="1" x14ac:dyDescent="0.3">
      <c r="A683" s="32" t="s">
        <v>59</v>
      </c>
      <c r="B683" s="9" t="s">
        <v>369</v>
      </c>
      <c r="C683" s="9" t="s">
        <v>73</v>
      </c>
      <c r="D683" s="9" t="s">
        <v>103</v>
      </c>
      <c r="E683" s="10">
        <v>24</v>
      </c>
      <c r="F683" s="9" t="s">
        <v>107</v>
      </c>
      <c r="G683" s="10">
        <v>24</v>
      </c>
      <c r="H683" s="9" t="s">
        <v>245</v>
      </c>
      <c r="I683" s="9" t="s">
        <v>246</v>
      </c>
      <c r="J683" s="9"/>
      <c r="K683" s="9"/>
      <c r="L683" s="9"/>
      <c r="M683" s="12">
        <f t="shared" si="40"/>
        <v>200</v>
      </c>
      <c r="N683" s="13">
        <f t="shared" si="41"/>
        <v>271</v>
      </c>
      <c r="O683" s="14">
        <f t="shared" si="42"/>
        <v>471</v>
      </c>
      <c r="P683" s="15">
        <f t="shared" si="43"/>
        <v>0.56746987951807226</v>
      </c>
    </row>
    <row r="684" spans="1:16" ht="15.75" customHeight="1" x14ac:dyDescent="0.3">
      <c r="A684" s="32" t="s">
        <v>59</v>
      </c>
      <c r="B684" s="9" t="s">
        <v>369</v>
      </c>
      <c r="C684" s="9" t="s">
        <v>79</v>
      </c>
      <c r="D684" s="9" t="s">
        <v>103</v>
      </c>
      <c r="E684" s="10">
        <v>12</v>
      </c>
      <c r="F684" s="9" t="s">
        <v>107</v>
      </c>
      <c r="G684" s="10">
        <v>12</v>
      </c>
      <c r="H684" s="9" t="s">
        <v>245</v>
      </c>
      <c r="I684" s="9" t="s">
        <v>246</v>
      </c>
      <c r="J684" s="9"/>
      <c r="K684" s="9"/>
      <c r="L684" s="9"/>
      <c r="M684" s="12">
        <f t="shared" si="40"/>
        <v>200</v>
      </c>
      <c r="N684" s="13">
        <f t="shared" si="41"/>
        <v>271</v>
      </c>
      <c r="O684" s="14">
        <f t="shared" si="42"/>
        <v>471</v>
      </c>
      <c r="P684" s="15">
        <f t="shared" si="43"/>
        <v>0.56746987951807226</v>
      </c>
    </row>
    <row r="685" spans="1:16" ht="15.75" customHeight="1" x14ac:dyDescent="0.3">
      <c r="A685" s="32" t="s">
        <v>59</v>
      </c>
      <c r="B685" s="9" t="s">
        <v>369</v>
      </c>
      <c r="C685" s="9" t="s">
        <v>100</v>
      </c>
      <c r="D685" s="9" t="s">
        <v>103</v>
      </c>
      <c r="E685" s="10">
        <v>56</v>
      </c>
      <c r="F685" s="9" t="s">
        <v>107</v>
      </c>
      <c r="G685" s="10">
        <v>28</v>
      </c>
      <c r="H685" s="9" t="s">
        <v>245</v>
      </c>
      <c r="I685" s="9" t="s">
        <v>246</v>
      </c>
      <c r="J685" s="9"/>
      <c r="K685" s="9"/>
      <c r="L685" s="9"/>
      <c r="M685" s="12">
        <f t="shared" si="40"/>
        <v>200</v>
      </c>
      <c r="N685" s="13">
        <f t="shared" si="41"/>
        <v>271</v>
      </c>
      <c r="O685" s="14">
        <f t="shared" si="42"/>
        <v>471</v>
      </c>
      <c r="P685" s="15">
        <f t="shared" si="43"/>
        <v>0.56746987951807226</v>
      </c>
    </row>
    <row r="686" spans="1:16" ht="15.75" customHeight="1" x14ac:dyDescent="0.3">
      <c r="A686" s="32" t="s">
        <v>59</v>
      </c>
      <c r="B686" s="9" t="s">
        <v>369</v>
      </c>
      <c r="C686" s="9" t="s">
        <v>111</v>
      </c>
      <c r="D686" s="9" t="s">
        <v>103</v>
      </c>
      <c r="E686" s="10">
        <v>8</v>
      </c>
      <c r="F686" s="9" t="s">
        <v>107</v>
      </c>
      <c r="G686" s="11">
        <v>0</v>
      </c>
      <c r="H686" s="9" t="s">
        <v>245</v>
      </c>
      <c r="I686" s="9" t="s">
        <v>246</v>
      </c>
      <c r="J686" s="9"/>
      <c r="K686" s="9"/>
      <c r="L686" s="9"/>
      <c r="M686" s="12">
        <f t="shared" si="40"/>
        <v>200</v>
      </c>
      <c r="N686" s="13">
        <f t="shared" si="41"/>
        <v>271</v>
      </c>
      <c r="O686" s="14">
        <f t="shared" si="42"/>
        <v>471</v>
      </c>
      <c r="P686" s="15">
        <f t="shared" si="43"/>
        <v>0.56746987951807226</v>
      </c>
    </row>
    <row r="687" spans="1:16" ht="15.75" customHeight="1" x14ac:dyDescent="0.3">
      <c r="A687" s="32" t="s">
        <v>59</v>
      </c>
      <c r="B687" s="9" t="s">
        <v>369</v>
      </c>
      <c r="C687" s="9" t="s">
        <v>80</v>
      </c>
      <c r="D687" s="9" t="s">
        <v>103</v>
      </c>
      <c r="E687" s="10">
        <v>3</v>
      </c>
      <c r="F687" s="9" t="s">
        <v>107</v>
      </c>
      <c r="G687" s="11">
        <v>0</v>
      </c>
      <c r="H687" s="9" t="s">
        <v>245</v>
      </c>
      <c r="I687" s="9" t="s">
        <v>246</v>
      </c>
      <c r="J687" s="9"/>
      <c r="K687" s="9"/>
      <c r="L687" s="9"/>
      <c r="M687" s="12">
        <f t="shared" si="40"/>
        <v>200</v>
      </c>
      <c r="N687" s="13">
        <f t="shared" si="41"/>
        <v>271</v>
      </c>
      <c r="O687" s="14">
        <f t="shared" si="42"/>
        <v>471</v>
      </c>
      <c r="P687" s="15">
        <f t="shared" si="43"/>
        <v>0.56746987951807226</v>
      </c>
    </row>
    <row r="688" spans="1:16" ht="15.75" customHeight="1" x14ac:dyDescent="0.3">
      <c r="A688" s="32" t="s">
        <v>59</v>
      </c>
      <c r="B688" s="9" t="s">
        <v>370</v>
      </c>
      <c r="C688" s="9" t="s">
        <v>73</v>
      </c>
      <c r="D688" s="9" t="s">
        <v>199</v>
      </c>
      <c r="E688" s="10">
        <v>24</v>
      </c>
      <c r="F688" s="9" t="s">
        <v>195</v>
      </c>
      <c r="G688" s="10">
        <v>24</v>
      </c>
      <c r="H688" s="9" t="s">
        <v>222</v>
      </c>
      <c r="I688" s="9" t="s">
        <v>223</v>
      </c>
      <c r="J688" s="9" t="s">
        <v>4</v>
      </c>
      <c r="K688" s="9"/>
      <c r="L688" s="9"/>
      <c r="M688" s="12">
        <f t="shared" si="40"/>
        <v>41</v>
      </c>
      <c r="N688" s="13">
        <f t="shared" si="41"/>
        <v>124</v>
      </c>
      <c r="O688" s="14">
        <f t="shared" si="42"/>
        <v>165</v>
      </c>
      <c r="P688" s="15">
        <f t="shared" si="43"/>
        <v>0.19879518072289157</v>
      </c>
    </row>
    <row r="689" spans="1:16" ht="15.75" customHeight="1" x14ac:dyDescent="0.3">
      <c r="A689" s="32" t="s">
        <v>59</v>
      </c>
      <c r="B689" s="9" t="s">
        <v>370</v>
      </c>
      <c r="C689" s="9" t="s">
        <v>87</v>
      </c>
      <c r="D689" s="9" t="s">
        <v>199</v>
      </c>
      <c r="E689" s="10">
        <v>8</v>
      </c>
      <c r="F689" s="9" t="s">
        <v>195</v>
      </c>
      <c r="G689" s="11">
        <v>0</v>
      </c>
      <c r="H689" s="9" t="s">
        <v>222</v>
      </c>
      <c r="I689" s="9" t="s">
        <v>223</v>
      </c>
      <c r="J689" s="9" t="s">
        <v>4</v>
      </c>
      <c r="K689" s="9"/>
      <c r="L689" s="9"/>
      <c r="M689" s="12">
        <f t="shared" si="40"/>
        <v>41</v>
      </c>
      <c r="N689" s="13">
        <f t="shared" si="41"/>
        <v>124</v>
      </c>
      <c r="O689" s="14">
        <f t="shared" si="42"/>
        <v>165</v>
      </c>
      <c r="P689" s="15">
        <f t="shared" si="43"/>
        <v>0.19879518072289157</v>
      </c>
    </row>
    <row r="690" spans="1:16" ht="15.75" customHeight="1" x14ac:dyDescent="0.3">
      <c r="A690" s="32" t="s">
        <v>59</v>
      </c>
      <c r="B690" s="9" t="s">
        <v>370</v>
      </c>
      <c r="C690" s="9" t="s">
        <v>79</v>
      </c>
      <c r="D690" s="9" t="s">
        <v>199</v>
      </c>
      <c r="E690" s="10">
        <v>16</v>
      </c>
      <c r="F690" s="9" t="s">
        <v>195</v>
      </c>
      <c r="G690" s="10">
        <v>16</v>
      </c>
      <c r="H690" s="9" t="s">
        <v>222</v>
      </c>
      <c r="I690" s="9" t="s">
        <v>223</v>
      </c>
      <c r="J690" s="9" t="s">
        <v>4</v>
      </c>
      <c r="K690" s="9"/>
      <c r="L690" s="9"/>
      <c r="M690" s="12">
        <f t="shared" si="40"/>
        <v>41</v>
      </c>
      <c r="N690" s="13">
        <f t="shared" si="41"/>
        <v>124</v>
      </c>
      <c r="O690" s="14">
        <f t="shared" si="42"/>
        <v>165</v>
      </c>
      <c r="P690" s="15">
        <f t="shared" si="43"/>
        <v>0.19879518072289157</v>
      </c>
    </row>
    <row r="691" spans="1:16" ht="15.75" customHeight="1" x14ac:dyDescent="0.3">
      <c r="A691" s="32" t="s">
        <v>59</v>
      </c>
      <c r="B691" s="9" t="s">
        <v>370</v>
      </c>
      <c r="C691" s="9" t="s">
        <v>100</v>
      </c>
      <c r="D691" s="9" t="s">
        <v>199</v>
      </c>
      <c r="E691" s="10">
        <v>32</v>
      </c>
      <c r="F691" s="9" t="s">
        <v>195</v>
      </c>
      <c r="G691" s="10">
        <v>16</v>
      </c>
      <c r="H691" s="9" t="s">
        <v>222</v>
      </c>
      <c r="I691" s="9" t="s">
        <v>223</v>
      </c>
      <c r="J691" s="9" t="s">
        <v>4</v>
      </c>
      <c r="K691" s="9"/>
      <c r="L691" s="9"/>
      <c r="M691" s="12">
        <f t="shared" si="40"/>
        <v>41</v>
      </c>
      <c r="N691" s="13">
        <f t="shared" si="41"/>
        <v>124</v>
      </c>
      <c r="O691" s="14">
        <f t="shared" si="42"/>
        <v>165</v>
      </c>
      <c r="P691" s="15">
        <f t="shared" si="43"/>
        <v>0.19879518072289157</v>
      </c>
    </row>
    <row r="692" spans="1:16" ht="15.75" customHeight="1" x14ac:dyDescent="0.3">
      <c r="A692" s="32" t="s">
        <v>59</v>
      </c>
      <c r="B692" s="9" t="s">
        <v>370</v>
      </c>
      <c r="C692" s="9" t="s">
        <v>80</v>
      </c>
      <c r="D692" s="9" t="s">
        <v>199</v>
      </c>
      <c r="E692" s="10">
        <v>1</v>
      </c>
      <c r="F692" s="9" t="s">
        <v>195</v>
      </c>
      <c r="G692" s="11">
        <v>0</v>
      </c>
      <c r="H692" s="9" t="s">
        <v>222</v>
      </c>
      <c r="I692" s="9" t="s">
        <v>223</v>
      </c>
      <c r="J692" s="9" t="s">
        <v>4</v>
      </c>
      <c r="K692" s="9"/>
      <c r="L692" s="9"/>
      <c r="M692" s="12">
        <f t="shared" si="40"/>
        <v>41</v>
      </c>
      <c r="N692" s="13">
        <f t="shared" si="41"/>
        <v>124</v>
      </c>
      <c r="O692" s="14">
        <f t="shared" si="42"/>
        <v>165</v>
      </c>
      <c r="P692" s="15">
        <f t="shared" si="43"/>
        <v>0.19879518072289157</v>
      </c>
    </row>
    <row r="693" spans="1:16" ht="15.75" customHeight="1" x14ac:dyDescent="0.3">
      <c r="A693" s="32" t="s">
        <v>59</v>
      </c>
      <c r="B693" s="9" t="s">
        <v>371</v>
      </c>
      <c r="C693" s="9" t="s">
        <v>73</v>
      </c>
      <c r="D693" s="9" t="s">
        <v>139</v>
      </c>
      <c r="E693" s="10">
        <v>18</v>
      </c>
      <c r="F693" s="9" t="s">
        <v>238</v>
      </c>
      <c r="G693" s="10">
        <v>18</v>
      </c>
      <c r="H693" s="9" t="s">
        <v>115</v>
      </c>
      <c r="I693" s="9" t="s">
        <v>116</v>
      </c>
      <c r="J693" s="9" t="s">
        <v>4</v>
      </c>
      <c r="K693" s="9"/>
      <c r="L693" s="9"/>
      <c r="M693" s="12">
        <f t="shared" si="40"/>
        <v>353</v>
      </c>
      <c r="N693" s="13">
        <f t="shared" si="41"/>
        <v>367</v>
      </c>
      <c r="O693" s="14">
        <f t="shared" si="42"/>
        <v>720</v>
      </c>
      <c r="P693" s="15">
        <f t="shared" si="43"/>
        <v>0.86746987951807231</v>
      </c>
    </row>
    <row r="694" spans="1:16" ht="15.75" customHeight="1" x14ac:dyDescent="0.3">
      <c r="A694" s="32" t="s">
        <v>59</v>
      </c>
      <c r="B694" s="9" t="s">
        <v>371</v>
      </c>
      <c r="C694" s="9" t="s">
        <v>123</v>
      </c>
      <c r="D694" s="9" t="s">
        <v>139</v>
      </c>
      <c r="E694" s="10">
        <v>15</v>
      </c>
      <c r="F694" s="9" t="s">
        <v>238</v>
      </c>
      <c r="G694" s="11">
        <v>0</v>
      </c>
      <c r="H694" s="9" t="s">
        <v>115</v>
      </c>
      <c r="I694" s="9" t="s">
        <v>116</v>
      </c>
      <c r="J694" s="9" t="s">
        <v>4</v>
      </c>
      <c r="K694" s="9"/>
      <c r="L694" s="9"/>
      <c r="M694" s="12">
        <f t="shared" si="40"/>
        <v>353</v>
      </c>
      <c r="N694" s="13">
        <f t="shared" si="41"/>
        <v>367</v>
      </c>
      <c r="O694" s="14">
        <f t="shared" si="42"/>
        <v>720</v>
      </c>
      <c r="P694" s="15">
        <f t="shared" si="43"/>
        <v>0.86746987951807231</v>
      </c>
    </row>
    <row r="695" spans="1:16" ht="15.75" customHeight="1" x14ac:dyDescent="0.3">
      <c r="A695" s="32" t="s">
        <v>59</v>
      </c>
      <c r="B695" s="9" t="s">
        <v>371</v>
      </c>
      <c r="C695" s="9" t="s">
        <v>87</v>
      </c>
      <c r="D695" s="9" t="s">
        <v>139</v>
      </c>
      <c r="E695" s="10">
        <v>2</v>
      </c>
      <c r="F695" s="9" t="s">
        <v>238</v>
      </c>
      <c r="G695" s="11">
        <v>0</v>
      </c>
      <c r="H695" s="9" t="s">
        <v>115</v>
      </c>
      <c r="I695" s="9" t="s">
        <v>116</v>
      </c>
      <c r="J695" s="9" t="s">
        <v>4</v>
      </c>
      <c r="K695" s="9"/>
      <c r="L695" s="9"/>
      <c r="M695" s="12">
        <f t="shared" si="40"/>
        <v>353</v>
      </c>
      <c r="N695" s="13">
        <f t="shared" si="41"/>
        <v>367</v>
      </c>
      <c r="O695" s="14">
        <f t="shared" si="42"/>
        <v>720</v>
      </c>
      <c r="P695" s="15">
        <f t="shared" si="43"/>
        <v>0.86746987951807231</v>
      </c>
    </row>
    <row r="696" spans="1:16" ht="15.75" customHeight="1" x14ac:dyDescent="0.3">
      <c r="A696" s="32" t="s">
        <v>59</v>
      </c>
      <c r="B696" s="9" t="s">
        <v>371</v>
      </c>
      <c r="C696" s="9" t="s">
        <v>79</v>
      </c>
      <c r="D696" s="9" t="s">
        <v>139</v>
      </c>
      <c r="E696" s="10">
        <v>44</v>
      </c>
      <c r="F696" s="9" t="s">
        <v>238</v>
      </c>
      <c r="G696" s="10">
        <v>44</v>
      </c>
      <c r="H696" s="9" t="s">
        <v>115</v>
      </c>
      <c r="I696" s="9" t="s">
        <v>116</v>
      </c>
      <c r="J696" s="9" t="s">
        <v>4</v>
      </c>
      <c r="K696" s="9"/>
      <c r="L696" s="9"/>
      <c r="M696" s="12">
        <f t="shared" si="40"/>
        <v>353</v>
      </c>
      <c r="N696" s="13">
        <f t="shared" si="41"/>
        <v>367</v>
      </c>
      <c r="O696" s="14">
        <f t="shared" si="42"/>
        <v>720</v>
      </c>
      <c r="P696" s="15">
        <f t="shared" si="43"/>
        <v>0.86746987951807231</v>
      </c>
    </row>
    <row r="697" spans="1:16" ht="15.75" customHeight="1" x14ac:dyDescent="0.3">
      <c r="A697" s="32" t="s">
        <v>59</v>
      </c>
      <c r="B697" s="9" t="s">
        <v>371</v>
      </c>
      <c r="C697" s="9" t="s">
        <v>80</v>
      </c>
      <c r="D697" s="9" t="s">
        <v>139</v>
      </c>
      <c r="E697" s="10">
        <v>1</v>
      </c>
      <c r="F697" s="9" t="s">
        <v>238</v>
      </c>
      <c r="G697" s="11">
        <v>0</v>
      </c>
      <c r="H697" s="9" t="s">
        <v>115</v>
      </c>
      <c r="I697" s="9" t="s">
        <v>116</v>
      </c>
      <c r="J697" s="9" t="s">
        <v>4</v>
      </c>
      <c r="K697" s="9"/>
      <c r="L697" s="9"/>
      <c r="M697" s="12">
        <f t="shared" si="40"/>
        <v>353</v>
      </c>
      <c r="N697" s="13">
        <f t="shared" si="41"/>
        <v>367</v>
      </c>
      <c r="O697" s="14">
        <f t="shared" si="42"/>
        <v>720</v>
      </c>
      <c r="P697" s="15">
        <f t="shared" si="43"/>
        <v>0.86746987951807231</v>
      </c>
    </row>
    <row r="698" spans="1:16" ht="15.75" customHeight="1" x14ac:dyDescent="0.3">
      <c r="A698" s="32" t="s">
        <v>59</v>
      </c>
      <c r="B698" s="9" t="s">
        <v>143</v>
      </c>
      <c r="C698" s="9" t="s">
        <v>73</v>
      </c>
      <c r="D698" s="9" t="s">
        <v>141</v>
      </c>
      <c r="E698" s="10">
        <v>12</v>
      </c>
      <c r="F698" s="9" t="s">
        <v>145</v>
      </c>
      <c r="G698" s="10">
        <v>12</v>
      </c>
      <c r="H698" s="9" t="s">
        <v>108</v>
      </c>
      <c r="I698" s="9" t="s">
        <v>109</v>
      </c>
      <c r="J698" s="9"/>
      <c r="K698" s="9"/>
      <c r="L698" s="9"/>
      <c r="M698" s="12">
        <f t="shared" si="40"/>
        <v>284</v>
      </c>
      <c r="N698" s="13">
        <f t="shared" si="41"/>
        <v>193</v>
      </c>
      <c r="O698" s="14">
        <f t="shared" si="42"/>
        <v>477</v>
      </c>
      <c r="P698" s="15">
        <f t="shared" si="43"/>
        <v>0.57469879518072287</v>
      </c>
    </row>
    <row r="699" spans="1:16" ht="15.75" customHeight="1" x14ac:dyDescent="0.3">
      <c r="A699" s="32" t="s">
        <v>59</v>
      </c>
      <c r="B699" s="9" t="s">
        <v>143</v>
      </c>
      <c r="C699" s="9" t="s">
        <v>79</v>
      </c>
      <c r="D699" s="9" t="s">
        <v>141</v>
      </c>
      <c r="E699" s="10">
        <v>36</v>
      </c>
      <c r="F699" s="9" t="s">
        <v>145</v>
      </c>
      <c r="G699" s="10">
        <v>36</v>
      </c>
      <c r="H699" s="9" t="s">
        <v>108</v>
      </c>
      <c r="I699" s="9" t="s">
        <v>109</v>
      </c>
      <c r="J699" s="9"/>
      <c r="K699" s="9"/>
      <c r="L699" s="9"/>
      <c r="M699" s="12">
        <f t="shared" si="40"/>
        <v>284</v>
      </c>
      <c r="N699" s="13">
        <f t="shared" si="41"/>
        <v>193</v>
      </c>
      <c r="O699" s="14">
        <f t="shared" si="42"/>
        <v>477</v>
      </c>
      <c r="P699" s="15">
        <f t="shared" si="43"/>
        <v>0.57469879518072287</v>
      </c>
    </row>
    <row r="700" spans="1:16" ht="15.75" customHeight="1" x14ac:dyDescent="0.3">
      <c r="A700" s="32" t="s">
        <v>59</v>
      </c>
      <c r="B700" s="9" t="s">
        <v>143</v>
      </c>
      <c r="C700" s="9" t="s">
        <v>111</v>
      </c>
      <c r="D700" s="9" t="s">
        <v>141</v>
      </c>
      <c r="E700" s="10">
        <v>3</v>
      </c>
      <c r="F700" s="9" t="s">
        <v>145</v>
      </c>
      <c r="G700" s="11">
        <v>0</v>
      </c>
      <c r="H700" s="9" t="s">
        <v>108</v>
      </c>
      <c r="I700" s="9" t="s">
        <v>109</v>
      </c>
      <c r="J700" s="9"/>
      <c r="K700" s="9"/>
      <c r="L700" s="9"/>
      <c r="M700" s="12">
        <f t="shared" si="40"/>
        <v>284</v>
      </c>
      <c r="N700" s="13">
        <f t="shared" si="41"/>
        <v>193</v>
      </c>
      <c r="O700" s="14">
        <f t="shared" si="42"/>
        <v>477</v>
      </c>
      <c r="P700" s="15">
        <f t="shared" si="43"/>
        <v>0.57469879518072287</v>
      </c>
    </row>
    <row r="701" spans="1:16" ht="15.75" customHeight="1" x14ac:dyDescent="0.3">
      <c r="A701" s="32" t="s">
        <v>59</v>
      </c>
      <c r="B701" s="9" t="s">
        <v>143</v>
      </c>
      <c r="C701" s="9" t="s">
        <v>80</v>
      </c>
      <c r="D701" s="9" t="s">
        <v>141</v>
      </c>
      <c r="E701" s="10">
        <v>3</v>
      </c>
      <c r="F701" s="9" t="s">
        <v>145</v>
      </c>
      <c r="G701" s="11">
        <v>0</v>
      </c>
      <c r="H701" s="9" t="s">
        <v>108</v>
      </c>
      <c r="I701" s="9" t="s">
        <v>109</v>
      </c>
      <c r="J701" s="9"/>
      <c r="K701" s="9"/>
      <c r="L701" s="9"/>
      <c r="M701" s="12">
        <f t="shared" si="40"/>
        <v>284</v>
      </c>
      <c r="N701" s="13">
        <f t="shared" si="41"/>
        <v>193</v>
      </c>
      <c r="O701" s="14">
        <f t="shared" si="42"/>
        <v>477</v>
      </c>
      <c r="P701" s="15">
        <f t="shared" si="43"/>
        <v>0.57469879518072287</v>
      </c>
    </row>
    <row r="702" spans="1:16" ht="15.75" customHeight="1" x14ac:dyDescent="0.3">
      <c r="A702" s="32" t="s">
        <v>59</v>
      </c>
      <c r="B702" s="9" t="s">
        <v>149</v>
      </c>
      <c r="C702" s="9" t="s">
        <v>73</v>
      </c>
      <c r="D702" s="9" t="s">
        <v>141</v>
      </c>
      <c r="E702" s="10">
        <v>8</v>
      </c>
      <c r="F702" s="9" t="s">
        <v>145</v>
      </c>
      <c r="G702" s="10">
        <v>8</v>
      </c>
      <c r="H702" s="9" t="s">
        <v>291</v>
      </c>
      <c r="I702" s="9" t="s">
        <v>292</v>
      </c>
      <c r="J702" s="9"/>
      <c r="K702" s="9"/>
      <c r="L702" s="9"/>
      <c r="M702" s="12">
        <f t="shared" si="40"/>
        <v>44</v>
      </c>
      <c r="N702" s="13">
        <f t="shared" si="41"/>
        <v>61</v>
      </c>
      <c r="O702" s="14">
        <f t="shared" si="42"/>
        <v>105</v>
      </c>
      <c r="P702" s="15">
        <f t="shared" si="43"/>
        <v>0.12650602409638553</v>
      </c>
    </row>
    <row r="703" spans="1:16" ht="15.75" customHeight="1" x14ac:dyDescent="0.3">
      <c r="A703" s="32" t="s">
        <v>59</v>
      </c>
      <c r="B703" s="9" t="s">
        <v>149</v>
      </c>
      <c r="C703" s="9" t="s">
        <v>79</v>
      </c>
      <c r="D703" s="9" t="s">
        <v>141</v>
      </c>
      <c r="E703" s="10">
        <v>28</v>
      </c>
      <c r="F703" s="9" t="s">
        <v>145</v>
      </c>
      <c r="G703" s="10">
        <v>28</v>
      </c>
      <c r="H703" s="9" t="s">
        <v>291</v>
      </c>
      <c r="I703" s="9" t="s">
        <v>292</v>
      </c>
      <c r="J703" s="9"/>
      <c r="K703" s="9"/>
      <c r="L703" s="9"/>
      <c r="M703" s="12">
        <f t="shared" si="40"/>
        <v>44</v>
      </c>
      <c r="N703" s="13">
        <f t="shared" si="41"/>
        <v>61</v>
      </c>
      <c r="O703" s="14">
        <f t="shared" si="42"/>
        <v>105</v>
      </c>
      <c r="P703" s="15">
        <f t="shared" si="43"/>
        <v>0.12650602409638553</v>
      </c>
    </row>
    <row r="704" spans="1:16" ht="15.75" customHeight="1" x14ac:dyDescent="0.3">
      <c r="A704" s="32" t="s">
        <v>59</v>
      </c>
      <c r="B704" s="9" t="s">
        <v>149</v>
      </c>
      <c r="C704" s="9" t="s">
        <v>111</v>
      </c>
      <c r="D704" s="9" t="s">
        <v>141</v>
      </c>
      <c r="E704" s="10">
        <v>3</v>
      </c>
      <c r="F704" s="9" t="s">
        <v>145</v>
      </c>
      <c r="G704" s="11">
        <v>0</v>
      </c>
      <c r="H704" s="9" t="s">
        <v>291</v>
      </c>
      <c r="I704" s="9" t="s">
        <v>292</v>
      </c>
      <c r="J704" s="9"/>
      <c r="K704" s="9"/>
      <c r="L704" s="9"/>
      <c r="M704" s="12">
        <f t="shared" si="40"/>
        <v>44</v>
      </c>
      <c r="N704" s="13">
        <f t="shared" si="41"/>
        <v>61</v>
      </c>
      <c r="O704" s="14">
        <f t="shared" si="42"/>
        <v>105</v>
      </c>
      <c r="P704" s="15">
        <f t="shared" si="43"/>
        <v>0.12650602409638553</v>
      </c>
    </row>
    <row r="705" spans="1:16" ht="15.75" customHeight="1" x14ac:dyDescent="0.3">
      <c r="A705" s="32" t="s">
        <v>59</v>
      </c>
      <c r="B705" s="9" t="s">
        <v>149</v>
      </c>
      <c r="C705" s="9" t="s">
        <v>80</v>
      </c>
      <c r="D705" s="9" t="s">
        <v>141</v>
      </c>
      <c r="E705" s="10">
        <v>2</v>
      </c>
      <c r="F705" s="9" t="s">
        <v>145</v>
      </c>
      <c r="G705" s="11">
        <v>0</v>
      </c>
      <c r="H705" s="9" t="s">
        <v>291</v>
      </c>
      <c r="I705" s="9" t="s">
        <v>292</v>
      </c>
      <c r="J705" s="9"/>
      <c r="K705" s="9"/>
      <c r="L705" s="9"/>
      <c r="M705" s="12">
        <f t="shared" si="40"/>
        <v>44</v>
      </c>
      <c r="N705" s="13">
        <f t="shared" si="41"/>
        <v>61</v>
      </c>
      <c r="O705" s="14">
        <f t="shared" si="42"/>
        <v>105</v>
      </c>
      <c r="P705" s="15">
        <f t="shared" si="43"/>
        <v>0.12650602409638553</v>
      </c>
    </row>
    <row r="706" spans="1:16" ht="15.75" customHeight="1" x14ac:dyDescent="0.3">
      <c r="A706" s="32" t="s">
        <v>59</v>
      </c>
      <c r="B706" s="9" t="s">
        <v>150</v>
      </c>
      <c r="C706" s="9" t="s">
        <v>73</v>
      </c>
      <c r="D706" s="9" t="s">
        <v>141</v>
      </c>
      <c r="E706" s="10">
        <v>8</v>
      </c>
      <c r="F706" s="9" t="s">
        <v>145</v>
      </c>
      <c r="G706" s="10">
        <v>8</v>
      </c>
      <c r="H706" s="9" t="s">
        <v>76</v>
      </c>
      <c r="I706" s="9" t="s">
        <v>77</v>
      </c>
      <c r="J706" s="9"/>
      <c r="K706" s="9"/>
      <c r="L706" s="9"/>
      <c r="M706" s="12">
        <f t="shared" ref="M706:M769" si="44">SUMIFS($E$2:$E$1130,$A$2:$A$1130,"осень",$I$2:$I$1130,I706)</f>
        <v>249</v>
      </c>
      <c r="N706" s="13">
        <f t="shared" ref="N706:N769" si="45">SUMIFS($E$2:$E$1130,$A$2:$A$1130,"весна",$I$2:$I$1130,I706)</f>
        <v>294</v>
      </c>
      <c r="O706" s="14">
        <f t="shared" ref="O706:O769" si="46">M706+N706</f>
        <v>543</v>
      </c>
      <c r="P706" s="15">
        <f t="shared" ref="P706:P769" si="47">O706/$P$1</f>
        <v>0.6542168674698795</v>
      </c>
    </row>
    <row r="707" spans="1:16" ht="15.75" customHeight="1" x14ac:dyDescent="0.3">
      <c r="A707" s="32" t="s">
        <v>59</v>
      </c>
      <c r="B707" s="9" t="s">
        <v>150</v>
      </c>
      <c r="C707" s="9" t="s">
        <v>123</v>
      </c>
      <c r="D707" s="9" t="s">
        <v>141</v>
      </c>
      <c r="E707" s="10">
        <v>18</v>
      </c>
      <c r="F707" s="9" t="s">
        <v>145</v>
      </c>
      <c r="G707" s="11">
        <v>0</v>
      </c>
      <c r="H707" s="9" t="s">
        <v>76</v>
      </c>
      <c r="I707" s="9" t="s">
        <v>77</v>
      </c>
      <c r="J707" s="9"/>
      <c r="K707" s="9"/>
      <c r="L707" s="9"/>
      <c r="M707" s="12">
        <f t="shared" si="44"/>
        <v>249</v>
      </c>
      <c r="N707" s="13">
        <f t="shared" si="45"/>
        <v>294</v>
      </c>
      <c r="O707" s="14">
        <f t="shared" si="46"/>
        <v>543</v>
      </c>
      <c r="P707" s="15">
        <f t="shared" si="47"/>
        <v>0.6542168674698795</v>
      </c>
    </row>
    <row r="708" spans="1:16" ht="15.75" customHeight="1" x14ac:dyDescent="0.3">
      <c r="A708" s="32" t="s">
        <v>59</v>
      </c>
      <c r="B708" s="9" t="s">
        <v>150</v>
      </c>
      <c r="C708" s="9" t="s">
        <v>87</v>
      </c>
      <c r="D708" s="9" t="s">
        <v>141</v>
      </c>
      <c r="E708" s="10">
        <v>2</v>
      </c>
      <c r="F708" s="9" t="s">
        <v>145</v>
      </c>
      <c r="G708" s="11">
        <v>0</v>
      </c>
      <c r="H708" s="9" t="s">
        <v>76</v>
      </c>
      <c r="I708" s="9" t="s">
        <v>77</v>
      </c>
      <c r="J708" s="9"/>
      <c r="K708" s="9"/>
      <c r="L708" s="9"/>
      <c r="M708" s="12">
        <f t="shared" si="44"/>
        <v>249</v>
      </c>
      <c r="N708" s="13">
        <f t="shared" si="45"/>
        <v>294</v>
      </c>
      <c r="O708" s="14">
        <f t="shared" si="46"/>
        <v>543</v>
      </c>
      <c r="P708" s="15">
        <f t="shared" si="47"/>
        <v>0.6542168674698795</v>
      </c>
    </row>
    <row r="709" spans="1:16" ht="15.75" customHeight="1" x14ac:dyDescent="0.3">
      <c r="A709" s="32" t="s">
        <v>59</v>
      </c>
      <c r="B709" s="9" t="s">
        <v>150</v>
      </c>
      <c r="C709" s="9" t="s">
        <v>79</v>
      </c>
      <c r="D709" s="9" t="s">
        <v>141</v>
      </c>
      <c r="E709" s="10">
        <v>28</v>
      </c>
      <c r="F709" s="9" t="s">
        <v>145</v>
      </c>
      <c r="G709" s="10">
        <v>28</v>
      </c>
      <c r="H709" s="9" t="s">
        <v>76</v>
      </c>
      <c r="I709" s="9" t="s">
        <v>77</v>
      </c>
      <c r="J709" s="9"/>
      <c r="K709" s="9"/>
      <c r="L709" s="9"/>
      <c r="M709" s="12">
        <f t="shared" si="44"/>
        <v>249</v>
      </c>
      <c r="N709" s="13">
        <f t="shared" si="45"/>
        <v>294</v>
      </c>
      <c r="O709" s="14">
        <f t="shared" si="46"/>
        <v>543</v>
      </c>
      <c r="P709" s="15">
        <f t="shared" si="47"/>
        <v>0.6542168674698795</v>
      </c>
    </row>
    <row r="710" spans="1:16" ht="15.75" customHeight="1" x14ac:dyDescent="0.3">
      <c r="A710" s="32" t="s">
        <v>59</v>
      </c>
      <c r="B710" s="9" t="s">
        <v>157</v>
      </c>
      <c r="C710" s="9" t="s">
        <v>73</v>
      </c>
      <c r="D710" s="9" t="s">
        <v>140</v>
      </c>
      <c r="E710" s="10">
        <v>12</v>
      </c>
      <c r="F710" s="9" t="s">
        <v>153</v>
      </c>
      <c r="G710" s="10">
        <v>12</v>
      </c>
      <c r="H710" s="9" t="s">
        <v>154</v>
      </c>
      <c r="I710" s="9" t="s">
        <v>155</v>
      </c>
      <c r="J710" s="9"/>
      <c r="K710" s="9"/>
      <c r="L710" s="9"/>
      <c r="M710" s="12">
        <f t="shared" si="44"/>
        <v>370</v>
      </c>
      <c r="N710" s="13">
        <f t="shared" si="45"/>
        <v>124.5</v>
      </c>
      <c r="O710" s="14">
        <f t="shared" si="46"/>
        <v>494.5</v>
      </c>
      <c r="P710" s="15">
        <f t="shared" si="47"/>
        <v>0.5957831325301205</v>
      </c>
    </row>
    <row r="711" spans="1:16" ht="15.75" customHeight="1" x14ac:dyDescent="0.3">
      <c r="A711" s="32" t="s">
        <v>59</v>
      </c>
      <c r="B711" s="9" t="s">
        <v>157</v>
      </c>
      <c r="C711" s="9" t="s">
        <v>87</v>
      </c>
      <c r="D711" s="9" t="s">
        <v>140</v>
      </c>
      <c r="E711" s="10">
        <v>2</v>
      </c>
      <c r="F711" s="9" t="s">
        <v>153</v>
      </c>
      <c r="G711" s="11">
        <v>0</v>
      </c>
      <c r="H711" s="9" t="s">
        <v>154</v>
      </c>
      <c r="I711" s="9" t="s">
        <v>155</v>
      </c>
      <c r="J711" s="9"/>
      <c r="K711" s="9"/>
      <c r="L711" s="9"/>
      <c r="M711" s="12">
        <f t="shared" si="44"/>
        <v>370</v>
      </c>
      <c r="N711" s="13">
        <f t="shared" si="45"/>
        <v>124.5</v>
      </c>
      <c r="O711" s="14">
        <f t="shared" si="46"/>
        <v>494.5</v>
      </c>
      <c r="P711" s="15">
        <f t="shared" si="47"/>
        <v>0.5957831325301205</v>
      </c>
    </row>
    <row r="712" spans="1:16" ht="15.75" customHeight="1" x14ac:dyDescent="0.3">
      <c r="A712" s="32" t="s">
        <v>59</v>
      </c>
      <c r="B712" s="9" t="s">
        <v>157</v>
      </c>
      <c r="C712" s="9" t="s">
        <v>79</v>
      </c>
      <c r="D712" s="9" t="s">
        <v>140</v>
      </c>
      <c r="E712" s="10">
        <v>24</v>
      </c>
      <c r="F712" s="9" t="s">
        <v>153</v>
      </c>
      <c r="G712" s="10">
        <v>24</v>
      </c>
      <c r="H712" s="9" t="s">
        <v>154</v>
      </c>
      <c r="I712" s="9" t="s">
        <v>155</v>
      </c>
      <c r="J712" s="9"/>
      <c r="K712" s="9"/>
      <c r="L712" s="9"/>
      <c r="M712" s="12">
        <f t="shared" si="44"/>
        <v>370</v>
      </c>
      <c r="N712" s="13">
        <f t="shared" si="45"/>
        <v>124.5</v>
      </c>
      <c r="O712" s="14">
        <f t="shared" si="46"/>
        <v>494.5</v>
      </c>
      <c r="P712" s="15">
        <f t="shared" si="47"/>
        <v>0.5957831325301205</v>
      </c>
    </row>
    <row r="713" spans="1:16" ht="15.75" customHeight="1" x14ac:dyDescent="0.3">
      <c r="A713" s="32" t="s">
        <v>59</v>
      </c>
      <c r="B713" s="9" t="s">
        <v>157</v>
      </c>
      <c r="C713" s="9" t="s">
        <v>80</v>
      </c>
      <c r="D713" s="9" t="s">
        <v>140</v>
      </c>
      <c r="E713" s="10">
        <v>1</v>
      </c>
      <c r="F713" s="9" t="s">
        <v>153</v>
      </c>
      <c r="G713" s="11">
        <v>0</v>
      </c>
      <c r="H713" s="9" t="s">
        <v>154</v>
      </c>
      <c r="I713" s="9" t="s">
        <v>155</v>
      </c>
      <c r="J713" s="9"/>
      <c r="K713" s="9"/>
      <c r="L713" s="9"/>
      <c r="M713" s="12">
        <f t="shared" si="44"/>
        <v>370</v>
      </c>
      <c r="N713" s="13">
        <f t="shared" si="45"/>
        <v>124.5</v>
      </c>
      <c r="O713" s="14">
        <f t="shared" si="46"/>
        <v>494.5</v>
      </c>
      <c r="P713" s="15">
        <f t="shared" si="47"/>
        <v>0.5957831325301205</v>
      </c>
    </row>
    <row r="714" spans="1:16" ht="15.75" customHeight="1" x14ac:dyDescent="0.3">
      <c r="A714" s="32" t="s">
        <v>59</v>
      </c>
      <c r="B714" s="9" t="s">
        <v>372</v>
      </c>
      <c r="C714" s="9" t="s">
        <v>73</v>
      </c>
      <c r="D714" s="9" t="s">
        <v>82</v>
      </c>
      <c r="E714" s="10">
        <v>24</v>
      </c>
      <c r="F714" s="9" t="s">
        <v>83</v>
      </c>
      <c r="G714" s="10">
        <v>24</v>
      </c>
      <c r="H714" s="9" t="s">
        <v>328</v>
      </c>
      <c r="I714" s="9" t="s">
        <v>329</v>
      </c>
      <c r="J714" s="9"/>
      <c r="K714" s="9"/>
      <c r="L714" s="9"/>
      <c r="M714" s="12">
        <f t="shared" si="44"/>
        <v>39</v>
      </c>
      <c r="N714" s="13">
        <f t="shared" si="45"/>
        <v>194</v>
      </c>
      <c r="O714" s="14">
        <f t="shared" si="46"/>
        <v>233</v>
      </c>
      <c r="P714" s="15">
        <f t="shared" si="47"/>
        <v>0.28072289156626506</v>
      </c>
    </row>
    <row r="715" spans="1:16" ht="15.75" customHeight="1" x14ac:dyDescent="0.3">
      <c r="A715" s="32" t="s">
        <v>59</v>
      </c>
      <c r="B715" s="9" t="s">
        <v>372</v>
      </c>
      <c r="C715" s="9" t="s">
        <v>73</v>
      </c>
      <c r="D715" s="9" t="s">
        <v>294</v>
      </c>
      <c r="E715" s="10">
        <v>24</v>
      </c>
      <c r="F715" s="9" t="s">
        <v>161</v>
      </c>
      <c r="G715" s="10">
        <v>24</v>
      </c>
      <c r="H715" s="9" t="s">
        <v>328</v>
      </c>
      <c r="I715" s="9" t="s">
        <v>329</v>
      </c>
      <c r="J715" s="9"/>
      <c r="K715" s="9"/>
      <c r="L715" s="9"/>
      <c r="M715" s="12">
        <f t="shared" si="44"/>
        <v>39</v>
      </c>
      <c r="N715" s="13">
        <f t="shared" si="45"/>
        <v>194</v>
      </c>
      <c r="O715" s="14">
        <f t="shared" si="46"/>
        <v>233</v>
      </c>
      <c r="P715" s="15">
        <f t="shared" si="47"/>
        <v>0.28072289156626506</v>
      </c>
    </row>
    <row r="716" spans="1:16" ht="15.75" customHeight="1" x14ac:dyDescent="0.3">
      <c r="A716" s="32" t="s">
        <v>59</v>
      </c>
      <c r="B716" s="9" t="s">
        <v>372</v>
      </c>
      <c r="C716" s="9" t="s">
        <v>87</v>
      </c>
      <c r="D716" s="9" t="s">
        <v>295</v>
      </c>
      <c r="E716" s="10">
        <v>6</v>
      </c>
      <c r="F716" s="9" t="s">
        <v>161</v>
      </c>
      <c r="G716" s="11">
        <v>0</v>
      </c>
      <c r="H716" s="9" t="s">
        <v>328</v>
      </c>
      <c r="I716" s="9" t="s">
        <v>329</v>
      </c>
      <c r="J716" s="9"/>
      <c r="K716" s="9"/>
      <c r="L716" s="9"/>
      <c r="M716" s="12">
        <f t="shared" si="44"/>
        <v>39</v>
      </c>
      <c r="N716" s="13">
        <f t="shared" si="45"/>
        <v>194</v>
      </c>
      <c r="O716" s="14">
        <f t="shared" si="46"/>
        <v>233</v>
      </c>
      <c r="P716" s="15">
        <f t="shared" si="47"/>
        <v>0.28072289156626506</v>
      </c>
    </row>
    <row r="717" spans="1:16" ht="15.75" customHeight="1" x14ac:dyDescent="0.3">
      <c r="A717" s="32" t="s">
        <v>59</v>
      </c>
      <c r="B717" s="9" t="s">
        <v>372</v>
      </c>
      <c r="C717" s="9" t="s">
        <v>87</v>
      </c>
      <c r="D717" s="9" t="s">
        <v>296</v>
      </c>
      <c r="E717" s="10">
        <v>8</v>
      </c>
      <c r="F717" s="9" t="s">
        <v>161</v>
      </c>
      <c r="G717" s="11">
        <v>0</v>
      </c>
      <c r="H717" s="9" t="s">
        <v>328</v>
      </c>
      <c r="I717" s="9" t="s">
        <v>329</v>
      </c>
      <c r="J717" s="9"/>
      <c r="K717" s="9"/>
      <c r="L717" s="9"/>
      <c r="M717" s="12">
        <f t="shared" si="44"/>
        <v>39</v>
      </c>
      <c r="N717" s="13">
        <f t="shared" si="45"/>
        <v>194</v>
      </c>
      <c r="O717" s="14">
        <f t="shared" si="46"/>
        <v>233</v>
      </c>
      <c r="P717" s="15">
        <f t="shared" si="47"/>
        <v>0.28072289156626506</v>
      </c>
    </row>
    <row r="718" spans="1:16" ht="15.75" customHeight="1" x14ac:dyDescent="0.3">
      <c r="A718" s="32" t="s">
        <v>59</v>
      </c>
      <c r="B718" s="9" t="s">
        <v>372</v>
      </c>
      <c r="C718" s="9" t="s">
        <v>79</v>
      </c>
      <c r="D718" s="9" t="s">
        <v>88</v>
      </c>
      <c r="E718" s="10">
        <v>26</v>
      </c>
      <c r="F718" s="9" t="s">
        <v>83</v>
      </c>
      <c r="G718" s="10">
        <v>26</v>
      </c>
      <c r="H718" s="9" t="s">
        <v>328</v>
      </c>
      <c r="I718" s="9" t="s">
        <v>329</v>
      </c>
      <c r="J718" s="9"/>
      <c r="K718" s="9"/>
      <c r="L718" s="9"/>
      <c r="M718" s="12">
        <f t="shared" si="44"/>
        <v>39</v>
      </c>
      <c r="N718" s="13">
        <f t="shared" si="45"/>
        <v>194</v>
      </c>
      <c r="O718" s="14">
        <f t="shared" si="46"/>
        <v>233</v>
      </c>
      <c r="P718" s="15">
        <f t="shared" si="47"/>
        <v>0.28072289156626506</v>
      </c>
    </row>
    <row r="719" spans="1:16" ht="15.75" customHeight="1" x14ac:dyDescent="0.3">
      <c r="A719" s="32" t="s">
        <v>59</v>
      </c>
      <c r="B719" s="9" t="s">
        <v>372</v>
      </c>
      <c r="C719" s="9" t="s">
        <v>79</v>
      </c>
      <c r="D719" s="9" t="s">
        <v>90</v>
      </c>
      <c r="E719" s="10">
        <v>26</v>
      </c>
      <c r="F719" s="9" t="s">
        <v>83</v>
      </c>
      <c r="G719" s="10">
        <v>26</v>
      </c>
      <c r="H719" s="9" t="s">
        <v>328</v>
      </c>
      <c r="I719" s="9" t="s">
        <v>329</v>
      </c>
      <c r="J719" s="9"/>
      <c r="K719" s="9"/>
      <c r="L719" s="9"/>
      <c r="M719" s="12">
        <f t="shared" si="44"/>
        <v>39</v>
      </c>
      <c r="N719" s="13">
        <f t="shared" si="45"/>
        <v>194</v>
      </c>
      <c r="O719" s="14">
        <f t="shared" si="46"/>
        <v>233</v>
      </c>
      <c r="P719" s="15">
        <f t="shared" si="47"/>
        <v>0.28072289156626506</v>
      </c>
    </row>
    <row r="720" spans="1:16" ht="15.75" customHeight="1" x14ac:dyDescent="0.3">
      <c r="A720" s="32" t="s">
        <v>59</v>
      </c>
      <c r="B720" s="9" t="s">
        <v>372</v>
      </c>
      <c r="C720" s="9" t="s">
        <v>79</v>
      </c>
      <c r="D720" s="9" t="s">
        <v>295</v>
      </c>
      <c r="E720" s="10">
        <v>26</v>
      </c>
      <c r="F720" s="9" t="s">
        <v>161</v>
      </c>
      <c r="G720" s="10">
        <v>26</v>
      </c>
      <c r="H720" s="9" t="s">
        <v>328</v>
      </c>
      <c r="I720" s="9" t="s">
        <v>329</v>
      </c>
      <c r="J720" s="9"/>
      <c r="K720" s="9"/>
      <c r="L720" s="9"/>
      <c r="M720" s="12">
        <f t="shared" si="44"/>
        <v>39</v>
      </c>
      <c r="N720" s="13">
        <f t="shared" si="45"/>
        <v>194</v>
      </c>
      <c r="O720" s="14">
        <f t="shared" si="46"/>
        <v>233</v>
      </c>
      <c r="P720" s="15">
        <f t="shared" si="47"/>
        <v>0.28072289156626506</v>
      </c>
    </row>
    <row r="721" spans="1:16" ht="15.75" customHeight="1" x14ac:dyDescent="0.3">
      <c r="A721" s="32" t="s">
        <v>59</v>
      </c>
      <c r="B721" s="9" t="s">
        <v>372</v>
      </c>
      <c r="C721" s="9" t="s">
        <v>79</v>
      </c>
      <c r="D721" s="9" t="s">
        <v>296</v>
      </c>
      <c r="E721" s="10">
        <v>26</v>
      </c>
      <c r="F721" s="9" t="s">
        <v>161</v>
      </c>
      <c r="G721" s="10">
        <v>26</v>
      </c>
      <c r="H721" s="9" t="s">
        <v>328</v>
      </c>
      <c r="I721" s="9" t="s">
        <v>329</v>
      </c>
      <c r="J721" s="9"/>
      <c r="K721" s="9"/>
      <c r="L721" s="9"/>
      <c r="M721" s="12">
        <f t="shared" si="44"/>
        <v>39</v>
      </c>
      <c r="N721" s="13">
        <f t="shared" si="45"/>
        <v>194</v>
      </c>
      <c r="O721" s="14">
        <f t="shared" si="46"/>
        <v>233</v>
      </c>
      <c r="P721" s="15">
        <f t="shared" si="47"/>
        <v>0.28072289156626506</v>
      </c>
    </row>
    <row r="722" spans="1:16" ht="15.75" customHeight="1" x14ac:dyDescent="0.3">
      <c r="A722" s="32" t="s">
        <v>59</v>
      </c>
      <c r="B722" s="9" t="s">
        <v>372</v>
      </c>
      <c r="C722" s="9" t="s">
        <v>111</v>
      </c>
      <c r="D722" s="9" t="s">
        <v>88</v>
      </c>
      <c r="E722" s="10">
        <v>10</v>
      </c>
      <c r="F722" s="9" t="s">
        <v>83</v>
      </c>
      <c r="G722" s="11">
        <v>0</v>
      </c>
      <c r="H722" s="9" t="s">
        <v>328</v>
      </c>
      <c r="I722" s="9" t="s">
        <v>329</v>
      </c>
      <c r="J722" s="9"/>
      <c r="K722" s="9"/>
      <c r="L722" s="9"/>
      <c r="M722" s="12">
        <f t="shared" si="44"/>
        <v>39</v>
      </c>
      <c r="N722" s="13">
        <f t="shared" si="45"/>
        <v>194</v>
      </c>
      <c r="O722" s="14">
        <f t="shared" si="46"/>
        <v>233</v>
      </c>
      <c r="P722" s="15">
        <f t="shared" si="47"/>
        <v>0.28072289156626506</v>
      </c>
    </row>
    <row r="723" spans="1:16" ht="15.75" customHeight="1" x14ac:dyDescent="0.3">
      <c r="A723" s="32" t="s">
        <v>59</v>
      </c>
      <c r="B723" s="9" t="s">
        <v>372</v>
      </c>
      <c r="C723" s="9" t="s">
        <v>111</v>
      </c>
      <c r="D723" s="9" t="s">
        <v>90</v>
      </c>
      <c r="E723" s="10">
        <v>10</v>
      </c>
      <c r="F723" s="9" t="s">
        <v>83</v>
      </c>
      <c r="G723" s="11">
        <v>0</v>
      </c>
      <c r="H723" s="9" t="s">
        <v>328</v>
      </c>
      <c r="I723" s="9" t="s">
        <v>329</v>
      </c>
      <c r="J723" s="9"/>
      <c r="K723" s="9"/>
      <c r="L723" s="9"/>
      <c r="M723" s="12">
        <f t="shared" si="44"/>
        <v>39</v>
      </c>
      <c r="N723" s="13">
        <f t="shared" si="45"/>
        <v>194</v>
      </c>
      <c r="O723" s="14">
        <f t="shared" si="46"/>
        <v>233</v>
      </c>
      <c r="P723" s="15">
        <f t="shared" si="47"/>
        <v>0.28072289156626506</v>
      </c>
    </row>
    <row r="724" spans="1:16" ht="15.75" customHeight="1" x14ac:dyDescent="0.3">
      <c r="A724" s="32" t="s">
        <v>59</v>
      </c>
      <c r="B724" s="9" t="s">
        <v>372</v>
      </c>
      <c r="C724" s="9" t="s">
        <v>80</v>
      </c>
      <c r="D724" s="9" t="s">
        <v>88</v>
      </c>
      <c r="E724" s="10">
        <v>3</v>
      </c>
      <c r="F724" s="9" t="s">
        <v>83</v>
      </c>
      <c r="G724" s="11">
        <v>0</v>
      </c>
      <c r="H724" s="9" t="s">
        <v>328</v>
      </c>
      <c r="I724" s="9" t="s">
        <v>329</v>
      </c>
      <c r="J724" s="9"/>
      <c r="K724" s="9"/>
      <c r="L724" s="9"/>
      <c r="M724" s="12">
        <f t="shared" si="44"/>
        <v>39</v>
      </c>
      <c r="N724" s="13">
        <f t="shared" si="45"/>
        <v>194</v>
      </c>
      <c r="O724" s="14">
        <f t="shared" si="46"/>
        <v>233</v>
      </c>
      <c r="P724" s="15">
        <f t="shared" si="47"/>
        <v>0.28072289156626506</v>
      </c>
    </row>
    <row r="725" spans="1:16" ht="15.75" customHeight="1" x14ac:dyDescent="0.3">
      <c r="A725" s="32" t="s">
        <v>59</v>
      </c>
      <c r="B725" s="9" t="s">
        <v>372</v>
      </c>
      <c r="C725" s="9" t="s">
        <v>80</v>
      </c>
      <c r="D725" s="9" t="s">
        <v>90</v>
      </c>
      <c r="E725" s="10">
        <v>3</v>
      </c>
      <c r="F725" s="9" t="s">
        <v>83</v>
      </c>
      <c r="G725" s="11">
        <v>0</v>
      </c>
      <c r="H725" s="9" t="s">
        <v>328</v>
      </c>
      <c r="I725" s="9" t="s">
        <v>329</v>
      </c>
      <c r="J725" s="9"/>
      <c r="K725" s="9"/>
      <c r="L725" s="9"/>
      <c r="M725" s="12">
        <f t="shared" si="44"/>
        <v>39</v>
      </c>
      <c r="N725" s="13">
        <f t="shared" si="45"/>
        <v>194</v>
      </c>
      <c r="O725" s="14">
        <f t="shared" si="46"/>
        <v>233</v>
      </c>
      <c r="P725" s="15">
        <f t="shared" si="47"/>
        <v>0.28072289156626506</v>
      </c>
    </row>
    <row r="726" spans="1:16" ht="15.75" customHeight="1" x14ac:dyDescent="0.3">
      <c r="A726" s="32" t="s">
        <v>59</v>
      </c>
      <c r="B726" s="9" t="s">
        <v>372</v>
      </c>
      <c r="C726" s="9" t="s">
        <v>80</v>
      </c>
      <c r="D726" s="9" t="s">
        <v>295</v>
      </c>
      <c r="E726" s="10">
        <v>1</v>
      </c>
      <c r="F726" s="9" t="s">
        <v>161</v>
      </c>
      <c r="G726" s="11">
        <v>0</v>
      </c>
      <c r="H726" s="9" t="s">
        <v>328</v>
      </c>
      <c r="I726" s="9" t="s">
        <v>329</v>
      </c>
      <c r="J726" s="9"/>
      <c r="K726" s="9"/>
      <c r="L726" s="9"/>
      <c r="M726" s="12">
        <f t="shared" si="44"/>
        <v>39</v>
      </c>
      <c r="N726" s="13">
        <f t="shared" si="45"/>
        <v>194</v>
      </c>
      <c r="O726" s="14">
        <f t="shared" si="46"/>
        <v>233</v>
      </c>
      <c r="P726" s="15">
        <f t="shared" si="47"/>
        <v>0.28072289156626506</v>
      </c>
    </row>
    <row r="727" spans="1:16" ht="15.75" customHeight="1" x14ac:dyDescent="0.3">
      <c r="A727" s="32" t="s">
        <v>59</v>
      </c>
      <c r="B727" s="9" t="s">
        <v>372</v>
      </c>
      <c r="C727" s="9" t="s">
        <v>80</v>
      </c>
      <c r="D727" s="9" t="s">
        <v>296</v>
      </c>
      <c r="E727" s="10">
        <v>1</v>
      </c>
      <c r="F727" s="9" t="s">
        <v>161</v>
      </c>
      <c r="G727" s="11">
        <v>0</v>
      </c>
      <c r="H727" s="9" t="s">
        <v>328</v>
      </c>
      <c r="I727" s="9" t="s">
        <v>329</v>
      </c>
      <c r="J727" s="9"/>
      <c r="K727" s="9"/>
      <c r="L727" s="9"/>
      <c r="M727" s="12">
        <f t="shared" si="44"/>
        <v>39</v>
      </c>
      <c r="N727" s="13">
        <f t="shared" si="45"/>
        <v>194</v>
      </c>
      <c r="O727" s="14">
        <f t="shared" si="46"/>
        <v>233</v>
      </c>
      <c r="P727" s="15">
        <f t="shared" si="47"/>
        <v>0.28072289156626506</v>
      </c>
    </row>
    <row r="728" spans="1:16" ht="15.75" customHeight="1" x14ac:dyDescent="0.3">
      <c r="A728" s="32" t="s">
        <v>59</v>
      </c>
      <c r="B728" s="9" t="s">
        <v>373</v>
      </c>
      <c r="C728" s="9" t="s">
        <v>73</v>
      </c>
      <c r="D728" s="9" t="s">
        <v>119</v>
      </c>
      <c r="E728" s="10">
        <v>16</v>
      </c>
      <c r="F728" s="9" t="s">
        <v>121</v>
      </c>
      <c r="G728" s="10">
        <v>16</v>
      </c>
      <c r="H728" s="9" t="s">
        <v>115</v>
      </c>
      <c r="I728" s="9" t="s">
        <v>116</v>
      </c>
      <c r="J728" s="9" t="s">
        <v>4</v>
      </c>
      <c r="K728" s="9"/>
      <c r="L728" s="9"/>
      <c r="M728" s="12">
        <f t="shared" si="44"/>
        <v>353</v>
      </c>
      <c r="N728" s="13">
        <f t="shared" si="45"/>
        <v>367</v>
      </c>
      <c r="O728" s="14">
        <f t="shared" si="46"/>
        <v>720</v>
      </c>
      <c r="P728" s="15">
        <f t="shared" si="47"/>
        <v>0.86746987951807231</v>
      </c>
    </row>
    <row r="729" spans="1:16" ht="15.75" customHeight="1" x14ac:dyDescent="0.3">
      <c r="A729" s="32" t="s">
        <v>59</v>
      </c>
      <c r="B729" s="9" t="s">
        <v>373</v>
      </c>
      <c r="C729" s="9" t="s">
        <v>87</v>
      </c>
      <c r="D729" s="9" t="s">
        <v>119</v>
      </c>
      <c r="E729" s="10">
        <v>6</v>
      </c>
      <c r="F729" s="9" t="s">
        <v>121</v>
      </c>
      <c r="G729" s="11">
        <v>0</v>
      </c>
      <c r="H729" s="9" t="s">
        <v>115</v>
      </c>
      <c r="I729" s="9" t="s">
        <v>116</v>
      </c>
      <c r="J729" s="9" t="s">
        <v>4</v>
      </c>
      <c r="K729" s="9"/>
      <c r="L729" s="9"/>
      <c r="M729" s="12">
        <f t="shared" si="44"/>
        <v>353</v>
      </c>
      <c r="N729" s="13">
        <f t="shared" si="45"/>
        <v>367</v>
      </c>
      <c r="O729" s="14">
        <f t="shared" si="46"/>
        <v>720</v>
      </c>
      <c r="P729" s="15">
        <f t="shared" si="47"/>
        <v>0.86746987951807231</v>
      </c>
    </row>
    <row r="730" spans="1:16" ht="15.75" customHeight="1" x14ac:dyDescent="0.3">
      <c r="A730" s="32" t="s">
        <v>59</v>
      </c>
      <c r="B730" s="9" t="s">
        <v>373</v>
      </c>
      <c r="C730" s="9" t="s">
        <v>79</v>
      </c>
      <c r="D730" s="9" t="s">
        <v>119</v>
      </c>
      <c r="E730" s="10">
        <v>40</v>
      </c>
      <c r="F730" s="9" t="s">
        <v>121</v>
      </c>
      <c r="G730" s="10">
        <v>40</v>
      </c>
      <c r="H730" s="9" t="s">
        <v>115</v>
      </c>
      <c r="I730" s="9" t="s">
        <v>116</v>
      </c>
      <c r="J730" s="9" t="s">
        <v>4</v>
      </c>
      <c r="K730" s="9"/>
      <c r="L730" s="9"/>
      <c r="M730" s="12">
        <f t="shared" si="44"/>
        <v>353</v>
      </c>
      <c r="N730" s="13">
        <f t="shared" si="45"/>
        <v>367</v>
      </c>
      <c r="O730" s="14">
        <f t="shared" si="46"/>
        <v>720</v>
      </c>
      <c r="P730" s="15">
        <f t="shared" si="47"/>
        <v>0.86746987951807231</v>
      </c>
    </row>
    <row r="731" spans="1:16" ht="15.75" customHeight="1" x14ac:dyDescent="0.3">
      <c r="A731" s="32" t="s">
        <v>59</v>
      </c>
      <c r="B731" s="9" t="s">
        <v>373</v>
      </c>
      <c r="C731" s="9" t="s">
        <v>80</v>
      </c>
      <c r="D731" s="9" t="s">
        <v>119</v>
      </c>
      <c r="E731" s="10">
        <v>1</v>
      </c>
      <c r="F731" s="9" t="s">
        <v>121</v>
      </c>
      <c r="G731" s="11">
        <v>0</v>
      </c>
      <c r="H731" s="9" t="s">
        <v>115</v>
      </c>
      <c r="I731" s="9" t="s">
        <v>116</v>
      </c>
      <c r="J731" s="9" t="s">
        <v>4</v>
      </c>
      <c r="K731" s="9"/>
      <c r="L731" s="9"/>
      <c r="M731" s="12">
        <f t="shared" si="44"/>
        <v>353</v>
      </c>
      <c r="N731" s="13">
        <f t="shared" si="45"/>
        <v>367</v>
      </c>
      <c r="O731" s="14">
        <f t="shared" si="46"/>
        <v>720</v>
      </c>
      <c r="P731" s="15">
        <f t="shared" si="47"/>
        <v>0.86746987951807231</v>
      </c>
    </row>
    <row r="732" spans="1:16" ht="15.75" customHeight="1" x14ac:dyDescent="0.3">
      <c r="A732" s="32" t="s">
        <v>59</v>
      </c>
      <c r="B732" s="9" t="s">
        <v>374</v>
      </c>
      <c r="C732" s="9" t="s">
        <v>73</v>
      </c>
      <c r="D732" s="9" t="s">
        <v>103</v>
      </c>
      <c r="E732" s="10">
        <v>24</v>
      </c>
      <c r="F732" s="9" t="s">
        <v>107</v>
      </c>
      <c r="G732" s="10">
        <v>24</v>
      </c>
      <c r="H732" s="9" t="s">
        <v>108</v>
      </c>
      <c r="I732" s="9" t="s">
        <v>109</v>
      </c>
      <c r="J732" s="9"/>
      <c r="K732" s="9"/>
      <c r="L732" s="9"/>
      <c r="M732" s="12">
        <f t="shared" si="44"/>
        <v>284</v>
      </c>
      <c r="N732" s="13">
        <f t="shared" si="45"/>
        <v>193</v>
      </c>
      <c r="O732" s="14">
        <f t="shared" si="46"/>
        <v>477</v>
      </c>
      <c r="P732" s="15">
        <f t="shared" si="47"/>
        <v>0.57469879518072287</v>
      </c>
    </row>
    <row r="733" spans="1:16" ht="15.75" customHeight="1" x14ac:dyDescent="0.3">
      <c r="A733" s="32" t="s">
        <v>59</v>
      </c>
      <c r="B733" s="9" t="s">
        <v>374</v>
      </c>
      <c r="C733" s="9" t="s">
        <v>123</v>
      </c>
      <c r="D733" s="9" t="s">
        <v>103</v>
      </c>
      <c r="E733" s="10">
        <v>48</v>
      </c>
      <c r="F733" s="9" t="s">
        <v>107</v>
      </c>
      <c r="G733" s="11">
        <v>0</v>
      </c>
      <c r="H733" s="9" t="s">
        <v>108</v>
      </c>
      <c r="I733" s="9" t="s">
        <v>109</v>
      </c>
      <c r="J733" s="9"/>
      <c r="K733" s="9"/>
      <c r="L733" s="9"/>
      <c r="M733" s="12">
        <f t="shared" si="44"/>
        <v>284</v>
      </c>
      <c r="N733" s="13">
        <f t="shared" si="45"/>
        <v>193</v>
      </c>
      <c r="O733" s="14">
        <f t="shared" si="46"/>
        <v>477</v>
      </c>
      <c r="P733" s="15">
        <f t="shared" si="47"/>
        <v>0.57469879518072287</v>
      </c>
    </row>
    <row r="734" spans="1:16" ht="15.75" customHeight="1" x14ac:dyDescent="0.3">
      <c r="A734" s="32" t="s">
        <v>59</v>
      </c>
      <c r="B734" s="9" t="s">
        <v>374</v>
      </c>
      <c r="C734" s="9" t="s">
        <v>87</v>
      </c>
      <c r="D734" s="9" t="s">
        <v>103</v>
      </c>
      <c r="E734" s="10">
        <v>6</v>
      </c>
      <c r="F734" s="9" t="s">
        <v>107</v>
      </c>
      <c r="G734" s="11">
        <v>0</v>
      </c>
      <c r="H734" s="9" t="s">
        <v>108</v>
      </c>
      <c r="I734" s="9" t="s">
        <v>109</v>
      </c>
      <c r="J734" s="9"/>
      <c r="K734" s="9"/>
      <c r="L734" s="9"/>
      <c r="M734" s="12">
        <f t="shared" si="44"/>
        <v>284</v>
      </c>
      <c r="N734" s="13">
        <f t="shared" si="45"/>
        <v>193</v>
      </c>
      <c r="O734" s="14">
        <f t="shared" si="46"/>
        <v>477</v>
      </c>
      <c r="P734" s="15">
        <f t="shared" si="47"/>
        <v>0.57469879518072287</v>
      </c>
    </row>
    <row r="735" spans="1:16" ht="15.75" customHeight="1" x14ac:dyDescent="0.3">
      <c r="A735" s="32" t="s">
        <v>59</v>
      </c>
      <c r="B735" s="9" t="s">
        <v>374</v>
      </c>
      <c r="C735" s="9" t="s">
        <v>79</v>
      </c>
      <c r="D735" s="9" t="s">
        <v>103</v>
      </c>
      <c r="E735" s="10">
        <v>40</v>
      </c>
      <c r="F735" s="9" t="s">
        <v>107</v>
      </c>
      <c r="G735" s="10">
        <v>40</v>
      </c>
      <c r="H735" s="9" t="s">
        <v>108</v>
      </c>
      <c r="I735" s="9" t="s">
        <v>109</v>
      </c>
      <c r="J735" s="9"/>
      <c r="K735" s="9"/>
      <c r="L735" s="9"/>
      <c r="M735" s="12">
        <f t="shared" si="44"/>
        <v>284</v>
      </c>
      <c r="N735" s="13">
        <f t="shared" si="45"/>
        <v>193</v>
      </c>
      <c r="O735" s="14">
        <f t="shared" si="46"/>
        <v>477</v>
      </c>
      <c r="P735" s="15">
        <f t="shared" si="47"/>
        <v>0.57469879518072287</v>
      </c>
    </row>
    <row r="736" spans="1:16" ht="15.75" customHeight="1" x14ac:dyDescent="0.3">
      <c r="A736" s="32" t="s">
        <v>59</v>
      </c>
      <c r="B736" s="9" t="s">
        <v>374</v>
      </c>
      <c r="C736" s="9" t="s">
        <v>80</v>
      </c>
      <c r="D736" s="9" t="s">
        <v>103</v>
      </c>
      <c r="E736" s="10">
        <v>1</v>
      </c>
      <c r="F736" s="9" t="s">
        <v>107</v>
      </c>
      <c r="G736" s="11">
        <v>0</v>
      </c>
      <c r="H736" s="9" t="s">
        <v>108</v>
      </c>
      <c r="I736" s="9" t="s">
        <v>109</v>
      </c>
      <c r="J736" s="9"/>
      <c r="K736" s="9"/>
      <c r="L736" s="9"/>
      <c r="M736" s="12">
        <f t="shared" si="44"/>
        <v>284</v>
      </c>
      <c r="N736" s="13">
        <f t="shared" si="45"/>
        <v>193</v>
      </c>
      <c r="O736" s="14">
        <f t="shared" si="46"/>
        <v>477</v>
      </c>
      <c r="P736" s="15">
        <f t="shared" si="47"/>
        <v>0.57469879518072287</v>
      </c>
    </row>
    <row r="737" spans="1:16" ht="15.75" customHeight="1" x14ac:dyDescent="0.3">
      <c r="A737" s="32" t="s">
        <v>59</v>
      </c>
      <c r="B737" s="9" t="s">
        <v>375</v>
      </c>
      <c r="C737" s="9" t="s">
        <v>73</v>
      </c>
      <c r="D737" s="9" t="s">
        <v>119</v>
      </c>
      <c r="E737" s="10">
        <v>34</v>
      </c>
      <c r="F737" s="9" t="s">
        <v>121</v>
      </c>
      <c r="G737" s="10">
        <v>34</v>
      </c>
      <c r="H737" s="9" t="s">
        <v>259</v>
      </c>
      <c r="I737" s="9" t="s">
        <v>260</v>
      </c>
      <c r="J737" s="9"/>
      <c r="K737" s="9"/>
      <c r="L737" s="9"/>
      <c r="M737" s="12">
        <f t="shared" si="44"/>
        <v>144</v>
      </c>
      <c r="N737" s="13">
        <f t="shared" si="45"/>
        <v>88.5</v>
      </c>
      <c r="O737" s="14">
        <f t="shared" si="46"/>
        <v>232.5</v>
      </c>
      <c r="P737" s="15">
        <f t="shared" si="47"/>
        <v>0.28012048192771083</v>
      </c>
    </row>
    <row r="738" spans="1:16" ht="15.75" customHeight="1" x14ac:dyDescent="0.3">
      <c r="A738" s="32" t="s">
        <v>59</v>
      </c>
      <c r="B738" s="9" t="s">
        <v>375</v>
      </c>
      <c r="C738" s="9" t="s">
        <v>79</v>
      </c>
      <c r="D738" s="9" t="s">
        <v>119</v>
      </c>
      <c r="E738" s="10">
        <v>22</v>
      </c>
      <c r="F738" s="9" t="s">
        <v>121</v>
      </c>
      <c r="G738" s="10">
        <v>22</v>
      </c>
      <c r="H738" s="9" t="s">
        <v>259</v>
      </c>
      <c r="I738" s="9" t="s">
        <v>260</v>
      </c>
      <c r="J738" s="9"/>
      <c r="K738" s="9"/>
      <c r="L738" s="9"/>
      <c r="M738" s="12">
        <f t="shared" si="44"/>
        <v>144</v>
      </c>
      <c r="N738" s="13">
        <f t="shared" si="45"/>
        <v>88.5</v>
      </c>
      <c r="O738" s="14">
        <f t="shared" si="46"/>
        <v>232.5</v>
      </c>
      <c r="P738" s="15">
        <f t="shared" si="47"/>
        <v>0.28012048192771083</v>
      </c>
    </row>
    <row r="739" spans="1:16" ht="15.75" customHeight="1" x14ac:dyDescent="0.3">
      <c r="A739" s="32" t="s">
        <v>59</v>
      </c>
      <c r="B739" s="9" t="s">
        <v>375</v>
      </c>
      <c r="C739" s="9" t="s">
        <v>111</v>
      </c>
      <c r="D739" s="9" t="s">
        <v>119</v>
      </c>
      <c r="E739" s="10">
        <v>9</v>
      </c>
      <c r="F739" s="9" t="s">
        <v>121</v>
      </c>
      <c r="G739" s="11">
        <v>0</v>
      </c>
      <c r="H739" s="9" t="s">
        <v>259</v>
      </c>
      <c r="I739" s="9" t="s">
        <v>260</v>
      </c>
      <c r="J739" s="9"/>
      <c r="K739" s="9"/>
      <c r="L739" s="9"/>
      <c r="M739" s="12">
        <f t="shared" si="44"/>
        <v>144</v>
      </c>
      <c r="N739" s="13">
        <f t="shared" si="45"/>
        <v>88.5</v>
      </c>
      <c r="O739" s="14">
        <f t="shared" si="46"/>
        <v>232.5</v>
      </c>
      <c r="P739" s="15">
        <f t="shared" si="47"/>
        <v>0.28012048192771083</v>
      </c>
    </row>
    <row r="740" spans="1:16" ht="15.75" customHeight="1" x14ac:dyDescent="0.3">
      <c r="A740" s="32" t="s">
        <v>59</v>
      </c>
      <c r="B740" s="9" t="s">
        <v>375</v>
      </c>
      <c r="C740" s="9" t="s">
        <v>80</v>
      </c>
      <c r="D740" s="9" t="s">
        <v>119</v>
      </c>
      <c r="E740" s="10">
        <v>4</v>
      </c>
      <c r="F740" s="9" t="s">
        <v>121</v>
      </c>
      <c r="G740" s="11">
        <v>0</v>
      </c>
      <c r="H740" s="9" t="s">
        <v>259</v>
      </c>
      <c r="I740" s="9" t="s">
        <v>260</v>
      </c>
      <c r="J740" s="9"/>
      <c r="K740" s="9"/>
      <c r="L740" s="9"/>
      <c r="M740" s="12">
        <f t="shared" si="44"/>
        <v>144</v>
      </c>
      <c r="N740" s="13">
        <f t="shared" si="45"/>
        <v>88.5</v>
      </c>
      <c r="O740" s="14">
        <f t="shared" si="46"/>
        <v>232.5</v>
      </c>
      <c r="P740" s="15">
        <f t="shared" si="47"/>
        <v>0.28012048192771083</v>
      </c>
    </row>
    <row r="741" spans="1:16" ht="15.75" customHeight="1" x14ac:dyDescent="0.3">
      <c r="A741" s="32" t="s">
        <v>59</v>
      </c>
      <c r="B741" s="9" t="s">
        <v>376</v>
      </c>
      <c r="C741" s="9" t="s">
        <v>73</v>
      </c>
      <c r="D741" s="9" t="s">
        <v>262</v>
      </c>
      <c r="E741" s="10">
        <v>12</v>
      </c>
      <c r="F741" s="9" t="s">
        <v>263</v>
      </c>
      <c r="G741" s="10">
        <v>12</v>
      </c>
      <c r="H741" s="9" t="s">
        <v>128</v>
      </c>
      <c r="I741" s="9" t="s">
        <v>129</v>
      </c>
      <c r="J741" s="9" t="s">
        <v>8</v>
      </c>
      <c r="K741" s="9"/>
      <c r="L741" s="9"/>
      <c r="M741" s="12">
        <f t="shared" si="44"/>
        <v>348</v>
      </c>
      <c r="N741" s="13">
        <f t="shared" si="45"/>
        <v>583</v>
      </c>
      <c r="O741" s="14">
        <f t="shared" si="46"/>
        <v>931</v>
      </c>
      <c r="P741" s="15">
        <f t="shared" si="47"/>
        <v>1.1216867469879519</v>
      </c>
    </row>
    <row r="742" spans="1:16" ht="15.75" customHeight="1" x14ac:dyDescent="0.3">
      <c r="A742" s="32" t="s">
        <v>59</v>
      </c>
      <c r="B742" s="9" t="s">
        <v>376</v>
      </c>
      <c r="C742" s="9" t="s">
        <v>73</v>
      </c>
      <c r="D742" s="9" t="s">
        <v>132</v>
      </c>
      <c r="E742" s="10">
        <v>12</v>
      </c>
      <c r="F742" s="9" t="s">
        <v>133</v>
      </c>
      <c r="G742" s="10">
        <v>12</v>
      </c>
      <c r="H742" s="9" t="s">
        <v>128</v>
      </c>
      <c r="I742" s="9" t="s">
        <v>129</v>
      </c>
      <c r="J742" s="9" t="s">
        <v>8</v>
      </c>
      <c r="K742" s="9"/>
      <c r="L742" s="9"/>
      <c r="M742" s="12">
        <f t="shared" si="44"/>
        <v>348</v>
      </c>
      <c r="N742" s="13">
        <f t="shared" si="45"/>
        <v>583</v>
      </c>
      <c r="O742" s="14">
        <f t="shared" si="46"/>
        <v>931</v>
      </c>
      <c r="P742" s="15">
        <f t="shared" si="47"/>
        <v>1.1216867469879519</v>
      </c>
    </row>
    <row r="743" spans="1:16" ht="15.75" customHeight="1" x14ac:dyDescent="0.3">
      <c r="A743" s="32" t="s">
        <v>59</v>
      </c>
      <c r="B743" s="9" t="s">
        <v>376</v>
      </c>
      <c r="C743" s="9" t="s">
        <v>79</v>
      </c>
      <c r="D743" s="9" t="s">
        <v>134</v>
      </c>
      <c r="E743" s="10">
        <v>40</v>
      </c>
      <c r="F743" s="9" t="s">
        <v>263</v>
      </c>
      <c r="G743" s="10">
        <v>40</v>
      </c>
      <c r="H743" s="9" t="s">
        <v>128</v>
      </c>
      <c r="I743" s="9" t="s">
        <v>129</v>
      </c>
      <c r="J743" s="9" t="s">
        <v>8</v>
      </c>
      <c r="K743" s="9"/>
      <c r="L743" s="9"/>
      <c r="M743" s="12">
        <f t="shared" si="44"/>
        <v>348</v>
      </c>
      <c r="N743" s="13">
        <f t="shared" si="45"/>
        <v>583</v>
      </c>
      <c r="O743" s="14">
        <f t="shared" si="46"/>
        <v>931</v>
      </c>
      <c r="P743" s="15">
        <f t="shared" si="47"/>
        <v>1.1216867469879519</v>
      </c>
    </row>
    <row r="744" spans="1:16" ht="15.75" customHeight="1" x14ac:dyDescent="0.3">
      <c r="A744" s="32" t="s">
        <v>59</v>
      </c>
      <c r="B744" s="9" t="s">
        <v>376</v>
      </c>
      <c r="C744" s="9" t="s">
        <v>79</v>
      </c>
      <c r="D744" s="9" t="s">
        <v>139</v>
      </c>
      <c r="E744" s="10">
        <v>40</v>
      </c>
      <c r="F744" s="9" t="s">
        <v>263</v>
      </c>
      <c r="G744" s="10">
        <v>40</v>
      </c>
      <c r="H744" s="9" t="s">
        <v>128</v>
      </c>
      <c r="I744" s="9" t="s">
        <v>129</v>
      </c>
      <c r="J744" s="9" t="s">
        <v>8</v>
      </c>
      <c r="K744" s="9"/>
      <c r="L744" s="9"/>
      <c r="M744" s="12">
        <f t="shared" si="44"/>
        <v>348</v>
      </c>
      <c r="N744" s="13">
        <f t="shared" si="45"/>
        <v>583</v>
      </c>
      <c r="O744" s="14">
        <f t="shared" si="46"/>
        <v>931</v>
      </c>
      <c r="P744" s="15">
        <f t="shared" si="47"/>
        <v>1.1216867469879519</v>
      </c>
    </row>
    <row r="745" spans="1:16" ht="15.75" customHeight="1" x14ac:dyDescent="0.3">
      <c r="A745" s="32" t="s">
        <v>59</v>
      </c>
      <c r="B745" s="9" t="s">
        <v>376</v>
      </c>
      <c r="C745" s="9" t="s">
        <v>79</v>
      </c>
      <c r="D745" s="9" t="s">
        <v>140</v>
      </c>
      <c r="E745" s="10">
        <v>40</v>
      </c>
      <c r="F745" s="9" t="s">
        <v>263</v>
      </c>
      <c r="G745" s="10">
        <v>40</v>
      </c>
      <c r="H745" s="9" t="s">
        <v>128</v>
      </c>
      <c r="I745" s="9" t="s">
        <v>129</v>
      </c>
      <c r="J745" s="9" t="s">
        <v>8</v>
      </c>
      <c r="K745" s="9"/>
      <c r="L745" s="9"/>
      <c r="M745" s="12">
        <f t="shared" si="44"/>
        <v>348</v>
      </c>
      <c r="N745" s="13">
        <f t="shared" si="45"/>
        <v>583</v>
      </c>
      <c r="O745" s="14">
        <f t="shared" si="46"/>
        <v>931</v>
      </c>
      <c r="P745" s="15">
        <f t="shared" si="47"/>
        <v>1.1216867469879519</v>
      </c>
    </row>
    <row r="746" spans="1:16" ht="15.75" customHeight="1" x14ac:dyDescent="0.3">
      <c r="A746" s="32" t="s">
        <v>59</v>
      </c>
      <c r="B746" s="9" t="s">
        <v>376</v>
      </c>
      <c r="C746" s="9" t="s">
        <v>79</v>
      </c>
      <c r="D746" s="9" t="s">
        <v>141</v>
      </c>
      <c r="E746" s="10">
        <v>40</v>
      </c>
      <c r="F746" s="9" t="s">
        <v>263</v>
      </c>
      <c r="G746" s="10">
        <v>40</v>
      </c>
      <c r="H746" s="9" t="s">
        <v>128</v>
      </c>
      <c r="I746" s="9" t="s">
        <v>129</v>
      </c>
      <c r="J746" s="9" t="s">
        <v>8</v>
      </c>
      <c r="K746" s="9"/>
      <c r="L746" s="9"/>
      <c r="M746" s="12">
        <f t="shared" si="44"/>
        <v>348</v>
      </c>
      <c r="N746" s="13">
        <f t="shared" si="45"/>
        <v>583</v>
      </c>
      <c r="O746" s="14">
        <f t="shared" si="46"/>
        <v>931</v>
      </c>
      <c r="P746" s="15">
        <f t="shared" si="47"/>
        <v>1.1216867469879519</v>
      </c>
    </row>
    <row r="747" spans="1:16" ht="15.75" customHeight="1" x14ac:dyDescent="0.3">
      <c r="A747" s="32" t="s">
        <v>59</v>
      </c>
      <c r="B747" s="9" t="s">
        <v>376</v>
      </c>
      <c r="C747" s="9" t="s">
        <v>79</v>
      </c>
      <c r="D747" s="9" t="s">
        <v>132</v>
      </c>
      <c r="E747" s="10">
        <v>40</v>
      </c>
      <c r="F747" s="9" t="s">
        <v>133</v>
      </c>
      <c r="G747" s="10">
        <v>40</v>
      </c>
      <c r="H747" s="9" t="s">
        <v>128</v>
      </c>
      <c r="I747" s="9" t="s">
        <v>129</v>
      </c>
      <c r="J747" s="9" t="s">
        <v>8</v>
      </c>
      <c r="K747" s="9"/>
      <c r="L747" s="9"/>
      <c r="M747" s="12">
        <f t="shared" si="44"/>
        <v>348</v>
      </c>
      <c r="N747" s="13">
        <f t="shared" si="45"/>
        <v>583</v>
      </c>
      <c r="O747" s="14">
        <f t="shared" si="46"/>
        <v>931</v>
      </c>
      <c r="P747" s="15">
        <f t="shared" si="47"/>
        <v>1.1216867469879519</v>
      </c>
    </row>
    <row r="748" spans="1:16" ht="15.75" customHeight="1" x14ac:dyDescent="0.3">
      <c r="A748" s="32" t="s">
        <v>59</v>
      </c>
      <c r="B748" s="9" t="s">
        <v>376</v>
      </c>
      <c r="C748" s="9" t="s">
        <v>111</v>
      </c>
      <c r="D748" s="9" t="s">
        <v>134</v>
      </c>
      <c r="E748" s="10">
        <v>3</v>
      </c>
      <c r="F748" s="9" t="s">
        <v>263</v>
      </c>
      <c r="G748" s="11">
        <v>0</v>
      </c>
      <c r="H748" s="9" t="s">
        <v>128</v>
      </c>
      <c r="I748" s="9" t="s">
        <v>129</v>
      </c>
      <c r="J748" s="9" t="s">
        <v>8</v>
      </c>
      <c r="K748" s="9"/>
      <c r="L748" s="9"/>
      <c r="M748" s="12">
        <f t="shared" si="44"/>
        <v>348</v>
      </c>
      <c r="N748" s="13">
        <f t="shared" si="45"/>
        <v>583</v>
      </c>
      <c r="O748" s="14">
        <f t="shared" si="46"/>
        <v>931</v>
      </c>
      <c r="P748" s="15">
        <f t="shared" si="47"/>
        <v>1.1216867469879519</v>
      </c>
    </row>
    <row r="749" spans="1:16" ht="15.75" customHeight="1" x14ac:dyDescent="0.3">
      <c r="A749" s="32" t="s">
        <v>59</v>
      </c>
      <c r="B749" s="9" t="s">
        <v>376</v>
      </c>
      <c r="C749" s="9" t="s">
        <v>111</v>
      </c>
      <c r="D749" s="9" t="s">
        <v>139</v>
      </c>
      <c r="E749" s="10">
        <v>3</v>
      </c>
      <c r="F749" s="9" t="s">
        <v>263</v>
      </c>
      <c r="G749" s="11">
        <v>0</v>
      </c>
      <c r="H749" s="9" t="s">
        <v>128</v>
      </c>
      <c r="I749" s="9" t="s">
        <v>129</v>
      </c>
      <c r="J749" s="9" t="s">
        <v>8</v>
      </c>
      <c r="K749" s="9"/>
      <c r="L749" s="9"/>
      <c r="M749" s="12">
        <f t="shared" si="44"/>
        <v>348</v>
      </c>
      <c r="N749" s="13">
        <f t="shared" si="45"/>
        <v>583</v>
      </c>
      <c r="O749" s="14">
        <f t="shared" si="46"/>
        <v>931</v>
      </c>
      <c r="P749" s="15">
        <f t="shared" si="47"/>
        <v>1.1216867469879519</v>
      </c>
    </row>
    <row r="750" spans="1:16" ht="15.75" customHeight="1" x14ac:dyDescent="0.3">
      <c r="A750" s="32" t="s">
        <v>59</v>
      </c>
      <c r="B750" s="9" t="s">
        <v>376</v>
      </c>
      <c r="C750" s="9" t="s">
        <v>111</v>
      </c>
      <c r="D750" s="9" t="s">
        <v>140</v>
      </c>
      <c r="E750" s="10">
        <v>3</v>
      </c>
      <c r="F750" s="9" t="s">
        <v>263</v>
      </c>
      <c r="G750" s="11">
        <v>0</v>
      </c>
      <c r="H750" s="9" t="s">
        <v>128</v>
      </c>
      <c r="I750" s="9" t="s">
        <v>129</v>
      </c>
      <c r="J750" s="9" t="s">
        <v>8</v>
      </c>
      <c r="K750" s="9"/>
      <c r="L750" s="9"/>
      <c r="M750" s="12">
        <f t="shared" si="44"/>
        <v>348</v>
      </c>
      <c r="N750" s="13">
        <f t="shared" si="45"/>
        <v>583</v>
      </c>
      <c r="O750" s="14">
        <f t="shared" si="46"/>
        <v>931</v>
      </c>
      <c r="P750" s="15">
        <f t="shared" si="47"/>
        <v>1.1216867469879519</v>
      </c>
    </row>
    <row r="751" spans="1:16" ht="15.75" customHeight="1" x14ac:dyDescent="0.3">
      <c r="A751" s="32" t="s">
        <v>59</v>
      </c>
      <c r="B751" s="9" t="s">
        <v>376</v>
      </c>
      <c r="C751" s="9" t="s">
        <v>111</v>
      </c>
      <c r="D751" s="9" t="s">
        <v>141</v>
      </c>
      <c r="E751" s="10">
        <v>3</v>
      </c>
      <c r="F751" s="9" t="s">
        <v>263</v>
      </c>
      <c r="G751" s="11">
        <v>0</v>
      </c>
      <c r="H751" s="9" t="s">
        <v>128</v>
      </c>
      <c r="I751" s="9" t="s">
        <v>129</v>
      </c>
      <c r="J751" s="9" t="s">
        <v>8</v>
      </c>
      <c r="K751" s="9"/>
      <c r="L751" s="9"/>
      <c r="M751" s="12">
        <f t="shared" si="44"/>
        <v>348</v>
      </c>
      <c r="N751" s="13">
        <f t="shared" si="45"/>
        <v>583</v>
      </c>
      <c r="O751" s="14">
        <f t="shared" si="46"/>
        <v>931</v>
      </c>
      <c r="P751" s="15">
        <f t="shared" si="47"/>
        <v>1.1216867469879519</v>
      </c>
    </row>
    <row r="752" spans="1:16" ht="15.75" customHeight="1" x14ac:dyDescent="0.3">
      <c r="A752" s="32" t="s">
        <v>59</v>
      </c>
      <c r="B752" s="9" t="s">
        <v>376</v>
      </c>
      <c r="C752" s="9" t="s">
        <v>111</v>
      </c>
      <c r="D752" s="9" t="s">
        <v>132</v>
      </c>
      <c r="E752" s="10">
        <v>3</v>
      </c>
      <c r="F752" s="9" t="s">
        <v>133</v>
      </c>
      <c r="G752" s="11">
        <v>0</v>
      </c>
      <c r="H752" s="9" t="s">
        <v>128</v>
      </c>
      <c r="I752" s="9" t="s">
        <v>129</v>
      </c>
      <c r="J752" s="9" t="s">
        <v>8</v>
      </c>
      <c r="K752" s="9"/>
      <c r="L752" s="9"/>
      <c r="M752" s="12">
        <f t="shared" si="44"/>
        <v>348</v>
      </c>
      <c r="N752" s="13">
        <f t="shared" si="45"/>
        <v>583</v>
      </c>
      <c r="O752" s="14">
        <f t="shared" si="46"/>
        <v>931</v>
      </c>
      <c r="P752" s="15">
        <f t="shared" si="47"/>
        <v>1.1216867469879519</v>
      </c>
    </row>
    <row r="753" spans="1:16" ht="15.75" customHeight="1" x14ac:dyDescent="0.3">
      <c r="A753" s="32" t="s">
        <v>59</v>
      </c>
      <c r="B753" s="9" t="s">
        <v>376</v>
      </c>
      <c r="C753" s="9" t="s">
        <v>80</v>
      </c>
      <c r="D753" s="9" t="s">
        <v>134</v>
      </c>
      <c r="E753" s="10">
        <v>3</v>
      </c>
      <c r="F753" s="9" t="s">
        <v>263</v>
      </c>
      <c r="G753" s="11">
        <v>0</v>
      </c>
      <c r="H753" s="9" t="s">
        <v>128</v>
      </c>
      <c r="I753" s="9" t="s">
        <v>129</v>
      </c>
      <c r="J753" s="9" t="s">
        <v>8</v>
      </c>
      <c r="K753" s="9"/>
      <c r="L753" s="9"/>
      <c r="M753" s="12">
        <f t="shared" si="44"/>
        <v>348</v>
      </c>
      <c r="N753" s="13">
        <f t="shared" si="45"/>
        <v>583</v>
      </c>
      <c r="O753" s="14">
        <f t="shared" si="46"/>
        <v>931</v>
      </c>
      <c r="P753" s="15">
        <f t="shared" si="47"/>
        <v>1.1216867469879519</v>
      </c>
    </row>
    <row r="754" spans="1:16" ht="15.75" customHeight="1" x14ac:dyDescent="0.3">
      <c r="A754" s="32" t="s">
        <v>59</v>
      </c>
      <c r="B754" s="9" t="s">
        <v>376</v>
      </c>
      <c r="C754" s="9" t="s">
        <v>80</v>
      </c>
      <c r="D754" s="9" t="s">
        <v>139</v>
      </c>
      <c r="E754" s="10">
        <v>3</v>
      </c>
      <c r="F754" s="9" t="s">
        <v>263</v>
      </c>
      <c r="G754" s="11">
        <v>0</v>
      </c>
      <c r="H754" s="9" t="s">
        <v>128</v>
      </c>
      <c r="I754" s="9" t="s">
        <v>129</v>
      </c>
      <c r="J754" s="9" t="s">
        <v>8</v>
      </c>
      <c r="K754" s="9"/>
      <c r="L754" s="9"/>
      <c r="M754" s="12">
        <f t="shared" si="44"/>
        <v>348</v>
      </c>
      <c r="N754" s="13">
        <f t="shared" si="45"/>
        <v>583</v>
      </c>
      <c r="O754" s="14">
        <f t="shared" si="46"/>
        <v>931</v>
      </c>
      <c r="P754" s="15">
        <f t="shared" si="47"/>
        <v>1.1216867469879519</v>
      </c>
    </row>
    <row r="755" spans="1:16" ht="15.75" customHeight="1" x14ac:dyDescent="0.3">
      <c r="A755" s="32" t="s">
        <v>59</v>
      </c>
      <c r="B755" s="9" t="s">
        <v>376</v>
      </c>
      <c r="C755" s="9" t="s">
        <v>80</v>
      </c>
      <c r="D755" s="9" t="s">
        <v>140</v>
      </c>
      <c r="E755" s="10">
        <v>3</v>
      </c>
      <c r="F755" s="9" t="s">
        <v>263</v>
      </c>
      <c r="G755" s="11">
        <v>0</v>
      </c>
      <c r="H755" s="9" t="s">
        <v>128</v>
      </c>
      <c r="I755" s="9" t="s">
        <v>129</v>
      </c>
      <c r="J755" s="9" t="s">
        <v>8</v>
      </c>
      <c r="K755" s="9"/>
      <c r="L755" s="9"/>
      <c r="M755" s="12">
        <f t="shared" si="44"/>
        <v>348</v>
      </c>
      <c r="N755" s="13">
        <f t="shared" si="45"/>
        <v>583</v>
      </c>
      <c r="O755" s="14">
        <f t="shared" si="46"/>
        <v>931</v>
      </c>
      <c r="P755" s="15">
        <f t="shared" si="47"/>
        <v>1.1216867469879519</v>
      </c>
    </row>
    <row r="756" spans="1:16" ht="15.75" customHeight="1" x14ac:dyDescent="0.3">
      <c r="A756" s="32" t="s">
        <v>59</v>
      </c>
      <c r="B756" s="9" t="s">
        <v>376</v>
      </c>
      <c r="C756" s="9" t="s">
        <v>80</v>
      </c>
      <c r="D756" s="9" t="s">
        <v>141</v>
      </c>
      <c r="E756" s="10">
        <v>3</v>
      </c>
      <c r="F756" s="9" t="s">
        <v>263</v>
      </c>
      <c r="G756" s="11">
        <v>0</v>
      </c>
      <c r="H756" s="9" t="s">
        <v>128</v>
      </c>
      <c r="I756" s="9" t="s">
        <v>129</v>
      </c>
      <c r="J756" s="9" t="s">
        <v>8</v>
      </c>
      <c r="K756" s="9"/>
      <c r="L756" s="9"/>
      <c r="M756" s="12">
        <f t="shared" si="44"/>
        <v>348</v>
      </c>
      <c r="N756" s="13">
        <f t="shared" si="45"/>
        <v>583</v>
      </c>
      <c r="O756" s="14">
        <f t="shared" si="46"/>
        <v>931</v>
      </c>
      <c r="P756" s="15">
        <f t="shared" si="47"/>
        <v>1.1216867469879519</v>
      </c>
    </row>
    <row r="757" spans="1:16" ht="15.75" customHeight="1" x14ac:dyDescent="0.3">
      <c r="A757" s="32" t="s">
        <v>59</v>
      </c>
      <c r="B757" s="9" t="s">
        <v>376</v>
      </c>
      <c r="C757" s="9" t="s">
        <v>80</v>
      </c>
      <c r="D757" s="9" t="s">
        <v>132</v>
      </c>
      <c r="E757" s="10">
        <v>3</v>
      </c>
      <c r="F757" s="9" t="s">
        <v>133</v>
      </c>
      <c r="G757" s="11">
        <v>0</v>
      </c>
      <c r="H757" s="9" t="s">
        <v>128</v>
      </c>
      <c r="I757" s="9" t="s">
        <v>129</v>
      </c>
      <c r="J757" s="9" t="s">
        <v>8</v>
      </c>
      <c r="K757" s="9"/>
      <c r="L757" s="9"/>
      <c r="M757" s="12">
        <f t="shared" si="44"/>
        <v>348</v>
      </c>
      <c r="N757" s="13">
        <f t="shared" si="45"/>
        <v>583</v>
      </c>
      <c r="O757" s="14">
        <f t="shared" si="46"/>
        <v>931</v>
      </c>
      <c r="P757" s="15">
        <f t="shared" si="47"/>
        <v>1.1216867469879519</v>
      </c>
    </row>
    <row r="758" spans="1:16" ht="15.75" customHeight="1" x14ac:dyDescent="0.3">
      <c r="A758" s="32" t="s">
        <v>59</v>
      </c>
      <c r="B758" s="9" t="s">
        <v>377</v>
      </c>
      <c r="C758" s="9" t="s">
        <v>102</v>
      </c>
      <c r="D758" s="9" t="s">
        <v>134</v>
      </c>
      <c r="E758" s="10">
        <v>24</v>
      </c>
      <c r="F758" s="9" t="s">
        <v>166</v>
      </c>
      <c r="G758" s="11">
        <v>0</v>
      </c>
      <c r="H758" s="9" t="s">
        <v>91</v>
      </c>
      <c r="I758" s="9" t="s">
        <v>92</v>
      </c>
      <c r="J758" s="9" t="s">
        <v>4</v>
      </c>
      <c r="K758" s="9"/>
      <c r="L758" s="9"/>
      <c r="M758" s="12">
        <f t="shared" si="44"/>
        <v>405</v>
      </c>
      <c r="N758" s="13">
        <f t="shared" si="45"/>
        <v>478</v>
      </c>
      <c r="O758" s="14">
        <f t="shared" si="46"/>
        <v>883</v>
      </c>
      <c r="P758" s="15">
        <f t="shared" si="47"/>
        <v>1.0638554216867471</v>
      </c>
    </row>
    <row r="759" spans="1:16" ht="15.75" customHeight="1" x14ac:dyDescent="0.3">
      <c r="A759" s="32" t="s">
        <v>59</v>
      </c>
      <c r="B759" s="9" t="s">
        <v>377</v>
      </c>
      <c r="C759" s="9" t="s">
        <v>73</v>
      </c>
      <c r="D759" s="9" t="s">
        <v>134</v>
      </c>
      <c r="E759" s="10">
        <v>12</v>
      </c>
      <c r="F759" s="9" t="s">
        <v>166</v>
      </c>
      <c r="G759" s="10">
        <v>12</v>
      </c>
      <c r="H759" s="9" t="s">
        <v>91</v>
      </c>
      <c r="I759" s="9" t="s">
        <v>92</v>
      </c>
      <c r="J759" s="9" t="s">
        <v>4</v>
      </c>
      <c r="K759" s="9"/>
      <c r="L759" s="9"/>
      <c r="M759" s="12">
        <f t="shared" si="44"/>
        <v>405</v>
      </c>
      <c r="N759" s="13">
        <f t="shared" si="45"/>
        <v>478</v>
      </c>
      <c r="O759" s="14">
        <f t="shared" si="46"/>
        <v>883</v>
      </c>
      <c r="P759" s="15">
        <f t="shared" si="47"/>
        <v>1.0638554216867471</v>
      </c>
    </row>
    <row r="760" spans="1:16" ht="15.75" customHeight="1" x14ac:dyDescent="0.3">
      <c r="A760" s="32" t="s">
        <v>59</v>
      </c>
      <c r="B760" s="9" t="s">
        <v>377</v>
      </c>
      <c r="C760" s="9" t="s">
        <v>87</v>
      </c>
      <c r="D760" s="9" t="s">
        <v>134</v>
      </c>
      <c r="E760" s="10">
        <v>2</v>
      </c>
      <c r="F760" s="9" t="s">
        <v>166</v>
      </c>
      <c r="G760" s="11">
        <v>0</v>
      </c>
      <c r="H760" s="9" t="s">
        <v>91</v>
      </c>
      <c r="I760" s="9" t="s">
        <v>92</v>
      </c>
      <c r="J760" s="9" t="s">
        <v>4</v>
      </c>
      <c r="K760" s="9"/>
      <c r="L760" s="9"/>
      <c r="M760" s="12">
        <f t="shared" si="44"/>
        <v>405</v>
      </c>
      <c r="N760" s="13">
        <f t="shared" si="45"/>
        <v>478</v>
      </c>
      <c r="O760" s="14">
        <f t="shared" si="46"/>
        <v>883</v>
      </c>
      <c r="P760" s="15">
        <f t="shared" si="47"/>
        <v>1.0638554216867471</v>
      </c>
    </row>
    <row r="761" spans="1:16" ht="15.75" customHeight="1" x14ac:dyDescent="0.3">
      <c r="A761" s="32" t="s">
        <v>59</v>
      </c>
      <c r="B761" s="9" t="s">
        <v>377</v>
      </c>
      <c r="C761" s="9" t="s">
        <v>79</v>
      </c>
      <c r="D761" s="9" t="s">
        <v>134</v>
      </c>
      <c r="E761" s="10">
        <v>38</v>
      </c>
      <c r="F761" s="9" t="s">
        <v>166</v>
      </c>
      <c r="G761" s="10">
        <v>38</v>
      </c>
      <c r="H761" s="9" t="s">
        <v>91</v>
      </c>
      <c r="I761" s="9" t="s">
        <v>92</v>
      </c>
      <c r="J761" s="9" t="s">
        <v>4</v>
      </c>
      <c r="K761" s="9"/>
      <c r="L761" s="9"/>
      <c r="M761" s="12">
        <f t="shared" si="44"/>
        <v>405</v>
      </c>
      <c r="N761" s="13">
        <f t="shared" si="45"/>
        <v>478</v>
      </c>
      <c r="O761" s="14">
        <f t="shared" si="46"/>
        <v>883</v>
      </c>
      <c r="P761" s="15">
        <f t="shared" si="47"/>
        <v>1.0638554216867471</v>
      </c>
    </row>
    <row r="762" spans="1:16" ht="15.75" customHeight="1" x14ac:dyDescent="0.3">
      <c r="A762" s="32" t="s">
        <v>59</v>
      </c>
      <c r="B762" s="9" t="s">
        <v>377</v>
      </c>
      <c r="C762" s="9" t="s">
        <v>80</v>
      </c>
      <c r="D762" s="9" t="s">
        <v>134</v>
      </c>
      <c r="E762" s="10">
        <v>1</v>
      </c>
      <c r="F762" s="9" t="s">
        <v>166</v>
      </c>
      <c r="G762" s="11">
        <v>0</v>
      </c>
      <c r="H762" s="9" t="s">
        <v>91</v>
      </c>
      <c r="I762" s="9" t="s">
        <v>92</v>
      </c>
      <c r="J762" s="9" t="s">
        <v>4</v>
      </c>
      <c r="K762" s="9"/>
      <c r="L762" s="9"/>
      <c r="M762" s="12">
        <f t="shared" si="44"/>
        <v>405</v>
      </c>
      <c r="N762" s="13">
        <f t="shared" si="45"/>
        <v>478</v>
      </c>
      <c r="O762" s="14">
        <f t="shared" si="46"/>
        <v>883</v>
      </c>
      <c r="P762" s="15">
        <f t="shared" si="47"/>
        <v>1.0638554216867471</v>
      </c>
    </row>
    <row r="763" spans="1:16" ht="15.75" customHeight="1" x14ac:dyDescent="0.3">
      <c r="A763" s="32" t="s">
        <v>59</v>
      </c>
      <c r="B763" s="9" t="s">
        <v>176</v>
      </c>
      <c r="C763" s="9" t="s">
        <v>73</v>
      </c>
      <c r="D763" s="9" t="s">
        <v>220</v>
      </c>
      <c r="E763" s="10">
        <v>20</v>
      </c>
      <c r="F763" s="9" t="s">
        <v>221</v>
      </c>
      <c r="G763" s="10">
        <v>20</v>
      </c>
      <c r="H763" s="9" t="s">
        <v>179</v>
      </c>
      <c r="I763" s="9" t="s">
        <v>180</v>
      </c>
      <c r="J763" s="9" t="s">
        <v>4</v>
      </c>
      <c r="K763" s="9"/>
      <c r="L763" s="9"/>
      <c r="M763" s="12">
        <f t="shared" si="44"/>
        <v>703</v>
      </c>
      <c r="N763" s="13">
        <f t="shared" si="45"/>
        <v>179.5</v>
      </c>
      <c r="O763" s="14">
        <f t="shared" si="46"/>
        <v>882.5</v>
      </c>
      <c r="P763" s="15">
        <f t="shared" si="47"/>
        <v>1.0632530120481927</v>
      </c>
    </row>
    <row r="764" spans="1:16" ht="15.75" customHeight="1" x14ac:dyDescent="0.3">
      <c r="A764" s="32" t="s">
        <v>59</v>
      </c>
      <c r="B764" s="9" t="s">
        <v>176</v>
      </c>
      <c r="C764" s="9" t="s">
        <v>87</v>
      </c>
      <c r="D764" s="9" t="s">
        <v>220</v>
      </c>
      <c r="E764" s="10">
        <v>4</v>
      </c>
      <c r="F764" s="9" t="s">
        <v>221</v>
      </c>
      <c r="G764" s="11">
        <v>0</v>
      </c>
      <c r="H764" s="9" t="s">
        <v>179</v>
      </c>
      <c r="I764" s="9" t="s">
        <v>180</v>
      </c>
      <c r="J764" s="9" t="s">
        <v>4</v>
      </c>
      <c r="K764" s="9"/>
      <c r="L764" s="9"/>
      <c r="M764" s="12">
        <f t="shared" si="44"/>
        <v>703</v>
      </c>
      <c r="N764" s="13">
        <f t="shared" si="45"/>
        <v>179.5</v>
      </c>
      <c r="O764" s="14">
        <f t="shared" si="46"/>
        <v>882.5</v>
      </c>
      <c r="P764" s="15">
        <f t="shared" si="47"/>
        <v>1.0632530120481927</v>
      </c>
    </row>
    <row r="765" spans="1:16" ht="15.75" customHeight="1" x14ac:dyDescent="0.3">
      <c r="A765" s="32" t="s">
        <v>59</v>
      </c>
      <c r="B765" s="9" t="s">
        <v>176</v>
      </c>
      <c r="C765" s="9" t="s">
        <v>79</v>
      </c>
      <c r="D765" s="9" t="s">
        <v>220</v>
      </c>
      <c r="E765" s="10">
        <v>22</v>
      </c>
      <c r="F765" s="9" t="s">
        <v>221</v>
      </c>
      <c r="G765" s="10">
        <v>22</v>
      </c>
      <c r="H765" s="9"/>
      <c r="I765" s="9" t="s">
        <v>187</v>
      </c>
      <c r="J765" s="9" t="s">
        <v>4</v>
      </c>
      <c r="K765" s="9"/>
      <c r="L765" s="9"/>
      <c r="M765" s="12">
        <f t="shared" si="44"/>
        <v>127</v>
      </c>
      <c r="N765" s="13">
        <f t="shared" si="45"/>
        <v>133.5</v>
      </c>
      <c r="O765" s="14">
        <f t="shared" si="46"/>
        <v>260.5</v>
      </c>
      <c r="P765" s="15">
        <f t="shared" si="47"/>
        <v>0.31385542168674696</v>
      </c>
    </row>
    <row r="766" spans="1:16" ht="15.75" customHeight="1" x14ac:dyDescent="0.3">
      <c r="A766" s="32" t="s">
        <v>59</v>
      </c>
      <c r="B766" s="9" t="s">
        <v>176</v>
      </c>
      <c r="C766" s="9" t="s">
        <v>80</v>
      </c>
      <c r="D766" s="9" t="s">
        <v>220</v>
      </c>
      <c r="E766" s="10">
        <v>2</v>
      </c>
      <c r="F766" s="9" t="s">
        <v>221</v>
      </c>
      <c r="G766" s="11">
        <v>0</v>
      </c>
      <c r="H766" s="9" t="s">
        <v>179</v>
      </c>
      <c r="I766" s="9" t="s">
        <v>180</v>
      </c>
      <c r="J766" s="9" t="s">
        <v>4</v>
      </c>
      <c r="K766" s="9"/>
      <c r="L766" s="9"/>
      <c r="M766" s="12">
        <f t="shared" si="44"/>
        <v>703</v>
      </c>
      <c r="N766" s="13">
        <f t="shared" si="45"/>
        <v>179.5</v>
      </c>
      <c r="O766" s="14">
        <f t="shared" si="46"/>
        <v>882.5</v>
      </c>
      <c r="P766" s="15">
        <f t="shared" si="47"/>
        <v>1.0632530120481927</v>
      </c>
    </row>
    <row r="767" spans="1:16" ht="15.75" customHeight="1" x14ac:dyDescent="0.3">
      <c r="A767" s="32" t="s">
        <v>59</v>
      </c>
      <c r="B767" s="9" t="s">
        <v>193</v>
      </c>
      <c r="C767" s="9" t="s">
        <v>73</v>
      </c>
      <c r="D767" s="9" t="s">
        <v>194</v>
      </c>
      <c r="E767" s="10">
        <v>16</v>
      </c>
      <c r="F767" s="9" t="s">
        <v>195</v>
      </c>
      <c r="G767" s="10">
        <v>16</v>
      </c>
      <c r="H767" s="9" t="s">
        <v>128</v>
      </c>
      <c r="I767" s="9" t="s">
        <v>129</v>
      </c>
      <c r="J767" s="9" t="s">
        <v>8</v>
      </c>
      <c r="K767" s="9"/>
      <c r="L767" s="9"/>
      <c r="M767" s="12">
        <f t="shared" si="44"/>
        <v>348</v>
      </c>
      <c r="N767" s="13">
        <f t="shared" si="45"/>
        <v>583</v>
      </c>
      <c r="O767" s="14">
        <f t="shared" si="46"/>
        <v>931</v>
      </c>
      <c r="P767" s="15">
        <f t="shared" si="47"/>
        <v>1.1216867469879519</v>
      </c>
    </row>
    <row r="768" spans="1:16" ht="15.75" customHeight="1" x14ac:dyDescent="0.3">
      <c r="A768" s="32" t="s">
        <v>59</v>
      </c>
      <c r="B768" s="9" t="s">
        <v>193</v>
      </c>
      <c r="C768" s="9" t="s">
        <v>79</v>
      </c>
      <c r="D768" s="9" t="s">
        <v>194</v>
      </c>
      <c r="E768" s="10">
        <v>24</v>
      </c>
      <c r="F768" s="9" t="s">
        <v>195</v>
      </c>
      <c r="G768" s="10">
        <v>24</v>
      </c>
      <c r="H768" s="9" t="s">
        <v>128</v>
      </c>
      <c r="I768" s="9" t="s">
        <v>129</v>
      </c>
      <c r="J768" s="9" t="s">
        <v>8</v>
      </c>
      <c r="K768" s="9"/>
      <c r="L768" s="9"/>
      <c r="M768" s="12">
        <f t="shared" si="44"/>
        <v>348</v>
      </c>
      <c r="N768" s="13">
        <f t="shared" si="45"/>
        <v>583</v>
      </c>
      <c r="O768" s="14">
        <f t="shared" si="46"/>
        <v>931</v>
      </c>
      <c r="P768" s="15">
        <f t="shared" si="47"/>
        <v>1.1216867469879519</v>
      </c>
    </row>
    <row r="769" spans="1:16" ht="15.75" customHeight="1" x14ac:dyDescent="0.3">
      <c r="A769" s="32" t="s">
        <v>59</v>
      </c>
      <c r="B769" s="9" t="s">
        <v>193</v>
      </c>
      <c r="C769" s="9" t="s">
        <v>111</v>
      </c>
      <c r="D769" s="9" t="s">
        <v>194</v>
      </c>
      <c r="E769" s="10">
        <v>9</v>
      </c>
      <c r="F769" s="9" t="s">
        <v>195</v>
      </c>
      <c r="G769" s="11">
        <v>0</v>
      </c>
      <c r="H769" s="9" t="s">
        <v>128</v>
      </c>
      <c r="I769" s="9" t="s">
        <v>129</v>
      </c>
      <c r="J769" s="9" t="s">
        <v>8</v>
      </c>
      <c r="K769" s="9"/>
      <c r="L769" s="9"/>
      <c r="M769" s="12">
        <f t="shared" si="44"/>
        <v>348</v>
      </c>
      <c r="N769" s="13">
        <f t="shared" si="45"/>
        <v>583</v>
      </c>
      <c r="O769" s="14">
        <f t="shared" si="46"/>
        <v>931</v>
      </c>
      <c r="P769" s="15">
        <f t="shared" si="47"/>
        <v>1.1216867469879519</v>
      </c>
    </row>
    <row r="770" spans="1:16" ht="15.75" customHeight="1" x14ac:dyDescent="0.3">
      <c r="A770" s="32" t="s">
        <v>59</v>
      </c>
      <c r="B770" s="9" t="s">
        <v>193</v>
      </c>
      <c r="C770" s="9" t="s">
        <v>80</v>
      </c>
      <c r="D770" s="9" t="s">
        <v>194</v>
      </c>
      <c r="E770" s="10">
        <v>3</v>
      </c>
      <c r="F770" s="9" t="s">
        <v>195</v>
      </c>
      <c r="G770" s="11">
        <v>0</v>
      </c>
      <c r="H770" s="9" t="s">
        <v>128</v>
      </c>
      <c r="I770" s="9" t="s">
        <v>129</v>
      </c>
      <c r="J770" s="9" t="s">
        <v>8</v>
      </c>
      <c r="K770" s="9"/>
      <c r="L770" s="9"/>
      <c r="M770" s="12">
        <f t="shared" ref="M770:M833" si="48">SUMIFS($E$2:$E$1130,$A$2:$A$1130,"осень",$I$2:$I$1130,I770)</f>
        <v>348</v>
      </c>
      <c r="N770" s="13">
        <f t="shared" ref="N770:N833" si="49">SUMIFS($E$2:$E$1130,$A$2:$A$1130,"весна",$I$2:$I$1130,I770)</f>
        <v>583</v>
      </c>
      <c r="O770" s="14">
        <f t="shared" ref="O770:O833" si="50">M770+N770</f>
        <v>931</v>
      </c>
      <c r="P770" s="15">
        <f t="shared" ref="P770:P833" si="51">O770/$P$1</f>
        <v>1.1216867469879519</v>
      </c>
    </row>
    <row r="771" spans="1:16" ht="15.75" customHeight="1" x14ac:dyDescent="0.3">
      <c r="A771" s="32" t="s">
        <v>59</v>
      </c>
      <c r="B771" s="9" t="s">
        <v>378</v>
      </c>
      <c r="C771" s="9" t="s">
        <v>73</v>
      </c>
      <c r="D771" s="9" t="s">
        <v>194</v>
      </c>
      <c r="E771" s="10">
        <v>16</v>
      </c>
      <c r="F771" s="9" t="s">
        <v>195</v>
      </c>
      <c r="G771" s="10">
        <v>16</v>
      </c>
      <c r="H771" s="9" t="s">
        <v>200</v>
      </c>
      <c r="I771" s="9" t="s">
        <v>201</v>
      </c>
      <c r="J771" s="9" t="s">
        <v>4</v>
      </c>
      <c r="K771" s="9"/>
      <c r="L771" s="9"/>
      <c r="M771" s="12">
        <f t="shared" si="48"/>
        <v>647</v>
      </c>
      <c r="N771" s="13">
        <f t="shared" si="49"/>
        <v>461.5</v>
      </c>
      <c r="O771" s="14">
        <f t="shared" si="50"/>
        <v>1108.5</v>
      </c>
      <c r="P771" s="15">
        <f t="shared" si="51"/>
        <v>1.3355421686746989</v>
      </c>
    </row>
    <row r="772" spans="1:16" ht="15.75" customHeight="1" x14ac:dyDescent="0.3">
      <c r="A772" s="32" t="s">
        <v>59</v>
      </c>
      <c r="B772" s="9" t="s">
        <v>378</v>
      </c>
      <c r="C772" s="9" t="s">
        <v>87</v>
      </c>
      <c r="D772" s="9" t="s">
        <v>194</v>
      </c>
      <c r="E772" s="10">
        <v>6</v>
      </c>
      <c r="F772" s="9" t="s">
        <v>195</v>
      </c>
      <c r="G772" s="11">
        <v>0</v>
      </c>
      <c r="H772" s="9" t="s">
        <v>200</v>
      </c>
      <c r="I772" s="9" t="s">
        <v>201</v>
      </c>
      <c r="J772" s="9" t="s">
        <v>4</v>
      </c>
      <c r="K772" s="9"/>
      <c r="L772" s="9"/>
      <c r="M772" s="12">
        <f t="shared" si="48"/>
        <v>647</v>
      </c>
      <c r="N772" s="13">
        <f t="shared" si="49"/>
        <v>461.5</v>
      </c>
      <c r="O772" s="14">
        <f t="shared" si="50"/>
        <v>1108.5</v>
      </c>
      <c r="P772" s="15">
        <f t="shared" si="51"/>
        <v>1.3355421686746989</v>
      </c>
    </row>
    <row r="773" spans="1:16" ht="15.75" customHeight="1" x14ac:dyDescent="0.3">
      <c r="A773" s="32" t="s">
        <v>59</v>
      </c>
      <c r="B773" s="9" t="s">
        <v>378</v>
      </c>
      <c r="C773" s="9" t="s">
        <v>79</v>
      </c>
      <c r="D773" s="9" t="s">
        <v>194</v>
      </c>
      <c r="E773" s="10">
        <v>24</v>
      </c>
      <c r="F773" s="9" t="s">
        <v>195</v>
      </c>
      <c r="G773" s="10">
        <v>24</v>
      </c>
      <c r="H773" s="9" t="s">
        <v>200</v>
      </c>
      <c r="I773" s="9" t="s">
        <v>201</v>
      </c>
      <c r="J773" s="9" t="s">
        <v>4</v>
      </c>
      <c r="K773" s="9"/>
      <c r="L773" s="9"/>
      <c r="M773" s="12">
        <f t="shared" si="48"/>
        <v>647</v>
      </c>
      <c r="N773" s="13">
        <f t="shared" si="49"/>
        <v>461.5</v>
      </c>
      <c r="O773" s="14">
        <f t="shared" si="50"/>
        <v>1108.5</v>
      </c>
      <c r="P773" s="15">
        <f t="shared" si="51"/>
        <v>1.3355421686746989</v>
      </c>
    </row>
    <row r="774" spans="1:16" ht="15.75" customHeight="1" x14ac:dyDescent="0.3">
      <c r="A774" s="32" t="s">
        <v>59</v>
      </c>
      <c r="B774" s="9" t="s">
        <v>378</v>
      </c>
      <c r="C774" s="9" t="s">
        <v>80</v>
      </c>
      <c r="D774" s="9" t="s">
        <v>194</v>
      </c>
      <c r="E774" s="10">
        <v>1</v>
      </c>
      <c r="F774" s="9" t="s">
        <v>195</v>
      </c>
      <c r="G774" s="11">
        <v>0</v>
      </c>
      <c r="H774" s="9" t="s">
        <v>200</v>
      </c>
      <c r="I774" s="9" t="s">
        <v>201</v>
      </c>
      <c r="J774" s="9" t="s">
        <v>4</v>
      </c>
      <c r="K774" s="9"/>
      <c r="L774" s="9"/>
      <c r="M774" s="12">
        <f t="shared" si="48"/>
        <v>647</v>
      </c>
      <c r="N774" s="13">
        <f t="shared" si="49"/>
        <v>461.5</v>
      </c>
      <c r="O774" s="14">
        <f t="shared" si="50"/>
        <v>1108.5</v>
      </c>
      <c r="P774" s="15">
        <f t="shared" si="51"/>
        <v>1.3355421686746989</v>
      </c>
    </row>
    <row r="775" spans="1:16" ht="15.75" customHeight="1" x14ac:dyDescent="0.3">
      <c r="A775" s="32" t="s">
        <v>59</v>
      </c>
      <c r="B775" s="9" t="s">
        <v>379</v>
      </c>
      <c r="C775" s="9" t="s">
        <v>73</v>
      </c>
      <c r="D775" s="9" t="s">
        <v>194</v>
      </c>
      <c r="E775" s="10">
        <v>12</v>
      </c>
      <c r="F775" s="9" t="s">
        <v>195</v>
      </c>
      <c r="G775" s="10">
        <v>12</v>
      </c>
      <c r="H775" s="9" t="s">
        <v>200</v>
      </c>
      <c r="I775" s="9" t="s">
        <v>201</v>
      </c>
      <c r="J775" s="9" t="s">
        <v>4</v>
      </c>
      <c r="K775" s="9"/>
      <c r="L775" s="9"/>
      <c r="M775" s="12">
        <f t="shared" si="48"/>
        <v>647</v>
      </c>
      <c r="N775" s="13">
        <f t="shared" si="49"/>
        <v>461.5</v>
      </c>
      <c r="O775" s="14">
        <f t="shared" si="50"/>
        <v>1108.5</v>
      </c>
      <c r="P775" s="15">
        <f t="shared" si="51"/>
        <v>1.3355421686746989</v>
      </c>
    </row>
    <row r="776" spans="1:16" ht="15.75" customHeight="1" x14ac:dyDescent="0.3">
      <c r="A776" s="32" t="s">
        <v>59</v>
      </c>
      <c r="B776" s="9" t="s">
        <v>379</v>
      </c>
      <c r="C776" s="9" t="s">
        <v>100</v>
      </c>
      <c r="D776" s="9" t="s">
        <v>194</v>
      </c>
      <c r="E776" s="10">
        <v>40</v>
      </c>
      <c r="F776" s="9" t="s">
        <v>195</v>
      </c>
      <c r="G776" s="10">
        <v>20</v>
      </c>
      <c r="H776" s="9" t="s">
        <v>200</v>
      </c>
      <c r="I776" s="9" t="s">
        <v>201</v>
      </c>
      <c r="J776" s="9" t="s">
        <v>4</v>
      </c>
      <c r="K776" s="9"/>
      <c r="L776" s="9"/>
      <c r="M776" s="12">
        <f t="shared" si="48"/>
        <v>647</v>
      </c>
      <c r="N776" s="13">
        <f t="shared" si="49"/>
        <v>461.5</v>
      </c>
      <c r="O776" s="14">
        <f t="shared" si="50"/>
        <v>1108.5</v>
      </c>
      <c r="P776" s="15">
        <f t="shared" si="51"/>
        <v>1.3355421686746989</v>
      </c>
    </row>
    <row r="777" spans="1:16" ht="15.75" customHeight="1" x14ac:dyDescent="0.3">
      <c r="A777" s="32" t="s">
        <v>59</v>
      </c>
      <c r="B777" s="9" t="s">
        <v>379</v>
      </c>
      <c r="C777" s="9" t="s">
        <v>142</v>
      </c>
      <c r="D777" s="9" t="s">
        <v>194</v>
      </c>
      <c r="E777" s="10">
        <v>6</v>
      </c>
      <c r="F777" s="9" t="s">
        <v>195</v>
      </c>
      <c r="G777" s="11">
        <v>0</v>
      </c>
      <c r="H777" s="9" t="s">
        <v>200</v>
      </c>
      <c r="I777" s="9" t="s">
        <v>201</v>
      </c>
      <c r="J777" s="9" t="s">
        <v>4</v>
      </c>
      <c r="K777" s="9"/>
      <c r="L777" s="9"/>
      <c r="M777" s="12">
        <f t="shared" si="48"/>
        <v>647</v>
      </c>
      <c r="N777" s="13">
        <f t="shared" si="49"/>
        <v>461.5</v>
      </c>
      <c r="O777" s="14">
        <f t="shared" si="50"/>
        <v>1108.5</v>
      </c>
      <c r="P777" s="15">
        <f t="shared" si="51"/>
        <v>1.3355421686746989</v>
      </c>
    </row>
    <row r="778" spans="1:16" ht="15.75" customHeight="1" x14ac:dyDescent="0.3">
      <c r="A778" s="32" t="s">
        <v>59</v>
      </c>
      <c r="B778" s="9" t="s">
        <v>379</v>
      </c>
      <c r="C778" s="9" t="s">
        <v>80</v>
      </c>
      <c r="D778" s="9" t="s">
        <v>194</v>
      </c>
      <c r="E778" s="10">
        <v>1</v>
      </c>
      <c r="F778" s="9" t="s">
        <v>195</v>
      </c>
      <c r="G778" s="11">
        <v>0</v>
      </c>
      <c r="H778" s="9" t="s">
        <v>200</v>
      </c>
      <c r="I778" s="9" t="s">
        <v>201</v>
      </c>
      <c r="J778" s="9" t="s">
        <v>4</v>
      </c>
      <c r="K778" s="9"/>
      <c r="L778" s="9"/>
      <c r="M778" s="12">
        <f t="shared" si="48"/>
        <v>647</v>
      </c>
      <c r="N778" s="13">
        <f t="shared" si="49"/>
        <v>461.5</v>
      </c>
      <c r="O778" s="14">
        <f t="shared" si="50"/>
        <v>1108.5</v>
      </c>
      <c r="P778" s="15">
        <f t="shared" si="51"/>
        <v>1.3355421686746989</v>
      </c>
    </row>
    <row r="779" spans="1:16" ht="15.75" customHeight="1" x14ac:dyDescent="0.3">
      <c r="A779" s="32" t="s">
        <v>59</v>
      </c>
      <c r="B779" s="9" t="s">
        <v>380</v>
      </c>
      <c r="C779" s="9" t="s">
        <v>73</v>
      </c>
      <c r="D779" s="9" t="s">
        <v>199</v>
      </c>
      <c r="E779" s="10">
        <v>16</v>
      </c>
      <c r="F779" s="9" t="s">
        <v>195</v>
      </c>
      <c r="G779" s="10">
        <v>16</v>
      </c>
      <c r="H779" s="9" t="s">
        <v>179</v>
      </c>
      <c r="I779" s="9" t="s">
        <v>180</v>
      </c>
      <c r="J779" s="9" t="s">
        <v>4</v>
      </c>
      <c r="K779" s="9"/>
      <c r="L779" s="9"/>
      <c r="M779" s="12">
        <f t="shared" si="48"/>
        <v>703</v>
      </c>
      <c r="N779" s="13">
        <f t="shared" si="49"/>
        <v>179.5</v>
      </c>
      <c r="O779" s="14">
        <f t="shared" si="50"/>
        <v>882.5</v>
      </c>
      <c r="P779" s="15">
        <f t="shared" si="51"/>
        <v>1.0632530120481927</v>
      </c>
    </row>
    <row r="780" spans="1:16" ht="15.75" customHeight="1" x14ac:dyDescent="0.3">
      <c r="A780" s="32" t="s">
        <v>59</v>
      </c>
      <c r="B780" s="9" t="s">
        <v>380</v>
      </c>
      <c r="C780" s="9" t="s">
        <v>79</v>
      </c>
      <c r="D780" s="9" t="s">
        <v>199</v>
      </c>
      <c r="E780" s="10">
        <v>8</v>
      </c>
      <c r="F780" s="9" t="s">
        <v>195</v>
      </c>
      <c r="G780" s="10">
        <v>8</v>
      </c>
      <c r="H780" s="9" t="s">
        <v>179</v>
      </c>
      <c r="I780" s="9" t="s">
        <v>180</v>
      </c>
      <c r="J780" s="9" t="s">
        <v>4</v>
      </c>
      <c r="K780" s="9"/>
      <c r="L780" s="9"/>
      <c r="M780" s="12">
        <f t="shared" si="48"/>
        <v>703</v>
      </c>
      <c r="N780" s="13">
        <f t="shared" si="49"/>
        <v>179.5</v>
      </c>
      <c r="O780" s="14">
        <f t="shared" si="50"/>
        <v>882.5</v>
      </c>
      <c r="P780" s="15">
        <f t="shared" si="51"/>
        <v>1.0632530120481927</v>
      </c>
    </row>
    <row r="781" spans="1:16" ht="15.75" customHeight="1" x14ac:dyDescent="0.3">
      <c r="A781" s="32" t="s">
        <v>59</v>
      </c>
      <c r="B781" s="9" t="s">
        <v>380</v>
      </c>
      <c r="C781" s="9" t="s">
        <v>142</v>
      </c>
      <c r="D781" s="9" t="s">
        <v>199</v>
      </c>
      <c r="E781" s="10">
        <v>8</v>
      </c>
      <c r="F781" s="9" t="s">
        <v>195</v>
      </c>
      <c r="G781" s="11">
        <v>0</v>
      </c>
      <c r="H781" s="9" t="s">
        <v>179</v>
      </c>
      <c r="I781" s="9" t="s">
        <v>180</v>
      </c>
      <c r="J781" s="9" t="s">
        <v>4</v>
      </c>
      <c r="K781" s="9"/>
      <c r="L781" s="9"/>
      <c r="M781" s="12">
        <f t="shared" si="48"/>
        <v>703</v>
      </c>
      <c r="N781" s="13">
        <f t="shared" si="49"/>
        <v>179.5</v>
      </c>
      <c r="O781" s="14">
        <f t="shared" si="50"/>
        <v>882.5</v>
      </c>
      <c r="P781" s="15">
        <f t="shared" si="51"/>
        <v>1.0632530120481927</v>
      </c>
    </row>
    <row r="782" spans="1:16" ht="15.75" customHeight="1" x14ac:dyDescent="0.3">
      <c r="A782" s="32" t="s">
        <v>59</v>
      </c>
      <c r="B782" s="9" t="s">
        <v>380</v>
      </c>
      <c r="C782" s="9" t="s">
        <v>80</v>
      </c>
      <c r="D782" s="9" t="s">
        <v>199</v>
      </c>
      <c r="E782" s="10">
        <v>1</v>
      </c>
      <c r="F782" s="9" t="s">
        <v>195</v>
      </c>
      <c r="G782" s="11">
        <v>0</v>
      </c>
      <c r="H782" s="9" t="s">
        <v>179</v>
      </c>
      <c r="I782" s="9" t="s">
        <v>180</v>
      </c>
      <c r="J782" s="9" t="s">
        <v>4</v>
      </c>
      <c r="K782" s="9"/>
      <c r="L782" s="9"/>
      <c r="M782" s="12">
        <f t="shared" si="48"/>
        <v>703</v>
      </c>
      <c r="N782" s="13">
        <f t="shared" si="49"/>
        <v>179.5</v>
      </c>
      <c r="O782" s="14">
        <f t="shared" si="50"/>
        <v>882.5</v>
      </c>
      <c r="P782" s="15">
        <f t="shared" si="51"/>
        <v>1.0632530120481927</v>
      </c>
    </row>
    <row r="783" spans="1:16" ht="15.75" customHeight="1" x14ac:dyDescent="0.3">
      <c r="A783" s="32" t="s">
        <v>59</v>
      </c>
      <c r="B783" s="9" t="s">
        <v>198</v>
      </c>
      <c r="C783" s="9" t="s">
        <v>73</v>
      </c>
      <c r="D783" s="9" t="s">
        <v>199</v>
      </c>
      <c r="E783" s="10">
        <v>24</v>
      </c>
      <c r="F783" s="9" t="s">
        <v>195</v>
      </c>
      <c r="G783" s="10">
        <v>24</v>
      </c>
      <c r="H783" s="9" t="s">
        <v>200</v>
      </c>
      <c r="I783" s="9" t="s">
        <v>201</v>
      </c>
      <c r="J783" s="9" t="s">
        <v>4</v>
      </c>
      <c r="K783" s="9"/>
      <c r="L783" s="9"/>
      <c r="M783" s="12">
        <f t="shared" si="48"/>
        <v>647</v>
      </c>
      <c r="N783" s="13">
        <f t="shared" si="49"/>
        <v>461.5</v>
      </c>
      <c r="O783" s="14">
        <f t="shared" si="50"/>
        <v>1108.5</v>
      </c>
      <c r="P783" s="15">
        <f t="shared" si="51"/>
        <v>1.3355421686746989</v>
      </c>
    </row>
    <row r="784" spans="1:16" ht="15.75" customHeight="1" x14ac:dyDescent="0.3">
      <c r="A784" s="32" t="s">
        <v>59</v>
      </c>
      <c r="B784" s="9" t="s">
        <v>198</v>
      </c>
      <c r="C784" s="9" t="s">
        <v>79</v>
      </c>
      <c r="D784" s="9" t="s">
        <v>199</v>
      </c>
      <c r="E784" s="10">
        <v>32</v>
      </c>
      <c r="F784" s="9" t="s">
        <v>195</v>
      </c>
      <c r="G784" s="10">
        <v>32</v>
      </c>
      <c r="H784" s="9" t="s">
        <v>200</v>
      </c>
      <c r="I784" s="9" t="s">
        <v>201</v>
      </c>
      <c r="J784" s="9" t="s">
        <v>4</v>
      </c>
      <c r="K784" s="9"/>
      <c r="L784" s="9"/>
      <c r="M784" s="12">
        <f t="shared" si="48"/>
        <v>647</v>
      </c>
      <c r="N784" s="13">
        <f t="shared" si="49"/>
        <v>461.5</v>
      </c>
      <c r="O784" s="14">
        <f t="shared" si="50"/>
        <v>1108.5</v>
      </c>
      <c r="P784" s="15">
        <f t="shared" si="51"/>
        <v>1.3355421686746989</v>
      </c>
    </row>
    <row r="785" spans="1:16" ht="15.75" customHeight="1" x14ac:dyDescent="0.3">
      <c r="A785" s="32" t="s">
        <v>59</v>
      </c>
      <c r="B785" s="9" t="s">
        <v>198</v>
      </c>
      <c r="C785" s="9" t="s">
        <v>111</v>
      </c>
      <c r="D785" s="9" t="s">
        <v>199</v>
      </c>
      <c r="E785" s="10">
        <v>12</v>
      </c>
      <c r="F785" s="9" t="s">
        <v>195</v>
      </c>
      <c r="G785" s="11">
        <v>0</v>
      </c>
      <c r="H785" s="9" t="s">
        <v>200</v>
      </c>
      <c r="I785" s="9" t="s">
        <v>201</v>
      </c>
      <c r="J785" s="9" t="s">
        <v>4</v>
      </c>
      <c r="K785" s="9"/>
      <c r="L785" s="9"/>
      <c r="M785" s="12">
        <f t="shared" si="48"/>
        <v>647</v>
      </c>
      <c r="N785" s="13">
        <f t="shared" si="49"/>
        <v>461.5</v>
      </c>
      <c r="O785" s="14">
        <f t="shared" si="50"/>
        <v>1108.5</v>
      </c>
      <c r="P785" s="15">
        <f t="shared" si="51"/>
        <v>1.3355421686746989</v>
      </c>
    </row>
    <row r="786" spans="1:16" ht="15.75" customHeight="1" x14ac:dyDescent="0.3">
      <c r="A786" s="32" t="s">
        <v>59</v>
      </c>
      <c r="B786" s="9" t="s">
        <v>198</v>
      </c>
      <c r="C786" s="9" t="s">
        <v>80</v>
      </c>
      <c r="D786" s="9" t="s">
        <v>199</v>
      </c>
      <c r="E786" s="10">
        <v>3</v>
      </c>
      <c r="F786" s="9" t="s">
        <v>195</v>
      </c>
      <c r="G786" s="11">
        <v>0</v>
      </c>
      <c r="H786" s="9" t="s">
        <v>200</v>
      </c>
      <c r="I786" s="9" t="s">
        <v>201</v>
      </c>
      <c r="J786" s="9" t="s">
        <v>4</v>
      </c>
      <c r="K786" s="9"/>
      <c r="L786" s="9"/>
      <c r="M786" s="12">
        <f t="shared" si="48"/>
        <v>647</v>
      </c>
      <c r="N786" s="13">
        <f t="shared" si="49"/>
        <v>461.5</v>
      </c>
      <c r="O786" s="14">
        <f t="shared" si="50"/>
        <v>1108.5</v>
      </c>
      <c r="P786" s="15">
        <f t="shared" si="51"/>
        <v>1.3355421686746989</v>
      </c>
    </row>
    <row r="787" spans="1:16" ht="15.75" customHeight="1" x14ac:dyDescent="0.3">
      <c r="A787" s="32" t="s">
        <v>59</v>
      </c>
      <c r="B787" s="9" t="s">
        <v>381</v>
      </c>
      <c r="C787" s="9" t="s">
        <v>73</v>
      </c>
      <c r="D787" s="9" t="s">
        <v>199</v>
      </c>
      <c r="E787" s="10">
        <v>16</v>
      </c>
      <c r="F787" s="9" t="s">
        <v>195</v>
      </c>
      <c r="G787" s="10">
        <v>16</v>
      </c>
      <c r="H787" s="9" t="s">
        <v>179</v>
      </c>
      <c r="I787" s="9" t="s">
        <v>180</v>
      </c>
      <c r="J787" s="9" t="s">
        <v>4</v>
      </c>
      <c r="K787" s="9"/>
      <c r="L787" s="9"/>
      <c r="M787" s="12">
        <f t="shared" si="48"/>
        <v>703</v>
      </c>
      <c r="N787" s="13">
        <f t="shared" si="49"/>
        <v>179.5</v>
      </c>
      <c r="O787" s="14">
        <f t="shared" si="50"/>
        <v>882.5</v>
      </c>
      <c r="P787" s="15">
        <f t="shared" si="51"/>
        <v>1.0632530120481927</v>
      </c>
    </row>
    <row r="788" spans="1:16" ht="15.75" customHeight="1" x14ac:dyDescent="0.3">
      <c r="A788" s="32" t="s">
        <v>59</v>
      </c>
      <c r="B788" s="9" t="s">
        <v>381</v>
      </c>
      <c r="C788" s="9" t="s">
        <v>79</v>
      </c>
      <c r="D788" s="9" t="s">
        <v>199</v>
      </c>
      <c r="E788" s="10">
        <v>24</v>
      </c>
      <c r="F788" s="9" t="s">
        <v>195</v>
      </c>
      <c r="G788" s="10">
        <v>24</v>
      </c>
      <c r="H788" s="9" t="s">
        <v>179</v>
      </c>
      <c r="I788" s="9" t="s">
        <v>180</v>
      </c>
      <c r="J788" s="9" t="s">
        <v>4</v>
      </c>
      <c r="K788" s="9"/>
      <c r="L788" s="9"/>
      <c r="M788" s="12">
        <f t="shared" si="48"/>
        <v>703</v>
      </c>
      <c r="N788" s="13">
        <f t="shared" si="49"/>
        <v>179.5</v>
      </c>
      <c r="O788" s="14">
        <f t="shared" si="50"/>
        <v>882.5</v>
      </c>
      <c r="P788" s="15">
        <f t="shared" si="51"/>
        <v>1.0632530120481927</v>
      </c>
    </row>
    <row r="789" spans="1:16" ht="15.75" customHeight="1" x14ac:dyDescent="0.3">
      <c r="A789" s="32" t="s">
        <v>59</v>
      </c>
      <c r="B789" s="9" t="s">
        <v>381</v>
      </c>
      <c r="C789" s="9" t="s">
        <v>142</v>
      </c>
      <c r="D789" s="9" t="s">
        <v>199</v>
      </c>
      <c r="E789" s="10">
        <v>8</v>
      </c>
      <c r="F789" s="9" t="s">
        <v>195</v>
      </c>
      <c r="G789" s="11">
        <v>0</v>
      </c>
      <c r="H789" s="9" t="s">
        <v>179</v>
      </c>
      <c r="I789" s="9" t="s">
        <v>180</v>
      </c>
      <c r="J789" s="9" t="s">
        <v>4</v>
      </c>
      <c r="K789" s="9"/>
      <c r="L789" s="9"/>
      <c r="M789" s="12">
        <f t="shared" si="48"/>
        <v>703</v>
      </c>
      <c r="N789" s="13">
        <f t="shared" si="49"/>
        <v>179.5</v>
      </c>
      <c r="O789" s="14">
        <f t="shared" si="50"/>
        <v>882.5</v>
      </c>
      <c r="P789" s="15">
        <f t="shared" si="51"/>
        <v>1.0632530120481927</v>
      </c>
    </row>
    <row r="790" spans="1:16" ht="15.75" customHeight="1" x14ac:dyDescent="0.3">
      <c r="A790" s="32" t="s">
        <v>59</v>
      </c>
      <c r="B790" s="9" t="s">
        <v>381</v>
      </c>
      <c r="C790" s="9" t="s">
        <v>80</v>
      </c>
      <c r="D790" s="9" t="s">
        <v>199</v>
      </c>
      <c r="E790" s="10">
        <v>1</v>
      </c>
      <c r="F790" s="9" t="s">
        <v>195</v>
      </c>
      <c r="G790" s="11">
        <v>0</v>
      </c>
      <c r="H790" s="9" t="s">
        <v>179</v>
      </c>
      <c r="I790" s="9" t="s">
        <v>180</v>
      </c>
      <c r="J790" s="9" t="s">
        <v>4</v>
      </c>
      <c r="K790" s="9"/>
      <c r="L790" s="9"/>
      <c r="M790" s="12">
        <f t="shared" si="48"/>
        <v>703</v>
      </c>
      <c r="N790" s="13">
        <f t="shared" si="49"/>
        <v>179.5</v>
      </c>
      <c r="O790" s="14">
        <f t="shared" si="50"/>
        <v>882.5</v>
      </c>
      <c r="P790" s="15">
        <f t="shared" si="51"/>
        <v>1.0632530120481927</v>
      </c>
    </row>
    <row r="791" spans="1:16" ht="15.75" customHeight="1" x14ac:dyDescent="0.3">
      <c r="A791" s="32" t="s">
        <v>59</v>
      </c>
      <c r="B791" s="9" t="s">
        <v>204</v>
      </c>
      <c r="C791" s="9" t="s">
        <v>73</v>
      </c>
      <c r="D791" s="9" t="s">
        <v>220</v>
      </c>
      <c r="E791" s="10">
        <v>26</v>
      </c>
      <c r="F791" s="9" t="s">
        <v>221</v>
      </c>
      <c r="G791" s="10">
        <v>26</v>
      </c>
      <c r="H791" s="9" t="s">
        <v>167</v>
      </c>
      <c r="I791" s="9" t="s">
        <v>168</v>
      </c>
      <c r="J791" s="9" t="s">
        <v>4</v>
      </c>
      <c r="K791" s="9"/>
      <c r="L791" s="9"/>
      <c r="M791" s="12">
        <f t="shared" si="48"/>
        <v>456</v>
      </c>
      <c r="N791" s="13">
        <f t="shared" si="49"/>
        <v>362</v>
      </c>
      <c r="O791" s="14">
        <f t="shared" si="50"/>
        <v>818</v>
      </c>
      <c r="P791" s="15">
        <f t="shared" si="51"/>
        <v>0.98554216867469879</v>
      </c>
    </row>
    <row r="792" spans="1:16" ht="15.75" customHeight="1" x14ac:dyDescent="0.3">
      <c r="A792" s="32" t="s">
        <v>59</v>
      </c>
      <c r="B792" s="9" t="s">
        <v>204</v>
      </c>
      <c r="C792" s="9" t="s">
        <v>123</v>
      </c>
      <c r="D792" s="9" t="s">
        <v>220</v>
      </c>
      <c r="E792" s="10">
        <v>33</v>
      </c>
      <c r="F792" s="9" t="s">
        <v>221</v>
      </c>
      <c r="G792" s="11">
        <v>0</v>
      </c>
      <c r="H792" s="9" t="s">
        <v>167</v>
      </c>
      <c r="I792" s="9" t="s">
        <v>168</v>
      </c>
      <c r="J792" s="9" t="s">
        <v>4</v>
      </c>
      <c r="K792" s="9"/>
      <c r="L792" s="9"/>
      <c r="M792" s="12">
        <f t="shared" si="48"/>
        <v>456</v>
      </c>
      <c r="N792" s="13">
        <f t="shared" si="49"/>
        <v>362</v>
      </c>
      <c r="O792" s="14">
        <f t="shared" si="50"/>
        <v>818</v>
      </c>
      <c r="P792" s="15">
        <f t="shared" si="51"/>
        <v>0.98554216867469879</v>
      </c>
    </row>
    <row r="793" spans="1:16" ht="15.75" customHeight="1" x14ac:dyDescent="0.3">
      <c r="A793" s="32" t="s">
        <v>59</v>
      </c>
      <c r="B793" s="9" t="s">
        <v>204</v>
      </c>
      <c r="C793" s="9" t="s">
        <v>79</v>
      </c>
      <c r="D793" s="9" t="s">
        <v>220</v>
      </c>
      <c r="E793" s="10">
        <v>42</v>
      </c>
      <c r="F793" s="9" t="s">
        <v>221</v>
      </c>
      <c r="G793" s="10">
        <v>42</v>
      </c>
      <c r="H793" s="9" t="s">
        <v>167</v>
      </c>
      <c r="I793" s="9" t="s">
        <v>168</v>
      </c>
      <c r="J793" s="9" t="s">
        <v>4</v>
      </c>
      <c r="K793" s="9"/>
      <c r="L793" s="9"/>
      <c r="M793" s="12">
        <f t="shared" si="48"/>
        <v>456</v>
      </c>
      <c r="N793" s="13">
        <f t="shared" si="49"/>
        <v>362</v>
      </c>
      <c r="O793" s="14">
        <f t="shared" si="50"/>
        <v>818</v>
      </c>
      <c r="P793" s="15">
        <f t="shared" si="51"/>
        <v>0.98554216867469879</v>
      </c>
    </row>
    <row r="794" spans="1:16" ht="15.75" customHeight="1" x14ac:dyDescent="0.3">
      <c r="A794" s="32" t="s">
        <v>59</v>
      </c>
      <c r="B794" s="9" t="s">
        <v>204</v>
      </c>
      <c r="C794" s="9" t="s">
        <v>111</v>
      </c>
      <c r="D794" s="9" t="s">
        <v>220</v>
      </c>
      <c r="E794" s="10">
        <v>6</v>
      </c>
      <c r="F794" s="9" t="s">
        <v>221</v>
      </c>
      <c r="G794" s="11">
        <v>0</v>
      </c>
      <c r="H794" s="9" t="s">
        <v>167</v>
      </c>
      <c r="I794" s="9" t="s">
        <v>168</v>
      </c>
      <c r="J794" s="9" t="s">
        <v>4</v>
      </c>
      <c r="K794" s="9"/>
      <c r="L794" s="9"/>
      <c r="M794" s="12">
        <f t="shared" si="48"/>
        <v>456</v>
      </c>
      <c r="N794" s="13">
        <f t="shared" si="49"/>
        <v>362</v>
      </c>
      <c r="O794" s="14">
        <f t="shared" si="50"/>
        <v>818</v>
      </c>
      <c r="P794" s="15">
        <f t="shared" si="51"/>
        <v>0.98554216867469879</v>
      </c>
    </row>
    <row r="795" spans="1:16" ht="15.75" customHeight="1" x14ac:dyDescent="0.3">
      <c r="A795" s="32" t="s">
        <v>59</v>
      </c>
      <c r="B795" s="9" t="s">
        <v>204</v>
      </c>
      <c r="C795" s="9" t="s">
        <v>80</v>
      </c>
      <c r="D795" s="9" t="s">
        <v>220</v>
      </c>
      <c r="E795" s="10">
        <v>5</v>
      </c>
      <c r="F795" s="9" t="s">
        <v>221</v>
      </c>
      <c r="G795" s="11">
        <v>0</v>
      </c>
      <c r="H795" s="9" t="s">
        <v>167</v>
      </c>
      <c r="I795" s="9" t="s">
        <v>168</v>
      </c>
      <c r="J795" s="9" t="s">
        <v>4</v>
      </c>
      <c r="K795" s="9"/>
      <c r="L795" s="9"/>
      <c r="M795" s="12">
        <f t="shared" si="48"/>
        <v>456</v>
      </c>
      <c r="N795" s="13">
        <f t="shared" si="49"/>
        <v>362</v>
      </c>
      <c r="O795" s="14">
        <f t="shared" si="50"/>
        <v>818</v>
      </c>
      <c r="P795" s="15">
        <f t="shared" si="51"/>
        <v>0.98554216867469879</v>
      </c>
    </row>
    <row r="796" spans="1:16" ht="15.75" customHeight="1" x14ac:dyDescent="0.3">
      <c r="A796" s="32" t="s">
        <v>59</v>
      </c>
      <c r="B796" s="9" t="s">
        <v>382</v>
      </c>
      <c r="C796" s="9" t="s">
        <v>73</v>
      </c>
      <c r="D796" s="9" t="s">
        <v>126</v>
      </c>
      <c r="E796" s="10">
        <v>12</v>
      </c>
      <c r="F796" s="9" t="s">
        <v>127</v>
      </c>
      <c r="G796" s="10">
        <v>12</v>
      </c>
      <c r="H796" s="9" t="s">
        <v>210</v>
      </c>
      <c r="I796" s="9" t="s">
        <v>211</v>
      </c>
      <c r="J796" s="9" t="s">
        <v>4</v>
      </c>
      <c r="K796" s="9"/>
      <c r="L796" s="9"/>
      <c r="M796" s="12">
        <f t="shared" si="48"/>
        <v>213</v>
      </c>
      <c r="N796" s="13">
        <f t="shared" si="49"/>
        <v>399</v>
      </c>
      <c r="O796" s="14">
        <f t="shared" si="50"/>
        <v>612</v>
      </c>
      <c r="P796" s="15">
        <f t="shared" si="51"/>
        <v>0.73734939759036144</v>
      </c>
    </row>
    <row r="797" spans="1:16" ht="15.75" customHeight="1" x14ac:dyDescent="0.3">
      <c r="A797" s="32" t="s">
        <v>59</v>
      </c>
      <c r="B797" s="9" t="s">
        <v>382</v>
      </c>
      <c r="C797" s="9" t="s">
        <v>79</v>
      </c>
      <c r="D797" s="9" t="s">
        <v>126</v>
      </c>
      <c r="E797" s="10">
        <v>18</v>
      </c>
      <c r="F797" s="9" t="s">
        <v>127</v>
      </c>
      <c r="G797" s="10">
        <v>18</v>
      </c>
      <c r="H797" s="9" t="s">
        <v>210</v>
      </c>
      <c r="I797" s="9" t="s">
        <v>211</v>
      </c>
      <c r="J797" s="9" t="s">
        <v>4</v>
      </c>
      <c r="K797" s="9"/>
      <c r="L797" s="9"/>
      <c r="M797" s="12">
        <f t="shared" si="48"/>
        <v>213</v>
      </c>
      <c r="N797" s="13">
        <f t="shared" si="49"/>
        <v>399</v>
      </c>
      <c r="O797" s="14">
        <f t="shared" si="50"/>
        <v>612</v>
      </c>
      <c r="P797" s="15">
        <f t="shared" si="51"/>
        <v>0.73734939759036144</v>
      </c>
    </row>
    <row r="798" spans="1:16" ht="15.75" customHeight="1" x14ac:dyDescent="0.3">
      <c r="A798" s="32" t="s">
        <v>59</v>
      </c>
      <c r="B798" s="9" t="s">
        <v>382</v>
      </c>
      <c r="C798" s="9" t="s">
        <v>142</v>
      </c>
      <c r="D798" s="9" t="s">
        <v>126</v>
      </c>
      <c r="E798" s="10">
        <v>5</v>
      </c>
      <c r="F798" s="9" t="s">
        <v>127</v>
      </c>
      <c r="G798" s="11">
        <v>0</v>
      </c>
      <c r="H798" s="9" t="s">
        <v>210</v>
      </c>
      <c r="I798" s="9" t="s">
        <v>211</v>
      </c>
      <c r="J798" s="9" t="s">
        <v>4</v>
      </c>
      <c r="K798" s="9"/>
      <c r="L798" s="9"/>
      <c r="M798" s="12">
        <f t="shared" si="48"/>
        <v>213</v>
      </c>
      <c r="N798" s="13">
        <f t="shared" si="49"/>
        <v>399</v>
      </c>
      <c r="O798" s="14">
        <f t="shared" si="50"/>
        <v>612</v>
      </c>
      <c r="P798" s="15">
        <f t="shared" si="51"/>
        <v>0.73734939759036144</v>
      </c>
    </row>
    <row r="799" spans="1:16" ht="15.75" customHeight="1" x14ac:dyDescent="0.3">
      <c r="A799" s="32" t="s">
        <v>59</v>
      </c>
      <c r="B799" s="9" t="s">
        <v>382</v>
      </c>
      <c r="C799" s="9" t="s">
        <v>80</v>
      </c>
      <c r="D799" s="9" t="s">
        <v>126</v>
      </c>
      <c r="E799" s="10">
        <v>1</v>
      </c>
      <c r="F799" s="9" t="s">
        <v>127</v>
      </c>
      <c r="G799" s="11">
        <v>0</v>
      </c>
      <c r="H799" s="9" t="s">
        <v>210</v>
      </c>
      <c r="I799" s="9" t="s">
        <v>211</v>
      </c>
      <c r="J799" s="9" t="s">
        <v>4</v>
      </c>
      <c r="K799" s="9"/>
      <c r="L799" s="9"/>
      <c r="M799" s="12">
        <f t="shared" si="48"/>
        <v>213</v>
      </c>
      <c r="N799" s="13">
        <f t="shared" si="49"/>
        <v>399</v>
      </c>
      <c r="O799" s="14">
        <f t="shared" si="50"/>
        <v>612</v>
      </c>
      <c r="P799" s="15">
        <f t="shared" si="51"/>
        <v>0.73734939759036144</v>
      </c>
    </row>
    <row r="800" spans="1:16" ht="15.75" customHeight="1" x14ac:dyDescent="0.3">
      <c r="A800" s="32" t="s">
        <v>59</v>
      </c>
      <c r="B800" s="9" t="s">
        <v>383</v>
      </c>
      <c r="C800" s="9" t="s">
        <v>73</v>
      </c>
      <c r="D800" s="9" t="s">
        <v>189</v>
      </c>
      <c r="E800" s="10">
        <v>4</v>
      </c>
      <c r="F800" s="9" t="s">
        <v>190</v>
      </c>
      <c r="G800" s="10">
        <v>4</v>
      </c>
      <c r="H800" s="9" t="s">
        <v>167</v>
      </c>
      <c r="I800" s="9" t="s">
        <v>168</v>
      </c>
      <c r="J800" s="9" t="s">
        <v>4</v>
      </c>
      <c r="K800" s="9"/>
      <c r="L800" s="9"/>
      <c r="M800" s="12">
        <f t="shared" si="48"/>
        <v>456</v>
      </c>
      <c r="N800" s="13">
        <f t="shared" si="49"/>
        <v>362</v>
      </c>
      <c r="O800" s="14">
        <f t="shared" si="50"/>
        <v>818</v>
      </c>
      <c r="P800" s="15">
        <f t="shared" si="51"/>
        <v>0.98554216867469879</v>
      </c>
    </row>
    <row r="801" spans="1:16" ht="15.75" customHeight="1" x14ac:dyDescent="0.3">
      <c r="A801" s="32" t="s">
        <v>59</v>
      </c>
      <c r="B801" s="9" t="s">
        <v>383</v>
      </c>
      <c r="C801" s="9" t="s">
        <v>79</v>
      </c>
      <c r="D801" s="9" t="s">
        <v>189</v>
      </c>
      <c r="E801" s="10">
        <v>8</v>
      </c>
      <c r="F801" s="9" t="s">
        <v>190</v>
      </c>
      <c r="G801" s="10">
        <v>8</v>
      </c>
      <c r="H801" s="9" t="s">
        <v>167</v>
      </c>
      <c r="I801" s="9" t="s">
        <v>168</v>
      </c>
      <c r="J801" s="9" t="s">
        <v>4</v>
      </c>
      <c r="K801" s="9"/>
      <c r="L801" s="9"/>
      <c r="M801" s="12">
        <f t="shared" si="48"/>
        <v>456</v>
      </c>
      <c r="N801" s="13">
        <f t="shared" si="49"/>
        <v>362</v>
      </c>
      <c r="O801" s="14">
        <f t="shared" si="50"/>
        <v>818</v>
      </c>
      <c r="P801" s="15">
        <f t="shared" si="51"/>
        <v>0.98554216867469879</v>
      </c>
    </row>
    <row r="802" spans="1:16" ht="15.75" customHeight="1" x14ac:dyDescent="0.3">
      <c r="A802" s="32" t="s">
        <v>59</v>
      </c>
      <c r="B802" s="9" t="s">
        <v>383</v>
      </c>
      <c r="C802" s="9" t="s">
        <v>192</v>
      </c>
      <c r="D802" s="9" t="s">
        <v>189</v>
      </c>
      <c r="E802" s="10">
        <v>4</v>
      </c>
      <c r="F802" s="9" t="s">
        <v>190</v>
      </c>
      <c r="G802" s="10">
        <v>4</v>
      </c>
      <c r="H802" s="9" t="s">
        <v>167</v>
      </c>
      <c r="I802" s="9" t="s">
        <v>168</v>
      </c>
      <c r="J802" s="9" t="s">
        <v>4</v>
      </c>
      <c r="K802" s="9"/>
      <c r="L802" s="9"/>
      <c r="M802" s="12">
        <f t="shared" si="48"/>
        <v>456</v>
      </c>
      <c r="N802" s="13">
        <f t="shared" si="49"/>
        <v>362</v>
      </c>
      <c r="O802" s="14">
        <f t="shared" si="50"/>
        <v>818</v>
      </c>
      <c r="P802" s="15">
        <f t="shared" si="51"/>
        <v>0.98554216867469879</v>
      </c>
    </row>
    <row r="803" spans="1:16" ht="15.75" customHeight="1" x14ac:dyDescent="0.3">
      <c r="A803" s="32" t="s">
        <v>59</v>
      </c>
      <c r="B803" s="9" t="s">
        <v>383</v>
      </c>
      <c r="C803" s="9" t="s">
        <v>142</v>
      </c>
      <c r="D803" s="9" t="s">
        <v>189</v>
      </c>
      <c r="E803" s="10">
        <v>2</v>
      </c>
      <c r="F803" s="9" t="s">
        <v>190</v>
      </c>
      <c r="G803" s="11">
        <v>0</v>
      </c>
      <c r="H803" s="9" t="s">
        <v>167</v>
      </c>
      <c r="I803" s="9" t="s">
        <v>168</v>
      </c>
      <c r="J803" s="9" t="s">
        <v>4</v>
      </c>
      <c r="K803" s="9"/>
      <c r="L803" s="9"/>
      <c r="M803" s="12">
        <f t="shared" si="48"/>
        <v>456</v>
      </c>
      <c r="N803" s="13">
        <f t="shared" si="49"/>
        <v>362</v>
      </c>
      <c r="O803" s="14">
        <f t="shared" si="50"/>
        <v>818</v>
      </c>
      <c r="P803" s="15">
        <f t="shared" si="51"/>
        <v>0.98554216867469879</v>
      </c>
    </row>
    <row r="804" spans="1:16" ht="15.75" customHeight="1" x14ac:dyDescent="0.3">
      <c r="A804" s="32" t="s">
        <v>59</v>
      </c>
      <c r="B804" s="9" t="s">
        <v>384</v>
      </c>
      <c r="C804" s="9" t="s">
        <v>73</v>
      </c>
      <c r="D804" s="9" t="s">
        <v>160</v>
      </c>
      <c r="E804" s="10">
        <v>32</v>
      </c>
      <c r="F804" s="9" t="s">
        <v>161</v>
      </c>
      <c r="G804" s="10">
        <v>32</v>
      </c>
      <c r="H804" s="9" t="s">
        <v>84</v>
      </c>
      <c r="I804" s="9" t="s">
        <v>85</v>
      </c>
      <c r="J804" s="9"/>
      <c r="K804" s="9"/>
      <c r="L804" s="9" t="s">
        <v>351</v>
      </c>
      <c r="M804" s="12">
        <f t="shared" si="48"/>
        <v>284</v>
      </c>
      <c r="N804" s="13">
        <f t="shared" si="49"/>
        <v>691.5</v>
      </c>
      <c r="O804" s="14">
        <f t="shared" si="50"/>
        <v>975.5</v>
      </c>
      <c r="P804" s="15">
        <f t="shared" si="51"/>
        <v>1.175301204819277</v>
      </c>
    </row>
    <row r="805" spans="1:16" ht="15.75" customHeight="1" x14ac:dyDescent="0.3">
      <c r="A805" s="32" t="s">
        <v>59</v>
      </c>
      <c r="B805" s="9" t="s">
        <v>384</v>
      </c>
      <c r="C805" s="9" t="s">
        <v>79</v>
      </c>
      <c r="D805" s="9" t="s">
        <v>162</v>
      </c>
      <c r="E805" s="10">
        <v>20</v>
      </c>
      <c r="F805" s="9" t="s">
        <v>161</v>
      </c>
      <c r="G805" s="10">
        <v>20</v>
      </c>
      <c r="H805" s="9" t="s">
        <v>84</v>
      </c>
      <c r="I805" s="9" t="s">
        <v>85</v>
      </c>
      <c r="J805" s="9"/>
      <c r="K805" s="9"/>
      <c r="L805" s="9" t="s">
        <v>351</v>
      </c>
      <c r="M805" s="12">
        <f t="shared" si="48"/>
        <v>284</v>
      </c>
      <c r="N805" s="13">
        <f t="shared" si="49"/>
        <v>691.5</v>
      </c>
      <c r="O805" s="14">
        <f t="shared" si="50"/>
        <v>975.5</v>
      </c>
      <c r="P805" s="15">
        <f t="shared" si="51"/>
        <v>1.175301204819277</v>
      </c>
    </row>
    <row r="806" spans="1:16" ht="15.75" customHeight="1" x14ac:dyDescent="0.3">
      <c r="A806" s="32" t="s">
        <v>59</v>
      </c>
      <c r="B806" s="9" t="s">
        <v>384</v>
      </c>
      <c r="C806" s="9" t="s">
        <v>79</v>
      </c>
      <c r="D806" s="9" t="s">
        <v>163</v>
      </c>
      <c r="E806" s="10">
        <v>20</v>
      </c>
      <c r="F806" s="9" t="s">
        <v>161</v>
      </c>
      <c r="G806" s="10">
        <v>20</v>
      </c>
      <c r="H806" s="9" t="s">
        <v>84</v>
      </c>
      <c r="I806" s="9" t="s">
        <v>85</v>
      </c>
      <c r="J806" s="9"/>
      <c r="K806" s="9"/>
      <c r="L806" s="9" t="s">
        <v>351</v>
      </c>
      <c r="M806" s="12">
        <f t="shared" si="48"/>
        <v>284</v>
      </c>
      <c r="N806" s="13">
        <f t="shared" si="49"/>
        <v>691.5</v>
      </c>
      <c r="O806" s="14">
        <f t="shared" si="50"/>
        <v>975.5</v>
      </c>
      <c r="P806" s="15">
        <f t="shared" si="51"/>
        <v>1.175301204819277</v>
      </c>
    </row>
    <row r="807" spans="1:16" ht="15.75" customHeight="1" x14ac:dyDescent="0.3">
      <c r="A807" s="32" t="s">
        <v>59</v>
      </c>
      <c r="B807" s="9" t="s">
        <v>384</v>
      </c>
      <c r="C807" s="9" t="s">
        <v>100</v>
      </c>
      <c r="D807" s="9" t="s">
        <v>162</v>
      </c>
      <c r="E807" s="10">
        <v>32</v>
      </c>
      <c r="F807" s="9" t="s">
        <v>161</v>
      </c>
      <c r="G807" s="10">
        <v>16</v>
      </c>
      <c r="H807" s="9" t="s">
        <v>84</v>
      </c>
      <c r="I807" s="9" t="s">
        <v>85</v>
      </c>
      <c r="J807" s="9"/>
      <c r="K807" s="9"/>
      <c r="L807" s="9" t="s">
        <v>351</v>
      </c>
      <c r="M807" s="12">
        <f t="shared" si="48"/>
        <v>284</v>
      </c>
      <c r="N807" s="13">
        <f t="shared" si="49"/>
        <v>691.5</v>
      </c>
      <c r="O807" s="14">
        <f t="shared" si="50"/>
        <v>975.5</v>
      </c>
      <c r="P807" s="15">
        <f t="shared" si="51"/>
        <v>1.175301204819277</v>
      </c>
    </row>
    <row r="808" spans="1:16" ht="15.75" customHeight="1" x14ac:dyDescent="0.3">
      <c r="A808" s="32" t="s">
        <v>59</v>
      </c>
      <c r="B808" s="9" t="s">
        <v>384</v>
      </c>
      <c r="C808" s="9" t="s">
        <v>100</v>
      </c>
      <c r="D808" s="9" t="s">
        <v>163</v>
      </c>
      <c r="E808" s="10">
        <v>16</v>
      </c>
      <c r="F808" s="9" t="s">
        <v>161</v>
      </c>
      <c r="G808" s="10">
        <v>16</v>
      </c>
      <c r="H808" s="9" t="s">
        <v>84</v>
      </c>
      <c r="I808" s="9" t="s">
        <v>85</v>
      </c>
      <c r="J808" s="9"/>
      <c r="K808" s="9"/>
      <c r="L808" s="9" t="s">
        <v>351</v>
      </c>
      <c r="M808" s="12">
        <f t="shared" si="48"/>
        <v>284</v>
      </c>
      <c r="N808" s="13">
        <f t="shared" si="49"/>
        <v>691.5</v>
      </c>
      <c r="O808" s="14">
        <f t="shared" si="50"/>
        <v>975.5</v>
      </c>
      <c r="P808" s="15">
        <f t="shared" si="51"/>
        <v>1.175301204819277</v>
      </c>
    </row>
    <row r="809" spans="1:16" ht="15.75" customHeight="1" x14ac:dyDescent="0.3">
      <c r="A809" s="32" t="s">
        <v>59</v>
      </c>
      <c r="B809" s="9" t="s">
        <v>384</v>
      </c>
      <c r="C809" s="9" t="s">
        <v>111</v>
      </c>
      <c r="D809" s="9" t="s">
        <v>162</v>
      </c>
      <c r="E809" s="10">
        <v>9</v>
      </c>
      <c r="F809" s="9" t="s">
        <v>161</v>
      </c>
      <c r="G809" s="11">
        <v>0</v>
      </c>
      <c r="H809" s="9" t="s">
        <v>84</v>
      </c>
      <c r="I809" s="9" t="s">
        <v>85</v>
      </c>
      <c r="J809" s="9"/>
      <c r="K809" s="9"/>
      <c r="L809" s="9" t="s">
        <v>351</v>
      </c>
      <c r="M809" s="12">
        <f t="shared" si="48"/>
        <v>284</v>
      </c>
      <c r="N809" s="13">
        <f t="shared" si="49"/>
        <v>691.5</v>
      </c>
      <c r="O809" s="14">
        <f t="shared" si="50"/>
        <v>975.5</v>
      </c>
      <c r="P809" s="15">
        <f t="shared" si="51"/>
        <v>1.175301204819277</v>
      </c>
    </row>
    <row r="810" spans="1:16" ht="15.75" customHeight="1" x14ac:dyDescent="0.3">
      <c r="A810" s="32" t="s">
        <v>59</v>
      </c>
      <c r="B810" s="9" t="s">
        <v>384</v>
      </c>
      <c r="C810" s="9" t="s">
        <v>111</v>
      </c>
      <c r="D810" s="9" t="s">
        <v>163</v>
      </c>
      <c r="E810" s="10">
        <v>7</v>
      </c>
      <c r="F810" s="9" t="s">
        <v>161</v>
      </c>
      <c r="G810" s="11">
        <v>0</v>
      </c>
      <c r="H810" s="9" t="s">
        <v>84</v>
      </c>
      <c r="I810" s="9" t="s">
        <v>85</v>
      </c>
      <c r="J810" s="9"/>
      <c r="K810" s="9"/>
      <c r="L810" s="9" t="s">
        <v>351</v>
      </c>
      <c r="M810" s="12">
        <f t="shared" si="48"/>
        <v>284</v>
      </c>
      <c r="N810" s="13">
        <f t="shared" si="49"/>
        <v>691.5</v>
      </c>
      <c r="O810" s="14">
        <f t="shared" si="50"/>
        <v>975.5</v>
      </c>
      <c r="P810" s="15">
        <f t="shared" si="51"/>
        <v>1.175301204819277</v>
      </c>
    </row>
    <row r="811" spans="1:16" ht="15.75" customHeight="1" x14ac:dyDescent="0.3">
      <c r="A811" s="32" t="s">
        <v>59</v>
      </c>
      <c r="B811" s="9" t="s">
        <v>384</v>
      </c>
      <c r="C811" s="9" t="s">
        <v>80</v>
      </c>
      <c r="D811" s="9" t="s">
        <v>162</v>
      </c>
      <c r="E811" s="10">
        <v>4</v>
      </c>
      <c r="F811" s="9" t="s">
        <v>161</v>
      </c>
      <c r="G811" s="11">
        <v>0</v>
      </c>
      <c r="H811" s="9" t="s">
        <v>84</v>
      </c>
      <c r="I811" s="9" t="s">
        <v>85</v>
      </c>
      <c r="J811" s="9"/>
      <c r="K811" s="9"/>
      <c r="L811" s="9" t="s">
        <v>351</v>
      </c>
      <c r="M811" s="12">
        <f t="shared" si="48"/>
        <v>284</v>
      </c>
      <c r="N811" s="13">
        <f t="shared" si="49"/>
        <v>691.5</v>
      </c>
      <c r="O811" s="14">
        <f t="shared" si="50"/>
        <v>975.5</v>
      </c>
      <c r="P811" s="15">
        <f t="shared" si="51"/>
        <v>1.175301204819277</v>
      </c>
    </row>
    <row r="812" spans="1:16" ht="15.75" customHeight="1" x14ac:dyDescent="0.3">
      <c r="A812" s="32" t="s">
        <v>59</v>
      </c>
      <c r="B812" s="9" t="s">
        <v>384</v>
      </c>
      <c r="C812" s="9" t="s">
        <v>80</v>
      </c>
      <c r="D812" s="9" t="s">
        <v>163</v>
      </c>
      <c r="E812" s="10">
        <v>4</v>
      </c>
      <c r="F812" s="9" t="s">
        <v>161</v>
      </c>
      <c r="G812" s="11">
        <v>0</v>
      </c>
      <c r="H812" s="9" t="s">
        <v>84</v>
      </c>
      <c r="I812" s="9" t="s">
        <v>85</v>
      </c>
      <c r="J812" s="9"/>
      <c r="K812" s="9"/>
      <c r="L812" s="9" t="s">
        <v>351</v>
      </c>
      <c r="M812" s="12">
        <f t="shared" si="48"/>
        <v>284</v>
      </c>
      <c r="N812" s="13">
        <f t="shared" si="49"/>
        <v>691.5</v>
      </c>
      <c r="O812" s="14">
        <f t="shared" si="50"/>
        <v>975.5</v>
      </c>
      <c r="P812" s="15">
        <f t="shared" si="51"/>
        <v>1.175301204819277</v>
      </c>
    </row>
    <row r="813" spans="1:16" ht="15.75" customHeight="1" x14ac:dyDescent="0.3">
      <c r="A813" s="32" t="s">
        <v>59</v>
      </c>
      <c r="B813" s="9" t="s">
        <v>224</v>
      </c>
      <c r="C813" s="9" t="s">
        <v>102</v>
      </c>
      <c r="D813" s="9" t="s">
        <v>189</v>
      </c>
      <c r="E813" s="10">
        <v>24</v>
      </c>
      <c r="F813" s="9" t="s">
        <v>190</v>
      </c>
      <c r="G813" s="11">
        <v>0</v>
      </c>
      <c r="H813" s="9" t="s">
        <v>91</v>
      </c>
      <c r="I813" s="9" t="s">
        <v>92</v>
      </c>
      <c r="J813" s="9" t="s">
        <v>4</v>
      </c>
      <c r="K813" s="9"/>
      <c r="L813" s="9"/>
      <c r="M813" s="12">
        <f t="shared" si="48"/>
        <v>405</v>
      </c>
      <c r="N813" s="13">
        <f t="shared" si="49"/>
        <v>478</v>
      </c>
      <c r="O813" s="14">
        <f t="shared" si="50"/>
        <v>883</v>
      </c>
      <c r="P813" s="15">
        <f t="shared" si="51"/>
        <v>1.0638554216867471</v>
      </c>
    </row>
    <row r="814" spans="1:16" ht="15.75" customHeight="1" x14ac:dyDescent="0.3">
      <c r="A814" s="32" t="s">
        <v>59</v>
      </c>
      <c r="B814" s="9" t="s">
        <v>224</v>
      </c>
      <c r="C814" s="9" t="s">
        <v>102</v>
      </c>
      <c r="D814" s="9" t="s">
        <v>103</v>
      </c>
      <c r="E814" s="10">
        <v>64</v>
      </c>
      <c r="F814" s="9" t="s">
        <v>107</v>
      </c>
      <c r="G814" s="11">
        <v>0</v>
      </c>
      <c r="H814" s="9" t="s">
        <v>91</v>
      </c>
      <c r="I814" s="9" t="s">
        <v>92</v>
      </c>
      <c r="J814" s="9" t="s">
        <v>4</v>
      </c>
      <c r="K814" s="9"/>
      <c r="L814" s="9"/>
      <c r="M814" s="12">
        <f t="shared" si="48"/>
        <v>405</v>
      </c>
      <c r="N814" s="13">
        <f t="shared" si="49"/>
        <v>478</v>
      </c>
      <c r="O814" s="14">
        <f t="shared" si="50"/>
        <v>883</v>
      </c>
      <c r="P814" s="15">
        <f t="shared" si="51"/>
        <v>1.0638554216867471</v>
      </c>
    </row>
    <row r="815" spans="1:16" ht="15.75" customHeight="1" x14ac:dyDescent="0.3">
      <c r="A815" s="32" t="s">
        <v>59</v>
      </c>
      <c r="B815" s="9" t="s">
        <v>224</v>
      </c>
      <c r="C815" s="9" t="s">
        <v>73</v>
      </c>
      <c r="D815" s="9" t="s">
        <v>189</v>
      </c>
      <c r="E815" s="10">
        <v>8</v>
      </c>
      <c r="F815" s="9" t="s">
        <v>190</v>
      </c>
      <c r="G815" s="11">
        <v>0</v>
      </c>
      <c r="H815" s="9" t="s">
        <v>91</v>
      </c>
      <c r="I815" s="9" t="s">
        <v>92</v>
      </c>
      <c r="J815" s="9" t="s">
        <v>4</v>
      </c>
      <c r="K815" s="9"/>
      <c r="L815" s="9"/>
      <c r="M815" s="12">
        <f t="shared" si="48"/>
        <v>405</v>
      </c>
      <c r="N815" s="13">
        <f t="shared" si="49"/>
        <v>478</v>
      </c>
      <c r="O815" s="14">
        <f t="shared" si="50"/>
        <v>883</v>
      </c>
      <c r="P815" s="15">
        <f t="shared" si="51"/>
        <v>1.0638554216867471</v>
      </c>
    </row>
    <row r="816" spans="1:16" ht="15.75" customHeight="1" x14ac:dyDescent="0.3">
      <c r="A816" s="32" t="s">
        <v>59</v>
      </c>
      <c r="B816" s="9" t="s">
        <v>224</v>
      </c>
      <c r="C816" s="9" t="s">
        <v>73</v>
      </c>
      <c r="D816" s="9" t="s">
        <v>103</v>
      </c>
      <c r="E816" s="10">
        <v>20</v>
      </c>
      <c r="F816" s="9" t="s">
        <v>107</v>
      </c>
      <c r="G816" s="10">
        <v>20</v>
      </c>
      <c r="H816" s="9" t="s">
        <v>91</v>
      </c>
      <c r="I816" s="9" t="s">
        <v>92</v>
      </c>
      <c r="J816" s="9" t="s">
        <v>4</v>
      </c>
      <c r="K816" s="9"/>
      <c r="L816" s="9"/>
      <c r="M816" s="12">
        <f t="shared" si="48"/>
        <v>405</v>
      </c>
      <c r="N816" s="13">
        <f t="shared" si="49"/>
        <v>478</v>
      </c>
      <c r="O816" s="14">
        <f t="shared" si="50"/>
        <v>883</v>
      </c>
      <c r="P816" s="15">
        <f t="shared" si="51"/>
        <v>1.0638554216867471</v>
      </c>
    </row>
    <row r="817" spans="1:16" ht="15.75" customHeight="1" x14ac:dyDescent="0.3">
      <c r="A817" s="32" t="s">
        <v>59</v>
      </c>
      <c r="B817" s="9" t="s">
        <v>224</v>
      </c>
      <c r="C817" s="9" t="s">
        <v>79</v>
      </c>
      <c r="D817" s="9" t="s">
        <v>189</v>
      </c>
      <c r="E817" s="10">
        <v>12</v>
      </c>
      <c r="F817" s="9" t="s">
        <v>190</v>
      </c>
      <c r="G817" s="11">
        <v>0</v>
      </c>
      <c r="H817" s="9" t="s">
        <v>91</v>
      </c>
      <c r="I817" s="9" t="s">
        <v>92</v>
      </c>
      <c r="J817" s="9" t="s">
        <v>4</v>
      </c>
      <c r="K817" s="9"/>
      <c r="L817" s="9"/>
      <c r="M817" s="12">
        <f t="shared" si="48"/>
        <v>405</v>
      </c>
      <c r="N817" s="13">
        <f t="shared" si="49"/>
        <v>478</v>
      </c>
      <c r="O817" s="14">
        <f t="shared" si="50"/>
        <v>883</v>
      </c>
      <c r="P817" s="15">
        <f t="shared" si="51"/>
        <v>1.0638554216867471</v>
      </c>
    </row>
    <row r="818" spans="1:16" ht="15.75" customHeight="1" x14ac:dyDescent="0.3">
      <c r="A818" s="32" t="s">
        <v>59</v>
      </c>
      <c r="B818" s="9" t="s">
        <v>224</v>
      </c>
      <c r="C818" s="9" t="s">
        <v>79</v>
      </c>
      <c r="D818" s="9" t="s">
        <v>103</v>
      </c>
      <c r="E818" s="10">
        <v>32</v>
      </c>
      <c r="F818" s="9" t="s">
        <v>107</v>
      </c>
      <c r="G818" s="10">
        <v>32</v>
      </c>
      <c r="H818" s="9" t="s">
        <v>91</v>
      </c>
      <c r="I818" s="9" t="s">
        <v>92</v>
      </c>
      <c r="J818" s="9" t="s">
        <v>4</v>
      </c>
      <c r="K818" s="9"/>
      <c r="L818" s="9"/>
      <c r="M818" s="12">
        <f t="shared" si="48"/>
        <v>405</v>
      </c>
      <c r="N818" s="13">
        <f t="shared" si="49"/>
        <v>478</v>
      </c>
      <c r="O818" s="14">
        <f t="shared" si="50"/>
        <v>883</v>
      </c>
      <c r="P818" s="15">
        <f t="shared" si="51"/>
        <v>1.0638554216867471</v>
      </c>
    </row>
    <row r="819" spans="1:16" ht="15.75" customHeight="1" x14ac:dyDescent="0.3">
      <c r="A819" s="32" t="s">
        <v>59</v>
      </c>
      <c r="B819" s="9" t="s">
        <v>224</v>
      </c>
      <c r="C819" s="9" t="s">
        <v>111</v>
      </c>
      <c r="D819" s="9" t="s">
        <v>103</v>
      </c>
      <c r="E819" s="10">
        <v>8</v>
      </c>
      <c r="F819" s="9" t="s">
        <v>107</v>
      </c>
      <c r="G819" s="11">
        <v>0</v>
      </c>
      <c r="H819" s="9" t="s">
        <v>91</v>
      </c>
      <c r="I819" s="9" t="s">
        <v>92</v>
      </c>
      <c r="J819" s="9" t="s">
        <v>4</v>
      </c>
      <c r="K819" s="9"/>
      <c r="L819" s="9"/>
      <c r="M819" s="12">
        <f t="shared" si="48"/>
        <v>405</v>
      </c>
      <c r="N819" s="13">
        <f t="shared" si="49"/>
        <v>478</v>
      </c>
      <c r="O819" s="14">
        <f t="shared" si="50"/>
        <v>883</v>
      </c>
      <c r="P819" s="15">
        <f t="shared" si="51"/>
        <v>1.0638554216867471</v>
      </c>
    </row>
    <row r="820" spans="1:16" ht="15.75" customHeight="1" x14ac:dyDescent="0.3">
      <c r="A820" s="32" t="s">
        <v>59</v>
      </c>
      <c r="B820" s="9" t="s">
        <v>224</v>
      </c>
      <c r="C820" s="9" t="s">
        <v>192</v>
      </c>
      <c r="D820" s="9" t="s">
        <v>189</v>
      </c>
      <c r="E820" s="10">
        <v>6</v>
      </c>
      <c r="F820" s="9" t="s">
        <v>190</v>
      </c>
      <c r="G820" s="11">
        <v>0</v>
      </c>
      <c r="H820" s="9" t="s">
        <v>91</v>
      </c>
      <c r="I820" s="9" t="s">
        <v>92</v>
      </c>
      <c r="J820" s="9" t="s">
        <v>4</v>
      </c>
      <c r="K820" s="9"/>
      <c r="L820" s="9"/>
      <c r="M820" s="12">
        <f t="shared" si="48"/>
        <v>405</v>
      </c>
      <c r="N820" s="13">
        <f t="shared" si="49"/>
        <v>478</v>
      </c>
      <c r="O820" s="14">
        <f t="shared" si="50"/>
        <v>883</v>
      </c>
      <c r="P820" s="15">
        <f t="shared" si="51"/>
        <v>1.0638554216867471</v>
      </c>
    </row>
    <row r="821" spans="1:16" ht="15.75" customHeight="1" x14ac:dyDescent="0.3">
      <c r="A821" s="32" t="s">
        <v>59</v>
      </c>
      <c r="B821" s="9" t="s">
        <v>224</v>
      </c>
      <c r="C821" s="9" t="s">
        <v>80</v>
      </c>
      <c r="D821" s="9" t="s">
        <v>189</v>
      </c>
      <c r="E821" s="10">
        <v>1</v>
      </c>
      <c r="F821" s="9" t="s">
        <v>190</v>
      </c>
      <c r="G821" s="11">
        <v>0</v>
      </c>
      <c r="H821" s="9" t="s">
        <v>91</v>
      </c>
      <c r="I821" s="9" t="s">
        <v>92</v>
      </c>
      <c r="J821" s="9" t="s">
        <v>4</v>
      </c>
      <c r="K821" s="9"/>
      <c r="L821" s="9"/>
      <c r="M821" s="12">
        <f t="shared" si="48"/>
        <v>405</v>
      </c>
      <c r="N821" s="13">
        <f t="shared" si="49"/>
        <v>478</v>
      </c>
      <c r="O821" s="14">
        <f t="shared" si="50"/>
        <v>883</v>
      </c>
      <c r="P821" s="15">
        <f t="shared" si="51"/>
        <v>1.0638554216867471</v>
      </c>
    </row>
    <row r="822" spans="1:16" ht="15.75" customHeight="1" x14ac:dyDescent="0.3">
      <c r="A822" s="32" t="s">
        <v>59</v>
      </c>
      <c r="B822" s="9" t="s">
        <v>224</v>
      </c>
      <c r="C822" s="9" t="s">
        <v>80</v>
      </c>
      <c r="D822" s="9" t="s">
        <v>103</v>
      </c>
      <c r="E822" s="10">
        <v>3</v>
      </c>
      <c r="F822" s="9" t="s">
        <v>107</v>
      </c>
      <c r="G822" s="11">
        <v>0</v>
      </c>
      <c r="H822" s="9" t="s">
        <v>91</v>
      </c>
      <c r="I822" s="9" t="s">
        <v>92</v>
      </c>
      <c r="J822" s="9" t="s">
        <v>4</v>
      </c>
      <c r="K822" s="9"/>
      <c r="L822" s="9"/>
      <c r="M822" s="12">
        <f t="shared" si="48"/>
        <v>405</v>
      </c>
      <c r="N822" s="13">
        <f t="shared" si="49"/>
        <v>478</v>
      </c>
      <c r="O822" s="14">
        <f t="shared" si="50"/>
        <v>883</v>
      </c>
      <c r="P822" s="15">
        <f t="shared" si="51"/>
        <v>1.0638554216867471</v>
      </c>
    </row>
    <row r="823" spans="1:16" ht="15.75" customHeight="1" x14ac:dyDescent="0.3">
      <c r="A823" s="32" t="s">
        <v>59</v>
      </c>
      <c r="B823" s="9" t="s">
        <v>385</v>
      </c>
      <c r="C823" s="9" t="s">
        <v>73</v>
      </c>
      <c r="D823" s="9" t="s">
        <v>134</v>
      </c>
      <c r="E823" s="10">
        <v>8</v>
      </c>
      <c r="F823" s="9" t="s">
        <v>166</v>
      </c>
      <c r="G823" s="10">
        <v>8</v>
      </c>
      <c r="H823" s="9" t="s">
        <v>200</v>
      </c>
      <c r="I823" s="9" t="s">
        <v>201</v>
      </c>
      <c r="J823" s="9" t="s">
        <v>4</v>
      </c>
      <c r="K823" s="9"/>
      <c r="L823" s="9"/>
      <c r="M823" s="12">
        <f t="shared" si="48"/>
        <v>647</v>
      </c>
      <c r="N823" s="13">
        <f t="shared" si="49"/>
        <v>461.5</v>
      </c>
      <c r="O823" s="14">
        <f t="shared" si="50"/>
        <v>1108.5</v>
      </c>
      <c r="P823" s="15">
        <f t="shared" si="51"/>
        <v>1.3355421686746989</v>
      </c>
    </row>
    <row r="824" spans="1:16" ht="15.75" customHeight="1" x14ac:dyDescent="0.3">
      <c r="A824" s="32" t="s">
        <v>59</v>
      </c>
      <c r="B824" s="9" t="s">
        <v>385</v>
      </c>
      <c r="C824" s="9" t="s">
        <v>123</v>
      </c>
      <c r="D824" s="9" t="s">
        <v>134</v>
      </c>
      <c r="E824" s="10">
        <v>18</v>
      </c>
      <c r="F824" s="9" t="s">
        <v>166</v>
      </c>
      <c r="G824" s="11">
        <v>0</v>
      </c>
      <c r="H824" s="9" t="s">
        <v>200</v>
      </c>
      <c r="I824" s="9" t="s">
        <v>201</v>
      </c>
      <c r="J824" s="9" t="s">
        <v>4</v>
      </c>
      <c r="K824" s="9"/>
      <c r="L824" s="9"/>
      <c r="M824" s="12">
        <f t="shared" si="48"/>
        <v>647</v>
      </c>
      <c r="N824" s="13">
        <f t="shared" si="49"/>
        <v>461.5</v>
      </c>
      <c r="O824" s="14">
        <f t="shared" si="50"/>
        <v>1108.5</v>
      </c>
      <c r="P824" s="15">
        <f t="shared" si="51"/>
        <v>1.3355421686746989</v>
      </c>
    </row>
    <row r="825" spans="1:16" ht="15.75" customHeight="1" x14ac:dyDescent="0.3">
      <c r="A825" s="32" t="s">
        <v>59</v>
      </c>
      <c r="B825" s="9" t="s">
        <v>385</v>
      </c>
      <c r="C825" s="9" t="s">
        <v>79</v>
      </c>
      <c r="D825" s="9" t="s">
        <v>134</v>
      </c>
      <c r="E825" s="10">
        <v>18</v>
      </c>
      <c r="F825" s="9" t="s">
        <v>166</v>
      </c>
      <c r="G825" s="10">
        <v>18</v>
      </c>
      <c r="H825" s="9" t="s">
        <v>200</v>
      </c>
      <c r="I825" s="9" t="s">
        <v>201</v>
      </c>
      <c r="J825" s="9" t="s">
        <v>4</v>
      </c>
      <c r="K825" s="9"/>
      <c r="L825" s="9"/>
      <c r="M825" s="12">
        <f t="shared" si="48"/>
        <v>647</v>
      </c>
      <c r="N825" s="13">
        <f t="shared" si="49"/>
        <v>461.5</v>
      </c>
      <c r="O825" s="14">
        <f t="shared" si="50"/>
        <v>1108.5</v>
      </c>
      <c r="P825" s="15">
        <f t="shared" si="51"/>
        <v>1.3355421686746989</v>
      </c>
    </row>
    <row r="826" spans="1:16" ht="15.75" customHeight="1" x14ac:dyDescent="0.3">
      <c r="A826" s="32" t="s">
        <v>59</v>
      </c>
      <c r="B826" s="9" t="s">
        <v>385</v>
      </c>
      <c r="C826" s="9" t="s">
        <v>111</v>
      </c>
      <c r="D826" s="9" t="s">
        <v>134</v>
      </c>
      <c r="E826" s="10">
        <v>3</v>
      </c>
      <c r="F826" s="9" t="s">
        <v>166</v>
      </c>
      <c r="G826" s="11">
        <v>0</v>
      </c>
      <c r="H826" s="9" t="s">
        <v>200</v>
      </c>
      <c r="I826" s="9" t="s">
        <v>201</v>
      </c>
      <c r="J826" s="9" t="s">
        <v>4</v>
      </c>
      <c r="K826" s="9"/>
      <c r="L826" s="9"/>
      <c r="M826" s="12">
        <f t="shared" si="48"/>
        <v>647</v>
      </c>
      <c r="N826" s="13">
        <f t="shared" si="49"/>
        <v>461.5</v>
      </c>
      <c r="O826" s="14">
        <f t="shared" si="50"/>
        <v>1108.5</v>
      </c>
      <c r="P826" s="15">
        <f t="shared" si="51"/>
        <v>1.3355421686746989</v>
      </c>
    </row>
    <row r="827" spans="1:16" ht="15.75" customHeight="1" x14ac:dyDescent="0.3">
      <c r="A827" s="32" t="s">
        <v>59</v>
      </c>
      <c r="B827" s="9" t="s">
        <v>385</v>
      </c>
      <c r="C827" s="9" t="s">
        <v>80</v>
      </c>
      <c r="D827" s="9" t="s">
        <v>134</v>
      </c>
      <c r="E827" s="10">
        <v>2</v>
      </c>
      <c r="F827" s="9" t="s">
        <v>166</v>
      </c>
      <c r="G827" s="11">
        <v>0</v>
      </c>
      <c r="H827" s="9" t="s">
        <v>200</v>
      </c>
      <c r="I827" s="9" t="s">
        <v>201</v>
      </c>
      <c r="J827" s="9" t="s">
        <v>4</v>
      </c>
      <c r="K827" s="9"/>
      <c r="L827" s="9"/>
      <c r="M827" s="12">
        <f t="shared" si="48"/>
        <v>647</v>
      </c>
      <c r="N827" s="13">
        <f t="shared" si="49"/>
        <v>461.5</v>
      </c>
      <c r="O827" s="14">
        <f t="shared" si="50"/>
        <v>1108.5</v>
      </c>
      <c r="P827" s="15">
        <f t="shared" si="51"/>
        <v>1.3355421686746989</v>
      </c>
    </row>
    <row r="828" spans="1:16" ht="15.75" customHeight="1" x14ac:dyDescent="0.3">
      <c r="A828" s="32" t="s">
        <v>59</v>
      </c>
      <c r="B828" s="9" t="s">
        <v>386</v>
      </c>
      <c r="C828" s="9" t="s">
        <v>73</v>
      </c>
      <c r="D828" s="9" t="s">
        <v>134</v>
      </c>
      <c r="E828" s="10">
        <v>12</v>
      </c>
      <c r="F828" s="9" t="s">
        <v>166</v>
      </c>
      <c r="G828" s="10">
        <v>12</v>
      </c>
      <c r="H828" s="9" t="s">
        <v>167</v>
      </c>
      <c r="I828" s="9" t="s">
        <v>168</v>
      </c>
      <c r="J828" s="9" t="s">
        <v>4</v>
      </c>
      <c r="K828" s="9"/>
      <c r="L828" s="9"/>
      <c r="M828" s="12">
        <f t="shared" si="48"/>
        <v>456</v>
      </c>
      <c r="N828" s="13">
        <f t="shared" si="49"/>
        <v>362</v>
      </c>
      <c r="O828" s="14">
        <f t="shared" si="50"/>
        <v>818</v>
      </c>
      <c r="P828" s="15">
        <f t="shared" si="51"/>
        <v>0.98554216867469879</v>
      </c>
    </row>
    <row r="829" spans="1:16" ht="15.75" customHeight="1" x14ac:dyDescent="0.3">
      <c r="A829" s="32" t="s">
        <v>59</v>
      </c>
      <c r="B829" s="9" t="s">
        <v>386</v>
      </c>
      <c r="C829" s="9" t="s">
        <v>79</v>
      </c>
      <c r="D829" s="9" t="s">
        <v>134</v>
      </c>
      <c r="E829" s="10">
        <v>30</v>
      </c>
      <c r="F829" s="9" t="s">
        <v>166</v>
      </c>
      <c r="G829" s="10">
        <v>30</v>
      </c>
      <c r="H829" s="9" t="s">
        <v>186</v>
      </c>
      <c r="I829" s="9" t="s">
        <v>187</v>
      </c>
      <c r="J829" s="9"/>
      <c r="K829" s="9"/>
      <c r="L829" s="9"/>
      <c r="M829" s="12">
        <f t="shared" si="48"/>
        <v>127</v>
      </c>
      <c r="N829" s="13">
        <f t="shared" si="49"/>
        <v>133.5</v>
      </c>
      <c r="O829" s="14">
        <f t="shared" si="50"/>
        <v>260.5</v>
      </c>
      <c r="P829" s="15">
        <f t="shared" si="51"/>
        <v>0.31385542168674696</v>
      </c>
    </row>
    <row r="830" spans="1:16" ht="15.75" customHeight="1" x14ac:dyDescent="0.3">
      <c r="A830" s="32" t="s">
        <v>59</v>
      </c>
      <c r="B830" s="9" t="s">
        <v>386</v>
      </c>
      <c r="C830" s="9" t="s">
        <v>142</v>
      </c>
      <c r="D830" s="9" t="s">
        <v>134</v>
      </c>
      <c r="E830" s="10">
        <v>2</v>
      </c>
      <c r="F830" s="9" t="s">
        <v>166</v>
      </c>
      <c r="G830" s="11">
        <v>0</v>
      </c>
      <c r="H830" s="9" t="s">
        <v>167</v>
      </c>
      <c r="I830" s="9" t="s">
        <v>168</v>
      </c>
      <c r="J830" s="9" t="s">
        <v>4</v>
      </c>
      <c r="K830" s="9"/>
      <c r="L830" s="9"/>
      <c r="M830" s="12">
        <f t="shared" si="48"/>
        <v>456</v>
      </c>
      <c r="N830" s="13">
        <f t="shared" si="49"/>
        <v>362</v>
      </c>
      <c r="O830" s="14">
        <f t="shared" si="50"/>
        <v>818</v>
      </c>
      <c r="P830" s="15">
        <f t="shared" si="51"/>
        <v>0.98554216867469879</v>
      </c>
    </row>
    <row r="831" spans="1:16" ht="15.75" customHeight="1" x14ac:dyDescent="0.3">
      <c r="A831" s="32" t="s">
        <v>59</v>
      </c>
      <c r="B831" s="9" t="s">
        <v>386</v>
      </c>
      <c r="C831" s="9" t="s">
        <v>80</v>
      </c>
      <c r="D831" s="9" t="s">
        <v>134</v>
      </c>
      <c r="E831" s="10">
        <v>1</v>
      </c>
      <c r="F831" s="9" t="s">
        <v>166</v>
      </c>
      <c r="G831" s="11">
        <v>0</v>
      </c>
      <c r="H831" s="9" t="s">
        <v>167</v>
      </c>
      <c r="I831" s="9" t="s">
        <v>168</v>
      </c>
      <c r="J831" s="9" t="s">
        <v>4</v>
      </c>
      <c r="K831" s="9"/>
      <c r="L831" s="9"/>
      <c r="M831" s="12">
        <f t="shared" si="48"/>
        <v>456</v>
      </c>
      <c r="N831" s="13">
        <f t="shared" si="49"/>
        <v>362</v>
      </c>
      <c r="O831" s="14">
        <f t="shared" si="50"/>
        <v>818</v>
      </c>
      <c r="P831" s="15">
        <f t="shared" si="51"/>
        <v>0.98554216867469879</v>
      </c>
    </row>
    <row r="832" spans="1:16" ht="15.75" customHeight="1" x14ac:dyDescent="0.3">
      <c r="A832" s="32" t="s">
        <v>59</v>
      </c>
      <c r="B832" s="9" t="s">
        <v>387</v>
      </c>
      <c r="C832" s="9" t="s">
        <v>73</v>
      </c>
      <c r="D832" s="9" t="s">
        <v>141</v>
      </c>
      <c r="E832" s="10">
        <v>4</v>
      </c>
      <c r="F832" s="9" t="s">
        <v>145</v>
      </c>
      <c r="G832" s="10">
        <v>4</v>
      </c>
      <c r="H832" s="9" t="s">
        <v>245</v>
      </c>
      <c r="I832" s="9" t="s">
        <v>246</v>
      </c>
      <c r="J832" s="9"/>
      <c r="K832" s="9"/>
      <c r="L832" s="9"/>
      <c r="M832" s="12">
        <f t="shared" si="48"/>
        <v>200</v>
      </c>
      <c r="N832" s="13">
        <f t="shared" si="49"/>
        <v>271</v>
      </c>
      <c r="O832" s="14">
        <f t="shared" si="50"/>
        <v>471</v>
      </c>
      <c r="P832" s="15">
        <f t="shared" si="51"/>
        <v>0.56746987951807226</v>
      </c>
    </row>
    <row r="833" spans="1:16" ht="15.75" customHeight="1" x14ac:dyDescent="0.3">
      <c r="A833" s="32" t="s">
        <v>59</v>
      </c>
      <c r="B833" s="9" t="s">
        <v>387</v>
      </c>
      <c r="C833" s="9" t="s">
        <v>87</v>
      </c>
      <c r="D833" s="9" t="s">
        <v>141</v>
      </c>
      <c r="E833" s="10">
        <v>2</v>
      </c>
      <c r="F833" s="9" t="s">
        <v>145</v>
      </c>
      <c r="G833" s="11">
        <v>0</v>
      </c>
      <c r="H833" s="9" t="s">
        <v>245</v>
      </c>
      <c r="I833" s="9" t="s">
        <v>246</v>
      </c>
      <c r="J833" s="9"/>
      <c r="K833" s="9"/>
      <c r="L833" s="9"/>
      <c r="M833" s="12">
        <f t="shared" si="48"/>
        <v>200</v>
      </c>
      <c r="N833" s="13">
        <f t="shared" si="49"/>
        <v>271</v>
      </c>
      <c r="O833" s="14">
        <f t="shared" si="50"/>
        <v>471</v>
      </c>
      <c r="P833" s="15">
        <f t="shared" si="51"/>
        <v>0.56746987951807226</v>
      </c>
    </row>
    <row r="834" spans="1:16" ht="15.75" customHeight="1" x14ac:dyDescent="0.3">
      <c r="A834" s="32" t="s">
        <v>59</v>
      </c>
      <c r="B834" s="9" t="s">
        <v>387</v>
      </c>
      <c r="C834" s="9" t="s">
        <v>79</v>
      </c>
      <c r="D834" s="9" t="s">
        <v>141</v>
      </c>
      <c r="E834" s="10">
        <v>28</v>
      </c>
      <c r="F834" s="9" t="s">
        <v>145</v>
      </c>
      <c r="G834" s="10">
        <v>28</v>
      </c>
      <c r="H834" s="9" t="s">
        <v>245</v>
      </c>
      <c r="I834" s="9" t="s">
        <v>246</v>
      </c>
      <c r="J834" s="9"/>
      <c r="K834" s="9"/>
      <c r="L834" s="9"/>
      <c r="M834" s="12">
        <f t="shared" ref="M834:M897" si="52">SUMIFS($E$2:$E$1130,$A$2:$A$1130,"осень",$I$2:$I$1130,I834)</f>
        <v>200</v>
      </c>
      <c r="N834" s="13">
        <f t="shared" ref="N834:N897" si="53">SUMIFS($E$2:$E$1130,$A$2:$A$1130,"весна",$I$2:$I$1130,I834)</f>
        <v>271</v>
      </c>
      <c r="O834" s="14">
        <f t="shared" ref="O834:O897" si="54">M834+N834</f>
        <v>471</v>
      </c>
      <c r="P834" s="15">
        <f t="shared" ref="P834:P897" si="55">O834/$P$1</f>
        <v>0.56746987951807226</v>
      </c>
    </row>
    <row r="835" spans="1:16" ht="15.75" customHeight="1" x14ac:dyDescent="0.3">
      <c r="A835" s="32" t="s">
        <v>59</v>
      </c>
      <c r="B835" s="9" t="s">
        <v>266</v>
      </c>
      <c r="C835" s="9" t="s">
        <v>73</v>
      </c>
      <c r="D835" s="9" t="s">
        <v>294</v>
      </c>
      <c r="E835" s="10">
        <v>32</v>
      </c>
      <c r="F835" s="9" t="s">
        <v>279</v>
      </c>
      <c r="G835" s="10">
        <v>32</v>
      </c>
      <c r="H835" s="9" t="s">
        <v>84</v>
      </c>
      <c r="I835" s="9" t="s">
        <v>85</v>
      </c>
      <c r="J835" s="9"/>
      <c r="K835" s="9"/>
      <c r="L835" s="9" t="s">
        <v>351</v>
      </c>
      <c r="M835" s="12">
        <f t="shared" si="52"/>
        <v>284</v>
      </c>
      <c r="N835" s="13">
        <f t="shared" si="53"/>
        <v>691.5</v>
      </c>
      <c r="O835" s="14">
        <f t="shared" si="54"/>
        <v>975.5</v>
      </c>
      <c r="P835" s="15">
        <f t="shared" si="55"/>
        <v>1.175301204819277</v>
      </c>
    </row>
    <row r="836" spans="1:16" ht="15.75" customHeight="1" x14ac:dyDescent="0.3">
      <c r="A836" s="32" t="s">
        <v>59</v>
      </c>
      <c r="B836" s="9" t="s">
        <v>266</v>
      </c>
      <c r="C836" s="9" t="s">
        <v>87</v>
      </c>
      <c r="D836" s="9" t="s">
        <v>295</v>
      </c>
      <c r="E836" s="10">
        <v>6</v>
      </c>
      <c r="F836" s="9" t="s">
        <v>279</v>
      </c>
      <c r="G836" s="11">
        <v>0</v>
      </c>
      <c r="H836" s="9" t="s">
        <v>84</v>
      </c>
      <c r="I836" s="9" t="s">
        <v>85</v>
      </c>
      <c r="J836" s="9"/>
      <c r="K836" s="9"/>
      <c r="L836" s="9" t="s">
        <v>351</v>
      </c>
      <c r="M836" s="12">
        <f t="shared" si="52"/>
        <v>284</v>
      </c>
      <c r="N836" s="13">
        <f t="shared" si="53"/>
        <v>691.5</v>
      </c>
      <c r="O836" s="14">
        <f t="shared" si="54"/>
        <v>975.5</v>
      </c>
      <c r="P836" s="15">
        <f t="shared" si="55"/>
        <v>1.175301204819277</v>
      </c>
    </row>
    <row r="837" spans="1:16" ht="15.75" customHeight="1" x14ac:dyDescent="0.3">
      <c r="A837" s="32" t="s">
        <v>59</v>
      </c>
      <c r="B837" s="9" t="s">
        <v>266</v>
      </c>
      <c r="C837" s="9" t="s">
        <v>87</v>
      </c>
      <c r="D837" s="9" t="s">
        <v>296</v>
      </c>
      <c r="E837" s="10">
        <v>8</v>
      </c>
      <c r="F837" s="9" t="s">
        <v>279</v>
      </c>
      <c r="G837" s="11">
        <v>0</v>
      </c>
      <c r="H837" s="9" t="s">
        <v>84</v>
      </c>
      <c r="I837" s="9" t="s">
        <v>85</v>
      </c>
      <c r="J837" s="9"/>
      <c r="K837" s="9"/>
      <c r="L837" s="9" t="s">
        <v>351</v>
      </c>
      <c r="M837" s="12">
        <f t="shared" si="52"/>
        <v>284</v>
      </c>
      <c r="N837" s="13">
        <f t="shared" si="53"/>
        <v>691.5</v>
      </c>
      <c r="O837" s="14">
        <f t="shared" si="54"/>
        <v>975.5</v>
      </c>
      <c r="P837" s="15">
        <f t="shared" si="55"/>
        <v>1.175301204819277</v>
      </c>
    </row>
    <row r="838" spans="1:16" ht="15.75" customHeight="1" x14ac:dyDescent="0.3">
      <c r="A838" s="32" t="s">
        <v>59</v>
      </c>
      <c r="B838" s="9" t="s">
        <v>266</v>
      </c>
      <c r="C838" s="9" t="s">
        <v>79</v>
      </c>
      <c r="D838" s="9" t="s">
        <v>295</v>
      </c>
      <c r="E838" s="10">
        <v>52</v>
      </c>
      <c r="F838" s="9" t="s">
        <v>279</v>
      </c>
      <c r="G838" s="10">
        <v>52</v>
      </c>
      <c r="H838" s="9" t="s">
        <v>84</v>
      </c>
      <c r="I838" s="9" t="s">
        <v>85</v>
      </c>
      <c r="J838" s="9"/>
      <c r="K838" s="9"/>
      <c r="L838" s="9" t="s">
        <v>351</v>
      </c>
      <c r="M838" s="12">
        <f t="shared" si="52"/>
        <v>284</v>
      </c>
      <c r="N838" s="13">
        <f t="shared" si="53"/>
        <v>691.5</v>
      </c>
      <c r="O838" s="14">
        <f t="shared" si="54"/>
        <v>975.5</v>
      </c>
      <c r="P838" s="15">
        <f t="shared" si="55"/>
        <v>1.175301204819277</v>
      </c>
    </row>
    <row r="839" spans="1:16" ht="15.75" customHeight="1" x14ac:dyDescent="0.3">
      <c r="A839" s="32" t="s">
        <v>59</v>
      </c>
      <c r="B839" s="9" t="s">
        <v>266</v>
      </c>
      <c r="C839" s="9" t="s">
        <v>79</v>
      </c>
      <c r="D839" s="9" t="s">
        <v>296</v>
      </c>
      <c r="E839" s="10">
        <v>52</v>
      </c>
      <c r="F839" s="9" t="s">
        <v>279</v>
      </c>
      <c r="G839" s="10">
        <v>52</v>
      </c>
      <c r="H839" s="9" t="s">
        <v>311</v>
      </c>
      <c r="I839" s="9" t="s">
        <v>268</v>
      </c>
      <c r="J839" s="9"/>
      <c r="K839" s="9"/>
      <c r="L839" s="9" t="s">
        <v>388</v>
      </c>
      <c r="M839" s="12">
        <f t="shared" si="52"/>
        <v>9</v>
      </c>
      <c r="N839" s="13">
        <f t="shared" si="53"/>
        <v>77</v>
      </c>
      <c r="O839" s="14">
        <f t="shared" si="54"/>
        <v>86</v>
      </c>
      <c r="P839" s="15">
        <f t="shared" si="55"/>
        <v>0.10361445783132531</v>
      </c>
    </row>
    <row r="840" spans="1:16" ht="15.75" customHeight="1" x14ac:dyDescent="0.3">
      <c r="A840" s="32" t="s">
        <v>59</v>
      </c>
      <c r="B840" s="9" t="s">
        <v>266</v>
      </c>
      <c r="C840" s="9" t="s">
        <v>80</v>
      </c>
      <c r="D840" s="9" t="s">
        <v>295</v>
      </c>
      <c r="E840" s="10">
        <v>2</v>
      </c>
      <c r="F840" s="9" t="s">
        <v>279</v>
      </c>
      <c r="G840" s="11">
        <v>0</v>
      </c>
      <c r="H840" s="9" t="s">
        <v>84</v>
      </c>
      <c r="I840" s="9" t="s">
        <v>85</v>
      </c>
      <c r="J840" s="9"/>
      <c r="K840" s="9"/>
      <c r="L840" s="9" t="s">
        <v>351</v>
      </c>
      <c r="M840" s="12">
        <f t="shared" si="52"/>
        <v>284</v>
      </c>
      <c r="N840" s="13">
        <f t="shared" si="53"/>
        <v>691.5</v>
      </c>
      <c r="O840" s="14">
        <f t="shared" si="54"/>
        <v>975.5</v>
      </c>
      <c r="P840" s="15">
        <f t="shared" si="55"/>
        <v>1.175301204819277</v>
      </c>
    </row>
    <row r="841" spans="1:16" ht="15.75" customHeight="1" x14ac:dyDescent="0.3">
      <c r="A841" s="32" t="s">
        <v>59</v>
      </c>
      <c r="B841" s="9" t="s">
        <v>266</v>
      </c>
      <c r="C841" s="9" t="s">
        <v>80</v>
      </c>
      <c r="D841" s="9" t="s">
        <v>296</v>
      </c>
      <c r="E841" s="10">
        <v>2</v>
      </c>
      <c r="F841" s="9" t="s">
        <v>279</v>
      </c>
      <c r="G841" s="11">
        <v>0</v>
      </c>
      <c r="H841" s="9" t="s">
        <v>311</v>
      </c>
      <c r="I841" s="9" t="s">
        <v>268</v>
      </c>
      <c r="J841" s="9"/>
      <c r="K841" s="9"/>
      <c r="L841" s="9" t="s">
        <v>388</v>
      </c>
      <c r="M841" s="12">
        <f t="shared" si="52"/>
        <v>9</v>
      </c>
      <c r="N841" s="13">
        <f t="shared" si="53"/>
        <v>77</v>
      </c>
      <c r="O841" s="14">
        <f t="shared" si="54"/>
        <v>86</v>
      </c>
      <c r="P841" s="15">
        <f t="shared" si="55"/>
        <v>0.10361445783132531</v>
      </c>
    </row>
    <row r="842" spans="1:16" ht="15.75" customHeight="1" x14ac:dyDescent="0.3">
      <c r="A842" s="32" t="s">
        <v>59</v>
      </c>
      <c r="B842" s="9" t="s">
        <v>389</v>
      </c>
      <c r="C842" s="9" t="s">
        <v>73</v>
      </c>
      <c r="D842" s="9" t="s">
        <v>119</v>
      </c>
      <c r="E842" s="10">
        <v>34</v>
      </c>
      <c r="F842" s="9" t="s">
        <v>121</v>
      </c>
      <c r="G842" s="10">
        <v>34</v>
      </c>
      <c r="H842" s="9" t="s">
        <v>257</v>
      </c>
      <c r="I842" s="9" t="s">
        <v>258</v>
      </c>
      <c r="J842" s="9" t="s">
        <v>8</v>
      </c>
      <c r="K842" s="9"/>
      <c r="L842" s="9"/>
      <c r="M842" s="12">
        <f t="shared" si="52"/>
        <v>331</v>
      </c>
      <c r="N842" s="13">
        <f t="shared" si="53"/>
        <v>520</v>
      </c>
      <c r="O842" s="14">
        <f t="shared" si="54"/>
        <v>851</v>
      </c>
      <c r="P842" s="15">
        <f t="shared" si="55"/>
        <v>1.0253012048192771</v>
      </c>
    </row>
    <row r="843" spans="1:16" ht="15.75" customHeight="1" x14ac:dyDescent="0.3">
      <c r="A843" s="32" t="s">
        <v>59</v>
      </c>
      <c r="B843" s="9" t="s">
        <v>389</v>
      </c>
      <c r="C843" s="9" t="s">
        <v>123</v>
      </c>
      <c r="D843" s="9" t="s">
        <v>119</v>
      </c>
      <c r="E843" s="10">
        <v>51</v>
      </c>
      <c r="F843" s="9" t="s">
        <v>121</v>
      </c>
      <c r="G843" s="11">
        <v>0</v>
      </c>
      <c r="H843" s="9" t="s">
        <v>257</v>
      </c>
      <c r="I843" s="9" t="s">
        <v>258</v>
      </c>
      <c r="J843" s="9" t="s">
        <v>8</v>
      </c>
      <c r="K843" s="9"/>
      <c r="L843" s="9"/>
      <c r="M843" s="12">
        <f t="shared" si="52"/>
        <v>331</v>
      </c>
      <c r="N843" s="13">
        <f t="shared" si="53"/>
        <v>520</v>
      </c>
      <c r="O843" s="14">
        <f t="shared" si="54"/>
        <v>851</v>
      </c>
      <c r="P843" s="15">
        <f t="shared" si="55"/>
        <v>1.0253012048192771</v>
      </c>
    </row>
    <row r="844" spans="1:16" ht="15.75" customHeight="1" x14ac:dyDescent="0.3">
      <c r="A844" s="32" t="s">
        <v>59</v>
      </c>
      <c r="B844" s="9" t="s">
        <v>389</v>
      </c>
      <c r="C844" s="9" t="s">
        <v>87</v>
      </c>
      <c r="D844" s="9" t="s">
        <v>119</v>
      </c>
      <c r="E844" s="10">
        <v>6</v>
      </c>
      <c r="F844" s="9" t="s">
        <v>121</v>
      </c>
      <c r="G844" s="11">
        <v>0</v>
      </c>
      <c r="H844" s="9" t="s">
        <v>257</v>
      </c>
      <c r="I844" s="9" t="s">
        <v>258</v>
      </c>
      <c r="J844" s="9" t="s">
        <v>8</v>
      </c>
      <c r="K844" s="9"/>
      <c r="L844" s="9"/>
      <c r="M844" s="12">
        <f t="shared" si="52"/>
        <v>331</v>
      </c>
      <c r="N844" s="13">
        <f t="shared" si="53"/>
        <v>520</v>
      </c>
      <c r="O844" s="14">
        <f t="shared" si="54"/>
        <v>851</v>
      </c>
      <c r="P844" s="15">
        <f t="shared" si="55"/>
        <v>1.0253012048192771</v>
      </c>
    </row>
    <row r="845" spans="1:16" ht="15.75" customHeight="1" x14ac:dyDescent="0.3">
      <c r="A845" s="32" t="s">
        <v>59</v>
      </c>
      <c r="B845" s="9" t="s">
        <v>389</v>
      </c>
      <c r="C845" s="9" t="s">
        <v>79</v>
      </c>
      <c r="D845" s="9" t="s">
        <v>119</v>
      </c>
      <c r="E845" s="10">
        <v>14</v>
      </c>
      <c r="F845" s="9" t="s">
        <v>121</v>
      </c>
      <c r="G845" s="10">
        <v>14</v>
      </c>
      <c r="H845" s="9" t="s">
        <v>259</v>
      </c>
      <c r="I845" s="9" t="s">
        <v>260</v>
      </c>
      <c r="J845" s="9"/>
      <c r="K845" s="9"/>
      <c r="L845" s="9"/>
      <c r="M845" s="12">
        <f t="shared" si="52"/>
        <v>144</v>
      </c>
      <c r="N845" s="13">
        <f t="shared" si="53"/>
        <v>88.5</v>
      </c>
      <c r="O845" s="14">
        <f t="shared" si="54"/>
        <v>232.5</v>
      </c>
      <c r="P845" s="15">
        <f t="shared" si="55"/>
        <v>0.28012048192771083</v>
      </c>
    </row>
    <row r="846" spans="1:16" ht="15.75" customHeight="1" x14ac:dyDescent="0.3">
      <c r="A846" s="32" t="s">
        <v>59</v>
      </c>
      <c r="B846" s="9" t="s">
        <v>389</v>
      </c>
      <c r="C846" s="9" t="s">
        <v>100</v>
      </c>
      <c r="D846" s="9" t="s">
        <v>119</v>
      </c>
      <c r="E846" s="10">
        <v>16</v>
      </c>
      <c r="F846" s="9" t="s">
        <v>121</v>
      </c>
      <c r="G846" s="10">
        <v>8</v>
      </c>
      <c r="H846" s="9" t="s">
        <v>257</v>
      </c>
      <c r="I846" s="9" t="s">
        <v>258</v>
      </c>
      <c r="J846" s="9" t="s">
        <v>8</v>
      </c>
      <c r="K846" s="9"/>
      <c r="L846" s="9"/>
      <c r="M846" s="12">
        <f t="shared" si="52"/>
        <v>331</v>
      </c>
      <c r="N846" s="13">
        <f t="shared" si="53"/>
        <v>520</v>
      </c>
      <c r="O846" s="14">
        <f t="shared" si="54"/>
        <v>851</v>
      </c>
      <c r="P846" s="15">
        <f t="shared" si="55"/>
        <v>1.0253012048192771</v>
      </c>
    </row>
    <row r="847" spans="1:16" ht="15.75" customHeight="1" x14ac:dyDescent="0.3">
      <c r="A847" s="32" t="s">
        <v>59</v>
      </c>
      <c r="B847" s="9" t="s">
        <v>389</v>
      </c>
      <c r="C847" s="9" t="s">
        <v>80</v>
      </c>
      <c r="D847" s="9" t="s">
        <v>119</v>
      </c>
      <c r="E847" s="10">
        <v>2</v>
      </c>
      <c r="F847" s="9" t="s">
        <v>121</v>
      </c>
      <c r="G847" s="11">
        <v>0</v>
      </c>
      <c r="H847" s="9" t="s">
        <v>257</v>
      </c>
      <c r="I847" s="9" t="s">
        <v>258</v>
      </c>
      <c r="J847" s="9" t="s">
        <v>8</v>
      </c>
      <c r="K847" s="9"/>
      <c r="L847" s="9"/>
      <c r="M847" s="12">
        <f t="shared" si="52"/>
        <v>331</v>
      </c>
      <c r="N847" s="13">
        <f t="shared" si="53"/>
        <v>520</v>
      </c>
      <c r="O847" s="14">
        <f t="shared" si="54"/>
        <v>851</v>
      </c>
      <c r="P847" s="15">
        <f t="shared" si="55"/>
        <v>1.0253012048192771</v>
      </c>
    </row>
    <row r="848" spans="1:16" ht="15.75" customHeight="1" x14ac:dyDescent="0.3">
      <c r="A848" s="32" t="s">
        <v>59</v>
      </c>
      <c r="B848" s="9" t="s">
        <v>390</v>
      </c>
      <c r="C848" s="9" t="s">
        <v>73</v>
      </c>
      <c r="D848" s="9" t="s">
        <v>119</v>
      </c>
      <c r="E848" s="10">
        <v>24</v>
      </c>
      <c r="F848" s="9" t="s">
        <v>121</v>
      </c>
      <c r="G848" s="10">
        <v>24</v>
      </c>
      <c r="H848" s="9" t="s">
        <v>391</v>
      </c>
      <c r="I848" s="9" t="s">
        <v>392</v>
      </c>
      <c r="J848" s="9"/>
      <c r="K848" s="9"/>
      <c r="L848" s="9"/>
      <c r="M848" s="12">
        <f t="shared" si="52"/>
        <v>0</v>
      </c>
      <c r="N848" s="13">
        <f t="shared" si="53"/>
        <v>359</v>
      </c>
      <c r="O848" s="14">
        <f t="shared" si="54"/>
        <v>359</v>
      </c>
      <c r="P848" s="15">
        <f t="shared" si="55"/>
        <v>0.43253012048192774</v>
      </c>
    </row>
    <row r="849" spans="1:16" ht="15.75" customHeight="1" x14ac:dyDescent="0.3">
      <c r="A849" s="32" t="s">
        <v>59</v>
      </c>
      <c r="B849" s="9" t="s">
        <v>390</v>
      </c>
      <c r="C849" s="9" t="s">
        <v>123</v>
      </c>
      <c r="D849" s="9" t="s">
        <v>119</v>
      </c>
      <c r="E849" s="10">
        <v>51</v>
      </c>
      <c r="F849" s="9" t="s">
        <v>121</v>
      </c>
      <c r="G849" s="11">
        <v>0</v>
      </c>
      <c r="H849" s="9" t="s">
        <v>391</v>
      </c>
      <c r="I849" s="9" t="s">
        <v>392</v>
      </c>
      <c r="J849" s="9"/>
      <c r="K849" s="9"/>
      <c r="L849" s="9"/>
      <c r="M849" s="12">
        <f t="shared" si="52"/>
        <v>0</v>
      </c>
      <c r="N849" s="13">
        <f t="shared" si="53"/>
        <v>359</v>
      </c>
      <c r="O849" s="14">
        <f t="shared" si="54"/>
        <v>359</v>
      </c>
      <c r="P849" s="15">
        <f t="shared" si="55"/>
        <v>0.43253012048192774</v>
      </c>
    </row>
    <row r="850" spans="1:16" ht="15.75" customHeight="1" x14ac:dyDescent="0.3">
      <c r="A850" s="32" t="s">
        <v>59</v>
      </c>
      <c r="B850" s="9" t="s">
        <v>390</v>
      </c>
      <c r="C850" s="9" t="s">
        <v>87</v>
      </c>
      <c r="D850" s="9" t="s">
        <v>119</v>
      </c>
      <c r="E850" s="10">
        <v>6</v>
      </c>
      <c r="F850" s="9" t="s">
        <v>121</v>
      </c>
      <c r="G850" s="11">
        <v>0</v>
      </c>
      <c r="H850" s="9" t="s">
        <v>391</v>
      </c>
      <c r="I850" s="9" t="s">
        <v>392</v>
      </c>
      <c r="J850" s="9"/>
      <c r="K850" s="9"/>
      <c r="L850" s="9"/>
      <c r="M850" s="12">
        <f t="shared" si="52"/>
        <v>0</v>
      </c>
      <c r="N850" s="13">
        <f t="shared" si="53"/>
        <v>359</v>
      </c>
      <c r="O850" s="14">
        <f t="shared" si="54"/>
        <v>359</v>
      </c>
      <c r="P850" s="15">
        <f t="shared" si="55"/>
        <v>0.43253012048192774</v>
      </c>
    </row>
    <row r="851" spans="1:16" ht="15.75" customHeight="1" x14ac:dyDescent="0.3">
      <c r="A851" s="32" t="s">
        <v>59</v>
      </c>
      <c r="B851" s="9" t="s">
        <v>390</v>
      </c>
      <c r="C851" s="9" t="s">
        <v>100</v>
      </c>
      <c r="D851" s="9" t="s">
        <v>119</v>
      </c>
      <c r="E851" s="10">
        <v>64</v>
      </c>
      <c r="F851" s="9" t="s">
        <v>121</v>
      </c>
      <c r="G851" s="10">
        <v>32</v>
      </c>
      <c r="H851" s="9" t="s">
        <v>391</v>
      </c>
      <c r="I851" s="9" t="s">
        <v>392</v>
      </c>
      <c r="J851" s="9"/>
      <c r="K851" s="9"/>
      <c r="L851" s="9"/>
      <c r="M851" s="12">
        <f t="shared" si="52"/>
        <v>0</v>
      </c>
      <c r="N851" s="13">
        <f t="shared" si="53"/>
        <v>359</v>
      </c>
      <c r="O851" s="14">
        <f t="shared" si="54"/>
        <v>359</v>
      </c>
      <c r="P851" s="15">
        <f t="shared" si="55"/>
        <v>0.43253012048192774</v>
      </c>
    </row>
    <row r="852" spans="1:16" ht="15.75" customHeight="1" x14ac:dyDescent="0.3">
      <c r="A852" s="32" t="s">
        <v>59</v>
      </c>
      <c r="B852" s="9" t="s">
        <v>390</v>
      </c>
      <c r="C852" s="9" t="s">
        <v>80</v>
      </c>
      <c r="D852" s="9" t="s">
        <v>119</v>
      </c>
      <c r="E852" s="10">
        <v>1</v>
      </c>
      <c r="F852" s="9" t="s">
        <v>121</v>
      </c>
      <c r="G852" s="11">
        <v>0</v>
      </c>
      <c r="H852" s="9" t="s">
        <v>391</v>
      </c>
      <c r="I852" s="9" t="s">
        <v>392</v>
      </c>
      <c r="J852" s="9"/>
      <c r="K852" s="9"/>
      <c r="L852" s="9"/>
      <c r="M852" s="12">
        <f t="shared" si="52"/>
        <v>0</v>
      </c>
      <c r="N852" s="13">
        <f t="shared" si="53"/>
        <v>359</v>
      </c>
      <c r="O852" s="14">
        <f t="shared" si="54"/>
        <v>359</v>
      </c>
      <c r="P852" s="15">
        <f t="shared" si="55"/>
        <v>0.43253012048192774</v>
      </c>
    </row>
    <row r="853" spans="1:16" ht="15.75" customHeight="1" x14ac:dyDescent="0.3">
      <c r="A853" s="32" t="s">
        <v>59</v>
      </c>
      <c r="B853" s="9" t="s">
        <v>393</v>
      </c>
      <c r="C853" s="9" t="s">
        <v>73</v>
      </c>
      <c r="D853" s="9" t="s">
        <v>119</v>
      </c>
      <c r="E853" s="10">
        <v>24</v>
      </c>
      <c r="F853" s="9" t="s">
        <v>121</v>
      </c>
      <c r="G853" s="10">
        <v>24</v>
      </c>
      <c r="H853" s="9" t="s">
        <v>98</v>
      </c>
      <c r="I853" s="9" t="s">
        <v>99</v>
      </c>
      <c r="J853" s="9" t="s">
        <v>4</v>
      </c>
      <c r="K853" s="9"/>
      <c r="L853" s="9"/>
      <c r="M853" s="12">
        <f t="shared" si="52"/>
        <v>239</v>
      </c>
      <c r="N853" s="13">
        <f t="shared" si="53"/>
        <v>196.5</v>
      </c>
      <c r="O853" s="14">
        <f t="shared" si="54"/>
        <v>435.5</v>
      </c>
      <c r="P853" s="15">
        <f t="shared" si="55"/>
        <v>0.52469879518072293</v>
      </c>
    </row>
    <row r="854" spans="1:16" ht="15.75" customHeight="1" x14ac:dyDescent="0.3">
      <c r="A854" s="32" t="s">
        <v>59</v>
      </c>
      <c r="B854" s="9" t="s">
        <v>393</v>
      </c>
      <c r="C854" s="9" t="s">
        <v>100</v>
      </c>
      <c r="D854" s="9" t="s">
        <v>119</v>
      </c>
      <c r="E854" s="10">
        <v>64</v>
      </c>
      <c r="F854" s="9" t="s">
        <v>121</v>
      </c>
      <c r="G854" s="10">
        <v>32</v>
      </c>
      <c r="H854" s="9" t="s">
        <v>98</v>
      </c>
      <c r="I854" s="9" t="s">
        <v>99</v>
      </c>
      <c r="J854" s="9" t="s">
        <v>4</v>
      </c>
      <c r="K854" s="9"/>
      <c r="L854" s="9"/>
      <c r="M854" s="12">
        <f t="shared" si="52"/>
        <v>239</v>
      </c>
      <c r="N854" s="13">
        <f t="shared" si="53"/>
        <v>196.5</v>
      </c>
      <c r="O854" s="14">
        <f t="shared" si="54"/>
        <v>435.5</v>
      </c>
      <c r="P854" s="15">
        <f t="shared" si="55"/>
        <v>0.52469879518072293</v>
      </c>
    </row>
    <row r="855" spans="1:16" ht="15.75" customHeight="1" x14ac:dyDescent="0.3">
      <c r="A855" s="32" t="s">
        <v>59</v>
      </c>
      <c r="B855" s="9" t="s">
        <v>393</v>
      </c>
      <c r="C855" s="9" t="s">
        <v>111</v>
      </c>
      <c r="D855" s="9" t="s">
        <v>119</v>
      </c>
      <c r="E855" s="10">
        <v>9</v>
      </c>
      <c r="F855" s="9" t="s">
        <v>121</v>
      </c>
      <c r="G855" s="11">
        <v>0</v>
      </c>
      <c r="H855" s="9" t="s">
        <v>98</v>
      </c>
      <c r="I855" s="9" t="s">
        <v>99</v>
      </c>
      <c r="J855" s="9" t="s">
        <v>4</v>
      </c>
      <c r="K855" s="9"/>
      <c r="L855" s="9"/>
      <c r="M855" s="12">
        <f t="shared" si="52"/>
        <v>239</v>
      </c>
      <c r="N855" s="13">
        <f t="shared" si="53"/>
        <v>196.5</v>
      </c>
      <c r="O855" s="14">
        <f t="shared" si="54"/>
        <v>435.5</v>
      </c>
      <c r="P855" s="15">
        <f t="shared" si="55"/>
        <v>0.52469879518072293</v>
      </c>
    </row>
    <row r="856" spans="1:16" ht="15.75" customHeight="1" x14ac:dyDescent="0.3">
      <c r="A856" s="32" t="s">
        <v>59</v>
      </c>
      <c r="B856" s="9" t="s">
        <v>393</v>
      </c>
      <c r="C856" s="9" t="s">
        <v>80</v>
      </c>
      <c r="D856" s="9" t="s">
        <v>119</v>
      </c>
      <c r="E856" s="10">
        <v>3</v>
      </c>
      <c r="F856" s="9" t="s">
        <v>121</v>
      </c>
      <c r="G856" s="11">
        <v>0</v>
      </c>
      <c r="H856" s="9" t="s">
        <v>98</v>
      </c>
      <c r="I856" s="9" t="s">
        <v>99</v>
      </c>
      <c r="J856" s="9" t="s">
        <v>4</v>
      </c>
      <c r="K856" s="9"/>
      <c r="L856" s="9"/>
      <c r="M856" s="12">
        <f t="shared" si="52"/>
        <v>239</v>
      </c>
      <c r="N856" s="13">
        <f t="shared" si="53"/>
        <v>196.5</v>
      </c>
      <c r="O856" s="14">
        <f t="shared" si="54"/>
        <v>435.5</v>
      </c>
      <c r="P856" s="15">
        <f t="shared" si="55"/>
        <v>0.52469879518072293</v>
      </c>
    </row>
    <row r="857" spans="1:16" ht="15.75" customHeight="1" x14ac:dyDescent="0.3">
      <c r="A857" s="32" t="s">
        <v>59</v>
      </c>
      <c r="B857" s="9" t="s">
        <v>394</v>
      </c>
      <c r="C857" s="9" t="s">
        <v>73</v>
      </c>
      <c r="D857" s="9" t="s">
        <v>160</v>
      </c>
      <c r="E857" s="10">
        <v>32</v>
      </c>
      <c r="F857" s="9" t="s">
        <v>161</v>
      </c>
      <c r="G857" s="10">
        <v>32</v>
      </c>
      <c r="H857" s="9" t="s">
        <v>146</v>
      </c>
      <c r="I857" s="9" t="s">
        <v>147</v>
      </c>
      <c r="J857" s="9"/>
      <c r="K857" s="9"/>
      <c r="L857" s="9"/>
      <c r="M857" s="12">
        <f t="shared" si="52"/>
        <v>279</v>
      </c>
      <c r="N857" s="13">
        <f t="shared" si="53"/>
        <v>475.5</v>
      </c>
      <c r="O857" s="14">
        <f t="shared" si="54"/>
        <v>754.5</v>
      </c>
      <c r="P857" s="15">
        <f t="shared" si="55"/>
        <v>0.90903614457831328</v>
      </c>
    </row>
    <row r="858" spans="1:16" ht="15.75" customHeight="1" x14ac:dyDescent="0.3">
      <c r="A858" s="32" t="s">
        <v>59</v>
      </c>
      <c r="B858" s="9" t="s">
        <v>394</v>
      </c>
      <c r="C858" s="9" t="s">
        <v>79</v>
      </c>
      <c r="D858" s="9" t="s">
        <v>162</v>
      </c>
      <c r="E858" s="10">
        <v>20</v>
      </c>
      <c r="F858" s="9" t="s">
        <v>161</v>
      </c>
      <c r="G858" s="10">
        <v>20</v>
      </c>
      <c r="H858" s="9" t="s">
        <v>146</v>
      </c>
      <c r="I858" s="9" t="s">
        <v>147</v>
      </c>
      <c r="J858" s="9"/>
      <c r="K858" s="9"/>
      <c r="L858" s="9"/>
      <c r="M858" s="12">
        <f t="shared" si="52"/>
        <v>279</v>
      </c>
      <c r="N858" s="13">
        <f t="shared" si="53"/>
        <v>475.5</v>
      </c>
      <c r="O858" s="14">
        <f t="shared" si="54"/>
        <v>754.5</v>
      </c>
      <c r="P858" s="15">
        <f t="shared" si="55"/>
        <v>0.90903614457831328</v>
      </c>
    </row>
    <row r="859" spans="1:16" ht="15.75" customHeight="1" x14ac:dyDescent="0.3">
      <c r="A859" s="32" t="s">
        <v>59</v>
      </c>
      <c r="B859" s="9" t="s">
        <v>394</v>
      </c>
      <c r="C859" s="9" t="s">
        <v>79</v>
      </c>
      <c r="D859" s="9" t="s">
        <v>163</v>
      </c>
      <c r="E859" s="10">
        <v>20</v>
      </c>
      <c r="F859" s="9" t="s">
        <v>161</v>
      </c>
      <c r="G859" s="10">
        <v>20</v>
      </c>
      <c r="H859" s="9" t="s">
        <v>146</v>
      </c>
      <c r="I859" s="9" t="s">
        <v>147</v>
      </c>
      <c r="J859" s="9"/>
      <c r="K859" s="9"/>
      <c r="L859" s="9"/>
      <c r="M859" s="12">
        <f t="shared" si="52"/>
        <v>279</v>
      </c>
      <c r="N859" s="13">
        <f t="shared" si="53"/>
        <v>475.5</v>
      </c>
      <c r="O859" s="14">
        <f t="shared" si="54"/>
        <v>754.5</v>
      </c>
      <c r="P859" s="15">
        <f t="shared" si="55"/>
        <v>0.90903614457831328</v>
      </c>
    </row>
    <row r="860" spans="1:16" ht="15.75" customHeight="1" x14ac:dyDescent="0.3">
      <c r="A860" s="32" t="s">
        <v>59</v>
      </c>
      <c r="B860" s="9" t="s">
        <v>394</v>
      </c>
      <c r="C860" s="9" t="s">
        <v>100</v>
      </c>
      <c r="D860" s="9" t="s">
        <v>162</v>
      </c>
      <c r="E860" s="10">
        <v>32</v>
      </c>
      <c r="F860" s="9" t="s">
        <v>161</v>
      </c>
      <c r="G860" s="10">
        <v>16</v>
      </c>
      <c r="H860" s="9" t="s">
        <v>146</v>
      </c>
      <c r="I860" s="9" t="s">
        <v>147</v>
      </c>
      <c r="J860" s="9"/>
      <c r="K860" s="9"/>
      <c r="L860" s="9"/>
      <c r="M860" s="12">
        <f t="shared" si="52"/>
        <v>279</v>
      </c>
      <c r="N860" s="13">
        <f t="shared" si="53"/>
        <v>475.5</v>
      </c>
      <c r="O860" s="14">
        <f t="shared" si="54"/>
        <v>754.5</v>
      </c>
      <c r="P860" s="15">
        <f t="shared" si="55"/>
        <v>0.90903614457831328</v>
      </c>
    </row>
    <row r="861" spans="1:16" ht="15.75" customHeight="1" x14ac:dyDescent="0.3">
      <c r="A861" s="32" t="s">
        <v>59</v>
      </c>
      <c r="B861" s="9" t="s">
        <v>394</v>
      </c>
      <c r="C861" s="9" t="s">
        <v>100</v>
      </c>
      <c r="D861" s="9" t="s">
        <v>163</v>
      </c>
      <c r="E861" s="10">
        <v>16</v>
      </c>
      <c r="F861" s="9" t="s">
        <v>161</v>
      </c>
      <c r="G861" s="10">
        <v>16</v>
      </c>
      <c r="H861" s="9" t="s">
        <v>146</v>
      </c>
      <c r="I861" s="9" t="s">
        <v>147</v>
      </c>
      <c r="J861" s="9"/>
      <c r="K861" s="9"/>
      <c r="L861" s="9"/>
      <c r="M861" s="12">
        <f t="shared" si="52"/>
        <v>279</v>
      </c>
      <c r="N861" s="13">
        <f t="shared" si="53"/>
        <v>475.5</v>
      </c>
      <c r="O861" s="14">
        <f t="shared" si="54"/>
        <v>754.5</v>
      </c>
      <c r="P861" s="15">
        <f t="shared" si="55"/>
        <v>0.90903614457831328</v>
      </c>
    </row>
    <row r="862" spans="1:16" ht="15.75" customHeight="1" x14ac:dyDescent="0.3">
      <c r="A862" s="32" t="s">
        <v>59</v>
      </c>
      <c r="B862" s="9" t="s">
        <v>394</v>
      </c>
      <c r="C862" s="9" t="s">
        <v>111</v>
      </c>
      <c r="D862" s="9" t="s">
        <v>162</v>
      </c>
      <c r="E862" s="10">
        <v>9</v>
      </c>
      <c r="F862" s="9" t="s">
        <v>161</v>
      </c>
      <c r="G862" s="11">
        <v>0</v>
      </c>
      <c r="H862" s="9" t="s">
        <v>146</v>
      </c>
      <c r="I862" s="9" t="s">
        <v>147</v>
      </c>
      <c r="J862" s="9"/>
      <c r="K862" s="9"/>
      <c r="L862" s="9"/>
      <c r="M862" s="12">
        <f t="shared" si="52"/>
        <v>279</v>
      </c>
      <c r="N862" s="13">
        <f t="shared" si="53"/>
        <v>475.5</v>
      </c>
      <c r="O862" s="14">
        <f t="shared" si="54"/>
        <v>754.5</v>
      </c>
      <c r="P862" s="15">
        <f t="shared" si="55"/>
        <v>0.90903614457831328</v>
      </c>
    </row>
    <row r="863" spans="1:16" ht="15.75" customHeight="1" x14ac:dyDescent="0.3">
      <c r="A863" s="32" t="s">
        <v>59</v>
      </c>
      <c r="B863" s="9" t="s">
        <v>394</v>
      </c>
      <c r="C863" s="9" t="s">
        <v>111</v>
      </c>
      <c r="D863" s="9" t="s">
        <v>163</v>
      </c>
      <c r="E863" s="10">
        <v>7</v>
      </c>
      <c r="F863" s="9" t="s">
        <v>161</v>
      </c>
      <c r="G863" s="11">
        <v>0</v>
      </c>
      <c r="H863" s="9" t="s">
        <v>146</v>
      </c>
      <c r="I863" s="9" t="s">
        <v>147</v>
      </c>
      <c r="J863" s="9"/>
      <c r="K863" s="9"/>
      <c r="L863" s="9"/>
      <c r="M863" s="12">
        <f t="shared" si="52"/>
        <v>279</v>
      </c>
      <c r="N863" s="13">
        <f t="shared" si="53"/>
        <v>475.5</v>
      </c>
      <c r="O863" s="14">
        <f t="shared" si="54"/>
        <v>754.5</v>
      </c>
      <c r="P863" s="15">
        <f t="shared" si="55"/>
        <v>0.90903614457831328</v>
      </c>
    </row>
    <row r="864" spans="1:16" ht="15.75" customHeight="1" x14ac:dyDescent="0.3">
      <c r="A864" s="32" t="s">
        <v>59</v>
      </c>
      <c r="B864" s="9" t="s">
        <v>394</v>
      </c>
      <c r="C864" s="9" t="s">
        <v>80</v>
      </c>
      <c r="D864" s="9" t="s">
        <v>162</v>
      </c>
      <c r="E864" s="10">
        <v>4</v>
      </c>
      <c r="F864" s="9" t="s">
        <v>161</v>
      </c>
      <c r="G864" s="11">
        <v>0</v>
      </c>
      <c r="H864" s="9" t="s">
        <v>146</v>
      </c>
      <c r="I864" s="9" t="s">
        <v>147</v>
      </c>
      <c r="J864" s="9"/>
      <c r="K864" s="9"/>
      <c r="L864" s="9"/>
      <c r="M864" s="12">
        <f t="shared" si="52"/>
        <v>279</v>
      </c>
      <c r="N864" s="13">
        <f t="shared" si="53"/>
        <v>475.5</v>
      </c>
      <c r="O864" s="14">
        <f t="shared" si="54"/>
        <v>754.5</v>
      </c>
      <c r="P864" s="15">
        <f t="shared" si="55"/>
        <v>0.90903614457831328</v>
      </c>
    </row>
    <row r="865" spans="1:16" ht="15.75" customHeight="1" x14ac:dyDescent="0.3">
      <c r="A865" s="32" t="s">
        <v>59</v>
      </c>
      <c r="B865" s="9" t="s">
        <v>394</v>
      </c>
      <c r="C865" s="9" t="s">
        <v>80</v>
      </c>
      <c r="D865" s="9" t="s">
        <v>163</v>
      </c>
      <c r="E865" s="10">
        <v>4</v>
      </c>
      <c r="F865" s="9" t="s">
        <v>161</v>
      </c>
      <c r="G865" s="11">
        <v>0</v>
      </c>
      <c r="H865" s="9" t="s">
        <v>146</v>
      </c>
      <c r="I865" s="9" t="s">
        <v>147</v>
      </c>
      <c r="J865" s="9"/>
      <c r="K865" s="9"/>
      <c r="L865" s="9"/>
      <c r="M865" s="12">
        <f t="shared" si="52"/>
        <v>279</v>
      </c>
      <c r="N865" s="13">
        <f t="shared" si="53"/>
        <v>475.5</v>
      </c>
      <c r="O865" s="14">
        <f t="shared" si="54"/>
        <v>754.5</v>
      </c>
      <c r="P865" s="15">
        <f t="shared" si="55"/>
        <v>0.90903614457831328</v>
      </c>
    </row>
    <row r="866" spans="1:16" ht="15.75" customHeight="1" x14ac:dyDescent="0.3">
      <c r="A866" s="32" t="s">
        <v>59</v>
      </c>
      <c r="B866" s="9" t="s">
        <v>395</v>
      </c>
      <c r="C866" s="9" t="s">
        <v>73</v>
      </c>
      <c r="D866" s="9" t="s">
        <v>139</v>
      </c>
      <c r="E866" s="10">
        <v>12</v>
      </c>
      <c r="F866" s="9" t="s">
        <v>238</v>
      </c>
      <c r="G866" s="10">
        <v>12</v>
      </c>
      <c r="H866" s="9" t="s">
        <v>391</v>
      </c>
      <c r="I866" s="9" t="s">
        <v>392</v>
      </c>
      <c r="J866" s="9"/>
      <c r="K866" s="9"/>
      <c r="L866" s="9"/>
      <c r="M866" s="12">
        <f t="shared" si="52"/>
        <v>0</v>
      </c>
      <c r="N866" s="13">
        <f t="shared" si="53"/>
        <v>359</v>
      </c>
      <c r="O866" s="14">
        <f t="shared" si="54"/>
        <v>359</v>
      </c>
      <c r="P866" s="15">
        <f t="shared" si="55"/>
        <v>0.43253012048192774</v>
      </c>
    </row>
    <row r="867" spans="1:16" ht="15.75" customHeight="1" x14ac:dyDescent="0.3">
      <c r="A867" s="32" t="s">
        <v>59</v>
      </c>
      <c r="B867" s="9" t="s">
        <v>395</v>
      </c>
      <c r="C867" s="9" t="s">
        <v>79</v>
      </c>
      <c r="D867" s="9" t="s">
        <v>139</v>
      </c>
      <c r="E867" s="10">
        <v>24</v>
      </c>
      <c r="F867" s="9" t="s">
        <v>238</v>
      </c>
      <c r="G867" s="10">
        <v>24</v>
      </c>
      <c r="H867" s="9" t="s">
        <v>391</v>
      </c>
      <c r="I867" s="9" t="s">
        <v>392</v>
      </c>
      <c r="J867" s="9"/>
      <c r="K867" s="9"/>
      <c r="L867" s="9"/>
      <c r="M867" s="12">
        <f t="shared" si="52"/>
        <v>0</v>
      </c>
      <c r="N867" s="13">
        <f t="shared" si="53"/>
        <v>359</v>
      </c>
      <c r="O867" s="14">
        <f t="shared" si="54"/>
        <v>359</v>
      </c>
      <c r="P867" s="15">
        <f t="shared" si="55"/>
        <v>0.43253012048192774</v>
      </c>
    </row>
    <row r="868" spans="1:16" ht="15.75" customHeight="1" x14ac:dyDescent="0.3">
      <c r="A868" s="32" t="s">
        <v>59</v>
      </c>
      <c r="B868" s="9" t="s">
        <v>395</v>
      </c>
      <c r="C868" s="9" t="s">
        <v>142</v>
      </c>
      <c r="D868" s="9" t="s">
        <v>139</v>
      </c>
      <c r="E868" s="10">
        <v>2</v>
      </c>
      <c r="F868" s="9" t="s">
        <v>238</v>
      </c>
      <c r="G868" s="11">
        <v>0</v>
      </c>
      <c r="H868" s="9" t="s">
        <v>391</v>
      </c>
      <c r="I868" s="9" t="s">
        <v>392</v>
      </c>
      <c r="J868" s="9"/>
      <c r="K868" s="9"/>
      <c r="L868" s="9"/>
      <c r="M868" s="12">
        <f t="shared" si="52"/>
        <v>0</v>
      </c>
      <c r="N868" s="13">
        <f t="shared" si="53"/>
        <v>359</v>
      </c>
      <c r="O868" s="14">
        <f t="shared" si="54"/>
        <v>359</v>
      </c>
      <c r="P868" s="15">
        <f t="shared" si="55"/>
        <v>0.43253012048192774</v>
      </c>
    </row>
    <row r="869" spans="1:16" ht="15.75" customHeight="1" x14ac:dyDescent="0.3">
      <c r="A869" s="32" t="s">
        <v>59</v>
      </c>
      <c r="B869" s="9" t="s">
        <v>395</v>
      </c>
      <c r="C869" s="9" t="s">
        <v>80</v>
      </c>
      <c r="D869" s="9" t="s">
        <v>139</v>
      </c>
      <c r="E869" s="10">
        <v>1</v>
      </c>
      <c r="F869" s="9" t="s">
        <v>238</v>
      </c>
      <c r="G869" s="11">
        <v>0</v>
      </c>
      <c r="H869" s="9" t="s">
        <v>391</v>
      </c>
      <c r="I869" s="9" t="s">
        <v>392</v>
      </c>
      <c r="J869" s="9"/>
      <c r="K869" s="9"/>
      <c r="L869" s="9"/>
      <c r="M869" s="12">
        <f t="shared" si="52"/>
        <v>0</v>
      </c>
      <c r="N869" s="13">
        <f t="shared" si="53"/>
        <v>359</v>
      </c>
      <c r="O869" s="14">
        <f t="shared" si="54"/>
        <v>359</v>
      </c>
      <c r="P869" s="15">
        <f t="shared" si="55"/>
        <v>0.43253012048192774</v>
      </c>
    </row>
    <row r="870" spans="1:16" ht="15.75" customHeight="1" x14ac:dyDescent="0.3">
      <c r="A870" s="32" t="s">
        <v>59</v>
      </c>
      <c r="B870" s="9" t="s">
        <v>283</v>
      </c>
      <c r="C870" s="9" t="s">
        <v>73</v>
      </c>
      <c r="D870" s="9" t="s">
        <v>140</v>
      </c>
      <c r="E870" s="10">
        <v>12</v>
      </c>
      <c r="F870" s="9" t="s">
        <v>153</v>
      </c>
      <c r="G870" s="10">
        <v>12</v>
      </c>
      <c r="H870" s="9" t="s">
        <v>250</v>
      </c>
      <c r="I870" s="9" t="s">
        <v>251</v>
      </c>
      <c r="J870" s="9"/>
      <c r="K870" s="9"/>
      <c r="L870" s="9"/>
      <c r="M870" s="12">
        <f t="shared" si="52"/>
        <v>179</v>
      </c>
      <c r="N870" s="13">
        <f t="shared" si="53"/>
        <v>72</v>
      </c>
      <c r="O870" s="14">
        <f t="shared" si="54"/>
        <v>251</v>
      </c>
      <c r="P870" s="15">
        <f t="shared" si="55"/>
        <v>0.30240963855421688</v>
      </c>
    </row>
    <row r="871" spans="1:16" ht="15.75" customHeight="1" x14ac:dyDescent="0.3">
      <c r="A871" s="32" t="s">
        <v>59</v>
      </c>
      <c r="B871" s="9" t="s">
        <v>283</v>
      </c>
      <c r="C871" s="9" t="s">
        <v>87</v>
      </c>
      <c r="D871" s="9" t="s">
        <v>140</v>
      </c>
      <c r="E871" s="10">
        <v>2</v>
      </c>
      <c r="F871" s="9" t="s">
        <v>153</v>
      </c>
      <c r="G871" s="11">
        <v>0</v>
      </c>
      <c r="H871" s="9" t="s">
        <v>250</v>
      </c>
      <c r="I871" s="9" t="s">
        <v>251</v>
      </c>
      <c r="J871" s="9"/>
      <c r="K871" s="9"/>
      <c r="L871" s="9"/>
      <c r="M871" s="12">
        <f t="shared" si="52"/>
        <v>179</v>
      </c>
      <c r="N871" s="13">
        <f t="shared" si="53"/>
        <v>72</v>
      </c>
      <c r="O871" s="14">
        <f t="shared" si="54"/>
        <v>251</v>
      </c>
      <c r="P871" s="15">
        <f t="shared" si="55"/>
        <v>0.30240963855421688</v>
      </c>
    </row>
    <row r="872" spans="1:16" ht="15.75" customHeight="1" x14ac:dyDescent="0.3">
      <c r="A872" s="32" t="s">
        <v>59</v>
      </c>
      <c r="B872" s="9" t="s">
        <v>283</v>
      </c>
      <c r="C872" s="9" t="s">
        <v>79</v>
      </c>
      <c r="D872" s="9" t="s">
        <v>140</v>
      </c>
      <c r="E872" s="10">
        <v>10</v>
      </c>
      <c r="F872" s="9" t="s">
        <v>153</v>
      </c>
      <c r="G872" s="10">
        <v>10</v>
      </c>
      <c r="H872" s="9" t="s">
        <v>250</v>
      </c>
      <c r="I872" s="9" t="s">
        <v>251</v>
      </c>
      <c r="J872" s="9"/>
      <c r="K872" s="9"/>
      <c r="L872" s="9"/>
      <c r="M872" s="12">
        <f t="shared" si="52"/>
        <v>179</v>
      </c>
      <c r="N872" s="13">
        <f t="shared" si="53"/>
        <v>72</v>
      </c>
      <c r="O872" s="14">
        <f t="shared" si="54"/>
        <v>251</v>
      </c>
      <c r="P872" s="15">
        <f t="shared" si="55"/>
        <v>0.30240963855421688</v>
      </c>
    </row>
    <row r="873" spans="1:16" ht="15.75" customHeight="1" x14ac:dyDescent="0.3">
      <c r="A873" s="32" t="s">
        <v>59</v>
      </c>
      <c r="B873" s="9" t="s">
        <v>283</v>
      </c>
      <c r="C873" s="9" t="s">
        <v>100</v>
      </c>
      <c r="D873" s="9" t="s">
        <v>140</v>
      </c>
      <c r="E873" s="10">
        <v>12</v>
      </c>
      <c r="F873" s="9" t="s">
        <v>153</v>
      </c>
      <c r="G873" s="10">
        <v>12</v>
      </c>
      <c r="H873" s="9" t="s">
        <v>250</v>
      </c>
      <c r="I873" s="9" t="s">
        <v>251</v>
      </c>
      <c r="J873" s="9"/>
      <c r="K873" s="9"/>
      <c r="L873" s="9"/>
      <c r="M873" s="12">
        <f t="shared" si="52"/>
        <v>179</v>
      </c>
      <c r="N873" s="13">
        <f t="shared" si="53"/>
        <v>72</v>
      </c>
      <c r="O873" s="14">
        <f t="shared" si="54"/>
        <v>251</v>
      </c>
      <c r="P873" s="15">
        <f t="shared" si="55"/>
        <v>0.30240963855421688</v>
      </c>
    </row>
    <row r="874" spans="1:16" ht="15.75" customHeight="1" x14ac:dyDescent="0.3">
      <c r="A874" s="32" t="s">
        <v>59</v>
      </c>
      <c r="B874" s="9" t="s">
        <v>283</v>
      </c>
      <c r="C874" s="9" t="s">
        <v>80</v>
      </c>
      <c r="D874" s="9" t="s">
        <v>140</v>
      </c>
      <c r="E874" s="10">
        <v>1</v>
      </c>
      <c r="F874" s="9" t="s">
        <v>153</v>
      </c>
      <c r="G874" s="11">
        <v>0</v>
      </c>
      <c r="H874" s="9" t="s">
        <v>250</v>
      </c>
      <c r="I874" s="9" t="s">
        <v>251</v>
      </c>
      <c r="J874" s="9"/>
      <c r="K874" s="9"/>
      <c r="L874" s="9"/>
      <c r="M874" s="12">
        <f t="shared" si="52"/>
        <v>179</v>
      </c>
      <c r="N874" s="13">
        <f t="shared" si="53"/>
        <v>72</v>
      </c>
      <c r="O874" s="14">
        <f t="shared" si="54"/>
        <v>251</v>
      </c>
      <c r="P874" s="15">
        <f t="shared" si="55"/>
        <v>0.30240963855421688</v>
      </c>
    </row>
    <row r="875" spans="1:16" ht="15.75" customHeight="1" x14ac:dyDescent="0.3">
      <c r="A875" s="32" t="s">
        <v>59</v>
      </c>
      <c r="B875" s="9" t="s">
        <v>293</v>
      </c>
      <c r="C875" s="9" t="s">
        <v>73</v>
      </c>
      <c r="D875" s="9" t="s">
        <v>82</v>
      </c>
      <c r="E875" s="10">
        <v>36</v>
      </c>
      <c r="F875" s="9" t="s">
        <v>83</v>
      </c>
      <c r="G875" s="10">
        <v>36</v>
      </c>
      <c r="H875" s="9" t="s">
        <v>67</v>
      </c>
      <c r="I875" s="9" t="s">
        <v>68</v>
      </c>
      <c r="J875" s="9" t="s">
        <v>4</v>
      </c>
      <c r="K875" s="9"/>
      <c r="L875" s="9"/>
      <c r="M875" s="12">
        <f t="shared" si="52"/>
        <v>366</v>
      </c>
      <c r="N875" s="13">
        <f t="shared" si="53"/>
        <v>175</v>
      </c>
      <c r="O875" s="14">
        <f t="shared" si="54"/>
        <v>541</v>
      </c>
      <c r="P875" s="15">
        <f t="shared" si="55"/>
        <v>0.65180722891566267</v>
      </c>
    </row>
    <row r="876" spans="1:16" ht="15.75" customHeight="1" x14ac:dyDescent="0.3">
      <c r="A876" s="32" t="s">
        <v>59</v>
      </c>
      <c r="B876" s="9" t="s">
        <v>293</v>
      </c>
      <c r="C876" s="9" t="s">
        <v>87</v>
      </c>
      <c r="D876" s="9" t="s">
        <v>88</v>
      </c>
      <c r="E876" s="10">
        <v>7</v>
      </c>
      <c r="F876" s="9" t="s">
        <v>83</v>
      </c>
      <c r="G876" s="11">
        <v>0</v>
      </c>
      <c r="H876" s="9" t="s">
        <v>67</v>
      </c>
      <c r="I876" s="9" t="s">
        <v>68</v>
      </c>
      <c r="J876" s="9" t="s">
        <v>4</v>
      </c>
      <c r="K876" s="9"/>
      <c r="L876" s="9"/>
      <c r="M876" s="12">
        <f t="shared" si="52"/>
        <v>366</v>
      </c>
      <c r="N876" s="13">
        <f t="shared" si="53"/>
        <v>175</v>
      </c>
      <c r="O876" s="14">
        <f t="shared" si="54"/>
        <v>541</v>
      </c>
      <c r="P876" s="15">
        <f t="shared" si="55"/>
        <v>0.65180722891566267</v>
      </c>
    </row>
    <row r="877" spans="1:16" ht="15.75" customHeight="1" x14ac:dyDescent="0.3">
      <c r="A877" s="32" t="s">
        <v>59</v>
      </c>
      <c r="B877" s="9" t="s">
        <v>293</v>
      </c>
      <c r="C877" s="9" t="s">
        <v>87</v>
      </c>
      <c r="D877" s="9" t="s">
        <v>90</v>
      </c>
      <c r="E877" s="10">
        <v>7</v>
      </c>
      <c r="F877" s="9" t="s">
        <v>83</v>
      </c>
      <c r="G877" s="11">
        <v>0</v>
      </c>
      <c r="H877" s="9" t="s">
        <v>67</v>
      </c>
      <c r="I877" s="9" t="s">
        <v>68</v>
      </c>
      <c r="J877" s="9" t="s">
        <v>4</v>
      </c>
      <c r="K877" s="9"/>
      <c r="L877" s="9"/>
      <c r="M877" s="12">
        <f t="shared" si="52"/>
        <v>366</v>
      </c>
      <c r="N877" s="13">
        <f t="shared" si="53"/>
        <v>175</v>
      </c>
      <c r="O877" s="14">
        <f t="shared" si="54"/>
        <v>541</v>
      </c>
      <c r="P877" s="15">
        <f t="shared" si="55"/>
        <v>0.65180722891566267</v>
      </c>
    </row>
    <row r="878" spans="1:16" ht="15.75" customHeight="1" x14ac:dyDescent="0.3">
      <c r="A878" s="32" t="s">
        <v>59</v>
      </c>
      <c r="B878" s="9" t="s">
        <v>293</v>
      </c>
      <c r="C878" s="9" t="s">
        <v>79</v>
      </c>
      <c r="D878" s="9" t="s">
        <v>88</v>
      </c>
      <c r="E878" s="10">
        <v>48</v>
      </c>
      <c r="F878" s="9" t="s">
        <v>83</v>
      </c>
      <c r="G878" s="10">
        <v>48</v>
      </c>
      <c r="H878" s="9" t="s">
        <v>67</v>
      </c>
      <c r="I878" s="9" t="s">
        <v>68</v>
      </c>
      <c r="J878" s="9" t="s">
        <v>4</v>
      </c>
      <c r="K878" s="9"/>
      <c r="L878" s="9"/>
      <c r="M878" s="12">
        <f t="shared" si="52"/>
        <v>366</v>
      </c>
      <c r="N878" s="13">
        <f t="shared" si="53"/>
        <v>175</v>
      </c>
      <c r="O878" s="14">
        <f t="shared" si="54"/>
        <v>541</v>
      </c>
      <c r="P878" s="15">
        <f t="shared" si="55"/>
        <v>0.65180722891566267</v>
      </c>
    </row>
    <row r="879" spans="1:16" ht="15.75" customHeight="1" x14ac:dyDescent="0.3">
      <c r="A879" s="32" t="s">
        <v>59</v>
      </c>
      <c r="B879" s="9" t="s">
        <v>293</v>
      </c>
      <c r="C879" s="9" t="s">
        <v>79</v>
      </c>
      <c r="D879" s="9" t="s">
        <v>90</v>
      </c>
      <c r="E879" s="10">
        <v>48</v>
      </c>
      <c r="F879" s="9" t="s">
        <v>83</v>
      </c>
      <c r="G879" s="10">
        <v>48</v>
      </c>
      <c r="H879" s="9" t="s">
        <v>67</v>
      </c>
      <c r="I879" s="9" t="s">
        <v>68</v>
      </c>
      <c r="J879" s="9" t="s">
        <v>4</v>
      </c>
      <c r="K879" s="9"/>
      <c r="L879" s="9"/>
      <c r="M879" s="12">
        <f t="shared" si="52"/>
        <v>366</v>
      </c>
      <c r="N879" s="13">
        <f t="shared" si="53"/>
        <v>175</v>
      </c>
      <c r="O879" s="14">
        <f t="shared" si="54"/>
        <v>541</v>
      </c>
      <c r="P879" s="15">
        <f t="shared" si="55"/>
        <v>0.65180722891566267</v>
      </c>
    </row>
    <row r="880" spans="1:16" ht="15.75" customHeight="1" x14ac:dyDescent="0.3">
      <c r="A880" s="32" t="s">
        <v>59</v>
      </c>
      <c r="B880" s="9" t="s">
        <v>293</v>
      </c>
      <c r="C880" s="9" t="s">
        <v>80</v>
      </c>
      <c r="D880" s="9" t="s">
        <v>88</v>
      </c>
      <c r="E880" s="10">
        <v>2</v>
      </c>
      <c r="F880" s="9" t="s">
        <v>83</v>
      </c>
      <c r="G880" s="11">
        <v>0</v>
      </c>
      <c r="H880" s="9" t="s">
        <v>67</v>
      </c>
      <c r="I880" s="9" t="s">
        <v>68</v>
      </c>
      <c r="J880" s="9" t="s">
        <v>4</v>
      </c>
      <c r="K880" s="9"/>
      <c r="L880" s="9"/>
      <c r="M880" s="12">
        <f t="shared" si="52"/>
        <v>366</v>
      </c>
      <c r="N880" s="13">
        <f t="shared" si="53"/>
        <v>175</v>
      </c>
      <c r="O880" s="14">
        <f t="shared" si="54"/>
        <v>541</v>
      </c>
      <c r="P880" s="15">
        <f t="shared" si="55"/>
        <v>0.65180722891566267</v>
      </c>
    </row>
    <row r="881" spans="1:16" ht="15.75" customHeight="1" x14ac:dyDescent="0.3">
      <c r="A881" s="32" t="s">
        <v>59</v>
      </c>
      <c r="B881" s="9" t="s">
        <v>293</v>
      </c>
      <c r="C881" s="9" t="s">
        <v>80</v>
      </c>
      <c r="D881" s="9" t="s">
        <v>90</v>
      </c>
      <c r="E881" s="10">
        <v>2</v>
      </c>
      <c r="F881" s="9" t="s">
        <v>83</v>
      </c>
      <c r="G881" s="11">
        <v>0</v>
      </c>
      <c r="H881" s="9" t="s">
        <v>67</v>
      </c>
      <c r="I881" s="9" t="s">
        <v>68</v>
      </c>
      <c r="J881" s="9" t="s">
        <v>4</v>
      </c>
      <c r="K881" s="9"/>
      <c r="L881" s="9"/>
      <c r="M881" s="12">
        <f t="shared" si="52"/>
        <v>366</v>
      </c>
      <c r="N881" s="13">
        <f t="shared" si="53"/>
        <v>175</v>
      </c>
      <c r="O881" s="14">
        <f t="shared" si="54"/>
        <v>541</v>
      </c>
      <c r="P881" s="15">
        <f t="shared" si="55"/>
        <v>0.65180722891566267</v>
      </c>
    </row>
    <row r="882" spans="1:16" ht="15.75" customHeight="1" x14ac:dyDescent="0.3">
      <c r="A882" s="32" t="s">
        <v>59</v>
      </c>
      <c r="B882" s="9" t="s">
        <v>396</v>
      </c>
      <c r="C882" s="9" t="s">
        <v>73</v>
      </c>
      <c r="D882" s="9" t="s">
        <v>119</v>
      </c>
      <c r="E882" s="10">
        <v>34</v>
      </c>
      <c r="F882" s="9" t="s">
        <v>121</v>
      </c>
      <c r="G882" s="10">
        <v>34</v>
      </c>
      <c r="H882" s="9" t="s">
        <v>257</v>
      </c>
      <c r="I882" s="9" t="s">
        <v>258</v>
      </c>
      <c r="J882" s="9" t="s">
        <v>8</v>
      </c>
      <c r="K882" s="9"/>
      <c r="L882" s="9"/>
      <c r="M882" s="12">
        <f t="shared" si="52"/>
        <v>331</v>
      </c>
      <c r="N882" s="13">
        <f t="shared" si="53"/>
        <v>520</v>
      </c>
      <c r="O882" s="14">
        <f t="shared" si="54"/>
        <v>851</v>
      </c>
      <c r="P882" s="15">
        <f t="shared" si="55"/>
        <v>1.0253012048192771</v>
      </c>
    </row>
    <row r="883" spans="1:16" ht="15.75" customHeight="1" x14ac:dyDescent="0.3">
      <c r="A883" s="32" t="s">
        <v>59</v>
      </c>
      <c r="B883" s="9" t="s">
        <v>396</v>
      </c>
      <c r="C883" s="9" t="s">
        <v>87</v>
      </c>
      <c r="D883" s="9" t="s">
        <v>119</v>
      </c>
      <c r="E883" s="10">
        <v>6</v>
      </c>
      <c r="F883" s="9" t="s">
        <v>121</v>
      </c>
      <c r="G883" s="11">
        <v>0</v>
      </c>
      <c r="H883" s="9" t="s">
        <v>257</v>
      </c>
      <c r="I883" s="9" t="s">
        <v>258</v>
      </c>
      <c r="J883" s="9" t="s">
        <v>8</v>
      </c>
      <c r="K883" s="9"/>
      <c r="L883" s="9"/>
      <c r="M883" s="12">
        <f t="shared" si="52"/>
        <v>331</v>
      </c>
      <c r="N883" s="13">
        <f t="shared" si="53"/>
        <v>520</v>
      </c>
      <c r="O883" s="14">
        <f t="shared" si="54"/>
        <v>851</v>
      </c>
      <c r="P883" s="15">
        <f t="shared" si="55"/>
        <v>1.0253012048192771</v>
      </c>
    </row>
    <row r="884" spans="1:16" ht="15.75" customHeight="1" x14ac:dyDescent="0.3">
      <c r="A884" s="32" t="s">
        <v>59</v>
      </c>
      <c r="B884" s="9" t="s">
        <v>396</v>
      </c>
      <c r="C884" s="9" t="s">
        <v>79</v>
      </c>
      <c r="D884" s="9" t="s">
        <v>119</v>
      </c>
      <c r="E884" s="10">
        <v>22</v>
      </c>
      <c r="F884" s="9" t="s">
        <v>121</v>
      </c>
      <c r="G884" s="10">
        <v>22</v>
      </c>
      <c r="H884" s="9" t="s">
        <v>257</v>
      </c>
      <c r="I884" s="9" t="s">
        <v>258</v>
      </c>
      <c r="J884" s="9" t="s">
        <v>8</v>
      </c>
      <c r="K884" s="9"/>
      <c r="L884" s="9"/>
      <c r="M884" s="12">
        <f t="shared" si="52"/>
        <v>331</v>
      </c>
      <c r="N884" s="13">
        <f t="shared" si="53"/>
        <v>520</v>
      </c>
      <c r="O884" s="14">
        <f t="shared" si="54"/>
        <v>851</v>
      </c>
      <c r="P884" s="15">
        <f t="shared" si="55"/>
        <v>1.0253012048192771</v>
      </c>
    </row>
    <row r="885" spans="1:16" ht="15.75" customHeight="1" x14ac:dyDescent="0.3">
      <c r="A885" s="32" t="s">
        <v>59</v>
      </c>
      <c r="B885" s="9" t="s">
        <v>396</v>
      </c>
      <c r="C885" s="9" t="s">
        <v>80</v>
      </c>
      <c r="D885" s="9" t="s">
        <v>119</v>
      </c>
      <c r="E885" s="10">
        <v>2</v>
      </c>
      <c r="F885" s="9" t="s">
        <v>121</v>
      </c>
      <c r="G885" s="11">
        <v>0</v>
      </c>
      <c r="H885" s="9" t="s">
        <v>257</v>
      </c>
      <c r="I885" s="9" t="s">
        <v>258</v>
      </c>
      <c r="J885" s="9" t="s">
        <v>8</v>
      </c>
      <c r="K885" s="9"/>
      <c r="L885" s="9"/>
      <c r="M885" s="12">
        <f t="shared" si="52"/>
        <v>331</v>
      </c>
      <c r="N885" s="13">
        <f t="shared" si="53"/>
        <v>520</v>
      </c>
      <c r="O885" s="14">
        <f t="shared" si="54"/>
        <v>851</v>
      </c>
      <c r="P885" s="15">
        <f t="shared" si="55"/>
        <v>1.0253012048192771</v>
      </c>
    </row>
    <row r="886" spans="1:16" ht="15.75" customHeight="1" x14ac:dyDescent="0.3">
      <c r="A886" s="32" t="s">
        <v>59</v>
      </c>
      <c r="B886" s="9" t="s">
        <v>397</v>
      </c>
      <c r="C886" s="9" t="s">
        <v>73</v>
      </c>
      <c r="D886" s="9" t="s">
        <v>300</v>
      </c>
      <c r="E886" s="10">
        <v>20</v>
      </c>
      <c r="F886" s="9" t="s">
        <v>263</v>
      </c>
      <c r="G886" s="10">
        <v>20</v>
      </c>
      <c r="H886" s="9" t="s">
        <v>65</v>
      </c>
      <c r="I886" s="9" t="s">
        <v>66</v>
      </c>
      <c r="J886" s="9" t="s">
        <v>4</v>
      </c>
      <c r="K886" s="9"/>
      <c r="L886" s="9"/>
      <c r="M886" s="12">
        <f t="shared" si="52"/>
        <v>291</v>
      </c>
      <c r="N886" s="13">
        <f t="shared" si="53"/>
        <v>650.5</v>
      </c>
      <c r="O886" s="14">
        <f t="shared" si="54"/>
        <v>941.5</v>
      </c>
      <c r="P886" s="15">
        <f t="shared" si="55"/>
        <v>1.1343373493975903</v>
      </c>
    </row>
    <row r="887" spans="1:16" ht="15.75" customHeight="1" x14ac:dyDescent="0.3">
      <c r="A887" s="32" t="s">
        <v>59</v>
      </c>
      <c r="B887" s="9" t="s">
        <v>397</v>
      </c>
      <c r="C887" s="9" t="s">
        <v>123</v>
      </c>
      <c r="D887" s="9" t="s">
        <v>165</v>
      </c>
      <c r="E887" s="10">
        <v>21</v>
      </c>
      <c r="F887" s="9" t="s">
        <v>263</v>
      </c>
      <c r="G887" s="11">
        <v>0</v>
      </c>
      <c r="H887" s="9" t="s">
        <v>65</v>
      </c>
      <c r="I887" s="9" t="s">
        <v>66</v>
      </c>
      <c r="J887" s="9" t="s">
        <v>4</v>
      </c>
      <c r="K887" s="9"/>
      <c r="L887" s="9"/>
      <c r="M887" s="12">
        <f t="shared" si="52"/>
        <v>291</v>
      </c>
      <c r="N887" s="13">
        <f t="shared" si="53"/>
        <v>650.5</v>
      </c>
      <c r="O887" s="14">
        <f t="shared" si="54"/>
        <v>941.5</v>
      </c>
      <c r="P887" s="15">
        <f t="shared" si="55"/>
        <v>1.1343373493975903</v>
      </c>
    </row>
    <row r="888" spans="1:16" ht="15.75" customHeight="1" x14ac:dyDescent="0.3">
      <c r="A888" s="32" t="s">
        <v>59</v>
      </c>
      <c r="B888" s="9" t="s">
        <v>397</v>
      </c>
      <c r="C888" s="9" t="s">
        <v>123</v>
      </c>
      <c r="D888" s="9" t="s">
        <v>237</v>
      </c>
      <c r="E888" s="10">
        <v>18</v>
      </c>
      <c r="F888" s="9" t="s">
        <v>263</v>
      </c>
      <c r="G888" s="11">
        <v>0</v>
      </c>
      <c r="H888" s="9" t="s">
        <v>65</v>
      </c>
      <c r="I888" s="9" t="s">
        <v>66</v>
      </c>
      <c r="J888" s="9" t="s">
        <v>4</v>
      </c>
      <c r="K888" s="9"/>
      <c r="L888" s="9"/>
      <c r="M888" s="12">
        <f t="shared" si="52"/>
        <v>291</v>
      </c>
      <c r="N888" s="13">
        <f t="shared" si="53"/>
        <v>650.5</v>
      </c>
      <c r="O888" s="14">
        <f t="shared" si="54"/>
        <v>941.5</v>
      </c>
      <c r="P888" s="15">
        <f t="shared" si="55"/>
        <v>1.1343373493975903</v>
      </c>
    </row>
    <row r="889" spans="1:16" ht="15.75" customHeight="1" x14ac:dyDescent="0.3">
      <c r="A889" s="32" t="s">
        <v>59</v>
      </c>
      <c r="B889" s="9" t="s">
        <v>397</v>
      </c>
      <c r="C889" s="9" t="s">
        <v>123</v>
      </c>
      <c r="D889" s="9" t="s">
        <v>152</v>
      </c>
      <c r="E889" s="10">
        <v>21</v>
      </c>
      <c r="F889" s="9" t="s">
        <v>263</v>
      </c>
      <c r="G889" s="11">
        <v>0</v>
      </c>
      <c r="H889" s="9" t="s">
        <v>65</v>
      </c>
      <c r="I889" s="9" t="s">
        <v>66</v>
      </c>
      <c r="J889" s="9" t="s">
        <v>4</v>
      </c>
      <c r="K889" s="9"/>
      <c r="L889" s="9"/>
      <c r="M889" s="12">
        <f t="shared" si="52"/>
        <v>291</v>
      </c>
      <c r="N889" s="13">
        <f t="shared" si="53"/>
        <v>650.5</v>
      </c>
      <c r="O889" s="14">
        <f t="shared" si="54"/>
        <v>941.5</v>
      </c>
      <c r="P889" s="15">
        <f t="shared" si="55"/>
        <v>1.1343373493975903</v>
      </c>
    </row>
    <row r="890" spans="1:16" ht="15.75" customHeight="1" x14ac:dyDescent="0.3">
      <c r="A890" s="32" t="s">
        <v>59</v>
      </c>
      <c r="B890" s="9" t="s">
        <v>397</v>
      </c>
      <c r="C890" s="9" t="s">
        <v>123</v>
      </c>
      <c r="D890" s="9" t="s">
        <v>144</v>
      </c>
      <c r="E890" s="10">
        <v>27</v>
      </c>
      <c r="F890" s="9" t="s">
        <v>263</v>
      </c>
      <c r="G890" s="11">
        <v>0</v>
      </c>
      <c r="H890" s="9" t="s">
        <v>65</v>
      </c>
      <c r="I890" s="9" t="s">
        <v>66</v>
      </c>
      <c r="J890" s="9" t="s">
        <v>4</v>
      </c>
      <c r="K890" s="9"/>
      <c r="L890" s="9"/>
      <c r="M890" s="12">
        <f t="shared" si="52"/>
        <v>291</v>
      </c>
      <c r="N890" s="13">
        <f t="shared" si="53"/>
        <v>650.5</v>
      </c>
      <c r="O890" s="14">
        <f t="shared" si="54"/>
        <v>941.5</v>
      </c>
      <c r="P890" s="15">
        <f t="shared" si="55"/>
        <v>1.1343373493975903</v>
      </c>
    </row>
    <row r="891" spans="1:16" ht="15.75" customHeight="1" x14ac:dyDescent="0.3">
      <c r="A891" s="32" t="s">
        <v>59</v>
      </c>
      <c r="B891" s="9" t="s">
        <v>397</v>
      </c>
      <c r="C891" s="9" t="s">
        <v>79</v>
      </c>
      <c r="D891" s="9" t="s">
        <v>165</v>
      </c>
      <c r="E891" s="10">
        <v>44</v>
      </c>
      <c r="F891" s="9" t="s">
        <v>263</v>
      </c>
      <c r="G891" s="10">
        <v>44</v>
      </c>
      <c r="H891" s="9" t="s">
        <v>65</v>
      </c>
      <c r="I891" s="9" t="s">
        <v>66</v>
      </c>
      <c r="J891" s="9" t="s">
        <v>4</v>
      </c>
      <c r="K891" s="9"/>
      <c r="L891" s="9"/>
      <c r="M891" s="12">
        <f t="shared" si="52"/>
        <v>291</v>
      </c>
      <c r="N891" s="13">
        <f t="shared" si="53"/>
        <v>650.5</v>
      </c>
      <c r="O891" s="14">
        <f t="shared" si="54"/>
        <v>941.5</v>
      </c>
      <c r="P891" s="15">
        <f t="shared" si="55"/>
        <v>1.1343373493975903</v>
      </c>
    </row>
    <row r="892" spans="1:16" ht="15.75" customHeight="1" x14ac:dyDescent="0.3">
      <c r="A892" s="32" t="s">
        <v>59</v>
      </c>
      <c r="B892" s="9" t="s">
        <v>397</v>
      </c>
      <c r="C892" s="9" t="s">
        <v>79</v>
      </c>
      <c r="D892" s="9" t="s">
        <v>237</v>
      </c>
      <c r="E892" s="10">
        <v>44</v>
      </c>
      <c r="F892" s="9" t="s">
        <v>263</v>
      </c>
      <c r="G892" s="10">
        <v>44</v>
      </c>
      <c r="H892" s="9" t="s">
        <v>65</v>
      </c>
      <c r="I892" s="9" t="s">
        <v>66</v>
      </c>
      <c r="J892" s="9" t="s">
        <v>4</v>
      </c>
      <c r="K892" s="9"/>
      <c r="L892" s="9"/>
      <c r="M892" s="12">
        <f t="shared" si="52"/>
        <v>291</v>
      </c>
      <c r="N892" s="13">
        <f t="shared" si="53"/>
        <v>650.5</v>
      </c>
      <c r="O892" s="14">
        <f t="shared" si="54"/>
        <v>941.5</v>
      </c>
      <c r="P892" s="15">
        <f t="shared" si="55"/>
        <v>1.1343373493975903</v>
      </c>
    </row>
    <row r="893" spans="1:16" ht="15.75" customHeight="1" x14ac:dyDescent="0.3">
      <c r="A893" s="32" t="s">
        <v>59</v>
      </c>
      <c r="B893" s="9" t="s">
        <v>397</v>
      </c>
      <c r="C893" s="9" t="s">
        <v>79</v>
      </c>
      <c r="D893" s="9" t="s">
        <v>152</v>
      </c>
      <c r="E893" s="10">
        <v>44</v>
      </c>
      <c r="F893" s="9" t="s">
        <v>263</v>
      </c>
      <c r="G893" s="10">
        <v>44</v>
      </c>
      <c r="H893" s="9" t="s">
        <v>65</v>
      </c>
      <c r="I893" s="9" t="s">
        <v>66</v>
      </c>
      <c r="J893" s="9" t="s">
        <v>4</v>
      </c>
      <c r="K893" s="9"/>
      <c r="L893" s="9"/>
      <c r="M893" s="12">
        <f t="shared" si="52"/>
        <v>291</v>
      </c>
      <c r="N893" s="13">
        <f t="shared" si="53"/>
        <v>650.5</v>
      </c>
      <c r="O893" s="14">
        <f t="shared" si="54"/>
        <v>941.5</v>
      </c>
      <c r="P893" s="15">
        <f t="shared" si="55"/>
        <v>1.1343373493975903</v>
      </c>
    </row>
    <row r="894" spans="1:16" ht="15.75" customHeight="1" x14ac:dyDescent="0.3">
      <c r="A894" s="32" t="s">
        <v>59</v>
      </c>
      <c r="B894" s="9" t="s">
        <v>397</v>
      </c>
      <c r="C894" s="9" t="s">
        <v>79</v>
      </c>
      <c r="D894" s="9" t="s">
        <v>144</v>
      </c>
      <c r="E894" s="10">
        <v>44</v>
      </c>
      <c r="F894" s="9" t="s">
        <v>263</v>
      </c>
      <c r="G894" s="10">
        <v>44</v>
      </c>
      <c r="H894" s="9" t="s">
        <v>65</v>
      </c>
      <c r="I894" s="9" t="s">
        <v>66</v>
      </c>
      <c r="J894" s="9" t="s">
        <v>4</v>
      </c>
      <c r="K894" s="9"/>
      <c r="L894" s="9"/>
      <c r="M894" s="12">
        <f t="shared" si="52"/>
        <v>291</v>
      </c>
      <c r="N894" s="13">
        <f t="shared" si="53"/>
        <v>650.5</v>
      </c>
      <c r="O894" s="14">
        <f t="shared" si="54"/>
        <v>941.5</v>
      </c>
      <c r="P894" s="15">
        <f t="shared" si="55"/>
        <v>1.1343373493975903</v>
      </c>
    </row>
    <row r="895" spans="1:16" ht="15.75" customHeight="1" x14ac:dyDescent="0.3">
      <c r="A895" s="32" t="s">
        <v>59</v>
      </c>
      <c r="B895" s="9" t="s">
        <v>397</v>
      </c>
      <c r="C895" s="9" t="s">
        <v>100</v>
      </c>
      <c r="D895" s="9" t="s">
        <v>165</v>
      </c>
      <c r="E895" s="10">
        <v>8</v>
      </c>
      <c r="F895" s="9" t="s">
        <v>263</v>
      </c>
      <c r="G895" s="10">
        <v>8</v>
      </c>
      <c r="H895" s="9" t="s">
        <v>65</v>
      </c>
      <c r="I895" s="9" t="s">
        <v>66</v>
      </c>
      <c r="J895" s="9" t="s">
        <v>4</v>
      </c>
      <c r="K895" s="9"/>
      <c r="L895" s="9"/>
      <c r="M895" s="12">
        <f t="shared" si="52"/>
        <v>291</v>
      </c>
      <c r="N895" s="13">
        <f t="shared" si="53"/>
        <v>650.5</v>
      </c>
      <c r="O895" s="14">
        <f t="shared" si="54"/>
        <v>941.5</v>
      </c>
      <c r="P895" s="15">
        <f t="shared" si="55"/>
        <v>1.1343373493975903</v>
      </c>
    </row>
    <row r="896" spans="1:16" ht="15.75" customHeight="1" x14ac:dyDescent="0.3">
      <c r="A896" s="32" t="s">
        <v>59</v>
      </c>
      <c r="B896" s="9" t="s">
        <v>397</v>
      </c>
      <c r="C896" s="9" t="s">
        <v>100</v>
      </c>
      <c r="D896" s="9" t="s">
        <v>237</v>
      </c>
      <c r="E896" s="10">
        <v>8</v>
      </c>
      <c r="F896" s="9" t="s">
        <v>263</v>
      </c>
      <c r="G896" s="10">
        <v>8</v>
      </c>
      <c r="H896" s="9" t="s">
        <v>65</v>
      </c>
      <c r="I896" s="9" t="s">
        <v>66</v>
      </c>
      <c r="J896" s="9" t="s">
        <v>4</v>
      </c>
      <c r="K896" s="9"/>
      <c r="L896" s="9"/>
      <c r="M896" s="12">
        <f t="shared" si="52"/>
        <v>291</v>
      </c>
      <c r="N896" s="13">
        <f t="shared" si="53"/>
        <v>650.5</v>
      </c>
      <c r="O896" s="14">
        <f t="shared" si="54"/>
        <v>941.5</v>
      </c>
      <c r="P896" s="15">
        <f t="shared" si="55"/>
        <v>1.1343373493975903</v>
      </c>
    </row>
    <row r="897" spans="1:16" ht="15.75" customHeight="1" x14ac:dyDescent="0.3">
      <c r="A897" s="32" t="s">
        <v>59</v>
      </c>
      <c r="B897" s="9" t="s">
        <v>397</v>
      </c>
      <c r="C897" s="9" t="s">
        <v>100</v>
      </c>
      <c r="D897" s="9" t="s">
        <v>152</v>
      </c>
      <c r="E897" s="10">
        <v>8</v>
      </c>
      <c r="F897" s="9" t="s">
        <v>263</v>
      </c>
      <c r="G897" s="10">
        <v>8</v>
      </c>
      <c r="H897" s="9" t="s">
        <v>65</v>
      </c>
      <c r="I897" s="9" t="s">
        <v>66</v>
      </c>
      <c r="J897" s="9" t="s">
        <v>4</v>
      </c>
      <c r="K897" s="9"/>
      <c r="L897" s="9"/>
      <c r="M897" s="12">
        <f t="shared" si="52"/>
        <v>291</v>
      </c>
      <c r="N897" s="13">
        <f t="shared" si="53"/>
        <v>650.5</v>
      </c>
      <c r="O897" s="14">
        <f t="shared" si="54"/>
        <v>941.5</v>
      </c>
      <c r="P897" s="15">
        <f t="shared" si="55"/>
        <v>1.1343373493975903</v>
      </c>
    </row>
    <row r="898" spans="1:16" ht="15.75" customHeight="1" x14ac:dyDescent="0.3">
      <c r="A898" s="32" t="s">
        <v>59</v>
      </c>
      <c r="B898" s="9" t="s">
        <v>397</v>
      </c>
      <c r="C898" s="9" t="s">
        <v>100</v>
      </c>
      <c r="D898" s="9" t="s">
        <v>144</v>
      </c>
      <c r="E898" s="10">
        <v>8</v>
      </c>
      <c r="F898" s="9" t="s">
        <v>263</v>
      </c>
      <c r="G898" s="10">
        <v>8</v>
      </c>
      <c r="H898" s="9" t="s">
        <v>65</v>
      </c>
      <c r="I898" s="9" t="s">
        <v>66</v>
      </c>
      <c r="J898" s="9" t="s">
        <v>4</v>
      </c>
      <c r="K898" s="9"/>
      <c r="L898" s="9"/>
      <c r="M898" s="12">
        <f t="shared" ref="M898:M961" si="56">SUMIFS($E$2:$E$1130,$A$2:$A$1130,"осень",$I$2:$I$1130,I898)</f>
        <v>291</v>
      </c>
      <c r="N898" s="13">
        <f t="shared" ref="N898:N961" si="57">SUMIFS($E$2:$E$1130,$A$2:$A$1130,"весна",$I$2:$I$1130,I898)</f>
        <v>650.5</v>
      </c>
      <c r="O898" s="14">
        <f t="shared" ref="O898:O961" si="58">M898+N898</f>
        <v>941.5</v>
      </c>
      <c r="P898" s="15">
        <f t="shared" ref="P898:P961" si="59">O898/$P$1</f>
        <v>1.1343373493975903</v>
      </c>
    </row>
    <row r="899" spans="1:16" ht="15.75" customHeight="1" x14ac:dyDescent="0.3">
      <c r="A899" s="32" t="s">
        <v>59</v>
      </c>
      <c r="B899" s="9" t="s">
        <v>397</v>
      </c>
      <c r="C899" s="9" t="s">
        <v>111</v>
      </c>
      <c r="D899" s="9" t="s">
        <v>165</v>
      </c>
      <c r="E899" s="10">
        <v>4</v>
      </c>
      <c r="F899" s="9" t="s">
        <v>263</v>
      </c>
      <c r="G899" s="11">
        <v>0</v>
      </c>
      <c r="H899" s="9" t="s">
        <v>65</v>
      </c>
      <c r="I899" s="9" t="s">
        <v>66</v>
      </c>
      <c r="J899" s="9" t="s">
        <v>4</v>
      </c>
      <c r="K899" s="9"/>
      <c r="L899" s="9"/>
      <c r="M899" s="12">
        <f t="shared" si="56"/>
        <v>291</v>
      </c>
      <c r="N899" s="13">
        <f t="shared" si="57"/>
        <v>650.5</v>
      </c>
      <c r="O899" s="14">
        <f t="shared" si="58"/>
        <v>941.5</v>
      </c>
      <c r="P899" s="15">
        <f t="shared" si="59"/>
        <v>1.1343373493975903</v>
      </c>
    </row>
    <row r="900" spans="1:16" ht="15.75" customHeight="1" x14ac:dyDescent="0.3">
      <c r="A900" s="32" t="s">
        <v>59</v>
      </c>
      <c r="B900" s="9" t="s">
        <v>397</v>
      </c>
      <c r="C900" s="9" t="s">
        <v>111</v>
      </c>
      <c r="D900" s="9" t="s">
        <v>237</v>
      </c>
      <c r="E900" s="10">
        <v>3</v>
      </c>
      <c r="F900" s="9" t="s">
        <v>263</v>
      </c>
      <c r="G900" s="11">
        <v>0</v>
      </c>
      <c r="H900" s="9" t="s">
        <v>65</v>
      </c>
      <c r="I900" s="9" t="s">
        <v>66</v>
      </c>
      <c r="J900" s="9" t="s">
        <v>4</v>
      </c>
      <c r="K900" s="9"/>
      <c r="L900" s="9"/>
      <c r="M900" s="12">
        <f t="shared" si="56"/>
        <v>291</v>
      </c>
      <c r="N900" s="13">
        <f t="shared" si="57"/>
        <v>650.5</v>
      </c>
      <c r="O900" s="14">
        <f t="shared" si="58"/>
        <v>941.5</v>
      </c>
      <c r="P900" s="15">
        <f t="shared" si="59"/>
        <v>1.1343373493975903</v>
      </c>
    </row>
    <row r="901" spans="1:16" ht="15.75" customHeight="1" x14ac:dyDescent="0.3">
      <c r="A901" s="32" t="s">
        <v>59</v>
      </c>
      <c r="B901" s="9" t="s">
        <v>397</v>
      </c>
      <c r="C901" s="9" t="s">
        <v>111</v>
      </c>
      <c r="D901" s="9" t="s">
        <v>152</v>
      </c>
      <c r="E901" s="10">
        <v>4</v>
      </c>
      <c r="F901" s="9" t="s">
        <v>263</v>
      </c>
      <c r="G901" s="11">
        <v>0</v>
      </c>
      <c r="H901" s="9" t="s">
        <v>65</v>
      </c>
      <c r="I901" s="9" t="s">
        <v>66</v>
      </c>
      <c r="J901" s="9" t="s">
        <v>4</v>
      </c>
      <c r="K901" s="9"/>
      <c r="L901" s="9"/>
      <c r="M901" s="12">
        <f t="shared" si="56"/>
        <v>291</v>
      </c>
      <c r="N901" s="13">
        <f t="shared" si="57"/>
        <v>650.5</v>
      </c>
      <c r="O901" s="14">
        <f t="shared" si="58"/>
        <v>941.5</v>
      </c>
      <c r="P901" s="15">
        <f t="shared" si="59"/>
        <v>1.1343373493975903</v>
      </c>
    </row>
    <row r="902" spans="1:16" ht="15.75" customHeight="1" x14ac:dyDescent="0.3">
      <c r="A902" s="32" t="s">
        <v>59</v>
      </c>
      <c r="B902" s="9" t="s">
        <v>397</v>
      </c>
      <c r="C902" s="9" t="s">
        <v>111</v>
      </c>
      <c r="D902" s="9" t="s">
        <v>144</v>
      </c>
      <c r="E902" s="10">
        <v>5</v>
      </c>
      <c r="F902" s="9" t="s">
        <v>263</v>
      </c>
      <c r="G902" s="11">
        <v>0</v>
      </c>
      <c r="H902" s="9" t="s">
        <v>65</v>
      </c>
      <c r="I902" s="9" t="s">
        <v>66</v>
      </c>
      <c r="J902" s="9" t="s">
        <v>4</v>
      </c>
      <c r="K902" s="9"/>
      <c r="L902" s="9"/>
      <c r="M902" s="12">
        <f t="shared" si="56"/>
        <v>291</v>
      </c>
      <c r="N902" s="13">
        <f t="shared" si="57"/>
        <v>650.5</v>
      </c>
      <c r="O902" s="14">
        <f t="shared" si="58"/>
        <v>941.5</v>
      </c>
      <c r="P902" s="15">
        <f t="shared" si="59"/>
        <v>1.1343373493975903</v>
      </c>
    </row>
    <row r="903" spans="1:16" ht="15.75" customHeight="1" x14ac:dyDescent="0.3">
      <c r="A903" s="32" t="s">
        <v>59</v>
      </c>
      <c r="B903" s="9" t="s">
        <v>397</v>
      </c>
      <c r="C903" s="9" t="s">
        <v>80</v>
      </c>
      <c r="D903" s="9" t="s">
        <v>165</v>
      </c>
      <c r="E903" s="10">
        <v>3</v>
      </c>
      <c r="F903" s="9" t="s">
        <v>263</v>
      </c>
      <c r="G903" s="11">
        <v>0</v>
      </c>
      <c r="H903" s="9" t="s">
        <v>65</v>
      </c>
      <c r="I903" s="9" t="s">
        <v>66</v>
      </c>
      <c r="J903" s="9" t="s">
        <v>4</v>
      </c>
      <c r="K903" s="9"/>
      <c r="L903" s="9"/>
      <c r="M903" s="12">
        <f t="shared" si="56"/>
        <v>291</v>
      </c>
      <c r="N903" s="13">
        <f t="shared" si="57"/>
        <v>650.5</v>
      </c>
      <c r="O903" s="14">
        <f t="shared" si="58"/>
        <v>941.5</v>
      </c>
      <c r="P903" s="15">
        <f t="shared" si="59"/>
        <v>1.1343373493975903</v>
      </c>
    </row>
    <row r="904" spans="1:16" ht="15.75" customHeight="1" x14ac:dyDescent="0.3">
      <c r="A904" s="32" t="s">
        <v>59</v>
      </c>
      <c r="B904" s="9" t="s">
        <v>397</v>
      </c>
      <c r="C904" s="9" t="s">
        <v>80</v>
      </c>
      <c r="D904" s="9" t="s">
        <v>237</v>
      </c>
      <c r="E904" s="10">
        <v>3</v>
      </c>
      <c r="F904" s="9" t="s">
        <v>263</v>
      </c>
      <c r="G904" s="11">
        <v>0</v>
      </c>
      <c r="H904" s="9" t="s">
        <v>65</v>
      </c>
      <c r="I904" s="9" t="s">
        <v>66</v>
      </c>
      <c r="J904" s="9" t="s">
        <v>4</v>
      </c>
      <c r="K904" s="9"/>
      <c r="L904" s="9"/>
      <c r="M904" s="12">
        <f t="shared" si="56"/>
        <v>291</v>
      </c>
      <c r="N904" s="13">
        <f t="shared" si="57"/>
        <v>650.5</v>
      </c>
      <c r="O904" s="14">
        <f t="shared" si="58"/>
        <v>941.5</v>
      </c>
      <c r="P904" s="15">
        <f t="shared" si="59"/>
        <v>1.1343373493975903</v>
      </c>
    </row>
    <row r="905" spans="1:16" ht="15.75" customHeight="1" x14ac:dyDescent="0.3">
      <c r="A905" s="32" t="s">
        <v>59</v>
      </c>
      <c r="B905" s="9" t="s">
        <v>397</v>
      </c>
      <c r="C905" s="9" t="s">
        <v>80</v>
      </c>
      <c r="D905" s="9" t="s">
        <v>152</v>
      </c>
      <c r="E905" s="10">
        <v>3</v>
      </c>
      <c r="F905" s="9" t="s">
        <v>263</v>
      </c>
      <c r="G905" s="11">
        <v>0</v>
      </c>
      <c r="H905" s="9" t="s">
        <v>65</v>
      </c>
      <c r="I905" s="9" t="s">
        <v>66</v>
      </c>
      <c r="J905" s="9" t="s">
        <v>4</v>
      </c>
      <c r="K905" s="9"/>
      <c r="L905" s="9"/>
      <c r="M905" s="12">
        <f t="shared" si="56"/>
        <v>291</v>
      </c>
      <c r="N905" s="13">
        <f t="shared" si="57"/>
        <v>650.5</v>
      </c>
      <c r="O905" s="14">
        <f t="shared" si="58"/>
        <v>941.5</v>
      </c>
      <c r="P905" s="15">
        <f t="shared" si="59"/>
        <v>1.1343373493975903</v>
      </c>
    </row>
    <row r="906" spans="1:16" ht="15.75" customHeight="1" x14ac:dyDescent="0.3">
      <c r="A906" s="32" t="s">
        <v>59</v>
      </c>
      <c r="B906" s="9" t="s">
        <v>397</v>
      </c>
      <c r="C906" s="9" t="s">
        <v>80</v>
      </c>
      <c r="D906" s="9" t="s">
        <v>144</v>
      </c>
      <c r="E906" s="10">
        <v>3</v>
      </c>
      <c r="F906" s="9" t="s">
        <v>263</v>
      </c>
      <c r="G906" s="11">
        <v>0</v>
      </c>
      <c r="H906" s="9" t="s">
        <v>65</v>
      </c>
      <c r="I906" s="9" t="s">
        <v>66</v>
      </c>
      <c r="J906" s="9" t="s">
        <v>4</v>
      </c>
      <c r="K906" s="9"/>
      <c r="L906" s="9"/>
      <c r="M906" s="12">
        <f t="shared" si="56"/>
        <v>291</v>
      </c>
      <c r="N906" s="13">
        <f t="shared" si="57"/>
        <v>650.5</v>
      </c>
      <c r="O906" s="14">
        <f t="shared" si="58"/>
        <v>941.5</v>
      </c>
      <c r="P906" s="15">
        <f t="shared" si="59"/>
        <v>1.1343373493975903</v>
      </c>
    </row>
    <row r="907" spans="1:16" ht="15.75" customHeight="1" x14ac:dyDescent="0.3">
      <c r="A907" s="32" t="s">
        <v>59</v>
      </c>
      <c r="B907" s="9" t="s">
        <v>398</v>
      </c>
      <c r="C907" s="9" t="s">
        <v>73</v>
      </c>
      <c r="D907" s="9" t="s">
        <v>140</v>
      </c>
      <c r="E907" s="10">
        <v>18</v>
      </c>
      <c r="F907" s="9" t="s">
        <v>153</v>
      </c>
      <c r="G907" s="10">
        <v>18</v>
      </c>
      <c r="H907" s="9" t="s">
        <v>257</v>
      </c>
      <c r="I907" s="9" t="s">
        <v>258</v>
      </c>
      <c r="J907" s="9" t="s">
        <v>8</v>
      </c>
      <c r="K907" s="9"/>
      <c r="L907" s="9"/>
      <c r="M907" s="12">
        <f t="shared" si="56"/>
        <v>331</v>
      </c>
      <c r="N907" s="13">
        <f t="shared" si="57"/>
        <v>520</v>
      </c>
      <c r="O907" s="14">
        <f t="shared" si="58"/>
        <v>851</v>
      </c>
      <c r="P907" s="15">
        <f t="shared" si="59"/>
        <v>1.0253012048192771</v>
      </c>
    </row>
    <row r="908" spans="1:16" ht="15.75" customHeight="1" x14ac:dyDescent="0.3">
      <c r="A908" s="32" t="s">
        <v>59</v>
      </c>
      <c r="B908" s="9" t="s">
        <v>398</v>
      </c>
      <c r="C908" s="9" t="s">
        <v>87</v>
      </c>
      <c r="D908" s="9" t="s">
        <v>140</v>
      </c>
      <c r="E908" s="10">
        <v>2</v>
      </c>
      <c r="F908" s="9" t="s">
        <v>153</v>
      </c>
      <c r="G908" s="11">
        <v>0</v>
      </c>
      <c r="H908" s="9" t="s">
        <v>257</v>
      </c>
      <c r="I908" s="9" t="s">
        <v>258</v>
      </c>
      <c r="J908" s="9" t="s">
        <v>8</v>
      </c>
      <c r="K908" s="9"/>
      <c r="L908" s="9"/>
      <c r="M908" s="12">
        <f t="shared" si="56"/>
        <v>331</v>
      </c>
      <c r="N908" s="13">
        <f t="shared" si="57"/>
        <v>520</v>
      </c>
      <c r="O908" s="14">
        <f t="shared" si="58"/>
        <v>851</v>
      </c>
      <c r="P908" s="15">
        <f t="shared" si="59"/>
        <v>1.0253012048192771</v>
      </c>
    </row>
    <row r="909" spans="1:16" ht="15.75" customHeight="1" x14ac:dyDescent="0.3">
      <c r="A909" s="32" t="s">
        <v>59</v>
      </c>
      <c r="B909" s="9" t="s">
        <v>398</v>
      </c>
      <c r="C909" s="9" t="s">
        <v>79</v>
      </c>
      <c r="D909" s="9" t="s">
        <v>140</v>
      </c>
      <c r="E909" s="10">
        <v>36</v>
      </c>
      <c r="F909" s="9" t="s">
        <v>153</v>
      </c>
      <c r="G909" s="10">
        <v>36</v>
      </c>
      <c r="H909" s="9" t="s">
        <v>257</v>
      </c>
      <c r="I909" s="9" t="s">
        <v>258</v>
      </c>
      <c r="J909" s="9" t="s">
        <v>8</v>
      </c>
      <c r="K909" s="9"/>
      <c r="L909" s="9"/>
      <c r="M909" s="12">
        <f t="shared" si="56"/>
        <v>331</v>
      </c>
      <c r="N909" s="13">
        <f t="shared" si="57"/>
        <v>520</v>
      </c>
      <c r="O909" s="14">
        <f t="shared" si="58"/>
        <v>851</v>
      </c>
      <c r="P909" s="15">
        <f t="shared" si="59"/>
        <v>1.0253012048192771</v>
      </c>
    </row>
    <row r="910" spans="1:16" ht="15.75" customHeight="1" x14ac:dyDescent="0.3">
      <c r="A910" s="32" t="s">
        <v>59</v>
      </c>
      <c r="B910" s="9" t="s">
        <v>398</v>
      </c>
      <c r="C910" s="9" t="s">
        <v>100</v>
      </c>
      <c r="D910" s="9" t="s">
        <v>140</v>
      </c>
      <c r="E910" s="10">
        <v>12</v>
      </c>
      <c r="F910" s="9" t="s">
        <v>153</v>
      </c>
      <c r="G910" s="10">
        <v>12</v>
      </c>
      <c r="H910" s="9" t="s">
        <v>257</v>
      </c>
      <c r="I910" s="9" t="s">
        <v>258</v>
      </c>
      <c r="J910" s="9" t="s">
        <v>8</v>
      </c>
      <c r="K910" s="9"/>
      <c r="L910" s="9"/>
      <c r="M910" s="12">
        <f t="shared" si="56"/>
        <v>331</v>
      </c>
      <c r="N910" s="13">
        <f t="shared" si="57"/>
        <v>520</v>
      </c>
      <c r="O910" s="14">
        <f t="shared" si="58"/>
        <v>851</v>
      </c>
      <c r="P910" s="15">
        <f t="shared" si="59"/>
        <v>1.0253012048192771</v>
      </c>
    </row>
    <row r="911" spans="1:16" ht="15.75" customHeight="1" x14ac:dyDescent="0.3">
      <c r="A911" s="32" t="s">
        <v>59</v>
      </c>
      <c r="B911" s="9" t="s">
        <v>398</v>
      </c>
      <c r="C911" s="9" t="s">
        <v>80</v>
      </c>
      <c r="D911" s="9" t="s">
        <v>140</v>
      </c>
      <c r="E911" s="10">
        <v>1</v>
      </c>
      <c r="F911" s="9" t="s">
        <v>153</v>
      </c>
      <c r="G911" s="11">
        <v>0</v>
      </c>
      <c r="H911" s="9" t="s">
        <v>257</v>
      </c>
      <c r="I911" s="9" t="s">
        <v>258</v>
      </c>
      <c r="J911" s="9" t="s">
        <v>8</v>
      </c>
      <c r="K911" s="9"/>
      <c r="L911" s="9"/>
      <c r="M911" s="12">
        <f t="shared" si="56"/>
        <v>331</v>
      </c>
      <c r="N911" s="13">
        <f t="shared" si="57"/>
        <v>520</v>
      </c>
      <c r="O911" s="14">
        <f t="shared" si="58"/>
        <v>851</v>
      </c>
      <c r="P911" s="15">
        <f t="shared" si="59"/>
        <v>1.0253012048192771</v>
      </c>
    </row>
    <row r="912" spans="1:16" ht="15.75" customHeight="1" x14ac:dyDescent="0.3">
      <c r="A912" s="32" t="s">
        <v>59</v>
      </c>
      <c r="B912" s="9" t="s">
        <v>399</v>
      </c>
      <c r="C912" s="9" t="s">
        <v>73</v>
      </c>
      <c r="D912" s="9" t="s">
        <v>132</v>
      </c>
      <c r="E912" s="10">
        <v>24</v>
      </c>
      <c r="F912" s="9" t="s">
        <v>133</v>
      </c>
      <c r="G912" s="10">
        <v>24</v>
      </c>
      <c r="H912" s="9" t="s">
        <v>84</v>
      </c>
      <c r="I912" s="9" t="s">
        <v>85</v>
      </c>
      <c r="J912" s="9"/>
      <c r="K912" s="9"/>
      <c r="L912" s="9"/>
      <c r="M912" s="12">
        <f t="shared" si="56"/>
        <v>284</v>
      </c>
      <c r="N912" s="13">
        <f t="shared" si="57"/>
        <v>691.5</v>
      </c>
      <c r="O912" s="14">
        <f t="shared" si="58"/>
        <v>975.5</v>
      </c>
      <c r="P912" s="15">
        <f t="shared" si="59"/>
        <v>1.175301204819277</v>
      </c>
    </row>
    <row r="913" spans="1:16" ht="15.75" customHeight="1" x14ac:dyDescent="0.3">
      <c r="A913" s="32" t="s">
        <v>59</v>
      </c>
      <c r="B913" s="9" t="s">
        <v>399</v>
      </c>
      <c r="C913" s="9" t="s">
        <v>79</v>
      </c>
      <c r="D913" s="9" t="s">
        <v>132</v>
      </c>
      <c r="E913" s="10">
        <v>36</v>
      </c>
      <c r="F913" s="9" t="s">
        <v>133</v>
      </c>
      <c r="G913" s="10">
        <v>36</v>
      </c>
      <c r="H913" s="9" t="s">
        <v>84</v>
      </c>
      <c r="I913" s="9" t="s">
        <v>85</v>
      </c>
      <c r="J913" s="9"/>
      <c r="K913" s="9"/>
      <c r="L913" s="9"/>
      <c r="M913" s="12">
        <f t="shared" si="56"/>
        <v>284</v>
      </c>
      <c r="N913" s="13">
        <f t="shared" si="57"/>
        <v>691.5</v>
      </c>
      <c r="O913" s="14">
        <f t="shared" si="58"/>
        <v>975.5</v>
      </c>
      <c r="P913" s="15">
        <f t="shared" si="59"/>
        <v>1.175301204819277</v>
      </c>
    </row>
    <row r="914" spans="1:16" ht="15.75" customHeight="1" x14ac:dyDescent="0.3">
      <c r="A914" s="32" t="s">
        <v>59</v>
      </c>
      <c r="B914" s="9" t="s">
        <v>399</v>
      </c>
      <c r="C914" s="9" t="s">
        <v>100</v>
      </c>
      <c r="D914" s="9" t="s">
        <v>132</v>
      </c>
      <c r="E914" s="10">
        <v>8</v>
      </c>
      <c r="F914" s="9" t="s">
        <v>133</v>
      </c>
      <c r="G914" s="10">
        <v>8</v>
      </c>
      <c r="H914" s="9" t="s">
        <v>84</v>
      </c>
      <c r="I914" s="9" t="s">
        <v>85</v>
      </c>
      <c r="J914" s="9"/>
      <c r="K914" s="9"/>
      <c r="L914" s="9"/>
      <c r="M914" s="12">
        <f t="shared" si="56"/>
        <v>284</v>
      </c>
      <c r="N914" s="13">
        <f t="shared" si="57"/>
        <v>691.5</v>
      </c>
      <c r="O914" s="14">
        <f t="shared" si="58"/>
        <v>975.5</v>
      </c>
      <c r="P914" s="15">
        <f t="shared" si="59"/>
        <v>1.175301204819277</v>
      </c>
    </row>
    <row r="915" spans="1:16" ht="15.75" customHeight="1" x14ac:dyDescent="0.3">
      <c r="A915" s="32" t="s">
        <v>59</v>
      </c>
      <c r="B915" s="9" t="s">
        <v>399</v>
      </c>
      <c r="C915" s="9" t="s">
        <v>111</v>
      </c>
      <c r="D915" s="9" t="s">
        <v>132</v>
      </c>
      <c r="E915" s="10">
        <v>3</v>
      </c>
      <c r="F915" s="9" t="s">
        <v>133</v>
      </c>
      <c r="G915" s="11">
        <v>0</v>
      </c>
      <c r="H915" s="9" t="s">
        <v>84</v>
      </c>
      <c r="I915" s="9" t="s">
        <v>85</v>
      </c>
      <c r="J915" s="9"/>
      <c r="K915" s="9"/>
      <c r="L915" s="9"/>
      <c r="M915" s="12">
        <f t="shared" si="56"/>
        <v>284</v>
      </c>
      <c r="N915" s="13">
        <f t="shared" si="57"/>
        <v>691.5</v>
      </c>
      <c r="O915" s="14">
        <f t="shared" si="58"/>
        <v>975.5</v>
      </c>
      <c r="P915" s="15">
        <f t="shared" si="59"/>
        <v>1.175301204819277</v>
      </c>
    </row>
    <row r="916" spans="1:16" ht="15.75" customHeight="1" x14ac:dyDescent="0.3">
      <c r="A916" s="32" t="s">
        <v>59</v>
      </c>
      <c r="B916" s="9" t="s">
        <v>399</v>
      </c>
      <c r="C916" s="9" t="s">
        <v>80</v>
      </c>
      <c r="D916" s="9" t="s">
        <v>132</v>
      </c>
      <c r="E916" s="10">
        <v>3</v>
      </c>
      <c r="F916" s="9" t="s">
        <v>133</v>
      </c>
      <c r="G916" s="11">
        <v>0</v>
      </c>
      <c r="H916" s="9" t="s">
        <v>84</v>
      </c>
      <c r="I916" s="9" t="s">
        <v>85</v>
      </c>
      <c r="J916" s="9"/>
      <c r="K916" s="9"/>
      <c r="L916" s="9"/>
      <c r="M916" s="12">
        <f t="shared" si="56"/>
        <v>284</v>
      </c>
      <c r="N916" s="13">
        <f t="shared" si="57"/>
        <v>691.5</v>
      </c>
      <c r="O916" s="14">
        <f t="shared" si="58"/>
        <v>975.5</v>
      </c>
      <c r="P916" s="15">
        <f t="shared" si="59"/>
        <v>1.175301204819277</v>
      </c>
    </row>
    <row r="917" spans="1:16" ht="15.75" customHeight="1" x14ac:dyDescent="0.3">
      <c r="A917" s="32" t="s">
        <v>59</v>
      </c>
      <c r="B917" s="9" t="s">
        <v>310</v>
      </c>
      <c r="C917" s="9" t="s">
        <v>73</v>
      </c>
      <c r="D917" s="9" t="s">
        <v>220</v>
      </c>
      <c r="E917" s="10">
        <v>26</v>
      </c>
      <c r="F917" s="9" t="s">
        <v>221</v>
      </c>
      <c r="G917" s="10">
        <v>26</v>
      </c>
      <c r="H917" s="9" t="s">
        <v>84</v>
      </c>
      <c r="I917" s="9" t="s">
        <v>85</v>
      </c>
      <c r="J917" s="9"/>
      <c r="K917" s="9"/>
      <c r="L917" s="9" t="s">
        <v>351</v>
      </c>
      <c r="M917" s="12">
        <f t="shared" si="56"/>
        <v>284</v>
      </c>
      <c r="N917" s="13">
        <f t="shared" si="57"/>
        <v>691.5</v>
      </c>
      <c r="O917" s="14">
        <f t="shared" si="58"/>
        <v>975.5</v>
      </c>
      <c r="P917" s="15">
        <f t="shared" si="59"/>
        <v>1.175301204819277</v>
      </c>
    </row>
    <row r="918" spans="1:16" ht="15.75" customHeight="1" x14ac:dyDescent="0.3">
      <c r="A918" s="32" t="s">
        <v>59</v>
      </c>
      <c r="B918" s="9" t="s">
        <v>310</v>
      </c>
      <c r="C918" s="9" t="s">
        <v>73</v>
      </c>
      <c r="D918" s="9" t="s">
        <v>294</v>
      </c>
      <c r="E918" s="10">
        <v>32</v>
      </c>
      <c r="F918" s="9" t="s">
        <v>161</v>
      </c>
      <c r="G918" s="10">
        <v>32</v>
      </c>
      <c r="H918" s="9" t="s">
        <v>115</v>
      </c>
      <c r="I918" s="9" t="s">
        <v>116</v>
      </c>
      <c r="J918" s="9" t="s">
        <v>4</v>
      </c>
      <c r="K918" s="9"/>
      <c r="L918" s="9"/>
      <c r="M918" s="12">
        <f t="shared" si="56"/>
        <v>353</v>
      </c>
      <c r="N918" s="13">
        <f t="shared" si="57"/>
        <v>367</v>
      </c>
      <c r="O918" s="14">
        <f t="shared" si="58"/>
        <v>720</v>
      </c>
      <c r="P918" s="15">
        <f t="shared" si="59"/>
        <v>0.86746987951807231</v>
      </c>
    </row>
    <row r="919" spans="1:16" ht="15.75" customHeight="1" x14ac:dyDescent="0.3">
      <c r="A919" s="32" t="s">
        <v>59</v>
      </c>
      <c r="B919" s="9" t="s">
        <v>310</v>
      </c>
      <c r="C919" s="9" t="s">
        <v>123</v>
      </c>
      <c r="D919" s="9" t="s">
        <v>220</v>
      </c>
      <c r="E919" s="10">
        <v>20</v>
      </c>
      <c r="F919" s="9" t="s">
        <v>221</v>
      </c>
      <c r="G919" s="11">
        <v>0</v>
      </c>
      <c r="H919" s="9" t="s">
        <v>311</v>
      </c>
      <c r="I919" s="21" t="s">
        <v>268</v>
      </c>
      <c r="J919" s="21" t="s">
        <v>400</v>
      </c>
      <c r="K919" s="9"/>
      <c r="L919" s="9" t="s">
        <v>351</v>
      </c>
      <c r="M919" s="12">
        <f t="shared" si="56"/>
        <v>9</v>
      </c>
      <c r="N919" s="13">
        <f t="shared" si="57"/>
        <v>77</v>
      </c>
      <c r="O919" s="14">
        <f t="shared" si="58"/>
        <v>86</v>
      </c>
      <c r="P919" s="15">
        <f t="shared" si="59"/>
        <v>0.10361445783132531</v>
      </c>
    </row>
    <row r="920" spans="1:16" ht="15.75" customHeight="1" x14ac:dyDescent="0.3">
      <c r="A920" s="32" t="s">
        <v>59</v>
      </c>
      <c r="B920" s="9" t="s">
        <v>310</v>
      </c>
      <c r="C920" s="9" t="s">
        <v>123</v>
      </c>
      <c r="D920" s="9" t="s">
        <v>220</v>
      </c>
      <c r="E920" s="10">
        <v>13</v>
      </c>
      <c r="F920" s="9" t="s">
        <v>221</v>
      </c>
      <c r="G920" s="11">
        <v>0</v>
      </c>
      <c r="H920" s="9" t="s">
        <v>84</v>
      </c>
      <c r="I920" s="9" t="s">
        <v>85</v>
      </c>
      <c r="J920" s="9"/>
      <c r="K920" s="9"/>
      <c r="L920" s="9" t="s">
        <v>351</v>
      </c>
      <c r="M920" s="12">
        <f t="shared" si="56"/>
        <v>284</v>
      </c>
      <c r="N920" s="13">
        <f t="shared" si="57"/>
        <v>691.5</v>
      </c>
      <c r="O920" s="14">
        <f t="shared" si="58"/>
        <v>975.5</v>
      </c>
      <c r="P920" s="15">
        <f t="shared" si="59"/>
        <v>1.175301204819277</v>
      </c>
    </row>
    <row r="921" spans="1:16" ht="15.75" customHeight="1" x14ac:dyDescent="0.3">
      <c r="A921" s="32" t="s">
        <v>59</v>
      </c>
      <c r="B921" s="9" t="s">
        <v>310</v>
      </c>
      <c r="C921" s="9" t="s">
        <v>87</v>
      </c>
      <c r="D921" s="9" t="s">
        <v>220</v>
      </c>
      <c r="E921" s="10">
        <v>4</v>
      </c>
      <c r="F921" s="9" t="s">
        <v>221</v>
      </c>
      <c r="G921" s="11">
        <v>0</v>
      </c>
      <c r="H921" s="9" t="s">
        <v>84</v>
      </c>
      <c r="I921" s="9" t="s">
        <v>85</v>
      </c>
      <c r="J921" s="9"/>
      <c r="K921" s="9"/>
      <c r="L921" s="9" t="s">
        <v>351</v>
      </c>
      <c r="M921" s="12">
        <f t="shared" si="56"/>
        <v>284</v>
      </c>
      <c r="N921" s="13">
        <f t="shared" si="57"/>
        <v>691.5</v>
      </c>
      <c r="O921" s="14">
        <f t="shared" si="58"/>
        <v>975.5</v>
      </c>
      <c r="P921" s="15">
        <f t="shared" si="59"/>
        <v>1.175301204819277</v>
      </c>
    </row>
    <row r="922" spans="1:16" ht="15.75" customHeight="1" x14ac:dyDescent="0.3">
      <c r="A922" s="32" t="s">
        <v>59</v>
      </c>
      <c r="B922" s="9" t="s">
        <v>310</v>
      </c>
      <c r="C922" s="9" t="s">
        <v>79</v>
      </c>
      <c r="D922" s="9" t="s">
        <v>295</v>
      </c>
      <c r="E922" s="10">
        <v>36</v>
      </c>
      <c r="F922" s="9" t="s">
        <v>161</v>
      </c>
      <c r="G922" s="10">
        <v>36</v>
      </c>
      <c r="H922" s="9" t="s">
        <v>115</v>
      </c>
      <c r="I922" s="9" t="s">
        <v>116</v>
      </c>
      <c r="J922" s="9" t="s">
        <v>4</v>
      </c>
      <c r="K922" s="9"/>
      <c r="L922" s="9"/>
      <c r="M922" s="12">
        <f t="shared" si="56"/>
        <v>353</v>
      </c>
      <c r="N922" s="13">
        <f t="shared" si="57"/>
        <v>367</v>
      </c>
      <c r="O922" s="14">
        <f t="shared" si="58"/>
        <v>720</v>
      </c>
      <c r="P922" s="15">
        <f t="shared" si="59"/>
        <v>0.86746987951807231</v>
      </c>
    </row>
    <row r="923" spans="1:16" ht="15.75" customHeight="1" x14ac:dyDescent="0.3">
      <c r="A923" s="32" t="s">
        <v>59</v>
      </c>
      <c r="B923" s="9" t="s">
        <v>310</v>
      </c>
      <c r="C923" s="9" t="s">
        <v>79</v>
      </c>
      <c r="D923" s="9" t="s">
        <v>296</v>
      </c>
      <c r="E923" s="10">
        <v>36</v>
      </c>
      <c r="F923" s="9" t="s">
        <v>161</v>
      </c>
      <c r="G923" s="10">
        <v>36</v>
      </c>
      <c r="H923" s="9" t="s">
        <v>115</v>
      </c>
      <c r="I923" s="9" t="s">
        <v>116</v>
      </c>
      <c r="J923" s="9" t="s">
        <v>4</v>
      </c>
      <c r="K923" s="9"/>
      <c r="L923" s="9"/>
      <c r="M923" s="12">
        <f t="shared" si="56"/>
        <v>353</v>
      </c>
      <c r="N923" s="13">
        <f t="shared" si="57"/>
        <v>367</v>
      </c>
      <c r="O923" s="14">
        <f t="shared" si="58"/>
        <v>720</v>
      </c>
      <c r="P923" s="15">
        <f t="shared" si="59"/>
        <v>0.86746987951807231</v>
      </c>
    </row>
    <row r="924" spans="1:16" ht="15.75" customHeight="1" x14ac:dyDescent="0.3">
      <c r="A924" s="32" t="s">
        <v>59</v>
      </c>
      <c r="B924" s="9" t="s">
        <v>310</v>
      </c>
      <c r="C924" s="9" t="s">
        <v>100</v>
      </c>
      <c r="D924" s="9" t="s">
        <v>220</v>
      </c>
      <c r="E924" s="10">
        <v>32</v>
      </c>
      <c r="F924" s="9" t="s">
        <v>221</v>
      </c>
      <c r="G924" s="10">
        <v>32</v>
      </c>
      <c r="H924" s="9" t="s">
        <v>84</v>
      </c>
      <c r="I924" s="9" t="s">
        <v>85</v>
      </c>
      <c r="J924" s="9"/>
      <c r="K924" s="9"/>
      <c r="L924" s="9" t="s">
        <v>351</v>
      </c>
      <c r="M924" s="12">
        <f t="shared" si="56"/>
        <v>284</v>
      </c>
      <c r="N924" s="13">
        <f t="shared" si="57"/>
        <v>691.5</v>
      </c>
      <c r="O924" s="14">
        <f t="shared" si="58"/>
        <v>975.5</v>
      </c>
      <c r="P924" s="15">
        <f t="shared" si="59"/>
        <v>1.175301204819277</v>
      </c>
    </row>
    <row r="925" spans="1:16" ht="15.75" customHeight="1" x14ac:dyDescent="0.3">
      <c r="A925" s="32" t="s">
        <v>59</v>
      </c>
      <c r="B925" s="9" t="s">
        <v>310</v>
      </c>
      <c r="C925" s="9" t="s">
        <v>111</v>
      </c>
      <c r="D925" s="9" t="s">
        <v>295</v>
      </c>
      <c r="E925" s="10">
        <v>9</v>
      </c>
      <c r="F925" s="9" t="s">
        <v>161</v>
      </c>
      <c r="G925" s="11">
        <v>0</v>
      </c>
      <c r="H925" s="9" t="s">
        <v>115</v>
      </c>
      <c r="I925" s="9" t="s">
        <v>116</v>
      </c>
      <c r="J925" s="9" t="s">
        <v>4</v>
      </c>
      <c r="K925" s="9"/>
      <c r="L925" s="9"/>
      <c r="M925" s="12">
        <f t="shared" si="56"/>
        <v>353</v>
      </c>
      <c r="N925" s="13">
        <f t="shared" si="57"/>
        <v>367</v>
      </c>
      <c r="O925" s="14">
        <f t="shared" si="58"/>
        <v>720</v>
      </c>
      <c r="P925" s="15">
        <f t="shared" si="59"/>
        <v>0.86746987951807231</v>
      </c>
    </row>
    <row r="926" spans="1:16" ht="15.75" customHeight="1" x14ac:dyDescent="0.3">
      <c r="A926" s="32" t="s">
        <v>59</v>
      </c>
      <c r="B926" s="9" t="s">
        <v>310</v>
      </c>
      <c r="C926" s="9" t="s">
        <v>111</v>
      </c>
      <c r="D926" s="9" t="s">
        <v>296</v>
      </c>
      <c r="E926" s="10">
        <v>12</v>
      </c>
      <c r="F926" s="9" t="s">
        <v>161</v>
      </c>
      <c r="G926" s="11">
        <v>0</v>
      </c>
      <c r="H926" s="9" t="s">
        <v>115</v>
      </c>
      <c r="I926" s="9" t="s">
        <v>116</v>
      </c>
      <c r="J926" s="9" t="s">
        <v>4</v>
      </c>
      <c r="K926" s="9"/>
      <c r="L926" s="9"/>
      <c r="M926" s="12">
        <f t="shared" si="56"/>
        <v>353</v>
      </c>
      <c r="N926" s="13">
        <f t="shared" si="57"/>
        <v>367</v>
      </c>
      <c r="O926" s="14">
        <f t="shared" si="58"/>
        <v>720</v>
      </c>
      <c r="P926" s="15">
        <f t="shared" si="59"/>
        <v>0.86746987951807231</v>
      </c>
    </row>
    <row r="927" spans="1:16" ht="15.75" customHeight="1" x14ac:dyDescent="0.3">
      <c r="A927" s="32" t="s">
        <v>59</v>
      </c>
      <c r="B927" s="9" t="s">
        <v>310</v>
      </c>
      <c r="C927" s="9" t="s">
        <v>80</v>
      </c>
      <c r="D927" s="9" t="s">
        <v>220</v>
      </c>
      <c r="E927" s="10">
        <v>3</v>
      </c>
      <c r="F927" s="9" t="s">
        <v>221</v>
      </c>
      <c r="G927" s="11">
        <v>0</v>
      </c>
      <c r="H927" s="9" t="s">
        <v>311</v>
      </c>
      <c r="I927" s="21" t="s">
        <v>268</v>
      </c>
      <c r="J927" s="21" t="s">
        <v>400</v>
      </c>
      <c r="K927" s="9"/>
      <c r="L927" s="9" t="s">
        <v>351</v>
      </c>
      <c r="M927" s="12">
        <f t="shared" si="56"/>
        <v>9</v>
      </c>
      <c r="N927" s="13">
        <f t="shared" si="57"/>
        <v>77</v>
      </c>
      <c r="O927" s="14">
        <f t="shared" si="58"/>
        <v>86</v>
      </c>
      <c r="P927" s="15">
        <f t="shared" si="59"/>
        <v>0.10361445783132531</v>
      </c>
    </row>
    <row r="928" spans="1:16" ht="15.75" customHeight="1" x14ac:dyDescent="0.3">
      <c r="A928" s="32" t="s">
        <v>59</v>
      </c>
      <c r="B928" s="9" t="s">
        <v>310</v>
      </c>
      <c r="C928" s="9" t="s">
        <v>80</v>
      </c>
      <c r="D928" s="9" t="s">
        <v>295</v>
      </c>
      <c r="E928" s="10">
        <v>4</v>
      </c>
      <c r="F928" s="9" t="s">
        <v>161</v>
      </c>
      <c r="G928" s="11">
        <v>0</v>
      </c>
      <c r="H928" s="9" t="s">
        <v>115</v>
      </c>
      <c r="I928" s="9" t="s">
        <v>116</v>
      </c>
      <c r="J928" s="9" t="s">
        <v>4</v>
      </c>
      <c r="K928" s="9"/>
      <c r="L928" s="9"/>
      <c r="M928" s="12">
        <f t="shared" si="56"/>
        <v>353</v>
      </c>
      <c r="N928" s="13">
        <f t="shared" si="57"/>
        <v>367</v>
      </c>
      <c r="O928" s="14">
        <f t="shared" si="58"/>
        <v>720</v>
      </c>
      <c r="P928" s="15">
        <f t="shared" si="59"/>
        <v>0.86746987951807231</v>
      </c>
    </row>
    <row r="929" spans="1:16" ht="15.75" customHeight="1" x14ac:dyDescent="0.3">
      <c r="A929" s="32" t="s">
        <v>59</v>
      </c>
      <c r="B929" s="9" t="s">
        <v>310</v>
      </c>
      <c r="C929" s="9" t="s">
        <v>80</v>
      </c>
      <c r="D929" s="9" t="s">
        <v>296</v>
      </c>
      <c r="E929" s="10">
        <v>4</v>
      </c>
      <c r="F929" s="9" t="s">
        <v>161</v>
      </c>
      <c r="G929" s="11">
        <v>0</v>
      </c>
      <c r="H929" s="9" t="s">
        <v>115</v>
      </c>
      <c r="I929" s="9" t="s">
        <v>116</v>
      </c>
      <c r="J929" s="9" t="s">
        <v>4</v>
      </c>
      <c r="K929" s="9"/>
      <c r="L929" s="9"/>
      <c r="M929" s="12">
        <f t="shared" si="56"/>
        <v>353</v>
      </c>
      <c r="N929" s="13">
        <f t="shared" si="57"/>
        <v>367</v>
      </c>
      <c r="O929" s="14">
        <f t="shared" si="58"/>
        <v>720</v>
      </c>
      <c r="P929" s="15">
        <f t="shared" si="59"/>
        <v>0.86746987951807231</v>
      </c>
    </row>
    <row r="930" spans="1:16" ht="15.75" customHeight="1" x14ac:dyDescent="0.3">
      <c r="A930" s="32" t="s">
        <v>59</v>
      </c>
      <c r="B930" s="9" t="s">
        <v>317</v>
      </c>
      <c r="C930" s="9" t="s">
        <v>73</v>
      </c>
      <c r="D930" s="9" t="s">
        <v>74</v>
      </c>
      <c r="E930" s="10">
        <v>24</v>
      </c>
      <c r="F930" s="9" t="s">
        <v>75</v>
      </c>
      <c r="G930" s="10">
        <v>24</v>
      </c>
      <c r="H930" s="9" t="s">
        <v>257</v>
      </c>
      <c r="I930" s="9" t="s">
        <v>258</v>
      </c>
      <c r="J930" s="9" t="s">
        <v>8</v>
      </c>
      <c r="K930" s="9"/>
      <c r="L930" s="9" t="s">
        <v>78</v>
      </c>
      <c r="M930" s="12">
        <f t="shared" si="56"/>
        <v>331</v>
      </c>
      <c r="N930" s="13">
        <f t="shared" si="57"/>
        <v>520</v>
      </c>
      <c r="O930" s="14">
        <f t="shared" si="58"/>
        <v>851</v>
      </c>
      <c r="P930" s="15">
        <f t="shared" si="59"/>
        <v>1.0253012048192771</v>
      </c>
    </row>
    <row r="931" spans="1:16" ht="15.75" customHeight="1" x14ac:dyDescent="0.3">
      <c r="A931" s="32" t="s">
        <v>59</v>
      </c>
      <c r="B931" s="9" t="s">
        <v>317</v>
      </c>
      <c r="C931" s="9" t="s">
        <v>79</v>
      </c>
      <c r="D931" s="9" t="s">
        <v>74</v>
      </c>
      <c r="E931" s="10">
        <v>8</v>
      </c>
      <c r="F931" s="9" t="s">
        <v>75</v>
      </c>
      <c r="G931" s="10">
        <v>8</v>
      </c>
      <c r="H931" s="9" t="s">
        <v>257</v>
      </c>
      <c r="I931" s="9" t="s">
        <v>258</v>
      </c>
      <c r="J931" s="9" t="s">
        <v>8</v>
      </c>
      <c r="K931" s="9"/>
      <c r="L931" s="9" t="s">
        <v>78</v>
      </c>
      <c r="M931" s="12">
        <f t="shared" si="56"/>
        <v>331</v>
      </c>
      <c r="N931" s="13">
        <f t="shared" si="57"/>
        <v>520</v>
      </c>
      <c r="O931" s="14">
        <f t="shared" si="58"/>
        <v>851</v>
      </c>
      <c r="P931" s="15">
        <f t="shared" si="59"/>
        <v>1.0253012048192771</v>
      </c>
    </row>
    <row r="932" spans="1:16" ht="15.75" customHeight="1" x14ac:dyDescent="0.3">
      <c r="A932" s="32" t="s">
        <v>59</v>
      </c>
      <c r="B932" s="9" t="s">
        <v>317</v>
      </c>
      <c r="C932" s="9" t="s">
        <v>80</v>
      </c>
      <c r="D932" s="9" t="s">
        <v>74</v>
      </c>
      <c r="E932" s="10">
        <v>1</v>
      </c>
      <c r="F932" s="9" t="s">
        <v>75</v>
      </c>
      <c r="G932" s="11">
        <v>0</v>
      </c>
      <c r="H932" s="9" t="s">
        <v>257</v>
      </c>
      <c r="I932" s="9" t="s">
        <v>258</v>
      </c>
      <c r="J932" s="9" t="s">
        <v>8</v>
      </c>
      <c r="K932" s="9"/>
      <c r="L932" s="9" t="s">
        <v>78</v>
      </c>
      <c r="M932" s="12">
        <f t="shared" si="56"/>
        <v>331</v>
      </c>
      <c r="N932" s="13">
        <f t="shared" si="57"/>
        <v>520</v>
      </c>
      <c r="O932" s="14">
        <f t="shared" si="58"/>
        <v>851</v>
      </c>
      <c r="P932" s="15">
        <f t="shared" si="59"/>
        <v>1.0253012048192771</v>
      </c>
    </row>
    <row r="933" spans="1:16" ht="15.75" customHeight="1" x14ac:dyDescent="0.3">
      <c r="A933" s="32" t="s">
        <v>59</v>
      </c>
      <c r="B933" s="9" t="s">
        <v>401</v>
      </c>
      <c r="C933" s="9" t="s">
        <v>73</v>
      </c>
      <c r="D933" s="9" t="s">
        <v>318</v>
      </c>
      <c r="E933" s="10">
        <v>24</v>
      </c>
      <c r="F933" s="9" t="s">
        <v>319</v>
      </c>
      <c r="G933" s="10">
        <v>24</v>
      </c>
      <c r="H933" s="9" t="s">
        <v>96</v>
      </c>
      <c r="I933" s="9" t="s">
        <v>97</v>
      </c>
      <c r="J933" s="9" t="s">
        <v>8</v>
      </c>
      <c r="K933" s="9"/>
      <c r="L933" s="9"/>
      <c r="M933" s="12">
        <f t="shared" si="56"/>
        <v>501</v>
      </c>
      <c r="N933" s="13">
        <f t="shared" si="57"/>
        <v>486.5</v>
      </c>
      <c r="O933" s="14">
        <f t="shared" si="58"/>
        <v>987.5</v>
      </c>
      <c r="P933" s="15">
        <f t="shared" si="59"/>
        <v>1.1897590361445782</v>
      </c>
    </row>
    <row r="934" spans="1:16" ht="15.75" customHeight="1" x14ac:dyDescent="0.3">
      <c r="A934" s="32" t="s">
        <v>59</v>
      </c>
      <c r="B934" s="9" t="s">
        <v>401</v>
      </c>
      <c r="C934" s="9" t="s">
        <v>87</v>
      </c>
      <c r="D934" s="9" t="s">
        <v>318</v>
      </c>
      <c r="E934" s="10">
        <v>1</v>
      </c>
      <c r="F934" s="9" t="s">
        <v>319</v>
      </c>
      <c r="G934" s="11">
        <v>0</v>
      </c>
      <c r="H934" s="9" t="s">
        <v>96</v>
      </c>
      <c r="I934" s="9" t="s">
        <v>97</v>
      </c>
      <c r="J934" s="9" t="s">
        <v>8</v>
      </c>
      <c r="K934" s="9"/>
      <c r="L934" s="9"/>
      <c r="M934" s="12">
        <f t="shared" si="56"/>
        <v>501</v>
      </c>
      <c r="N934" s="13">
        <f t="shared" si="57"/>
        <v>486.5</v>
      </c>
      <c r="O934" s="14">
        <f t="shared" si="58"/>
        <v>987.5</v>
      </c>
      <c r="P934" s="15">
        <f t="shared" si="59"/>
        <v>1.1897590361445782</v>
      </c>
    </row>
    <row r="935" spans="1:16" ht="15.75" customHeight="1" x14ac:dyDescent="0.3">
      <c r="A935" s="32" t="s">
        <v>59</v>
      </c>
      <c r="B935" s="9" t="s">
        <v>401</v>
      </c>
      <c r="C935" s="9" t="s">
        <v>79</v>
      </c>
      <c r="D935" s="9" t="s">
        <v>318</v>
      </c>
      <c r="E935" s="10">
        <v>8</v>
      </c>
      <c r="F935" s="9" t="s">
        <v>319</v>
      </c>
      <c r="G935" s="10">
        <v>8</v>
      </c>
      <c r="H935" s="9" t="s">
        <v>96</v>
      </c>
      <c r="I935" s="9" t="s">
        <v>97</v>
      </c>
      <c r="J935" s="9" t="s">
        <v>8</v>
      </c>
      <c r="K935" s="9"/>
      <c r="L935" s="9"/>
      <c r="M935" s="12">
        <f t="shared" si="56"/>
        <v>501</v>
      </c>
      <c r="N935" s="13">
        <f t="shared" si="57"/>
        <v>486.5</v>
      </c>
      <c r="O935" s="14">
        <f t="shared" si="58"/>
        <v>987.5</v>
      </c>
      <c r="P935" s="15">
        <f t="shared" si="59"/>
        <v>1.1897590361445782</v>
      </c>
    </row>
    <row r="936" spans="1:16" ht="15.75" customHeight="1" x14ac:dyDescent="0.3">
      <c r="A936" s="32" t="s">
        <v>59</v>
      </c>
      <c r="B936" s="9" t="s">
        <v>401</v>
      </c>
      <c r="C936" s="9" t="s">
        <v>80</v>
      </c>
      <c r="D936" s="9" t="s">
        <v>318</v>
      </c>
      <c r="E936" s="10">
        <v>1</v>
      </c>
      <c r="F936" s="9" t="s">
        <v>319</v>
      </c>
      <c r="G936" s="11">
        <v>0</v>
      </c>
      <c r="H936" s="9" t="s">
        <v>96</v>
      </c>
      <c r="I936" s="9" t="s">
        <v>97</v>
      </c>
      <c r="J936" s="9" t="s">
        <v>8</v>
      </c>
      <c r="K936" s="9"/>
      <c r="L936" s="9"/>
      <c r="M936" s="12">
        <f t="shared" si="56"/>
        <v>501</v>
      </c>
      <c r="N936" s="13">
        <f t="shared" si="57"/>
        <v>486.5</v>
      </c>
      <c r="O936" s="14">
        <f t="shared" si="58"/>
        <v>987.5</v>
      </c>
      <c r="P936" s="15">
        <f t="shared" si="59"/>
        <v>1.1897590361445782</v>
      </c>
    </row>
    <row r="937" spans="1:16" ht="15.75" customHeight="1" x14ac:dyDescent="0.3">
      <c r="A937" s="32" t="s">
        <v>59</v>
      </c>
      <c r="B937" s="9" t="s">
        <v>330</v>
      </c>
      <c r="C937" s="9" t="s">
        <v>73</v>
      </c>
      <c r="D937" s="9" t="s">
        <v>132</v>
      </c>
      <c r="E937" s="10">
        <v>18</v>
      </c>
      <c r="F937" s="9" t="s">
        <v>133</v>
      </c>
      <c r="G937" s="10">
        <v>18</v>
      </c>
      <c r="H937" s="9" t="s">
        <v>200</v>
      </c>
      <c r="I937" s="9" t="s">
        <v>201</v>
      </c>
      <c r="J937" s="9" t="s">
        <v>4</v>
      </c>
      <c r="K937" s="9"/>
      <c r="L937" s="9"/>
      <c r="M937" s="12">
        <f t="shared" si="56"/>
        <v>647</v>
      </c>
      <c r="N937" s="13">
        <f t="shared" si="57"/>
        <v>461.5</v>
      </c>
      <c r="O937" s="14">
        <f t="shared" si="58"/>
        <v>1108.5</v>
      </c>
      <c r="P937" s="15">
        <f t="shared" si="59"/>
        <v>1.3355421686746989</v>
      </c>
    </row>
    <row r="938" spans="1:16" ht="15.75" customHeight="1" x14ac:dyDescent="0.3">
      <c r="A938" s="32" t="s">
        <v>59</v>
      </c>
      <c r="B938" s="9" t="s">
        <v>330</v>
      </c>
      <c r="C938" s="9" t="s">
        <v>79</v>
      </c>
      <c r="D938" s="9" t="s">
        <v>132</v>
      </c>
      <c r="E938" s="10">
        <v>50</v>
      </c>
      <c r="F938" s="9" t="s">
        <v>133</v>
      </c>
      <c r="G938" s="10">
        <v>50</v>
      </c>
      <c r="H938" s="9" t="s">
        <v>200</v>
      </c>
      <c r="I938" s="9" t="s">
        <v>201</v>
      </c>
      <c r="J938" s="9" t="s">
        <v>4</v>
      </c>
      <c r="K938" s="9"/>
      <c r="L938" s="9"/>
      <c r="M938" s="12">
        <f t="shared" si="56"/>
        <v>647</v>
      </c>
      <c r="N938" s="13">
        <f t="shared" si="57"/>
        <v>461.5</v>
      </c>
      <c r="O938" s="14">
        <f t="shared" si="58"/>
        <v>1108.5</v>
      </c>
      <c r="P938" s="15">
        <f t="shared" si="59"/>
        <v>1.3355421686746989</v>
      </c>
    </row>
    <row r="939" spans="1:16" ht="15.75" customHeight="1" x14ac:dyDescent="0.3">
      <c r="A939" s="32" t="s">
        <v>59</v>
      </c>
      <c r="B939" s="9" t="s">
        <v>330</v>
      </c>
      <c r="C939" s="9" t="s">
        <v>111</v>
      </c>
      <c r="D939" s="9" t="s">
        <v>132</v>
      </c>
      <c r="E939" s="10">
        <v>3</v>
      </c>
      <c r="F939" s="9" t="s">
        <v>133</v>
      </c>
      <c r="G939" s="11">
        <v>0</v>
      </c>
      <c r="H939" s="9" t="s">
        <v>200</v>
      </c>
      <c r="I939" s="9" t="s">
        <v>201</v>
      </c>
      <c r="J939" s="9" t="s">
        <v>4</v>
      </c>
      <c r="K939" s="9"/>
      <c r="L939" s="9"/>
      <c r="M939" s="12">
        <f t="shared" si="56"/>
        <v>647</v>
      </c>
      <c r="N939" s="13">
        <f t="shared" si="57"/>
        <v>461.5</v>
      </c>
      <c r="O939" s="14">
        <f t="shared" si="58"/>
        <v>1108.5</v>
      </c>
      <c r="P939" s="15">
        <f t="shared" si="59"/>
        <v>1.3355421686746989</v>
      </c>
    </row>
    <row r="940" spans="1:16" ht="15.75" customHeight="1" x14ac:dyDescent="0.3">
      <c r="A940" s="32" t="s">
        <v>59</v>
      </c>
      <c r="B940" s="9" t="s">
        <v>330</v>
      </c>
      <c r="C940" s="9" t="s">
        <v>80</v>
      </c>
      <c r="D940" s="9" t="s">
        <v>132</v>
      </c>
      <c r="E940" s="10">
        <v>3</v>
      </c>
      <c r="F940" s="9" t="s">
        <v>133</v>
      </c>
      <c r="G940" s="11">
        <v>0</v>
      </c>
      <c r="H940" s="9" t="s">
        <v>200</v>
      </c>
      <c r="I940" s="9" t="s">
        <v>201</v>
      </c>
      <c r="J940" s="9" t="s">
        <v>4</v>
      </c>
      <c r="K940" s="9"/>
      <c r="L940" s="9"/>
      <c r="M940" s="12">
        <f t="shared" si="56"/>
        <v>647</v>
      </c>
      <c r="N940" s="13">
        <f t="shared" si="57"/>
        <v>461.5</v>
      </c>
      <c r="O940" s="14">
        <f t="shared" si="58"/>
        <v>1108.5</v>
      </c>
      <c r="P940" s="15">
        <f t="shared" si="59"/>
        <v>1.3355421686746989</v>
      </c>
    </row>
    <row r="941" spans="1:16" ht="15.75" customHeight="1" x14ac:dyDescent="0.3">
      <c r="A941" s="32" t="s">
        <v>59</v>
      </c>
      <c r="B941" s="9" t="s">
        <v>331</v>
      </c>
      <c r="C941" s="9" t="s">
        <v>73</v>
      </c>
      <c r="D941" s="9" t="s">
        <v>132</v>
      </c>
      <c r="E941" s="10">
        <v>12</v>
      </c>
      <c r="F941" s="9" t="s">
        <v>133</v>
      </c>
      <c r="G941" s="10">
        <v>12</v>
      </c>
      <c r="H941" s="9" t="s">
        <v>200</v>
      </c>
      <c r="I941" s="9" t="s">
        <v>201</v>
      </c>
      <c r="J941" s="9" t="s">
        <v>4</v>
      </c>
      <c r="K941" s="9"/>
      <c r="L941" s="9"/>
      <c r="M941" s="12">
        <f t="shared" si="56"/>
        <v>647</v>
      </c>
      <c r="N941" s="13">
        <f t="shared" si="57"/>
        <v>461.5</v>
      </c>
      <c r="O941" s="14">
        <f t="shared" si="58"/>
        <v>1108.5</v>
      </c>
      <c r="P941" s="15">
        <f t="shared" si="59"/>
        <v>1.3355421686746989</v>
      </c>
    </row>
    <row r="942" spans="1:16" ht="15.75" customHeight="1" x14ac:dyDescent="0.3">
      <c r="A942" s="32" t="s">
        <v>59</v>
      </c>
      <c r="B942" s="9" t="s">
        <v>331</v>
      </c>
      <c r="C942" s="9" t="s">
        <v>87</v>
      </c>
      <c r="D942" s="9" t="s">
        <v>132</v>
      </c>
      <c r="E942" s="10">
        <v>2</v>
      </c>
      <c r="F942" s="9" t="s">
        <v>133</v>
      </c>
      <c r="G942" s="11">
        <v>0</v>
      </c>
      <c r="H942" s="9" t="s">
        <v>200</v>
      </c>
      <c r="I942" s="9" t="s">
        <v>201</v>
      </c>
      <c r="J942" s="9" t="s">
        <v>4</v>
      </c>
      <c r="K942" s="9"/>
      <c r="L942" s="9"/>
      <c r="M942" s="12">
        <f t="shared" si="56"/>
        <v>647</v>
      </c>
      <c r="N942" s="13">
        <f t="shared" si="57"/>
        <v>461.5</v>
      </c>
      <c r="O942" s="14">
        <f t="shared" si="58"/>
        <v>1108.5</v>
      </c>
      <c r="P942" s="15">
        <f t="shared" si="59"/>
        <v>1.3355421686746989</v>
      </c>
    </row>
    <row r="943" spans="1:16" ht="15.75" customHeight="1" x14ac:dyDescent="0.3">
      <c r="A943" s="32" t="s">
        <v>59</v>
      </c>
      <c r="B943" s="9" t="s">
        <v>331</v>
      </c>
      <c r="C943" s="9" t="s">
        <v>79</v>
      </c>
      <c r="D943" s="9" t="s">
        <v>132</v>
      </c>
      <c r="E943" s="10">
        <v>22</v>
      </c>
      <c r="F943" s="9" t="s">
        <v>133</v>
      </c>
      <c r="G943" s="10">
        <v>22</v>
      </c>
      <c r="H943" s="9" t="s">
        <v>200</v>
      </c>
      <c r="I943" s="9" t="s">
        <v>201</v>
      </c>
      <c r="J943" s="9" t="s">
        <v>4</v>
      </c>
      <c r="K943" s="9"/>
      <c r="L943" s="9"/>
      <c r="M943" s="12">
        <f t="shared" si="56"/>
        <v>647</v>
      </c>
      <c r="N943" s="13">
        <f t="shared" si="57"/>
        <v>461.5</v>
      </c>
      <c r="O943" s="14">
        <f t="shared" si="58"/>
        <v>1108.5</v>
      </c>
      <c r="P943" s="15">
        <f t="shared" si="59"/>
        <v>1.3355421686746989</v>
      </c>
    </row>
    <row r="944" spans="1:16" ht="15.75" customHeight="1" x14ac:dyDescent="0.3">
      <c r="A944" s="32" t="s">
        <v>59</v>
      </c>
      <c r="B944" s="9" t="s">
        <v>331</v>
      </c>
      <c r="C944" s="9" t="s">
        <v>80</v>
      </c>
      <c r="D944" s="9" t="s">
        <v>132</v>
      </c>
      <c r="E944" s="10">
        <v>1</v>
      </c>
      <c r="F944" s="9" t="s">
        <v>133</v>
      </c>
      <c r="G944" s="11">
        <v>0</v>
      </c>
      <c r="H944" s="9" t="s">
        <v>200</v>
      </c>
      <c r="I944" s="9" t="s">
        <v>201</v>
      </c>
      <c r="J944" s="9" t="s">
        <v>4</v>
      </c>
      <c r="K944" s="9"/>
      <c r="L944" s="9"/>
      <c r="M944" s="12">
        <f t="shared" si="56"/>
        <v>647</v>
      </c>
      <c r="N944" s="13">
        <f t="shared" si="57"/>
        <v>461.5</v>
      </c>
      <c r="O944" s="14">
        <f t="shared" si="58"/>
        <v>1108.5</v>
      </c>
      <c r="P944" s="15">
        <f t="shared" si="59"/>
        <v>1.3355421686746989</v>
      </c>
    </row>
    <row r="945" spans="1:16" ht="15.75" customHeight="1" x14ac:dyDescent="0.3">
      <c r="A945" s="32" t="s">
        <v>59</v>
      </c>
      <c r="B945" s="9" t="s">
        <v>402</v>
      </c>
      <c r="C945" s="9" t="s">
        <v>73</v>
      </c>
      <c r="D945" s="9" t="s">
        <v>194</v>
      </c>
      <c r="E945" s="10">
        <v>48</v>
      </c>
      <c r="F945" s="9" t="s">
        <v>195</v>
      </c>
      <c r="G945" s="10">
        <v>48</v>
      </c>
      <c r="H945" s="9" t="s">
        <v>210</v>
      </c>
      <c r="I945" s="9" t="s">
        <v>211</v>
      </c>
      <c r="J945" s="9" t="s">
        <v>4</v>
      </c>
      <c r="K945" s="9"/>
      <c r="L945" s="9"/>
      <c r="M945" s="12">
        <f t="shared" si="56"/>
        <v>213</v>
      </c>
      <c r="N945" s="13">
        <f t="shared" si="57"/>
        <v>399</v>
      </c>
      <c r="O945" s="14">
        <f t="shared" si="58"/>
        <v>612</v>
      </c>
      <c r="P945" s="15">
        <f t="shared" si="59"/>
        <v>0.73734939759036144</v>
      </c>
    </row>
    <row r="946" spans="1:16" ht="15.75" customHeight="1" x14ac:dyDescent="0.3">
      <c r="A946" s="32" t="s">
        <v>59</v>
      </c>
      <c r="B946" s="9" t="s">
        <v>402</v>
      </c>
      <c r="C946" s="9" t="s">
        <v>123</v>
      </c>
      <c r="D946" s="9" t="s">
        <v>194</v>
      </c>
      <c r="E946" s="10">
        <v>54</v>
      </c>
      <c r="F946" s="9" t="s">
        <v>195</v>
      </c>
      <c r="G946" s="11">
        <v>0</v>
      </c>
      <c r="H946" s="9" t="s">
        <v>210</v>
      </c>
      <c r="I946" s="9" t="s">
        <v>211</v>
      </c>
      <c r="J946" s="9" t="s">
        <v>4</v>
      </c>
      <c r="K946" s="9"/>
      <c r="L946" s="9"/>
      <c r="M946" s="12">
        <f t="shared" si="56"/>
        <v>213</v>
      </c>
      <c r="N946" s="13">
        <f t="shared" si="57"/>
        <v>399</v>
      </c>
      <c r="O946" s="14">
        <f t="shared" si="58"/>
        <v>612</v>
      </c>
      <c r="P946" s="15">
        <f t="shared" si="59"/>
        <v>0.73734939759036144</v>
      </c>
    </row>
    <row r="947" spans="1:16" ht="15.75" customHeight="1" x14ac:dyDescent="0.3">
      <c r="A947" s="32" t="s">
        <v>59</v>
      </c>
      <c r="B947" s="9" t="s">
        <v>402</v>
      </c>
      <c r="C947" s="9" t="s">
        <v>79</v>
      </c>
      <c r="D947" s="9" t="s">
        <v>194</v>
      </c>
      <c r="E947" s="10">
        <v>72</v>
      </c>
      <c r="F947" s="9" t="s">
        <v>195</v>
      </c>
      <c r="G947" s="10">
        <v>72</v>
      </c>
      <c r="H947" s="9" t="s">
        <v>210</v>
      </c>
      <c r="I947" s="9" t="s">
        <v>211</v>
      </c>
      <c r="J947" s="9" t="s">
        <v>4</v>
      </c>
      <c r="K947" s="9"/>
      <c r="L947" s="9"/>
      <c r="M947" s="12">
        <f t="shared" si="56"/>
        <v>213</v>
      </c>
      <c r="N947" s="13">
        <f t="shared" si="57"/>
        <v>399</v>
      </c>
      <c r="O947" s="14">
        <f t="shared" si="58"/>
        <v>612</v>
      </c>
      <c r="P947" s="15">
        <f t="shared" si="59"/>
        <v>0.73734939759036144</v>
      </c>
    </row>
    <row r="948" spans="1:16" ht="15.75" customHeight="1" x14ac:dyDescent="0.3">
      <c r="A948" s="32" t="s">
        <v>59</v>
      </c>
      <c r="B948" s="9" t="s">
        <v>402</v>
      </c>
      <c r="C948" s="9" t="s">
        <v>111</v>
      </c>
      <c r="D948" s="9" t="s">
        <v>194</v>
      </c>
      <c r="E948" s="10">
        <v>9</v>
      </c>
      <c r="F948" s="9" t="s">
        <v>195</v>
      </c>
      <c r="G948" s="11">
        <v>0</v>
      </c>
      <c r="H948" s="9" t="s">
        <v>210</v>
      </c>
      <c r="I948" s="9" t="s">
        <v>211</v>
      </c>
      <c r="J948" s="9" t="s">
        <v>4</v>
      </c>
      <c r="K948" s="9"/>
      <c r="L948" s="9"/>
      <c r="M948" s="12">
        <f t="shared" si="56"/>
        <v>213</v>
      </c>
      <c r="N948" s="13">
        <f t="shared" si="57"/>
        <v>399</v>
      </c>
      <c r="O948" s="14">
        <f t="shared" si="58"/>
        <v>612</v>
      </c>
      <c r="P948" s="15">
        <f t="shared" si="59"/>
        <v>0.73734939759036144</v>
      </c>
    </row>
    <row r="949" spans="1:16" ht="15.75" customHeight="1" x14ac:dyDescent="0.3">
      <c r="A949" s="32" t="s">
        <v>59</v>
      </c>
      <c r="B949" s="9" t="s">
        <v>402</v>
      </c>
      <c r="C949" s="9" t="s">
        <v>80</v>
      </c>
      <c r="D949" s="9" t="s">
        <v>194</v>
      </c>
      <c r="E949" s="10">
        <v>4</v>
      </c>
      <c r="F949" s="9" t="s">
        <v>195</v>
      </c>
      <c r="G949" s="11">
        <v>0</v>
      </c>
      <c r="H949" s="9" t="s">
        <v>210</v>
      </c>
      <c r="I949" s="9" t="s">
        <v>211</v>
      </c>
      <c r="J949" s="9" t="s">
        <v>4</v>
      </c>
      <c r="K949" s="9"/>
      <c r="L949" s="9"/>
      <c r="M949" s="12">
        <f t="shared" si="56"/>
        <v>213</v>
      </c>
      <c r="N949" s="13">
        <f t="shared" si="57"/>
        <v>399</v>
      </c>
      <c r="O949" s="14">
        <f t="shared" si="58"/>
        <v>612</v>
      </c>
      <c r="P949" s="15">
        <f t="shared" si="59"/>
        <v>0.73734939759036144</v>
      </c>
    </row>
    <row r="950" spans="1:16" ht="15.75" customHeight="1" x14ac:dyDescent="0.3">
      <c r="A950" s="32" t="s">
        <v>59</v>
      </c>
      <c r="B950" s="9" t="s">
        <v>403</v>
      </c>
      <c r="C950" s="9" t="s">
        <v>73</v>
      </c>
      <c r="D950" s="9" t="s">
        <v>134</v>
      </c>
      <c r="E950" s="10">
        <v>8</v>
      </c>
      <c r="F950" s="9" t="s">
        <v>166</v>
      </c>
      <c r="G950" s="10">
        <v>8</v>
      </c>
      <c r="H950" s="9" t="s">
        <v>174</v>
      </c>
      <c r="I950" s="9" t="s">
        <v>175</v>
      </c>
      <c r="J950" s="9" t="s">
        <v>8</v>
      </c>
      <c r="K950" s="9"/>
      <c r="L950" s="9"/>
      <c r="M950" s="12">
        <f t="shared" si="56"/>
        <v>320</v>
      </c>
      <c r="N950" s="13">
        <f t="shared" si="57"/>
        <v>169</v>
      </c>
      <c r="O950" s="14">
        <f t="shared" si="58"/>
        <v>489</v>
      </c>
      <c r="P950" s="15">
        <f t="shared" si="59"/>
        <v>0.58915662650602407</v>
      </c>
    </row>
    <row r="951" spans="1:16" ht="15.75" customHeight="1" x14ac:dyDescent="0.3">
      <c r="A951" s="32" t="s">
        <v>59</v>
      </c>
      <c r="B951" s="9" t="s">
        <v>403</v>
      </c>
      <c r="C951" s="9" t="s">
        <v>79</v>
      </c>
      <c r="D951" s="9" t="s">
        <v>134</v>
      </c>
      <c r="E951" s="10">
        <v>16</v>
      </c>
      <c r="F951" s="9" t="s">
        <v>166</v>
      </c>
      <c r="G951" s="10">
        <v>16</v>
      </c>
      <c r="H951" s="9" t="s">
        <v>174</v>
      </c>
      <c r="I951" s="9" t="s">
        <v>175</v>
      </c>
      <c r="J951" s="9" t="s">
        <v>8</v>
      </c>
      <c r="K951" s="9"/>
      <c r="L951" s="9"/>
      <c r="M951" s="12">
        <f t="shared" si="56"/>
        <v>320</v>
      </c>
      <c r="N951" s="13">
        <f t="shared" si="57"/>
        <v>169</v>
      </c>
      <c r="O951" s="14">
        <f t="shared" si="58"/>
        <v>489</v>
      </c>
      <c r="P951" s="15">
        <f t="shared" si="59"/>
        <v>0.58915662650602407</v>
      </c>
    </row>
    <row r="952" spans="1:16" ht="15.75" customHeight="1" x14ac:dyDescent="0.3">
      <c r="A952" s="32" t="s">
        <v>59</v>
      </c>
      <c r="B952" s="9" t="s">
        <v>403</v>
      </c>
      <c r="C952" s="9" t="s">
        <v>142</v>
      </c>
      <c r="D952" s="9" t="s">
        <v>134</v>
      </c>
      <c r="E952" s="10">
        <v>2</v>
      </c>
      <c r="F952" s="9" t="s">
        <v>166</v>
      </c>
      <c r="G952" s="11">
        <v>0</v>
      </c>
      <c r="H952" s="9" t="s">
        <v>174</v>
      </c>
      <c r="I952" s="9" t="s">
        <v>175</v>
      </c>
      <c r="J952" s="9" t="s">
        <v>8</v>
      </c>
      <c r="K952" s="9"/>
      <c r="L952" s="9"/>
      <c r="M952" s="12">
        <f t="shared" si="56"/>
        <v>320</v>
      </c>
      <c r="N952" s="13">
        <f t="shared" si="57"/>
        <v>169</v>
      </c>
      <c r="O952" s="14">
        <f t="shared" si="58"/>
        <v>489</v>
      </c>
      <c r="P952" s="15">
        <f t="shared" si="59"/>
        <v>0.58915662650602407</v>
      </c>
    </row>
    <row r="953" spans="1:16" ht="15.75" customHeight="1" x14ac:dyDescent="0.3">
      <c r="A953" s="32" t="s">
        <v>59</v>
      </c>
      <c r="B953" s="9" t="s">
        <v>404</v>
      </c>
      <c r="C953" s="9" t="s">
        <v>73</v>
      </c>
      <c r="D953" s="9" t="s">
        <v>126</v>
      </c>
      <c r="E953" s="10">
        <v>24</v>
      </c>
      <c r="F953" s="9" t="s">
        <v>127</v>
      </c>
      <c r="G953" s="10">
        <v>24</v>
      </c>
      <c r="H953" s="9" t="s">
        <v>167</v>
      </c>
      <c r="I953" s="9" t="s">
        <v>168</v>
      </c>
      <c r="J953" s="9" t="s">
        <v>4</v>
      </c>
      <c r="K953" s="9"/>
      <c r="L953" s="9"/>
      <c r="M953" s="12">
        <f t="shared" si="56"/>
        <v>456</v>
      </c>
      <c r="N953" s="13">
        <f t="shared" si="57"/>
        <v>362</v>
      </c>
      <c r="O953" s="14">
        <f t="shared" si="58"/>
        <v>818</v>
      </c>
      <c r="P953" s="15">
        <f t="shared" si="59"/>
        <v>0.98554216867469879</v>
      </c>
    </row>
    <row r="954" spans="1:16" ht="15.75" customHeight="1" x14ac:dyDescent="0.3">
      <c r="A954" s="32" t="s">
        <v>59</v>
      </c>
      <c r="B954" s="9" t="s">
        <v>404</v>
      </c>
      <c r="C954" s="9" t="s">
        <v>79</v>
      </c>
      <c r="D954" s="9" t="s">
        <v>126</v>
      </c>
      <c r="E954" s="10">
        <v>40</v>
      </c>
      <c r="F954" s="9" t="s">
        <v>127</v>
      </c>
      <c r="G954" s="10">
        <v>40</v>
      </c>
      <c r="H954" s="9" t="s">
        <v>167</v>
      </c>
      <c r="I954" s="9" t="s">
        <v>168</v>
      </c>
      <c r="J954" s="9" t="s">
        <v>4</v>
      </c>
      <c r="K954" s="9"/>
      <c r="L954" s="9"/>
      <c r="M954" s="12">
        <f t="shared" si="56"/>
        <v>456</v>
      </c>
      <c r="N954" s="13">
        <f t="shared" si="57"/>
        <v>362</v>
      </c>
      <c r="O954" s="14">
        <f t="shared" si="58"/>
        <v>818</v>
      </c>
      <c r="P954" s="15">
        <f t="shared" si="59"/>
        <v>0.98554216867469879</v>
      </c>
    </row>
    <row r="955" spans="1:16" ht="15.75" customHeight="1" x14ac:dyDescent="0.3">
      <c r="A955" s="32" t="s">
        <v>59</v>
      </c>
      <c r="B955" s="9" t="s">
        <v>404</v>
      </c>
      <c r="C955" s="9" t="s">
        <v>111</v>
      </c>
      <c r="D955" s="9" t="s">
        <v>126</v>
      </c>
      <c r="E955" s="10">
        <v>7</v>
      </c>
      <c r="F955" s="9" t="s">
        <v>127</v>
      </c>
      <c r="G955" s="11">
        <v>0</v>
      </c>
      <c r="H955" s="9" t="s">
        <v>167</v>
      </c>
      <c r="I955" s="9" t="s">
        <v>168</v>
      </c>
      <c r="J955" s="9" t="s">
        <v>4</v>
      </c>
      <c r="K955" s="9"/>
      <c r="L955" s="9"/>
      <c r="M955" s="12">
        <f t="shared" si="56"/>
        <v>456</v>
      </c>
      <c r="N955" s="13">
        <f t="shared" si="57"/>
        <v>362</v>
      </c>
      <c r="O955" s="14">
        <f t="shared" si="58"/>
        <v>818</v>
      </c>
      <c r="P955" s="15">
        <f t="shared" si="59"/>
        <v>0.98554216867469879</v>
      </c>
    </row>
    <row r="956" spans="1:16" ht="15.75" customHeight="1" x14ac:dyDescent="0.3">
      <c r="A956" s="32" t="s">
        <v>59</v>
      </c>
      <c r="B956" s="9" t="s">
        <v>404</v>
      </c>
      <c r="C956" s="9" t="s">
        <v>80</v>
      </c>
      <c r="D956" s="9" t="s">
        <v>126</v>
      </c>
      <c r="E956" s="10">
        <v>3</v>
      </c>
      <c r="F956" s="9" t="s">
        <v>127</v>
      </c>
      <c r="G956" s="11">
        <v>0</v>
      </c>
      <c r="H956" s="9" t="s">
        <v>167</v>
      </c>
      <c r="I956" s="9" t="s">
        <v>168</v>
      </c>
      <c r="J956" s="9" t="s">
        <v>4</v>
      </c>
      <c r="K956" s="9"/>
      <c r="L956" s="9"/>
      <c r="M956" s="12">
        <f t="shared" si="56"/>
        <v>456</v>
      </c>
      <c r="N956" s="13">
        <f t="shared" si="57"/>
        <v>362</v>
      </c>
      <c r="O956" s="14">
        <f t="shared" si="58"/>
        <v>818</v>
      </c>
      <c r="P956" s="15">
        <f t="shared" si="59"/>
        <v>0.98554216867469879</v>
      </c>
    </row>
    <row r="957" spans="1:16" ht="15.75" customHeight="1" x14ac:dyDescent="0.3">
      <c r="A957" s="32" t="s">
        <v>59</v>
      </c>
      <c r="B957" s="9" t="s">
        <v>405</v>
      </c>
      <c r="C957" s="9" t="s">
        <v>73</v>
      </c>
      <c r="D957" s="9" t="s">
        <v>262</v>
      </c>
      <c r="E957" s="10">
        <v>12</v>
      </c>
      <c r="F957" s="9" t="s">
        <v>263</v>
      </c>
      <c r="G957" s="10">
        <v>12</v>
      </c>
      <c r="H957" s="9" t="s">
        <v>391</v>
      </c>
      <c r="I957" s="118" t="s">
        <v>392</v>
      </c>
      <c r="J957" s="9"/>
      <c r="K957" s="9"/>
      <c r="L957" s="9"/>
      <c r="M957" s="12">
        <f t="shared" si="56"/>
        <v>0</v>
      </c>
      <c r="N957" s="13">
        <f t="shared" si="57"/>
        <v>359</v>
      </c>
      <c r="O957" s="14">
        <f t="shared" si="58"/>
        <v>359</v>
      </c>
      <c r="P957" s="15">
        <f t="shared" si="59"/>
        <v>0.43253012048192774</v>
      </c>
    </row>
    <row r="958" spans="1:16" ht="15.75" customHeight="1" x14ac:dyDescent="0.3">
      <c r="A958" s="32" t="s">
        <v>59</v>
      </c>
      <c r="B958" s="9" t="s">
        <v>405</v>
      </c>
      <c r="C958" s="9" t="s">
        <v>73</v>
      </c>
      <c r="D958" s="9" t="s">
        <v>132</v>
      </c>
      <c r="E958" s="10">
        <v>12</v>
      </c>
      <c r="F958" s="9" t="s">
        <v>133</v>
      </c>
      <c r="G958" s="10">
        <v>12</v>
      </c>
      <c r="H958" s="9" t="s">
        <v>391</v>
      </c>
      <c r="I958" s="118" t="s">
        <v>392</v>
      </c>
      <c r="J958" s="9"/>
      <c r="K958" s="9"/>
      <c r="L958" s="9"/>
      <c r="M958" s="12">
        <f t="shared" si="56"/>
        <v>0</v>
      </c>
      <c r="N958" s="13">
        <f t="shared" si="57"/>
        <v>359</v>
      </c>
      <c r="O958" s="14">
        <f t="shared" si="58"/>
        <v>359</v>
      </c>
      <c r="P958" s="15">
        <f t="shared" si="59"/>
        <v>0.43253012048192774</v>
      </c>
    </row>
    <row r="959" spans="1:16" ht="15.75" customHeight="1" x14ac:dyDescent="0.3">
      <c r="A959" s="32" t="s">
        <v>59</v>
      </c>
      <c r="B959" s="9" t="s">
        <v>405</v>
      </c>
      <c r="C959" s="9" t="s">
        <v>79</v>
      </c>
      <c r="D959" s="9" t="s">
        <v>134</v>
      </c>
      <c r="E959" s="10">
        <v>24</v>
      </c>
      <c r="F959" s="9" t="s">
        <v>263</v>
      </c>
      <c r="G959" s="10">
        <v>24</v>
      </c>
      <c r="H959" s="9" t="s">
        <v>128</v>
      </c>
      <c r="I959" s="118" t="s">
        <v>392</v>
      </c>
      <c r="J959" s="9" t="s">
        <v>8</v>
      </c>
      <c r="K959" s="9"/>
      <c r="L959" s="9"/>
      <c r="M959" s="12">
        <f t="shared" si="56"/>
        <v>0</v>
      </c>
      <c r="N959" s="13">
        <f t="shared" si="57"/>
        <v>359</v>
      </c>
      <c r="O959" s="14">
        <f t="shared" si="58"/>
        <v>359</v>
      </c>
      <c r="P959" s="15">
        <f t="shared" si="59"/>
        <v>0.43253012048192774</v>
      </c>
    </row>
    <row r="960" spans="1:16" ht="15.75" customHeight="1" x14ac:dyDescent="0.3">
      <c r="A960" s="32" t="s">
        <v>59</v>
      </c>
      <c r="B960" s="9" t="s">
        <v>405</v>
      </c>
      <c r="C960" s="9" t="s">
        <v>79</v>
      </c>
      <c r="D960" s="9" t="s">
        <v>139</v>
      </c>
      <c r="E960" s="10">
        <v>24</v>
      </c>
      <c r="F960" s="9" t="s">
        <v>263</v>
      </c>
      <c r="G960" s="10">
        <v>24</v>
      </c>
      <c r="H960" s="9" t="s">
        <v>391</v>
      </c>
      <c r="I960" s="118" t="s">
        <v>392</v>
      </c>
      <c r="J960" s="9"/>
      <c r="K960" s="9"/>
      <c r="L960" s="9"/>
      <c r="M960" s="12">
        <f t="shared" si="56"/>
        <v>0</v>
      </c>
      <c r="N960" s="13">
        <f t="shared" si="57"/>
        <v>359</v>
      </c>
      <c r="O960" s="14">
        <f t="shared" si="58"/>
        <v>359</v>
      </c>
      <c r="P960" s="15">
        <f t="shared" si="59"/>
        <v>0.43253012048192774</v>
      </c>
    </row>
    <row r="961" spans="1:16" ht="15.75" customHeight="1" x14ac:dyDescent="0.3">
      <c r="A961" s="32" t="s">
        <v>59</v>
      </c>
      <c r="B961" s="9" t="s">
        <v>405</v>
      </c>
      <c r="C961" s="9" t="s">
        <v>79</v>
      </c>
      <c r="D961" s="9" t="s">
        <v>140</v>
      </c>
      <c r="E961" s="10">
        <v>24</v>
      </c>
      <c r="F961" s="9" t="s">
        <v>263</v>
      </c>
      <c r="G961" s="10">
        <v>24</v>
      </c>
      <c r="H961" s="9" t="s">
        <v>91</v>
      </c>
      <c r="I961" s="118" t="s">
        <v>392</v>
      </c>
      <c r="J961" s="9" t="s">
        <v>4</v>
      </c>
      <c r="K961" s="9"/>
      <c r="L961" s="9"/>
      <c r="M961" s="12">
        <f t="shared" si="56"/>
        <v>0</v>
      </c>
      <c r="N961" s="13">
        <f t="shared" si="57"/>
        <v>359</v>
      </c>
      <c r="O961" s="14">
        <f t="shared" si="58"/>
        <v>359</v>
      </c>
      <c r="P961" s="15">
        <f t="shared" si="59"/>
        <v>0.43253012048192774</v>
      </c>
    </row>
    <row r="962" spans="1:16" ht="15.75" customHeight="1" x14ac:dyDescent="0.3">
      <c r="A962" s="32" t="s">
        <v>59</v>
      </c>
      <c r="B962" s="9" t="s">
        <v>405</v>
      </c>
      <c r="C962" s="9" t="s">
        <v>79</v>
      </c>
      <c r="D962" s="9" t="s">
        <v>141</v>
      </c>
      <c r="E962" s="10">
        <v>24</v>
      </c>
      <c r="F962" s="9" t="s">
        <v>263</v>
      </c>
      <c r="G962" s="10">
        <v>24</v>
      </c>
      <c r="H962" s="9" t="s">
        <v>108</v>
      </c>
      <c r="I962" s="118" t="s">
        <v>392</v>
      </c>
      <c r="J962" s="9"/>
      <c r="K962" s="9"/>
      <c r="L962" s="9"/>
      <c r="M962" s="12">
        <f t="shared" ref="M962:M1021" si="60">SUMIFS($E$2:$E$1130,$A$2:$A$1130,"осень",$I$2:$I$1130,I962)</f>
        <v>0</v>
      </c>
      <c r="N962" s="13">
        <f t="shared" ref="N962:N1021" si="61">SUMIFS($E$2:$E$1130,$A$2:$A$1130,"весна",$I$2:$I$1130,I962)</f>
        <v>359</v>
      </c>
      <c r="O962" s="14">
        <f t="shared" ref="O962:O1021" si="62">M962+N962</f>
        <v>359</v>
      </c>
      <c r="P962" s="15">
        <f t="shared" ref="P962:P1021" si="63">O962/$P$1</f>
        <v>0.43253012048192774</v>
      </c>
    </row>
    <row r="963" spans="1:16" ht="15.75" customHeight="1" x14ac:dyDescent="0.3">
      <c r="A963" s="32" t="s">
        <v>59</v>
      </c>
      <c r="B963" s="9" t="s">
        <v>405</v>
      </c>
      <c r="C963" s="9" t="s">
        <v>79</v>
      </c>
      <c r="D963" s="9" t="s">
        <v>132</v>
      </c>
      <c r="E963" s="10">
        <v>24</v>
      </c>
      <c r="F963" s="9" t="s">
        <v>133</v>
      </c>
      <c r="G963" s="10">
        <v>24</v>
      </c>
      <c r="H963" s="9" t="s">
        <v>91</v>
      </c>
      <c r="I963" s="118" t="s">
        <v>392</v>
      </c>
      <c r="J963" s="9" t="s">
        <v>4</v>
      </c>
      <c r="K963" s="9"/>
      <c r="L963" s="9"/>
      <c r="M963" s="12">
        <f t="shared" si="60"/>
        <v>0</v>
      </c>
      <c r="N963" s="13">
        <f t="shared" si="61"/>
        <v>359</v>
      </c>
      <c r="O963" s="14">
        <f t="shared" si="62"/>
        <v>359</v>
      </c>
      <c r="P963" s="15">
        <f t="shared" si="63"/>
        <v>0.43253012048192774</v>
      </c>
    </row>
    <row r="964" spans="1:16" ht="15.75" customHeight="1" x14ac:dyDescent="0.3">
      <c r="A964" s="32" t="s">
        <v>59</v>
      </c>
      <c r="B964" s="9" t="s">
        <v>405</v>
      </c>
      <c r="C964" s="9" t="s">
        <v>111</v>
      </c>
      <c r="D964" s="9" t="s">
        <v>134</v>
      </c>
      <c r="E964" s="10">
        <v>3</v>
      </c>
      <c r="F964" s="9" t="s">
        <v>263</v>
      </c>
      <c r="G964" s="11">
        <v>0</v>
      </c>
      <c r="H964" s="9" t="s">
        <v>391</v>
      </c>
      <c r="I964" s="9" t="s">
        <v>392</v>
      </c>
      <c r="J964" s="9"/>
      <c r="K964" s="9"/>
      <c r="L964" s="9"/>
      <c r="M964" s="12">
        <f t="shared" si="60"/>
        <v>0</v>
      </c>
      <c r="N964" s="13">
        <f t="shared" si="61"/>
        <v>359</v>
      </c>
      <c r="O964" s="14">
        <f t="shared" si="62"/>
        <v>359</v>
      </c>
      <c r="P964" s="15">
        <f t="shared" si="63"/>
        <v>0.43253012048192774</v>
      </c>
    </row>
    <row r="965" spans="1:16" ht="15.75" customHeight="1" x14ac:dyDescent="0.3">
      <c r="A965" s="32" t="s">
        <v>59</v>
      </c>
      <c r="B965" s="9" t="s">
        <v>405</v>
      </c>
      <c r="C965" s="9" t="s">
        <v>111</v>
      </c>
      <c r="D965" s="9" t="s">
        <v>139</v>
      </c>
      <c r="E965" s="10">
        <v>3</v>
      </c>
      <c r="F965" s="9" t="s">
        <v>263</v>
      </c>
      <c r="G965" s="11">
        <v>0</v>
      </c>
      <c r="H965" s="9" t="s">
        <v>391</v>
      </c>
      <c r="I965" s="9" t="s">
        <v>392</v>
      </c>
      <c r="J965" s="9"/>
      <c r="K965" s="9"/>
      <c r="L965" s="9"/>
      <c r="M965" s="12">
        <f t="shared" si="60"/>
        <v>0</v>
      </c>
      <c r="N965" s="13">
        <f t="shared" si="61"/>
        <v>359</v>
      </c>
      <c r="O965" s="14">
        <f t="shared" si="62"/>
        <v>359</v>
      </c>
      <c r="P965" s="15">
        <f t="shared" si="63"/>
        <v>0.43253012048192774</v>
      </c>
    </row>
    <row r="966" spans="1:16" ht="15.75" customHeight="1" x14ac:dyDescent="0.3">
      <c r="A966" s="32" t="s">
        <v>59</v>
      </c>
      <c r="B966" s="9" t="s">
        <v>405</v>
      </c>
      <c r="C966" s="9" t="s">
        <v>111</v>
      </c>
      <c r="D966" s="9" t="s">
        <v>140</v>
      </c>
      <c r="E966" s="10">
        <v>3</v>
      </c>
      <c r="F966" s="9" t="s">
        <v>263</v>
      </c>
      <c r="G966" s="11">
        <v>0</v>
      </c>
      <c r="H966" s="9" t="s">
        <v>391</v>
      </c>
      <c r="I966" s="9" t="s">
        <v>392</v>
      </c>
      <c r="J966" s="9"/>
      <c r="K966" s="9"/>
      <c r="L966" s="9"/>
      <c r="M966" s="12">
        <f t="shared" si="60"/>
        <v>0</v>
      </c>
      <c r="N966" s="13">
        <f t="shared" si="61"/>
        <v>359</v>
      </c>
      <c r="O966" s="14">
        <f t="shared" si="62"/>
        <v>359</v>
      </c>
      <c r="P966" s="15">
        <f t="shared" si="63"/>
        <v>0.43253012048192774</v>
      </c>
    </row>
    <row r="967" spans="1:16" ht="15.75" customHeight="1" x14ac:dyDescent="0.3">
      <c r="A967" s="32" t="s">
        <v>59</v>
      </c>
      <c r="B967" s="9" t="s">
        <v>405</v>
      </c>
      <c r="C967" s="9" t="s">
        <v>111</v>
      </c>
      <c r="D967" s="9" t="s">
        <v>141</v>
      </c>
      <c r="E967" s="10">
        <v>3</v>
      </c>
      <c r="F967" s="9" t="s">
        <v>263</v>
      </c>
      <c r="G967" s="11">
        <v>0</v>
      </c>
      <c r="H967" s="9" t="s">
        <v>391</v>
      </c>
      <c r="I967" s="9" t="s">
        <v>392</v>
      </c>
      <c r="J967" s="9"/>
      <c r="K967" s="9"/>
      <c r="L967" s="9"/>
      <c r="M967" s="12">
        <f t="shared" si="60"/>
        <v>0</v>
      </c>
      <c r="N967" s="13">
        <f t="shared" si="61"/>
        <v>359</v>
      </c>
      <c r="O967" s="14">
        <f t="shared" si="62"/>
        <v>359</v>
      </c>
      <c r="P967" s="15">
        <f t="shared" si="63"/>
        <v>0.43253012048192774</v>
      </c>
    </row>
    <row r="968" spans="1:16" ht="15.75" customHeight="1" x14ac:dyDescent="0.3">
      <c r="A968" s="32" t="s">
        <v>59</v>
      </c>
      <c r="B968" s="9" t="s">
        <v>405</v>
      </c>
      <c r="C968" s="9" t="s">
        <v>111</v>
      </c>
      <c r="D968" s="9" t="s">
        <v>132</v>
      </c>
      <c r="E968" s="10">
        <v>3</v>
      </c>
      <c r="F968" s="9" t="s">
        <v>133</v>
      </c>
      <c r="G968" s="11">
        <v>0</v>
      </c>
      <c r="H968" s="9" t="s">
        <v>391</v>
      </c>
      <c r="I968" s="9" t="s">
        <v>392</v>
      </c>
      <c r="J968" s="9"/>
      <c r="K968" s="9"/>
      <c r="L968" s="9"/>
      <c r="M968" s="12">
        <f t="shared" si="60"/>
        <v>0</v>
      </c>
      <c r="N968" s="13">
        <f t="shared" si="61"/>
        <v>359</v>
      </c>
      <c r="O968" s="14">
        <f t="shared" si="62"/>
        <v>359</v>
      </c>
      <c r="P968" s="15">
        <f t="shared" si="63"/>
        <v>0.43253012048192774</v>
      </c>
    </row>
    <row r="969" spans="1:16" ht="13.5" customHeight="1" x14ac:dyDescent="0.3">
      <c r="A969" s="32" t="s">
        <v>59</v>
      </c>
      <c r="B969" s="9" t="s">
        <v>405</v>
      </c>
      <c r="C969" s="9" t="s">
        <v>80</v>
      </c>
      <c r="D969" s="9" t="s">
        <v>134</v>
      </c>
      <c r="E969" s="10">
        <v>3</v>
      </c>
      <c r="F969" s="9" t="s">
        <v>263</v>
      </c>
      <c r="G969" s="11">
        <v>0</v>
      </c>
      <c r="H969" s="9" t="s">
        <v>128</v>
      </c>
      <c r="I969" s="118" t="s">
        <v>392</v>
      </c>
      <c r="J969" s="9" t="s">
        <v>8</v>
      </c>
      <c r="K969" s="9"/>
      <c r="L969" s="9"/>
      <c r="M969" s="12">
        <f t="shared" si="60"/>
        <v>0</v>
      </c>
      <c r="N969" s="13">
        <f t="shared" si="61"/>
        <v>359</v>
      </c>
      <c r="O969" s="14">
        <f t="shared" si="62"/>
        <v>359</v>
      </c>
      <c r="P969" s="15">
        <f t="shared" si="63"/>
        <v>0.43253012048192774</v>
      </c>
    </row>
    <row r="970" spans="1:16" ht="15.75" customHeight="1" x14ac:dyDescent="0.3">
      <c r="A970" s="32" t="s">
        <v>59</v>
      </c>
      <c r="B970" s="9" t="s">
        <v>405</v>
      </c>
      <c r="C970" s="9" t="s">
        <v>80</v>
      </c>
      <c r="D970" s="9" t="s">
        <v>139</v>
      </c>
      <c r="E970" s="10">
        <v>3</v>
      </c>
      <c r="F970" s="9" t="s">
        <v>263</v>
      </c>
      <c r="G970" s="11">
        <v>0</v>
      </c>
      <c r="H970" s="9" t="s">
        <v>391</v>
      </c>
      <c r="I970" s="118" t="s">
        <v>392</v>
      </c>
      <c r="J970" s="9"/>
      <c r="K970" s="9"/>
      <c r="L970" s="9"/>
      <c r="M970" s="12">
        <f t="shared" si="60"/>
        <v>0</v>
      </c>
      <c r="N970" s="13">
        <f t="shared" si="61"/>
        <v>359</v>
      </c>
      <c r="O970" s="14">
        <f t="shared" si="62"/>
        <v>359</v>
      </c>
      <c r="P970" s="15">
        <f t="shared" si="63"/>
        <v>0.43253012048192774</v>
      </c>
    </row>
    <row r="971" spans="1:16" ht="15.75" customHeight="1" x14ac:dyDescent="0.3">
      <c r="A971" s="32" t="s">
        <v>59</v>
      </c>
      <c r="B971" s="9" t="s">
        <v>405</v>
      </c>
      <c r="C971" s="9" t="s">
        <v>80</v>
      </c>
      <c r="D971" s="9" t="s">
        <v>140</v>
      </c>
      <c r="E971" s="10">
        <v>3</v>
      </c>
      <c r="F971" s="9" t="s">
        <v>263</v>
      </c>
      <c r="G971" s="11">
        <v>0</v>
      </c>
      <c r="H971" s="9" t="s">
        <v>91</v>
      </c>
      <c r="I971" s="118" t="s">
        <v>392</v>
      </c>
      <c r="J971" s="9" t="s">
        <v>4</v>
      </c>
      <c r="K971" s="9"/>
      <c r="L971" s="9"/>
      <c r="M971" s="12">
        <f t="shared" si="60"/>
        <v>0</v>
      </c>
      <c r="N971" s="13">
        <f t="shared" si="61"/>
        <v>359</v>
      </c>
      <c r="O971" s="14">
        <f t="shared" si="62"/>
        <v>359</v>
      </c>
      <c r="P971" s="15">
        <f t="shared" si="63"/>
        <v>0.43253012048192774</v>
      </c>
    </row>
    <row r="972" spans="1:16" ht="15.75" customHeight="1" x14ac:dyDescent="0.3">
      <c r="A972" s="32" t="s">
        <v>59</v>
      </c>
      <c r="B972" s="9" t="s">
        <v>405</v>
      </c>
      <c r="C972" s="9" t="s">
        <v>80</v>
      </c>
      <c r="D972" s="9" t="s">
        <v>141</v>
      </c>
      <c r="E972" s="10">
        <v>3</v>
      </c>
      <c r="F972" s="9" t="s">
        <v>263</v>
      </c>
      <c r="G972" s="11">
        <v>0</v>
      </c>
      <c r="H972" s="9" t="s">
        <v>108</v>
      </c>
      <c r="I972" s="118" t="s">
        <v>392</v>
      </c>
      <c r="J972" s="9"/>
      <c r="K972" s="9"/>
      <c r="L972" s="9"/>
      <c r="M972" s="12">
        <f t="shared" si="60"/>
        <v>0</v>
      </c>
      <c r="N972" s="13">
        <f t="shared" si="61"/>
        <v>359</v>
      </c>
      <c r="O972" s="14">
        <f t="shared" si="62"/>
        <v>359</v>
      </c>
      <c r="P972" s="15">
        <f t="shared" si="63"/>
        <v>0.43253012048192774</v>
      </c>
    </row>
    <row r="973" spans="1:16" ht="15.75" customHeight="1" x14ac:dyDescent="0.3">
      <c r="A973" s="32" t="s">
        <v>59</v>
      </c>
      <c r="B973" s="9" t="s">
        <v>405</v>
      </c>
      <c r="C973" s="9" t="s">
        <v>80</v>
      </c>
      <c r="D973" s="9" t="s">
        <v>132</v>
      </c>
      <c r="E973" s="10">
        <v>3</v>
      </c>
      <c r="F973" s="9" t="s">
        <v>133</v>
      </c>
      <c r="G973" s="11">
        <v>0</v>
      </c>
      <c r="H973" s="9" t="s">
        <v>91</v>
      </c>
      <c r="I973" s="118" t="s">
        <v>392</v>
      </c>
      <c r="J973" s="9" t="s">
        <v>4</v>
      </c>
      <c r="K973" s="9"/>
      <c r="L973" s="9"/>
      <c r="M973" s="12">
        <f t="shared" si="60"/>
        <v>0</v>
      </c>
      <c r="N973" s="13">
        <f t="shared" si="61"/>
        <v>359</v>
      </c>
      <c r="O973" s="14">
        <f t="shared" si="62"/>
        <v>359</v>
      </c>
      <c r="P973" s="15">
        <f t="shared" si="63"/>
        <v>0.43253012048192774</v>
      </c>
    </row>
    <row r="974" spans="1:16" ht="15.75" customHeight="1" x14ac:dyDescent="0.3">
      <c r="A974" s="32" t="s">
        <v>59</v>
      </c>
      <c r="B974" s="9" t="s">
        <v>332</v>
      </c>
      <c r="C974" s="9" t="s">
        <v>406</v>
      </c>
      <c r="D974" s="9" t="s">
        <v>162</v>
      </c>
      <c r="E974" s="10">
        <v>60</v>
      </c>
      <c r="F974" s="9"/>
      <c r="G974" s="11">
        <v>0</v>
      </c>
      <c r="H974" s="9" t="s">
        <v>171</v>
      </c>
      <c r="I974" s="9" t="s">
        <v>172</v>
      </c>
      <c r="J974" s="9" t="s">
        <v>8</v>
      </c>
      <c r="K974" s="9"/>
      <c r="L974" s="9"/>
      <c r="M974" s="12">
        <f t="shared" si="60"/>
        <v>339</v>
      </c>
      <c r="N974" s="13">
        <f t="shared" si="61"/>
        <v>296</v>
      </c>
      <c r="O974" s="14">
        <f t="shared" si="62"/>
        <v>635</v>
      </c>
      <c r="P974" s="15">
        <f t="shared" si="63"/>
        <v>0.76506024096385539</v>
      </c>
    </row>
    <row r="975" spans="1:16" ht="15.75" customHeight="1" x14ac:dyDescent="0.3">
      <c r="A975" s="32" t="s">
        <v>59</v>
      </c>
      <c r="B975" s="9" t="s">
        <v>332</v>
      </c>
      <c r="C975" s="9" t="s">
        <v>406</v>
      </c>
      <c r="D975" s="9" t="s">
        <v>194</v>
      </c>
      <c r="E975" s="10">
        <v>60</v>
      </c>
      <c r="F975" s="9"/>
      <c r="G975" s="11">
        <v>0</v>
      </c>
      <c r="H975" s="9" t="s">
        <v>200</v>
      </c>
      <c r="I975" s="9" t="s">
        <v>201</v>
      </c>
      <c r="J975" s="9" t="s">
        <v>4</v>
      </c>
      <c r="K975" s="9"/>
      <c r="L975" s="9"/>
      <c r="M975" s="12">
        <f t="shared" si="60"/>
        <v>647</v>
      </c>
      <c r="N975" s="13">
        <f t="shared" si="61"/>
        <v>461.5</v>
      </c>
      <c r="O975" s="14">
        <f t="shared" si="62"/>
        <v>1108.5</v>
      </c>
      <c r="P975" s="15">
        <f t="shared" si="63"/>
        <v>1.3355421686746989</v>
      </c>
    </row>
    <row r="976" spans="1:16" ht="15.75" customHeight="1" x14ac:dyDescent="0.3">
      <c r="A976" s="32" t="s">
        <v>59</v>
      </c>
      <c r="B976" s="9" t="s">
        <v>332</v>
      </c>
      <c r="C976" s="9" t="s">
        <v>406</v>
      </c>
      <c r="D976" s="9" t="s">
        <v>163</v>
      </c>
      <c r="E976" s="10">
        <v>60</v>
      </c>
      <c r="F976" s="9"/>
      <c r="G976" s="11">
        <v>0</v>
      </c>
      <c r="H976" s="9" t="s">
        <v>65</v>
      </c>
      <c r="I976" s="9" t="s">
        <v>66</v>
      </c>
      <c r="J976" s="9" t="s">
        <v>4</v>
      </c>
      <c r="K976" s="9"/>
      <c r="L976" s="9"/>
      <c r="M976" s="12">
        <f t="shared" si="60"/>
        <v>291</v>
      </c>
      <c r="N976" s="13">
        <f t="shared" si="61"/>
        <v>650.5</v>
      </c>
      <c r="O976" s="14">
        <f t="shared" si="62"/>
        <v>941.5</v>
      </c>
      <c r="P976" s="15">
        <f t="shared" si="63"/>
        <v>1.1343373493975903</v>
      </c>
    </row>
    <row r="977" spans="1:16" ht="15.75" customHeight="1" x14ac:dyDescent="0.3">
      <c r="A977" s="32" t="s">
        <v>59</v>
      </c>
      <c r="B977" s="9" t="s">
        <v>332</v>
      </c>
      <c r="C977" s="9" t="s">
        <v>406</v>
      </c>
      <c r="D977" s="9" t="s">
        <v>220</v>
      </c>
      <c r="E977" s="10">
        <v>60</v>
      </c>
      <c r="F977" s="9"/>
      <c r="G977" s="11">
        <v>0</v>
      </c>
      <c r="H977" s="9" t="s">
        <v>171</v>
      </c>
      <c r="I977" s="9" t="s">
        <v>172</v>
      </c>
      <c r="J977" s="9" t="s">
        <v>8</v>
      </c>
      <c r="K977" s="9"/>
      <c r="L977" s="9"/>
      <c r="M977" s="12">
        <f t="shared" si="60"/>
        <v>339</v>
      </c>
      <c r="N977" s="13">
        <f t="shared" si="61"/>
        <v>296</v>
      </c>
      <c r="O977" s="14">
        <f t="shared" si="62"/>
        <v>635</v>
      </c>
      <c r="P977" s="15">
        <f t="shared" si="63"/>
        <v>0.76506024096385539</v>
      </c>
    </row>
    <row r="978" spans="1:16" ht="15.75" customHeight="1" x14ac:dyDescent="0.3">
      <c r="A978" s="32" t="s">
        <v>59</v>
      </c>
      <c r="B978" s="9" t="s">
        <v>407</v>
      </c>
      <c r="C978" s="9" t="s">
        <v>406</v>
      </c>
      <c r="D978" s="9" t="s">
        <v>295</v>
      </c>
      <c r="E978" s="10">
        <v>30</v>
      </c>
      <c r="F978" s="9"/>
      <c r="G978" s="11">
        <v>0</v>
      </c>
      <c r="H978" s="9" t="s">
        <v>186</v>
      </c>
      <c r="I978" s="9" t="s">
        <v>187</v>
      </c>
      <c r="J978" s="9"/>
      <c r="K978" s="9"/>
      <c r="L978" s="9"/>
      <c r="M978" s="12">
        <f t="shared" si="60"/>
        <v>127</v>
      </c>
      <c r="N978" s="13">
        <f t="shared" si="61"/>
        <v>133.5</v>
      </c>
      <c r="O978" s="14">
        <f t="shared" si="62"/>
        <v>260.5</v>
      </c>
      <c r="P978" s="15">
        <f t="shared" si="63"/>
        <v>0.31385542168674696</v>
      </c>
    </row>
    <row r="979" spans="1:16" ht="15.75" customHeight="1" x14ac:dyDescent="0.3">
      <c r="A979" s="32" t="s">
        <v>59</v>
      </c>
      <c r="B979" s="9" t="s">
        <v>407</v>
      </c>
      <c r="C979" s="9" t="s">
        <v>406</v>
      </c>
      <c r="D979" s="9" t="s">
        <v>296</v>
      </c>
      <c r="E979" s="10">
        <v>30</v>
      </c>
      <c r="F979" s="9"/>
      <c r="G979" s="11">
        <v>0</v>
      </c>
      <c r="H979" s="9" t="s">
        <v>65</v>
      </c>
      <c r="I979" s="9" t="s">
        <v>66</v>
      </c>
      <c r="J979" s="9" t="s">
        <v>4</v>
      </c>
      <c r="K979" s="9"/>
      <c r="L979" s="9"/>
      <c r="M979" s="12">
        <f t="shared" si="60"/>
        <v>291</v>
      </c>
      <c r="N979" s="13">
        <f t="shared" si="61"/>
        <v>650.5</v>
      </c>
      <c r="O979" s="14">
        <f t="shared" si="62"/>
        <v>941.5</v>
      </c>
      <c r="P979" s="15">
        <f t="shared" si="63"/>
        <v>1.1343373493975903</v>
      </c>
    </row>
    <row r="980" spans="1:16" ht="15.75" customHeight="1" x14ac:dyDescent="0.3">
      <c r="A980" s="32" t="s">
        <v>59</v>
      </c>
      <c r="B980" s="9" t="s">
        <v>335</v>
      </c>
      <c r="C980" s="9" t="s">
        <v>406</v>
      </c>
      <c r="D980" s="9" t="s">
        <v>342</v>
      </c>
      <c r="E980" s="10">
        <v>30</v>
      </c>
      <c r="F980" s="9"/>
      <c r="G980" s="11">
        <v>0</v>
      </c>
      <c r="H980" s="21" t="s">
        <v>70</v>
      </c>
      <c r="I980" s="21" t="s">
        <v>71</v>
      </c>
      <c r="J980" s="9" t="s">
        <v>8</v>
      </c>
      <c r="K980" s="9"/>
      <c r="L980" s="21" t="s">
        <v>343</v>
      </c>
      <c r="M980" s="12">
        <f t="shared" si="60"/>
        <v>391</v>
      </c>
      <c r="N980" s="13">
        <f t="shared" si="61"/>
        <v>436.5</v>
      </c>
      <c r="O980" s="14">
        <f t="shared" si="62"/>
        <v>827.5</v>
      </c>
      <c r="P980" s="15">
        <f t="shared" si="63"/>
        <v>0.99698795180722888</v>
      </c>
    </row>
    <row r="981" spans="1:16" ht="15.75" customHeight="1" x14ac:dyDescent="0.3">
      <c r="A981" s="32" t="s">
        <v>59</v>
      </c>
      <c r="B981" s="9" t="s">
        <v>335</v>
      </c>
      <c r="C981" s="9" t="s">
        <v>406</v>
      </c>
      <c r="D981" s="9" t="s">
        <v>321</v>
      </c>
      <c r="E981" s="10">
        <v>30</v>
      </c>
      <c r="F981" s="9"/>
      <c r="G981" s="11">
        <v>0</v>
      </c>
      <c r="H981" s="21" t="s">
        <v>70</v>
      </c>
      <c r="I981" s="21" t="s">
        <v>71</v>
      </c>
      <c r="J981" s="9" t="s">
        <v>8</v>
      </c>
      <c r="K981" s="9"/>
      <c r="L981" s="21" t="s">
        <v>323</v>
      </c>
      <c r="M981" s="12">
        <f t="shared" si="60"/>
        <v>391</v>
      </c>
      <c r="N981" s="13">
        <f t="shared" si="61"/>
        <v>436.5</v>
      </c>
      <c r="O981" s="14">
        <f t="shared" si="62"/>
        <v>827.5</v>
      </c>
      <c r="P981" s="15">
        <f t="shared" si="63"/>
        <v>0.99698795180722888</v>
      </c>
    </row>
    <row r="982" spans="1:16" ht="15.75" customHeight="1" x14ac:dyDescent="0.3">
      <c r="A982" s="32" t="s">
        <v>59</v>
      </c>
      <c r="B982" s="9" t="s">
        <v>335</v>
      </c>
      <c r="C982" s="9" t="s">
        <v>406</v>
      </c>
      <c r="D982" s="9" t="s">
        <v>289</v>
      </c>
      <c r="E982" s="10">
        <v>30</v>
      </c>
      <c r="F982" s="9"/>
      <c r="G982" s="11">
        <v>0</v>
      </c>
      <c r="H982" s="21" t="s">
        <v>70</v>
      </c>
      <c r="I982" s="21" t="s">
        <v>71</v>
      </c>
      <c r="J982" s="9"/>
      <c r="K982" s="9"/>
      <c r="L982" s="9" t="s">
        <v>290</v>
      </c>
      <c r="M982" s="12">
        <f t="shared" si="60"/>
        <v>391</v>
      </c>
      <c r="N982" s="13">
        <f t="shared" si="61"/>
        <v>436.5</v>
      </c>
      <c r="O982" s="14">
        <f t="shared" si="62"/>
        <v>827.5</v>
      </c>
      <c r="P982" s="15">
        <f t="shared" si="63"/>
        <v>0.99698795180722888</v>
      </c>
    </row>
    <row r="983" spans="1:16" ht="15.75" customHeight="1" x14ac:dyDescent="0.3">
      <c r="A983" s="32" t="s">
        <v>59</v>
      </c>
      <c r="B983" s="9" t="s">
        <v>335</v>
      </c>
      <c r="C983" s="9" t="s">
        <v>406</v>
      </c>
      <c r="D983" s="9" t="s">
        <v>325</v>
      </c>
      <c r="E983" s="10">
        <v>30</v>
      </c>
      <c r="F983" s="9"/>
      <c r="G983" s="11">
        <v>0</v>
      </c>
      <c r="H983" s="21" t="s">
        <v>70</v>
      </c>
      <c r="I983" s="21" t="s">
        <v>71</v>
      </c>
      <c r="J983" s="9" t="s">
        <v>8</v>
      </c>
      <c r="K983" s="9"/>
      <c r="L983" s="9" t="s">
        <v>326</v>
      </c>
      <c r="M983" s="12">
        <f t="shared" si="60"/>
        <v>391</v>
      </c>
      <c r="N983" s="13">
        <f t="shared" si="61"/>
        <v>436.5</v>
      </c>
      <c r="O983" s="14">
        <f t="shared" si="62"/>
        <v>827.5</v>
      </c>
      <c r="P983" s="15">
        <f t="shared" si="63"/>
        <v>0.99698795180722888</v>
      </c>
    </row>
    <row r="984" spans="1:16" ht="15.75" customHeight="1" x14ac:dyDescent="0.3">
      <c r="A984" s="32" t="s">
        <v>59</v>
      </c>
      <c r="B984" s="9" t="s">
        <v>335</v>
      </c>
      <c r="C984" s="9" t="s">
        <v>406</v>
      </c>
      <c r="D984" s="9" t="s">
        <v>74</v>
      </c>
      <c r="E984" s="10">
        <v>30</v>
      </c>
      <c r="F984" s="9"/>
      <c r="G984" s="11">
        <v>0</v>
      </c>
      <c r="H984" s="21" t="s">
        <v>70</v>
      </c>
      <c r="I984" s="21" t="s">
        <v>71</v>
      </c>
      <c r="J984" s="9"/>
      <c r="K984" s="9"/>
      <c r="L984" s="9" t="s">
        <v>78</v>
      </c>
      <c r="M984" s="12">
        <f t="shared" si="60"/>
        <v>391</v>
      </c>
      <c r="N984" s="13">
        <f t="shared" si="61"/>
        <v>436.5</v>
      </c>
      <c r="O984" s="14">
        <f t="shared" si="62"/>
        <v>827.5</v>
      </c>
      <c r="P984" s="15">
        <f t="shared" si="63"/>
        <v>0.99698795180722888</v>
      </c>
    </row>
    <row r="985" spans="1:16" ht="15.75" customHeight="1" x14ac:dyDescent="0.3">
      <c r="A985" s="32" t="s">
        <v>59</v>
      </c>
      <c r="B985" s="9" t="s">
        <v>335</v>
      </c>
      <c r="C985" s="9" t="s">
        <v>406</v>
      </c>
      <c r="D985" s="9" t="s">
        <v>318</v>
      </c>
      <c r="E985" s="10">
        <v>30</v>
      </c>
      <c r="F985" s="9"/>
      <c r="G985" s="11">
        <v>0</v>
      </c>
      <c r="H985" s="21" t="s">
        <v>70</v>
      </c>
      <c r="I985" s="21" t="s">
        <v>71</v>
      </c>
      <c r="J985" s="9" t="s">
        <v>8</v>
      </c>
      <c r="K985" s="9"/>
      <c r="L985" s="9" t="s">
        <v>408</v>
      </c>
      <c r="M985" s="12">
        <f t="shared" si="60"/>
        <v>391</v>
      </c>
      <c r="N985" s="13">
        <f t="shared" si="61"/>
        <v>436.5</v>
      </c>
      <c r="O985" s="14">
        <f t="shared" si="62"/>
        <v>827.5</v>
      </c>
      <c r="P985" s="15">
        <f t="shared" si="63"/>
        <v>0.99698795180722888</v>
      </c>
    </row>
    <row r="986" spans="1:16" ht="15.75" customHeight="1" x14ac:dyDescent="0.3">
      <c r="A986" s="32" t="s">
        <v>59</v>
      </c>
      <c r="B986" s="9" t="s">
        <v>335</v>
      </c>
      <c r="C986" s="9" t="s">
        <v>333</v>
      </c>
      <c r="D986" s="9" t="s">
        <v>344</v>
      </c>
      <c r="E986" s="10">
        <v>4</v>
      </c>
      <c r="F986" s="9"/>
      <c r="G986" s="11">
        <v>0</v>
      </c>
      <c r="H986" s="9" t="s">
        <v>76</v>
      </c>
      <c r="I986" s="9" t="s">
        <v>77</v>
      </c>
      <c r="J986" s="9"/>
      <c r="K986" s="9"/>
      <c r="L986" s="9" t="s">
        <v>345</v>
      </c>
      <c r="M986" s="12">
        <f t="shared" si="60"/>
        <v>249</v>
      </c>
      <c r="N986" s="13">
        <f t="shared" si="61"/>
        <v>294</v>
      </c>
      <c r="O986" s="14">
        <f t="shared" si="62"/>
        <v>543</v>
      </c>
      <c r="P986" s="15">
        <f t="shared" si="63"/>
        <v>0.6542168674698795</v>
      </c>
    </row>
    <row r="987" spans="1:16" ht="15.75" customHeight="1" x14ac:dyDescent="0.3">
      <c r="A987" s="32" t="s">
        <v>59</v>
      </c>
      <c r="B987" s="9" t="s">
        <v>335</v>
      </c>
      <c r="C987" s="9" t="s">
        <v>333</v>
      </c>
      <c r="D987" s="9" t="s">
        <v>346</v>
      </c>
      <c r="E987" s="10">
        <v>2</v>
      </c>
      <c r="F987" s="9"/>
      <c r="G987" s="11">
        <v>0</v>
      </c>
      <c r="H987" s="9" t="s">
        <v>257</v>
      </c>
      <c r="I987" s="9" t="s">
        <v>258</v>
      </c>
      <c r="J987" s="9" t="s">
        <v>8</v>
      </c>
      <c r="K987" s="9"/>
      <c r="L987" s="9" t="s">
        <v>347</v>
      </c>
      <c r="M987" s="12">
        <f t="shared" si="60"/>
        <v>331</v>
      </c>
      <c r="N987" s="13">
        <f t="shared" si="61"/>
        <v>520</v>
      </c>
      <c r="O987" s="14">
        <f t="shared" si="62"/>
        <v>851</v>
      </c>
      <c r="P987" s="15">
        <f t="shared" si="63"/>
        <v>1.0253012048192771</v>
      </c>
    </row>
    <row r="988" spans="1:16" ht="15.75" customHeight="1" x14ac:dyDescent="0.3">
      <c r="A988" s="32" t="s">
        <v>59</v>
      </c>
      <c r="B988" s="21" t="s">
        <v>333</v>
      </c>
      <c r="C988" s="21" t="s">
        <v>333</v>
      </c>
      <c r="D988" s="21" t="s">
        <v>103</v>
      </c>
      <c r="E988" s="10">
        <v>16</v>
      </c>
      <c r="F988" s="9"/>
      <c r="G988" s="11">
        <v>0</v>
      </c>
      <c r="H988" s="9"/>
      <c r="I988" s="31" t="s">
        <v>246</v>
      </c>
      <c r="J988" s="31" t="s">
        <v>4</v>
      </c>
      <c r="K988" s="9"/>
      <c r="L988" s="9"/>
      <c r="M988" s="12">
        <f t="shared" si="60"/>
        <v>200</v>
      </c>
      <c r="N988" s="13">
        <f t="shared" si="61"/>
        <v>271</v>
      </c>
      <c r="O988" s="14">
        <f t="shared" si="62"/>
        <v>471</v>
      </c>
      <c r="P988" s="15">
        <f t="shared" si="63"/>
        <v>0.56746987951807226</v>
      </c>
    </row>
    <row r="989" spans="1:16" ht="15.75" customHeight="1" x14ac:dyDescent="0.3">
      <c r="A989" s="32" t="s">
        <v>59</v>
      </c>
      <c r="B989" s="21" t="s">
        <v>333</v>
      </c>
      <c r="C989" s="21" t="s">
        <v>333</v>
      </c>
      <c r="D989" s="21" t="s">
        <v>103</v>
      </c>
      <c r="E989" s="10">
        <v>16</v>
      </c>
      <c r="F989" s="9"/>
      <c r="G989" s="11">
        <v>0</v>
      </c>
      <c r="H989" s="9"/>
      <c r="I989" s="31" t="s">
        <v>92</v>
      </c>
      <c r="J989" s="31" t="s">
        <v>4</v>
      </c>
      <c r="K989" s="9"/>
      <c r="L989" s="9"/>
      <c r="M989" s="12">
        <f t="shared" si="60"/>
        <v>405</v>
      </c>
      <c r="N989" s="13">
        <f t="shared" si="61"/>
        <v>478</v>
      </c>
      <c r="O989" s="14">
        <f t="shared" si="62"/>
        <v>883</v>
      </c>
      <c r="P989" s="15">
        <f t="shared" si="63"/>
        <v>1.0638554216867471</v>
      </c>
    </row>
    <row r="990" spans="1:16" ht="15.75" customHeight="1" x14ac:dyDescent="0.3">
      <c r="A990" s="32" t="s">
        <v>59</v>
      </c>
      <c r="B990" s="21" t="s">
        <v>333</v>
      </c>
      <c r="C990" s="21" t="s">
        <v>333</v>
      </c>
      <c r="D990" s="21" t="s">
        <v>199</v>
      </c>
      <c r="E990" s="23">
        <v>23</v>
      </c>
      <c r="F990" s="9"/>
      <c r="G990" s="11">
        <v>0</v>
      </c>
      <c r="H990" s="9"/>
      <c r="I990" s="32" t="s">
        <v>129</v>
      </c>
      <c r="J990" s="32" t="s">
        <v>8</v>
      </c>
      <c r="K990" s="9"/>
      <c r="L990" s="9"/>
      <c r="M990" s="12">
        <f t="shared" si="60"/>
        <v>348</v>
      </c>
      <c r="N990" s="13">
        <f t="shared" si="61"/>
        <v>583</v>
      </c>
      <c r="O990" s="14">
        <f t="shared" si="62"/>
        <v>931</v>
      </c>
      <c r="P990" s="15">
        <f t="shared" si="63"/>
        <v>1.1216867469879519</v>
      </c>
    </row>
    <row r="991" spans="1:16" ht="15.75" customHeight="1" x14ac:dyDescent="0.3">
      <c r="A991" s="32" t="s">
        <v>59</v>
      </c>
      <c r="B991" s="21" t="s">
        <v>333</v>
      </c>
      <c r="C991" s="21" t="s">
        <v>333</v>
      </c>
      <c r="D991" s="21" t="s">
        <v>199</v>
      </c>
      <c r="E991" s="23">
        <v>23</v>
      </c>
      <c r="F991" s="9"/>
      <c r="G991" s="11">
        <v>0</v>
      </c>
      <c r="H991" s="9"/>
      <c r="I991" s="32" t="s">
        <v>201</v>
      </c>
      <c r="J991" s="32" t="s">
        <v>4</v>
      </c>
      <c r="K991" s="9"/>
      <c r="L991" s="9"/>
      <c r="M991" s="12">
        <f t="shared" si="60"/>
        <v>647</v>
      </c>
      <c r="N991" s="13">
        <f t="shared" si="61"/>
        <v>461.5</v>
      </c>
      <c r="O991" s="14">
        <f t="shared" si="62"/>
        <v>1108.5</v>
      </c>
      <c r="P991" s="15">
        <f t="shared" si="63"/>
        <v>1.3355421686746989</v>
      </c>
    </row>
    <row r="992" spans="1:16" ht="15.75" customHeight="1" x14ac:dyDescent="0.3">
      <c r="A992" s="32" t="s">
        <v>59</v>
      </c>
      <c r="B992" s="21" t="s">
        <v>333</v>
      </c>
      <c r="C992" s="21" t="s">
        <v>333</v>
      </c>
      <c r="D992" s="21" t="s">
        <v>119</v>
      </c>
      <c r="E992" s="23">
        <v>2</v>
      </c>
      <c r="F992" s="9"/>
      <c r="G992" s="11">
        <v>0</v>
      </c>
      <c r="H992" s="9"/>
      <c r="I992" s="33" t="s">
        <v>66</v>
      </c>
      <c r="J992" s="9"/>
      <c r="K992" s="9"/>
      <c r="L992" s="9"/>
      <c r="M992" s="12">
        <f t="shared" si="60"/>
        <v>291</v>
      </c>
      <c r="N992" s="13">
        <f t="shared" si="61"/>
        <v>650.5</v>
      </c>
      <c r="O992" s="14">
        <f t="shared" si="62"/>
        <v>941.5</v>
      </c>
      <c r="P992" s="15">
        <f t="shared" si="63"/>
        <v>1.1343373493975903</v>
      </c>
    </row>
    <row r="993" spans="1:16" ht="15.75" customHeight="1" x14ac:dyDescent="0.3">
      <c r="A993" s="32" t="s">
        <v>59</v>
      </c>
      <c r="B993" s="21" t="s">
        <v>333</v>
      </c>
      <c r="C993" s="21" t="s">
        <v>333</v>
      </c>
      <c r="D993" s="21" t="s">
        <v>119</v>
      </c>
      <c r="E993" s="23">
        <v>2</v>
      </c>
      <c r="F993" s="9"/>
      <c r="G993" s="11">
        <v>0</v>
      </c>
      <c r="H993" s="9"/>
      <c r="I993" s="33" t="s">
        <v>116</v>
      </c>
      <c r="J993" s="9"/>
      <c r="K993" s="9"/>
      <c r="L993" s="9"/>
      <c r="M993" s="12">
        <f t="shared" si="60"/>
        <v>353</v>
      </c>
      <c r="N993" s="13">
        <f t="shared" si="61"/>
        <v>367</v>
      </c>
      <c r="O993" s="14">
        <f t="shared" si="62"/>
        <v>720</v>
      </c>
      <c r="P993" s="15">
        <f t="shared" si="63"/>
        <v>0.86746987951807231</v>
      </c>
    </row>
    <row r="994" spans="1:16" ht="15.75" customHeight="1" x14ac:dyDescent="0.3">
      <c r="A994" s="32" t="s">
        <v>59</v>
      </c>
      <c r="B994" s="21" t="s">
        <v>333</v>
      </c>
      <c r="C994" s="21" t="s">
        <v>333</v>
      </c>
      <c r="D994" s="21" t="s">
        <v>119</v>
      </c>
      <c r="E994" s="23">
        <v>2</v>
      </c>
      <c r="F994" s="9"/>
      <c r="G994" s="11">
        <v>0</v>
      </c>
      <c r="H994" s="9"/>
      <c r="I994" s="9" t="s">
        <v>273</v>
      </c>
      <c r="J994" s="9"/>
      <c r="K994" s="9"/>
      <c r="L994" s="9"/>
      <c r="M994" s="12">
        <f t="shared" si="60"/>
        <v>552</v>
      </c>
      <c r="N994" s="13">
        <f t="shared" si="61"/>
        <v>171</v>
      </c>
      <c r="O994" s="14">
        <f t="shared" si="62"/>
        <v>723</v>
      </c>
      <c r="P994" s="15">
        <f t="shared" si="63"/>
        <v>0.87108433734939761</v>
      </c>
    </row>
    <row r="995" spans="1:16" ht="15.75" customHeight="1" x14ac:dyDescent="0.3">
      <c r="A995" s="32" t="s">
        <v>59</v>
      </c>
      <c r="B995" s="21" t="s">
        <v>333</v>
      </c>
      <c r="C995" s="21" t="s">
        <v>333</v>
      </c>
      <c r="D995" s="21" t="s">
        <v>119</v>
      </c>
      <c r="E995" s="23">
        <v>11</v>
      </c>
      <c r="F995" s="9"/>
      <c r="G995" s="11">
        <v>0</v>
      </c>
      <c r="H995" s="9"/>
      <c r="I995" s="9" t="s">
        <v>71</v>
      </c>
      <c r="J995" s="9"/>
      <c r="K995" s="9"/>
      <c r="L995" s="9"/>
      <c r="M995" s="12">
        <f t="shared" si="60"/>
        <v>391</v>
      </c>
      <c r="N995" s="13">
        <f t="shared" si="61"/>
        <v>436.5</v>
      </c>
      <c r="O995" s="14">
        <f t="shared" si="62"/>
        <v>827.5</v>
      </c>
      <c r="P995" s="15">
        <f t="shared" si="63"/>
        <v>0.99698795180722888</v>
      </c>
    </row>
    <row r="996" spans="1:16" ht="15.75" customHeight="1" x14ac:dyDescent="0.3">
      <c r="A996" s="32" t="s">
        <v>59</v>
      </c>
      <c r="B996" s="21" t="s">
        <v>333</v>
      </c>
      <c r="C996" s="21" t="s">
        <v>333</v>
      </c>
      <c r="D996" s="21" t="s">
        <v>119</v>
      </c>
      <c r="E996" s="23">
        <v>10</v>
      </c>
      <c r="F996" s="9"/>
      <c r="G996" s="11">
        <v>0</v>
      </c>
      <c r="H996" s="9"/>
      <c r="I996" s="9" t="s">
        <v>155</v>
      </c>
      <c r="J996" s="9"/>
      <c r="K996" s="9"/>
      <c r="L996" s="9"/>
      <c r="M996" s="12">
        <f t="shared" si="60"/>
        <v>370</v>
      </c>
      <c r="N996" s="13">
        <f t="shared" si="61"/>
        <v>124.5</v>
      </c>
      <c r="O996" s="14">
        <f t="shared" si="62"/>
        <v>494.5</v>
      </c>
      <c r="P996" s="15">
        <f t="shared" si="63"/>
        <v>0.5957831325301205</v>
      </c>
    </row>
    <row r="997" spans="1:16" ht="15.75" customHeight="1" x14ac:dyDescent="0.3">
      <c r="A997" s="32" t="s">
        <v>59</v>
      </c>
      <c r="B997" s="21" t="s">
        <v>333</v>
      </c>
      <c r="C997" s="21" t="s">
        <v>333</v>
      </c>
      <c r="D997" s="21" t="s">
        <v>119</v>
      </c>
      <c r="E997" s="23">
        <v>7</v>
      </c>
      <c r="F997" s="9"/>
      <c r="G997" s="11">
        <v>0</v>
      </c>
      <c r="H997" s="9"/>
      <c r="I997" s="9" t="s">
        <v>97</v>
      </c>
      <c r="J997" s="9"/>
      <c r="K997" s="9"/>
      <c r="L997" s="9"/>
      <c r="M997" s="12">
        <f t="shared" si="60"/>
        <v>501</v>
      </c>
      <c r="N997" s="13">
        <f t="shared" si="61"/>
        <v>486.5</v>
      </c>
      <c r="O997" s="14">
        <f t="shared" si="62"/>
        <v>987.5</v>
      </c>
      <c r="P997" s="15">
        <f t="shared" si="63"/>
        <v>1.1897590361445782</v>
      </c>
    </row>
    <row r="998" spans="1:16" ht="15.75" customHeight="1" x14ac:dyDescent="0.3">
      <c r="A998" s="32" t="s">
        <v>59</v>
      </c>
      <c r="B998" s="21" t="s">
        <v>333</v>
      </c>
      <c r="C998" s="21" t="s">
        <v>333</v>
      </c>
      <c r="D998" s="21" t="s">
        <v>189</v>
      </c>
      <c r="E998" s="23">
        <v>36</v>
      </c>
      <c r="F998" s="9"/>
      <c r="G998" s="11">
        <v>0</v>
      </c>
      <c r="H998" s="9"/>
      <c r="I998" s="9" t="s">
        <v>92</v>
      </c>
      <c r="J998" s="9"/>
      <c r="K998" s="9" t="s">
        <v>409</v>
      </c>
      <c r="L998" s="9"/>
      <c r="M998" s="12">
        <f t="shared" si="60"/>
        <v>405</v>
      </c>
      <c r="N998" s="13">
        <f t="shared" si="61"/>
        <v>478</v>
      </c>
      <c r="O998" s="14">
        <f t="shared" si="62"/>
        <v>883</v>
      </c>
      <c r="P998" s="15">
        <f t="shared" si="63"/>
        <v>1.0638554216867471</v>
      </c>
    </row>
    <row r="999" spans="1:16" ht="15.75" customHeight="1" x14ac:dyDescent="0.3">
      <c r="A999" s="32" t="s">
        <v>59</v>
      </c>
      <c r="B999" s="21" t="s">
        <v>333</v>
      </c>
      <c r="C999" s="21" t="s">
        <v>333</v>
      </c>
      <c r="D999" s="21" t="s">
        <v>165</v>
      </c>
      <c r="E999" s="10">
        <v>5</v>
      </c>
      <c r="F999" s="9"/>
      <c r="G999" s="11">
        <v>0</v>
      </c>
      <c r="H999" s="9"/>
      <c r="I999" s="24" t="s">
        <v>231</v>
      </c>
      <c r="J999" s="24" t="s">
        <v>4</v>
      </c>
      <c r="K999" s="9"/>
      <c r="L999" s="9"/>
      <c r="M999" s="12">
        <f t="shared" si="60"/>
        <v>116</v>
      </c>
      <c r="N999" s="13">
        <f t="shared" si="61"/>
        <v>105</v>
      </c>
      <c r="O999" s="14">
        <f t="shared" si="62"/>
        <v>221</v>
      </c>
      <c r="P999" s="15">
        <f t="shared" si="63"/>
        <v>0.26626506024096386</v>
      </c>
    </row>
    <row r="1000" spans="1:16" ht="15.75" customHeight="1" x14ac:dyDescent="0.3">
      <c r="A1000" s="32" t="s">
        <v>59</v>
      </c>
      <c r="B1000" s="21" t="s">
        <v>333</v>
      </c>
      <c r="C1000" s="21" t="s">
        <v>333</v>
      </c>
      <c r="D1000" s="21" t="s">
        <v>165</v>
      </c>
      <c r="E1000" s="10">
        <v>5</v>
      </c>
      <c r="F1000" s="9"/>
      <c r="G1000" s="11">
        <v>0</v>
      </c>
      <c r="H1000" s="9"/>
      <c r="I1000" s="9" t="s">
        <v>129</v>
      </c>
      <c r="J1000" s="34" t="s">
        <v>8</v>
      </c>
      <c r="K1000" s="9"/>
      <c r="L1000" s="9"/>
      <c r="M1000" s="12">
        <f t="shared" si="60"/>
        <v>348</v>
      </c>
      <c r="N1000" s="13">
        <f t="shared" si="61"/>
        <v>583</v>
      </c>
      <c r="O1000" s="14">
        <f t="shared" si="62"/>
        <v>931</v>
      </c>
      <c r="P1000" s="15">
        <f t="shared" si="63"/>
        <v>1.1216867469879519</v>
      </c>
    </row>
    <row r="1001" spans="1:16" ht="15.75" customHeight="1" x14ac:dyDescent="0.3">
      <c r="A1001" s="32" t="s">
        <v>59</v>
      </c>
      <c r="B1001" s="21" t="s">
        <v>333</v>
      </c>
      <c r="C1001" s="21" t="s">
        <v>333</v>
      </c>
      <c r="D1001" s="21" t="s">
        <v>165</v>
      </c>
      <c r="E1001" s="10">
        <v>5</v>
      </c>
      <c r="F1001" s="9"/>
      <c r="G1001" s="11">
        <v>0</v>
      </c>
      <c r="H1001" s="9"/>
      <c r="I1001" s="35" t="s">
        <v>168</v>
      </c>
      <c r="J1001" s="9" t="s">
        <v>4</v>
      </c>
      <c r="K1001" s="9"/>
      <c r="L1001" s="9"/>
      <c r="M1001" s="12">
        <f t="shared" si="60"/>
        <v>456</v>
      </c>
      <c r="N1001" s="13">
        <f t="shared" si="61"/>
        <v>362</v>
      </c>
      <c r="O1001" s="14">
        <f t="shared" si="62"/>
        <v>818</v>
      </c>
      <c r="P1001" s="15">
        <f t="shared" si="63"/>
        <v>0.98554216867469879</v>
      </c>
    </row>
    <row r="1002" spans="1:16" ht="15.75" customHeight="1" x14ac:dyDescent="0.3">
      <c r="A1002" s="32" t="s">
        <v>59</v>
      </c>
      <c r="B1002" s="21" t="s">
        <v>333</v>
      </c>
      <c r="C1002" s="21" t="s">
        <v>333</v>
      </c>
      <c r="D1002" s="21" t="s">
        <v>165</v>
      </c>
      <c r="E1002" s="10">
        <v>5</v>
      </c>
      <c r="F1002" s="9"/>
      <c r="G1002" s="11">
        <v>0</v>
      </c>
      <c r="H1002" s="9"/>
      <c r="I1002" s="36" t="s">
        <v>92</v>
      </c>
      <c r="J1002" s="9" t="s">
        <v>4</v>
      </c>
      <c r="K1002" s="9"/>
      <c r="L1002" s="9"/>
      <c r="M1002" s="12">
        <f t="shared" si="60"/>
        <v>405</v>
      </c>
      <c r="N1002" s="13">
        <f t="shared" si="61"/>
        <v>478</v>
      </c>
      <c r="O1002" s="14">
        <f t="shared" si="62"/>
        <v>883</v>
      </c>
      <c r="P1002" s="15">
        <f t="shared" si="63"/>
        <v>1.0638554216867471</v>
      </c>
    </row>
    <row r="1003" spans="1:16" ht="15.75" customHeight="1" x14ac:dyDescent="0.3">
      <c r="A1003" s="32" t="s">
        <v>59</v>
      </c>
      <c r="B1003" s="21" t="s">
        <v>333</v>
      </c>
      <c r="C1003" s="21" t="s">
        <v>333</v>
      </c>
      <c r="D1003" s="21" t="s">
        <v>165</v>
      </c>
      <c r="E1003" s="10">
        <v>5</v>
      </c>
      <c r="F1003" s="9"/>
      <c r="G1003" s="11">
        <v>0</v>
      </c>
      <c r="H1003" s="9"/>
      <c r="I1003" s="9" t="s">
        <v>129</v>
      </c>
      <c r="J1003" s="34" t="s">
        <v>8</v>
      </c>
      <c r="K1003" s="9"/>
      <c r="L1003" s="9"/>
      <c r="M1003" s="12">
        <f t="shared" si="60"/>
        <v>348</v>
      </c>
      <c r="N1003" s="13">
        <f t="shared" si="61"/>
        <v>583</v>
      </c>
      <c r="O1003" s="14">
        <f t="shared" si="62"/>
        <v>931</v>
      </c>
      <c r="P1003" s="15">
        <f t="shared" si="63"/>
        <v>1.1216867469879519</v>
      </c>
    </row>
    <row r="1004" spans="1:16" ht="15.75" customHeight="1" x14ac:dyDescent="0.3">
      <c r="A1004" s="32" t="s">
        <v>59</v>
      </c>
      <c r="B1004" s="21" t="s">
        <v>333</v>
      </c>
      <c r="C1004" s="21" t="s">
        <v>333</v>
      </c>
      <c r="D1004" s="21" t="s">
        <v>237</v>
      </c>
      <c r="E1004" s="23">
        <v>3</v>
      </c>
      <c r="F1004" s="9"/>
      <c r="G1004" s="11"/>
      <c r="H1004" s="9"/>
      <c r="I1004" s="9" t="s">
        <v>99</v>
      </c>
      <c r="J1004" s="9" t="s">
        <v>4</v>
      </c>
      <c r="K1004" s="9"/>
      <c r="L1004" s="9"/>
      <c r="M1004" s="12">
        <f t="shared" si="60"/>
        <v>239</v>
      </c>
      <c r="N1004" s="13">
        <f t="shared" si="61"/>
        <v>196.5</v>
      </c>
      <c r="O1004" s="14">
        <f t="shared" si="62"/>
        <v>435.5</v>
      </c>
      <c r="P1004" s="15">
        <f t="shared" si="63"/>
        <v>0.52469879518072293</v>
      </c>
    </row>
    <row r="1005" spans="1:16" ht="15.75" customHeight="1" x14ac:dyDescent="0.3">
      <c r="A1005" s="32" t="s">
        <v>59</v>
      </c>
      <c r="B1005" s="21" t="s">
        <v>333</v>
      </c>
      <c r="C1005" s="21" t="s">
        <v>333</v>
      </c>
      <c r="D1005" s="21" t="s">
        <v>237</v>
      </c>
      <c r="E1005" s="23">
        <v>3</v>
      </c>
      <c r="F1005" s="9"/>
      <c r="G1005" s="11"/>
      <c r="H1005" s="9"/>
      <c r="I1005" s="9" t="s">
        <v>66</v>
      </c>
      <c r="J1005" s="37"/>
      <c r="K1005" s="9"/>
      <c r="L1005" s="9"/>
      <c r="M1005" s="12">
        <f t="shared" si="60"/>
        <v>291</v>
      </c>
      <c r="N1005" s="13">
        <f t="shared" si="61"/>
        <v>650.5</v>
      </c>
      <c r="O1005" s="14">
        <f t="shared" si="62"/>
        <v>941.5</v>
      </c>
      <c r="P1005" s="15">
        <f t="shared" si="63"/>
        <v>1.1343373493975903</v>
      </c>
    </row>
    <row r="1006" spans="1:16" ht="15.75" customHeight="1" x14ac:dyDescent="0.3">
      <c r="A1006" s="32" t="s">
        <v>59</v>
      </c>
      <c r="B1006" s="21" t="s">
        <v>333</v>
      </c>
      <c r="C1006" s="21" t="s">
        <v>333</v>
      </c>
      <c r="D1006" s="21" t="s">
        <v>237</v>
      </c>
      <c r="E1006" s="23">
        <v>3</v>
      </c>
      <c r="F1006" s="9"/>
      <c r="G1006" s="11"/>
      <c r="H1006" s="9"/>
      <c r="I1006" s="9" t="s">
        <v>273</v>
      </c>
      <c r="J1006" s="37"/>
      <c r="K1006" s="9"/>
      <c r="L1006" s="9"/>
      <c r="M1006" s="12">
        <f t="shared" si="60"/>
        <v>552</v>
      </c>
      <c r="N1006" s="13">
        <f t="shared" si="61"/>
        <v>171</v>
      </c>
      <c r="O1006" s="14">
        <f t="shared" si="62"/>
        <v>723</v>
      </c>
      <c r="P1006" s="15">
        <f t="shared" si="63"/>
        <v>0.87108433734939761</v>
      </c>
    </row>
    <row r="1007" spans="1:16" ht="15.75" customHeight="1" x14ac:dyDescent="0.3">
      <c r="A1007" s="32" t="s">
        <v>59</v>
      </c>
      <c r="B1007" s="21" t="s">
        <v>333</v>
      </c>
      <c r="C1007" s="21" t="s">
        <v>333</v>
      </c>
      <c r="D1007" s="21" t="s">
        <v>237</v>
      </c>
      <c r="E1007" s="23">
        <v>12</v>
      </c>
      <c r="F1007" s="9"/>
      <c r="G1007" s="11"/>
      <c r="H1007" s="9"/>
      <c r="I1007" s="38" t="s">
        <v>71</v>
      </c>
      <c r="J1007" s="37"/>
      <c r="K1007" s="9"/>
      <c r="L1007" s="9"/>
      <c r="M1007" s="12">
        <f t="shared" si="60"/>
        <v>391</v>
      </c>
      <c r="N1007" s="13">
        <f t="shared" si="61"/>
        <v>436.5</v>
      </c>
      <c r="O1007" s="14">
        <f t="shared" si="62"/>
        <v>827.5</v>
      </c>
      <c r="P1007" s="15">
        <f t="shared" si="63"/>
        <v>0.99698795180722888</v>
      </c>
    </row>
    <row r="1008" spans="1:16" ht="15.75" customHeight="1" x14ac:dyDescent="0.3">
      <c r="A1008" s="32" t="s">
        <v>59</v>
      </c>
      <c r="B1008" s="21" t="s">
        <v>333</v>
      </c>
      <c r="C1008" s="21" t="s">
        <v>333</v>
      </c>
      <c r="D1008" s="21" t="s">
        <v>152</v>
      </c>
      <c r="E1008" s="10">
        <v>5</v>
      </c>
      <c r="F1008" s="9"/>
      <c r="G1008" s="11">
        <v>0</v>
      </c>
      <c r="H1008" s="9"/>
      <c r="I1008" s="39" t="s">
        <v>95</v>
      </c>
      <c r="J1008" s="9"/>
      <c r="K1008" s="9"/>
      <c r="L1008" s="9"/>
      <c r="M1008" s="12">
        <f t="shared" si="60"/>
        <v>283</v>
      </c>
      <c r="N1008" s="13">
        <f t="shared" si="61"/>
        <v>440</v>
      </c>
      <c r="O1008" s="14">
        <f t="shared" si="62"/>
        <v>723</v>
      </c>
      <c r="P1008" s="15">
        <f t="shared" si="63"/>
        <v>0.87108433734939761</v>
      </c>
    </row>
    <row r="1009" spans="1:16" ht="15.75" customHeight="1" x14ac:dyDescent="0.3">
      <c r="A1009" s="32" t="s">
        <v>59</v>
      </c>
      <c r="B1009" s="21" t="s">
        <v>333</v>
      </c>
      <c r="C1009" s="21" t="s">
        <v>333</v>
      </c>
      <c r="D1009" s="21" t="s">
        <v>152</v>
      </c>
      <c r="E1009" s="10">
        <v>10</v>
      </c>
      <c r="F1009" s="9"/>
      <c r="G1009" s="11">
        <v>0</v>
      </c>
      <c r="H1009" s="9"/>
      <c r="I1009" s="39" t="s">
        <v>258</v>
      </c>
      <c r="J1009" s="9"/>
      <c r="K1009" s="9"/>
      <c r="L1009" s="9"/>
      <c r="M1009" s="12">
        <f t="shared" si="60"/>
        <v>331</v>
      </c>
      <c r="N1009" s="13">
        <f t="shared" si="61"/>
        <v>520</v>
      </c>
      <c r="O1009" s="14">
        <f t="shared" si="62"/>
        <v>851</v>
      </c>
      <c r="P1009" s="15">
        <f t="shared" si="63"/>
        <v>1.0253012048192771</v>
      </c>
    </row>
    <row r="1010" spans="1:16" ht="15.75" customHeight="1" x14ac:dyDescent="0.3">
      <c r="A1010" s="32" t="s">
        <v>59</v>
      </c>
      <c r="B1010" s="21" t="s">
        <v>333</v>
      </c>
      <c r="C1010" s="21" t="s">
        <v>333</v>
      </c>
      <c r="D1010" s="21" t="s">
        <v>152</v>
      </c>
      <c r="E1010" s="10">
        <v>5</v>
      </c>
      <c r="F1010" s="9"/>
      <c r="G1010" s="11">
        <v>0</v>
      </c>
      <c r="H1010" s="9"/>
      <c r="I1010" s="39" t="s">
        <v>97</v>
      </c>
      <c r="J1010" s="9"/>
      <c r="K1010" s="9"/>
      <c r="L1010" s="9"/>
      <c r="M1010" s="12">
        <f t="shared" si="60"/>
        <v>501</v>
      </c>
      <c r="N1010" s="13">
        <f t="shared" si="61"/>
        <v>486.5</v>
      </c>
      <c r="O1010" s="14">
        <f t="shared" si="62"/>
        <v>987.5</v>
      </c>
      <c r="P1010" s="15">
        <f t="shared" si="63"/>
        <v>1.1897590361445782</v>
      </c>
    </row>
    <row r="1011" spans="1:16" ht="15.75" customHeight="1" x14ac:dyDescent="0.3">
      <c r="A1011" s="32" t="s">
        <v>59</v>
      </c>
      <c r="B1011" s="21" t="s">
        <v>333</v>
      </c>
      <c r="C1011" s="21" t="s">
        <v>333</v>
      </c>
      <c r="D1011" s="21" t="s">
        <v>152</v>
      </c>
      <c r="E1011" s="10">
        <v>5</v>
      </c>
      <c r="F1011" s="9"/>
      <c r="G1011" s="11">
        <v>0</v>
      </c>
      <c r="H1011" s="9"/>
      <c r="I1011" s="39" t="s">
        <v>77</v>
      </c>
      <c r="J1011" s="9"/>
      <c r="K1011" s="9"/>
      <c r="L1011" s="9"/>
      <c r="M1011" s="12">
        <f t="shared" si="60"/>
        <v>249</v>
      </c>
      <c r="N1011" s="13">
        <f t="shared" si="61"/>
        <v>294</v>
      </c>
      <c r="O1011" s="14">
        <f t="shared" si="62"/>
        <v>543</v>
      </c>
      <c r="P1011" s="15">
        <f t="shared" si="63"/>
        <v>0.6542168674698795</v>
      </c>
    </row>
    <row r="1012" spans="1:16" ht="15.75" customHeight="1" x14ac:dyDescent="0.3">
      <c r="A1012" s="32" t="s">
        <v>59</v>
      </c>
      <c r="B1012" s="21" t="s">
        <v>333</v>
      </c>
      <c r="C1012" s="21" t="s">
        <v>333</v>
      </c>
      <c r="D1012" s="21" t="s">
        <v>144</v>
      </c>
      <c r="E1012" s="23">
        <v>8</v>
      </c>
      <c r="F1012" s="9"/>
      <c r="G1012" s="11">
        <v>0</v>
      </c>
      <c r="H1012" s="9"/>
      <c r="I1012" s="40" t="s">
        <v>147</v>
      </c>
      <c r="J1012" s="34" t="s">
        <v>8</v>
      </c>
      <c r="K1012" s="9"/>
      <c r="L1012" s="9"/>
      <c r="M1012" s="12">
        <f t="shared" si="60"/>
        <v>279</v>
      </c>
      <c r="N1012" s="13">
        <f t="shared" si="61"/>
        <v>475.5</v>
      </c>
      <c r="O1012" s="14">
        <f t="shared" si="62"/>
        <v>754.5</v>
      </c>
      <c r="P1012" s="15">
        <f t="shared" si="63"/>
        <v>0.90903614457831328</v>
      </c>
    </row>
    <row r="1013" spans="1:16" ht="15.75" customHeight="1" x14ac:dyDescent="0.3">
      <c r="A1013" s="32" t="s">
        <v>59</v>
      </c>
      <c r="B1013" s="21" t="s">
        <v>333</v>
      </c>
      <c r="C1013" s="21" t="s">
        <v>333</v>
      </c>
      <c r="D1013" s="21" t="s">
        <v>144</v>
      </c>
      <c r="E1013" s="23">
        <v>8</v>
      </c>
      <c r="F1013" s="9"/>
      <c r="G1013" s="11">
        <v>0</v>
      </c>
      <c r="H1013" s="9"/>
      <c r="I1013" s="40" t="s">
        <v>246</v>
      </c>
      <c r="J1013" s="34" t="s">
        <v>8</v>
      </c>
      <c r="K1013" s="9"/>
      <c r="L1013" s="9"/>
      <c r="M1013" s="12">
        <f t="shared" si="60"/>
        <v>200</v>
      </c>
      <c r="N1013" s="13">
        <f t="shared" si="61"/>
        <v>271</v>
      </c>
      <c r="O1013" s="14">
        <f t="shared" si="62"/>
        <v>471</v>
      </c>
      <c r="P1013" s="15">
        <f t="shared" si="63"/>
        <v>0.56746987951807226</v>
      </c>
    </row>
    <row r="1014" spans="1:16" ht="15.75" customHeight="1" x14ac:dyDescent="0.3">
      <c r="A1014" s="32" t="s">
        <v>59</v>
      </c>
      <c r="B1014" s="21" t="s">
        <v>333</v>
      </c>
      <c r="C1014" s="21" t="s">
        <v>333</v>
      </c>
      <c r="D1014" s="21" t="s">
        <v>144</v>
      </c>
      <c r="E1014" s="23">
        <v>8</v>
      </c>
      <c r="F1014" s="9"/>
      <c r="G1014" s="11">
        <v>0</v>
      </c>
      <c r="H1014" s="9"/>
      <c r="I1014" s="40" t="s">
        <v>95</v>
      </c>
      <c r="J1014" s="34" t="s">
        <v>8</v>
      </c>
      <c r="K1014" s="9"/>
      <c r="L1014" s="9"/>
      <c r="M1014" s="12">
        <f t="shared" si="60"/>
        <v>283</v>
      </c>
      <c r="N1014" s="13">
        <f t="shared" si="61"/>
        <v>440</v>
      </c>
      <c r="O1014" s="14">
        <f t="shared" si="62"/>
        <v>723</v>
      </c>
      <c r="P1014" s="15">
        <f t="shared" si="63"/>
        <v>0.87108433734939761</v>
      </c>
    </row>
    <row r="1015" spans="1:16" ht="15.75" customHeight="1" x14ac:dyDescent="0.3">
      <c r="A1015" s="32" t="s">
        <v>59</v>
      </c>
      <c r="B1015" s="21" t="s">
        <v>333</v>
      </c>
      <c r="C1015" s="21" t="s">
        <v>333</v>
      </c>
      <c r="D1015" s="21" t="s">
        <v>144</v>
      </c>
      <c r="E1015" s="23">
        <v>8</v>
      </c>
      <c r="F1015" s="9"/>
      <c r="G1015" s="11">
        <v>0</v>
      </c>
      <c r="H1015" s="9"/>
      <c r="I1015" s="40" t="s">
        <v>77</v>
      </c>
      <c r="J1015" s="34" t="s">
        <v>8</v>
      </c>
      <c r="K1015" s="9"/>
      <c r="L1015" s="9"/>
      <c r="M1015" s="12">
        <f t="shared" si="60"/>
        <v>249</v>
      </c>
      <c r="N1015" s="13">
        <f t="shared" si="61"/>
        <v>294</v>
      </c>
      <c r="O1015" s="14">
        <f t="shared" si="62"/>
        <v>543</v>
      </c>
      <c r="P1015" s="15">
        <f t="shared" si="63"/>
        <v>0.6542168674698795</v>
      </c>
    </row>
    <row r="1016" spans="1:16" ht="15.75" customHeight="1" x14ac:dyDescent="0.3">
      <c r="A1016" s="32" t="s">
        <v>59</v>
      </c>
      <c r="B1016" s="21" t="s">
        <v>410</v>
      </c>
      <c r="C1016" s="21" t="s">
        <v>406</v>
      </c>
      <c r="D1016" s="21" t="s">
        <v>88</v>
      </c>
      <c r="E1016" s="10">
        <v>30</v>
      </c>
      <c r="F1016" s="9"/>
      <c r="G1016" s="11">
        <v>0</v>
      </c>
      <c r="H1016" s="21" t="s">
        <v>316</v>
      </c>
      <c r="I1016" s="21" t="s">
        <v>358</v>
      </c>
      <c r="J1016" s="21"/>
      <c r="K1016" s="9"/>
      <c r="L1016" s="9"/>
      <c r="M1016" s="12">
        <f t="shared" si="60"/>
        <v>0</v>
      </c>
      <c r="N1016" s="13">
        <f t="shared" si="61"/>
        <v>233</v>
      </c>
      <c r="O1016" s="14">
        <f t="shared" si="62"/>
        <v>233</v>
      </c>
      <c r="P1016" s="15">
        <f t="shared" si="63"/>
        <v>0.28072289156626506</v>
      </c>
    </row>
    <row r="1017" spans="1:16" ht="15.75" customHeight="1" x14ac:dyDescent="0.3">
      <c r="A1017" s="32" t="s">
        <v>59</v>
      </c>
      <c r="B1017" s="21" t="s">
        <v>410</v>
      </c>
      <c r="C1017" s="21" t="s">
        <v>406</v>
      </c>
      <c r="D1017" s="21" t="s">
        <v>90</v>
      </c>
      <c r="E1017" s="10">
        <v>30</v>
      </c>
      <c r="F1017" s="9"/>
      <c r="G1017" s="11">
        <v>0</v>
      </c>
      <c r="H1017" s="21" t="s">
        <v>316</v>
      </c>
      <c r="I1017" s="21" t="s">
        <v>358</v>
      </c>
      <c r="J1017" s="21"/>
      <c r="K1017" s="9"/>
      <c r="L1017" s="9"/>
      <c r="M1017" s="12">
        <f t="shared" si="60"/>
        <v>0</v>
      </c>
      <c r="N1017" s="13">
        <f t="shared" si="61"/>
        <v>233</v>
      </c>
      <c r="O1017" s="14">
        <f t="shared" si="62"/>
        <v>233</v>
      </c>
      <c r="P1017" s="15">
        <f t="shared" si="63"/>
        <v>0.28072289156626506</v>
      </c>
    </row>
    <row r="1018" spans="1:16" ht="15.75" customHeight="1" x14ac:dyDescent="0.3">
      <c r="A1018" s="32" t="s">
        <v>59</v>
      </c>
      <c r="B1018" s="9" t="s">
        <v>410</v>
      </c>
      <c r="C1018" s="9" t="s">
        <v>406</v>
      </c>
      <c r="D1018" s="9" t="s">
        <v>126</v>
      </c>
      <c r="E1018" s="10">
        <v>30</v>
      </c>
      <c r="F1018" s="9"/>
      <c r="G1018" s="11">
        <v>0</v>
      </c>
      <c r="H1018" s="9" t="s">
        <v>200</v>
      </c>
      <c r="I1018" s="9" t="s">
        <v>201</v>
      </c>
      <c r="J1018" s="9" t="s">
        <v>4</v>
      </c>
      <c r="K1018" s="9"/>
      <c r="L1018" s="9"/>
      <c r="M1018" s="12">
        <f t="shared" si="60"/>
        <v>647</v>
      </c>
      <c r="N1018" s="13">
        <f t="shared" si="61"/>
        <v>461.5</v>
      </c>
      <c r="O1018" s="14">
        <f t="shared" si="62"/>
        <v>1108.5</v>
      </c>
      <c r="P1018" s="15">
        <f t="shared" si="63"/>
        <v>1.3355421686746989</v>
      </c>
    </row>
    <row r="1019" spans="1:16" ht="15.75" customHeight="1" x14ac:dyDescent="0.3">
      <c r="A1019" s="32" t="s">
        <v>59</v>
      </c>
      <c r="B1019" s="9" t="s">
        <v>411</v>
      </c>
      <c r="C1019" s="9" t="s">
        <v>333</v>
      </c>
      <c r="D1019" s="9" t="s">
        <v>344</v>
      </c>
      <c r="E1019" s="10">
        <v>4</v>
      </c>
      <c r="F1019" s="9"/>
      <c r="G1019" s="11">
        <v>0</v>
      </c>
      <c r="H1019" s="9" t="s">
        <v>76</v>
      </c>
      <c r="I1019" s="9" t="s">
        <v>77</v>
      </c>
      <c r="J1019" s="9"/>
      <c r="K1019" s="9"/>
      <c r="L1019" s="9" t="s">
        <v>345</v>
      </c>
      <c r="M1019" s="12">
        <f t="shared" si="60"/>
        <v>249</v>
      </c>
      <c r="N1019" s="13">
        <f t="shared" si="61"/>
        <v>294</v>
      </c>
      <c r="O1019" s="14">
        <f t="shared" si="62"/>
        <v>543</v>
      </c>
      <c r="P1019" s="15">
        <f t="shared" si="63"/>
        <v>0.6542168674698795</v>
      </c>
    </row>
    <row r="1020" spans="1:16" ht="15.75" customHeight="1" x14ac:dyDescent="0.3">
      <c r="A1020" s="32" t="s">
        <v>59</v>
      </c>
      <c r="B1020" s="9" t="s">
        <v>411</v>
      </c>
      <c r="C1020" s="9" t="s">
        <v>333</v>
      </c>
      <c r="D1020" s="9" t="s">
        <v>346</v>
      </c>
      <c r="E1020" s="10">
        <v>2</v>
      </c>
      <c r="F1020" s="9"/>
      <c r="G1020" s="11">
        <v>0</v>
      </c>
      <c r="H1020" s="9" t="s">
        <v>257</v>
      </c>
      <c r="I1020" s="9" t="s">
        <v>258</v>
      </c>
      <c r="J1020" s="9" t="s">
        <v>8</v>
      </c>
      <c r="K1020" s="9"/>
      <c r="L1020" s="9" t="s">
        <v>347</v>
      </c>
      <c r="M1020" s="12">
        <f t="shared" si="60"/>
        <v>331</v>
      </c>
      <c r="N1020" s="13">
        <f t="shared" si="61"/>
        <v>520</v>
      </c>
      <c r="O1020" s="14">
        <f t="shared" si="62"/>
        <v>851</v>
      </c>
      <c r="P1020" s="15">
        <f t="shared" si="63"/>
        <v>1.0253012048192771</v>
      </c>
    </row>
    <row r="1021" spans="1:16" ht="15.75" customHeight="1" x14ac:dyDescent="0.3">
      <c r="A1021" s="32" t="s">
        <v>59</v>
      </c>
      <c r="B1021" s="9" t="s">
        <v>412</v>
      </c>
      <c r="C1021" s="9" t="s">
        <v>333</v>
      </c>
      <c r="D1021" s="9" t="s">
        <v>344</v>
      </c>
      <c r="E1021" s="10">
        <v>8</v>
      </c>
      <c r="F1021" s="9"/>
      <c r="G1021" s="11">
        <v>0</v>
      </c>
      <c r="H1021" s="9" t="s">
        <v>76</v>
      </c>
      <c r="I1021" s="9" t="s">
        <v>77</v>
      </c>
      <c r="J1021" s="9"/>
      <c r="K1021" s="9"/>
      <c r="L1021" s="9" t="s">
        <v>345</v>
      </c>
      <c r="M1021" s="12">
        <f t="shared" si="60"/>
        <v>249</v>
      </c>
      <c r="N1021" s="13">
        <f t="shared" si="61"/>
        <v>294</v>
      </c>
      <c r="O1021" s="14">
        <f t="shared" si="62"/>
        <v>543</v>
      </c>
      <c r="P1021" s="15">
        <f t="shared" si="63"/>
        <v>0.6542168674698795</v>
      </c>
    </row>
    <row r="1022" spans="1:16" ht="15.75" customHeight="1" x14ac:dyDescent="0.3">
      <c r="A1022" s="32" t="s">
        <v>59</v>
      </c>
      <c r="B1022" s="9" t="s">
        <v>412</v>
      </c>
      <c r="C1022" s="9" t="s">
        <v>333</v>
      </c>
      <c r="D1022" s="9" t="s">
        <v>346</v>
      </c>
      <c r="E1022" s="10">
        <v>4</v>
      </c>
      <c r="F1022" s="9"/>
      <c r="G1022" s="11">
        <v>0</v>
      </c>
      <c r="H1022" s="9" t="s">
        <v>257</v>
      </c>
      <c r="I1022" s="9" t="s">
        <v>258</v>
      </c>
      <c r="J1022" s="9" t="s">
        <v>8</v>
      </c>
      <c r="K1022" s="9"/>
      <c r="L1022" s="9" t="s">
        <v>347</v>
      </c>
      <c r="M1022" s="12">
        <f t="shared" ref="M1022:M1085" si="64">SUMIFS($E$2:$E$1130,$A$2:$A$1130,"осень",$I$2:$I$1130,I1022)</f>
        <v>331</v>
      </c>
      <c r="N1022" s="13">
        <f t="shared" ref="N1022:N1085" si="65">SUMIFS($E$2:$E$1130,$A$2:$A$1130,"весна",$I$2:$I$1130,I1022)</f>
        <v>520</v>
      </c>
      <c r="O1022" s="14">
        <f t="shared" ref="O1022:O1085" si="66">M1022+N1022</f>
        <v>851</v>
      </c>
      <c r="P1022" s="15">
        <f t="shared" ref="P1022:P1085" si="67">O1022/$P$1</f>
        <v>1.0253012048192771</v>
      </c>
    </row>
    <row r="1023" spans="1:16" ht="15.75" customHeight="1" x14ac:dyDescent="0.3">
      <c r="A1023" s="32" t="s">
        <v>59</v>
      </c>
      <c r="B1023" s="9" t="s">
        <v>413</v>
      </c>
      <c r="C1023" s="9" t="s">
        <v>333</v>
      </c>
      <c r="D1023" s="9" t="s">
        <v>344</v>
      </c>
      <c r="E1023" s="10">
        <v>4</v>
      </c>
      <c r="F1023" s="9"/>
      <c r="G1023" s="11">
        <v>0</v>
      </c>
      <c r="H1023" s="9" t="s">
        <v>76</v>
      </c>
      <c r="I1023" s="9" t="s">
        <v>77</v>
      </c>
      <c r="J1023" s="9"/>
      <c r="K1023" s="9"/>
      <c r="L1023" s="9" t="s">
        <v>345</v>
      </c>
      <c r="M1023" s="12">
        <f t="shared" si="64"/>
        <v>249</v>
      </c>
      <c r="N1023" s="13">
        <f t="shared" si="65"/>
        <v>294</v>
      </c>
      <c r="O1023" s="14">
        <f t="shared" si="66"/>
        <v>543</v>
      </c>
      <c r="P1023" s="15">
        <f t="shared" si="67"/>
        <v>0.6542168674698795</v>
      </c>
    </row>
    <row r="1024" spans="1:16" ht="15.75" customHeight="1" x14ac:dyDescent="0.3">
      <c r="A1024" s="32" t="s">
        <v>59</v>
      </c>
      <c r="B1024" s="9" t="s">
        <v>413</v>
      </c>
      <c r="C1024" s="9" t="s">
        <v>333</v>
      </c>
      <c r="D1024" s="9" t="s">
        <v>346</v>
      </c>
      <c r="E1024" s="10">
        <v>2</v>
      </c>
      <c r="F1024" s="9"/>
      <c r="G1024" s="11">
        <v>0</v>
      </c>
      <c r="H1024" s="9" t="s">
        <v>257</v>
      </c>
      <c r="I1024" s="9" t="s">
        <v>258</v>
      </c>
      <c r="J1024" s="9" t="s">
        <v>8</v>
      </c>
      <c r="K1024" s="9"/>
      <c r="L1024" s="9" t="s">
        <v>347</v>
      </c>
      <c r="M1024" s="12">
        <f t="shared" si="64"/>
        <v>331</v>
      </c>
      <c r="N1024" s="13">
        <f t="shared" si="65"/>
        <v>520</v>
      </c>
      <c r="O1024" s="14">
        <f t="shared" si="66"/>
        <v>851</v>
      </c>
      <c r="P1024" s="15">
        <f t="shared" si="67"/>
        <v>1.0253012048192771</v>
      </c>
    </row>
    <row r="1025" spans="1:16" ht="15.75" customHeight="1" x14ac:dyDescent="0.3">
      <c r="A1025" s="32" t="s">
        <v>59</v>
      </c>
      <c r="B1025" s="21" t="s">
        <v>336</v>
      </c>
      <c r="C1025" s="21" t="s">
        <v>336</v>
      </c>
      <c r="D1025" s="21" t="s">
        <v>134</v>
      </c>
      <c r="E1025" s="23">
        <v>30</v>
      </c>
      <c r="F1025" s="24"/>
      <c r="G1025" s="25"/>
      <c r="H1025" s="24" t="s">
        <v>230</v>
      </c>
      <c r="I1025" s="24" t="s">
        <v>231</v>
      </c>
      <c r="J1025" s="24" t="s">
        <v>4</v>
      </c>
      <c r="K1025" s="24"/>
      <c r="L1025" s="24" t="s">
        <v>337</v>
      </c>
      <c r="M1025" s="12">
        <f t="shared" si="64"/>
        <v>116</v>
      </c>
      <c r="N1025" s="13">
        <f t="shared" si="65"/>
        <v>105</v>
      </c>
      <c r="O1025" s="14">
        <f t="shared" si="66"/>
        <v>221</v>
      </c>
      <c r="P1025" s="15">
        <f t="shared" si="67"/>
        <v>0.26626506024096386</v>
      </c>
    </row>
    <row r="1026" spans="1:16" ht="15.75" customHeight="1" x14ac:dyDescent="0.3">
      <c r="A1026" s="32" t="s">
        <v>59</v>
      </c>
      <c r="B1026" s="21" t="s">
        <v>336</v>
      </c>
      <c r="C1026" s="21" t="s">
        <v>336</v>
      </c>
      <c r="D1026" s="21" t="s">
        <v>134</v>
      </c>
      <c r="E1026" s="23">
        <v>30</v>
      </c>
      <c r="F1026" s="24"/>
      <c r="G1026" s="25"/>
      <c r="H1026" s="24" t="s">
        <v>128</v>
      </c>
      <c r="I1026" s="24" t="s">
        <v>129</v>
      </c>
      <c r="J1026" s="24" t="s">
        <v>8</v>
      </c>
      <c r="K1026" s="24"/>
      <c r="L1026" s="24" t="s">
        <v>337</v>
      </c>
      <c r="M1026" s="12">
        <f t="shared" si="64"/>
        <v>348</v>
      </c>
      <c r="N1026" s="13">
        <f t="shared" si="65"/>
        <v>583</v>
      </c>
      <c r="O1026" s="14">
        <f t="shared" si="66"/>
        <v>931</v>
      </c>
      <c r="P1026" s="15">
        <f t="shared" si="67"/>
        <v>1.1216867469879519</v>
      </c>
    </row>
    <row r="1027" spans="1:16" ht="15.75" customHeight="1" x14ac:dyDescent="0.3">
      <c r="A1027" s="32" t="s">
        <v>59</v>
      </c>
      <c r="B1027" s="21" t="s">
        <v>336</v>
      </c>
      <c r="C1027" s="21" t="s">
        <v>336</v>
      </c>
      <c r="D1027" s="21" t="s">
        <v>134</v>
      </c>
      <c r="E1027" s="23">
        <v>15</v>
      </c>
      <c r="F1027" s="24"/>
      <c r="G1027" s="25"/>
      <c r="H1027" s="24" t="s">
        <v>171</v>
      </c>
      <c r="I1027" s="24" t="s">
        <v>172</v>
      </c>
      <c r="J1027" s="24" t="s">
        <v>8</v>
      </c>
      <c r="K1027" s="24"/>
      <c r="L1027" s="24" t="s">
        <v>338</v>
      </c>
      <c r="M1027" s="12">
        <f t="shared" si="64"/>
        <v>339</v>
      </c>
      <c r="N1027" s="13">
        <f t="shared" si="65"/>
        <v>296</v>
      </c>
      <c r="O1027" s="14">
        <f t="shared" si="66"/>
        <v>635</v>
      </c>
      <c r="P1027" s="15">
        <f t="shared" si="67"/>
        <v>0.76506024096385539</v>
      </c>
    </row>
    <row r="1028" spans="1:16" ht="15.75" customHeight="1" x14ac:dyDescent="0.3">
      <c r="A1028" s="32" t="s">
        <v>59</v>
      </c>
      <c r="B1028" s="21" t="s">
        <v>336</v>
      </c>
      <c r="C1028" s="21" t="s">
        <v>336</v>
      </c>
      <c r="D1028" s="21" t="s">
        <v>134</v>
      </c>
      <c r="E1028" s="23">
        <v>15</v>
      </c>
      <c r="F1028" s="24"/>
      <c r="G1028" s="25">
        <v>0</v>
      </c>
      <c r="H1028" s="24" t="s">
        <v>174</v>
      </c>
      <c r="I1028" s="24" t="s">
        <v>175</v>
      </c>
      <c r="J1028" s="24" t="s">
        <v>8</v>
      </c>
      <c r="K1028" s="24"/>
      <c r="L1028" s="24" t="s">
        <v>338</v>
      </c>
      <c r="M1028" s="12">
        <f t="shared" si="64"/>
        <v>320</v>
      </c>
      <c r="N1028" s="13">
        <f t="shared" si="65"/>
        <v>169</v>
      </c>
      <c r="O1028" s="14">
        <f t="shared" si="66"/>
        <v>489</v>
      </c>
      <c r="P1028" s="15">
        <f t="shared" si="67"/>
        <v>0.58915662650602407</v>
      </c>
    </row>
    <row r="1029" spans="1:16" ht="15.75" customHeight="1" x14ac:dyDescent="0.3">
      <c r="A1029" s="32" t="s">
        <v>59</v>
      </c>
      <c r="B1029" s="21" t="s">
        <v>336</v>
      </c>
      <c r="C1029" s="21" t="s">
        <v>336</v>
      </c>
      <c r="D1029" s="21" t="s">
        <v>139</v>
      </c>
      <c r="E1029" s="23">
        <v>15</v>
      </c>
      <c r="F1029" s="9"/>
      <c r="G1029" s="11">
        <v>0</v>
      </c>
      <c r="H1029" s="9" t="s">
        <v>65</v>
      </c>
      <c r="I1029" s="9" t="s">
        <v>66</v>
      </c>
      <c r="J1029" s="9" t="s">
        <v>4</v>
      </c>
      <c r="K1029" s="9"/>
      <c r="L1029" s="9" t="s">
        <v>338</v>
      </c>
      <c r="M1029" s="12">
        <f t="shared" si="64"/>
        <v>291</v>
      </c>
      <c r="N1029" s="13">
        <f t="shared" si="65"/>
        <v>650.5</v>
      </c>
      <c r="O1029" s="14">
        <f t="shared" si="66"/>
        <v>941.5</v>
      </c>
      <c r="P1029" s="15">
        <f t="shared" si="67"/>
        <v>1.1343373493975903</v>
      </c>
    </row>
    <row r="1030" spans="1:16" ht="15.75" customHeight="1" x14ac:dyDescent="0.3">
      <c r="A1030" s="32" t="s">
        <v>59</v>
      </c>
      <c r="B1030" s="21" t="s">
        <v>336</v>
      </c>
      <c r="C1030" s="21" t="s">
        <v>336</v>
      </c>
      <c r="D1030" s="21" t="s">
        <v>139</v>
      </c>
      <c r="E1030" s="23">
        <v>15</v>
      </c>
      <c r="F1030" s="9"/>
      <c r="G1030" s="11">
        <v>0</v>
      </c>
      <c r="H1030" s="9" t="s">
        <v>272</v>
      </c>
      <c r="I1030" s="9" t="s">
        <v>273</v>
      </c>
      <c r="J1030" s="9" t="s">
        <v>8</v>
      </c>
      <c r="K1030" s="9"/>
      <c r="L1030" s="9" t="s">
        <v>338</v>
      </c>
      <c r="M1030" s="12">
        <f t="shared" si="64"/>
        <v>552</v>
      </c>
      <c r="N1030" s="13">
        <f t="shared" si="65"/>
        <v>171</v>
      </c>
      <c r="O1030" s="14">
        <f t="shared" si="66"/>
        <v>723</v>
      </c>
      <c r="P1030" s="15">
        <f t="shared" si="67"/>
        <v>0.87108433734939761</v>
      </c>
    </row>
    <row r="1031" spans="1:16" ht="15.75" customHeight="1" x14ac:dyDescent="0.3">
      <c r="A1031" s="32" t="s">
        <v>59</v>
      </c>
      <c r="B1031" s="21" t="s">
        <v>336</v>
      </c>
      <c r="C1031" s="21" t="s">
        <v>336</v>
      </c>
      <c r="D1031" s="21" t="s">
        <v>139</v>
      </c>
      <c r="E1031" s="23">
        <v>15</v>
      </c>
      <c r="F1031" s="9"/>
      <c r="G1031" s="11">
        <v>0</v>
      </c>
      <c r="H1031" s="9" t="s">
        <v>63</v>
      </c>
      <c r="I1031" s="9" t="s">
        <v>64</v>
      </c>
      <c r="J1031" s="9" t="s">
        <v>4</v>
      </c>
      <c r="K1031" s="9"/>
      <c r="L1031" s="9" t="s">
        <v>338</v>
      </c>
      <c r="M1031" s="12">
        <f t="shared" si="64"/>
        <v>284</v>
      </c>
      <c r="N1031" s="13">
        <f t="shared" si="65"/>
        <v>140</v>
      </c>
      <c r="O1031" s="14">
        <f t="shared" si="66"/>
        <v>424</v>
      </c>
      <c r="P1031" s="15">
        <f t="shared" si="67"/>
        <v>0.51084337349397591</v>
      </c>
    </row>
    <row r="1032" spans="1:16" ht="15.75" customHeight="1" x14ac:dyDescent="0.3">
      <c r="A1032" s="32" t="s">
        <v>59</v>
      </c>
      <c r="B1032" s="21" t="s">
        <v>336</v>
      </c>
      <c r="C1032" s="21" t="s">
        <v>336</v>
      </c>
      <c r="D1032" s="21" t="s">
        <v>139</v>
      </c>
      <c r="E1032" s="23">
        <v>15</v>
      </c>
      <c r="F1032" s="9"/>
      <c r="G1032" s="11">
        <v>0</v>
      </c>
      <c r="H1032" s="9" t="s">
        <v>70</v>
      </c>
      <c r="I1032" s="9" t="s">
        <v>71</v>
      </c>
      <c r="J1032" s="9"/>
      <c r="K1032" s="9"/>
      <c r="L1032" s="9" t="s">
        <v>338</v>
      </c>
      <c r="M1032" s="12">
        <f t="shared" si="64"/>
        <v>391</v>
      </c>
      <c r="N1032" s="13">
        <f t="shared" si="65"/>
        <v>436.5</v>
      </c>
      <c r="O1032" s="14">
        <f t="shared" si="66"/>
        <v>827.5</v>
      </c>
      <c r="P1032" s="15">
        <f t="shared" si="67"/>
        <v>0.99698795180722888</v>
      </c>
    </row>
    <row r="1033" spans="1:16" ht="15.75" customHeight="1" x14ac:dyDescent="0.3">
      <c r="A1033" s="32" t="s">
        <v>59</v>
      </c>
      <c r="B1033" s="21" t="s">
        <v>336</v>
      </c>
      <c r="C1033" s="21" t="s">
        <v>336</v>
      </c>
      <c r="D1033" s="21" t="s">
        <v>139</v>
      </c>
      <c r="E1033" s="23">
        <v>15</v>
      </c>
      <c r="F1033" s="9"/>
      <c r="G1033" s="11">
        <v>0</v>
      </c>
      <c r="H1033" s="9" t="s">
        <v>115</v>
      </c>
      <c r="I1033" s="9" t="s">
        <v>116</v>
      </c>
      <c r="J1033" s="9" t="s">
        <v>4</v>
      </c>
      <c r="K1033" s="9"/>
      <c r="L1033" s="9" t="s">
        <v>338</v>
      </c>
      <c r="M1033" s="12">
        <f t="shared" si="64"/>
        <v>353</v>
      </c>
      <c r="N1033" s="13">
        <f t="shared" si="65"/>
        <v>367</v>
      </c>
      <c r="O1033" s="14">
        <f t="shared" si="66"/>
        <v>720</v>
      </c>
      <c r="P1033" s="15">
        <f t="shared" si="67"/>
        <v>0.86746987951807231</v>
      </c>
    </row>
    <row r="1034" spans="1:16" ht="15.75" customHeight="1" x14ac:dyDescent="0.3">
      <c r="A1034" s="32" t="s">
        <v>59</v>
      </c>
      <c r="B1034" s="21" t="s">
        <v>336</v>
      </c>
      <c r="C1034" s="21" t="s">
        <v>336</v>
      </c>
      <c r="D1034" s="21" t="s">
        <v>140</v>
      </c>
      <c r="E1034" s="23">
        <v>30</v>
      </c>
      <c r="F1034" s="9"/>
      <c r="G1034" s="11">
        <v>0</v>
      </c>
      <c r="H1034" s="9" t="s">
        <v>154</v>
      </c>
      <c r="I1034" s="9" t="s">
        <v>155</v>
      </c>
      <c r="J1034" s="9"/>
      <c r="K1034" s="9" t="s">
        <v>337</v>
      </c>
      <c r="L1034" s="9"/>
      <c r="M1034" s="12">
        <f t="shared" si="64"/>
        <v>370</v>
      </c>
      <c r="N1034" s="13">
        <f t="shared" si="65"/>
        <v>124.5</v>
      </c>
      <c r="O1034" s="14">
        <f t="shared" si="66"/>
        <v>494.5</v>
      </c>
      <c r="P1034" s="15">
        <f t="shared" si="67"/>
        <v>0.5957831325301205</v>
      </c>
    </row>
    <row r="1035" spans="1:16" ht="15.75" customHeight="1" x14ac:dyDescent="0.3">
      <c r="A1035" s="32" t="s">
        <v>59</v>
      </c>
      <c r="B1035" s="21" t="s">
        <v>336</v>
      </c>
      <c r="C1035" s="21" t="s">
        <v>336</v>
      </c>
      <c r="D1035" s="21" t="s">
        <v>140</v>
      </c>
      <c r="E1035" s="23">
        <v>30</v>
      </c>
      <c r="F1035" s="9"/>
      <c r="G1035" s="11">
        <v>0</v>
      </c>
      <c r="H1035" s="9" t="s">
        <v>96</v>
      </c>
      <c r="I1035" s="9" t="s">
        <v>97</v>
      </c>
      <c r="J1035" s="9" t="s">
        <v>8</v>
      </c>
      <c r="K1035" s="9" t="s">
        <v>337</v>
      </c>
      <c r="L1035" s="9"/>
      <c r="M1035" s="12">
        <f t="shared" si="64"/>
        <v>501</v>
      </c>
      <c r="N1035" s="13">
        <f t="shared" si="65"/>
        <v>486.5</v>
      </c>
      <c r="O1035" s="14">
        <f t="shared" si="66"/>
        <v>987.5</v>
      </c>
      <c r="P1035" s="15">
        <f t="shared" si="67"/>
        <v>1.1897590361445782</v>
      </c>
    </row>
    <row r="1036" spans="1:16" ht="15.75" customHeight="1" x14ac:dyDescent="0.3">
      <c r="A1036" s="32" t="s">
        <v>59</v>
      </c>
      <c r="B1036" s="21" t="s">
        <v>336</v>
      </c>
      <c r="C1036" s="21" t="s">
        <v>336</v>
      </c>
      <c r="D1036" s="21" t="s">
        <v>140</v>
      </c>
      <c r="E1036" s="23">
        <v>15</v>
      </c>
      <c r="F1036" s="9"/>
      <c r="G1036" s="11">
        <v>0</v>
      </c>
      <c r="H1036" s="9" t="s">
        <v>250</v>
      </c>
      <c r="I1036" s="9" t="s">
        <v>251</v>
      </c>
      <c r="J1036" s="9"/>
      <c r="K1036" s="9" t="s">
        <v>338</v>
      </c>
      <c r="L1036" s="9"/>
      <c r="M1036" s="12">
        <f t="shared" si="64"/>
        <v>179</v>
      </c>
      <c r="N1036" s="13">
        <f t="shared" si="65"/>
        <v>72</v>
      </c>
      <c r="O1036" s="14">
        <f t="shared" si="66"/>
        <v>251</v>
      </c>
      <c r="P1036" s="15">
        <f t="shared" si="67"/>
        <v>0.30240963855421688</v>
      </c>
    </row>
    <row r="1037" spans="1:16" ht="15.75" customHeight="1" x14ac:dyDescent="0.3">
      <c r="A1037" s="32" t="s">
        <v>59</v>
      </c>
      <c r="B1037" s="21" t="s">
        <v>336</v>
      </c>
      <c r="C1037" s="21" t="s">
        <v>336</v>
      </c>
      <c r="D1037" s="21" t="s">
        <v>141</v>
      </c>
      <c r="E1037" s="10">
        <v>30</v>
      </c>
      <c r="F1037" s="9"/>
      <c r="G1037" s="11">
        <v>0</v>
      </c>
      <c r="H1037" s="9" t="s">
        <v>146</v>
      </c>
      <c r="I1037" s="9" t="s">
        <v>147</v>
      </c>
      <c r="J1037" s="9"/>
      <c r="K1037" s="9" t="s">
        <v>337</v>
      </c>
      <c r="L1037" s="9"/>
      <c r="M1037" s="12">
        <f t="shared" si="64"/>
        <v>279</v>
      </c>
      <c r="N1037" s="13">
        <f t="shared" si="65"/>
        <v>475.5</v>
      </c>
      <c r="O1037" s="14">
        <f t="shared" si="66"/>
        <v>754.5</v>
      </c>
      <c r="P1037" s="15">
        <f t="shared" si="67"/>
        <v>0.90903614457831328</v>
      </c>
    </row>
    <row r="1038" spans="1:16" ht="15.75" customHeight="1" x14ac:dyDescent="0.3">
      <c r="A1038" s="32" t="s">
        <v>59</v>
      </c>
      <c r="B1038" s="21" t="s">
        <v>336</v>
      </c>
      <c r="C1038" s="21" t="s">
        <v>336</v>
      </c>
      <c r="D1038" s="21" t="s">
        <v>141</v>
      </c>
      <c r="E1038" s="10">
        <v>30</v>
      </c>
      <c r="F1038" s="9"/>
      <c r="G1038" s="11">
        <v>0</v>
      </c>
      <c r="H1038" s="9" t="s">
        <v>94</v>
      </c>
      <c r="I1038" s="9" t="s">
        <v>95</v>
      </c>
      <c r="J1038" s="9"/>
      <c r="K1038" s="9" t="s">
        <v>337</v>
      </c>
      <c r="L1038" s="9"/>
      <c r="M1038" s="12">
        <f t="shared" si="64"/>
        <v>283</v>
      </c>
      <c r="N1038" s="13">
        <f t="shared" si="65"/>
        <v>440</v>
      </c>
      <c r="O1038" s="14">
        <f t="shared" si="66"/>
        <v>723</v>
      </c>
      <c r="P1038" s="15">
        <f t="shared" si="67"/>
        <v>0.87108433734939761</v>
      </c>
    </row>
    <row r="1039" spans="1:16" ht="15.75" customHeight="1" x14ac:dyDescent="0.3">
      <c r="A1039" s="32" t="s">
        <v>59</v>
      </c>
      <c r="B1039" s="21" t="s">
        <v>336</v>
      </c>
      <c r="C1039" s="21" t="s">
        <v>336</v>
      </c>
      <c r="D1039" s="21" t="s">
        <v>141</v>
      </c>
      <c r="E1039" s="10">
        <v>15</v>
      </c>
      <c r="F1039" s="9"/>
      <c r="G1039" s="11">
        <v>0</v>
      </c>
      <c r="H1039" s="9" t="s">
        <v>76</v>
      </c>
      <c r="I1039" s="9" t="s">
        <v>77</v>
      </c>
      <c r="J1039" s="9"/>
      <c r="K1039" s="9" t="s">
        <v>338</v>
      </c>
      <c r="L1039" s="9"/>
      <c r="M1039" s="12">
        <f t="shared" si="64"/>
        <v>249</v>
      </c>
      <c r="N1039" s="13">
        <f t="shared" si="65"/>
        <v>294</v>
      </c>
      <c r="O1039" s="14">
        <f t="shared" si="66"/>
        <v>543</v>
      </c>
      <c r="P1039" s="15">
        <f t="shared" si="67"/>
        <v>0.6542168674698795</v>
      </c>
    </row>
    <row r="1040" spans="1:16" ht="15.75" customHeight="1" x14ac:dyDescent="0.3">
      <c r="A1040" s="32" t="s">
        <v>59</v>
      </c>
      <c r="B1040" s="21" t="s">
        <v>336</v>
      </c>
      <c r="C1040" s="21" t="s">
        <v>336</v>
      </c>
      <c r="D1040" s="21" t="s">
        <v>141</v>
      </c>
      <c r="E1040" s="10">
        <v>15</v>
      </c>
      <c r="F1040" s="9"/>
      <c r="G1040" s="11">
        <v>0</v>
      </c>
      <c r="H1040" s="9" t="s">
        <v>245</v>
      </c>
      <c r="I1040" s="9" t="s">
        <v>246</v>
      </c>
      <c r="J1040" s="9"/>
      <c r="K1040" s="9" t="s">
        <v>338</v>
      </c>
      <c r="L1040" s="9"/>
      <c r="M1040" s="12">
        <f t="shared" si="64"/>
        <v>200</v>
      </c>
      <c r="N1040" s="13">
        <f t="shared" si="65"/>
        <v>271</v>
      </c>
      <c r="O1040" s="14">
        <f t="shared" si="66"/>
        <v>471</v>
      </c>
      <c r="P1040" s="15">
        <f t="shared" si="67"/>
        <v>0.56746987951807226</v>
      </c>
    </row>
    <row r="1041" spans="1:16" ht="15.75" customHeight="1" x14ac:dyDescent="0.3">
      <c r="A1041" s="32" t="s">
        <v>59</v>
      </c>
      <c r="B1041" s="9" t="s">
        <v>341</v>
      </c>
      <c r="C1041" s="9" t="s">
        <v>341</v>
      </c>
      <c r="D1041" s="9" t="s">
        <v>342</v>
      </c>
      <c r="E1041" s="10">
        <v>50</v>
      </c>
      <c r="F1041" s="9"/>
      <c r="G1041" s="11">
        <v>0</v>
      </c>
      <c r="H1041" s="9" t="s">
        <v>257</v>
      </c>
      <c r="I1041" s="9" t="s">
        <v>258</v>
      </c>
      <c r="J1041" s="9" t="s">
        <v>8</v>
      </c>
      <c r="K1041" s="9"/>
      <c r="L1041" s="21" t="s">
        <v>343</v>
      </c>
      <c r="M1041" s="12">
        <f t="shared" si="64"/>
        <v>331</v>
      </c>
      <c r="N1041" s="13">
        <f t="shared" si="65"/>
        <v>520</v>
      </c>
      <c r="O1041" s="14">
        <f t="shared" si="66"/>
        <v>851</v>
      </c>
      <c r="P1041" s="15">
        <f t="shared" si="67"/>
        <v>1.0253012048192771</v>
      </c>
    </row>
    <row r="1042" spans="1:16" ht="15.75" customHeight="1" x14ac:dyDescent="0.3">
      <c r="A1042" s="32" t="s">
        <v>59</v>
      </c>
      <c r="B1042" s="9" t="s">
        <v>341</v>
      </c>
      <c r="C1042" s="9" t="s">
        <v>341</v>
      </c>
      <c r="D1042" s="9" t="s">
        <v>321</v>
      </c>
      <c r="E1042" s="10">
        <v>25</v>
      </c>
      <c r="F1042" s="9"/>
      <c r="G1042" s="11">
        <v>0</v>
      </c>
      <c r="H1042" s="21" t="s">
        <v>171</v>
      </c>
      <c r="I1042" s="21" t="s">
        <v>172</v>
      </c>
      <c r="J1042" s="21" t="s">
        <v>8</v>
      </c>
      <c r="K1042" s="21"/>
      <c r="L1042" s="21" t="s">
        <v>323</v>
      </c>
      <c r="M1042" s="12">
        <f t="shared" si="64"/>
        <v>339</v>
      </c>
      <c r="N1042" s="13">
        <f t="shared" si="65"/>
        <v>296</v>
      </c>
      <c r="O1042" s="14">
        <f t="shared" si="66"/>
        <v>635</v>
      </c>
      <c r="P1042" s="15">
        <f t="shared" si="67"/>
        <v>0.76506024096385539</v>
      </c>
    </row>
    <row r="1043" spans="1:16" ht="15.75" customHeight="1" x14ac:dyDescent="0.3">
      <c r="A1043" s="32" t="s">
        <v>59</v>
      </c>
      <c r="B1043" s="9" t="s">
        <v>341</v>
      </c>
      <c r="C1043" s="9" t="s">
        <v>341</v>
      </c>
      <c r="D1043" s="9" t="s">
        <v>289</v>
      </c>
      <c r="E1043" s="10">
        <v>25</v>
      </c>
      <c r="F1043" s="9"/>
      <c r="G1043" s="11">
        <v>0</v>
      </c>
      <c r="H1043" s="9" t="s">
        <v>76</v>
      </c>
      <c r="I1043" s="9" t="s">
        <v>77</v>
      </c>
      <c r="J1043" s="9"/>
      <c r="K1043" s="9"/>
      <c r="L1043" s="9" t="s">
        <v>290</v>
      </c>
      <c r="M1043" s="12">
        <f t="shared" si="64"/>
        <v>249</v>
      </c>
      <c r="N1043" s="13">
        <f t="shared" si="65"/>
        <v>294</v>
      </c>
      <c r="O1043" s="14">
        <f t="shared" si="66"/>
        <v>543</v>
      </c>
      <c r="P1043" s="15">
        <f t="shared" si="67"/>
        <v>0.6542168674698795</v>
      </c>
    </row>
    <row r="1044" spans="1:16" ht="15.75" customHeight="1" x14ac:dyDescent="0.3">
      <c r="A1044" s="32" t="s">
        <v>59</v>
      </c>
      <c r="B1044" s="9" t="s">
        <v>341</v>
      </c>
      <c r="C1044" s="9" t="s">
        <v>341</v>
      </c>
      <c r="D1044" s="9" t="s">
        <v>325</v>
      </c>
      <c r="E1044" s="10">
        <v>75</v>
      </c>
      <c r="F1044" s="9"/>
      <c r="G1044" s="11">
        <v>0</v>
      </c>
      <c r="H1044" s="9" t="s">
        <v>257</v>
      </c>
      <c r="I1044" s="9" t="s">
        <v>258</v>
      </c>
      <c r="J1044" s="9" t="s">
        <v>8</v>
      </c>
      <c r="K1044" s="9"/>
      <c r="L1044" s="9" t="s">
        <v>326</v>
      </c>
      <c r="M1044" s="12">
        <f t="shared" si="64"/>
        <v>331</v>
      </c>
      <c r="N1044" s="13">
        <f t="shared" si="65"/>
        <v>520</v>
      </c>
      <c r="O1044" s="14">
        <f t="shared" si="66"/>
        <v>851</v>
      </c>
      <c r="P1044" s="15">
        <f t="shared" si="67"/>
        <v>1.0253012048192771</v>
      </c>
    </row>
    <row r="1045" spans="1:16" ht="15.75" customHeight="1" x14ac:dyDescent="0.3">
      <c r="A1045" s="32" t="s">
        <v>59</v>
      </c>
      <c r="B1045" s="9" t="s">
        <v>341</v>
      </c>
      <c r="C1045" s="9" t="s">
        <v>341</v>
      </c>
      <c r="D1045" s="9" t="s">
        <v>74</v>
      </c>
      <c r="E1045" s="10">
        <v>25</v>
      </c>
      <c r="F1045" s="9"/>
      <c r="G1045" s="11">
        <v>0</v>
      </c>
      <c r="H1045" s="9" t="s">
        <v>76</v>
      </c>
      <c r="I1045" s="9" t="s">
        <v>77</v>
      </c>
      <c r="J1045" s="9"/>
      <c r="K1045" s="9"/>
      <c r="L1045" s="9" t="s">
        <v>78</v>
      </c>
      <c r="M1045" s="12">
        <f t="shared" si="64"/>
        <v>249</v>
      </c>
      <c r="N1045" s="13">
        <f t="shared" si="65"/>
        <v>294</v>
      </c>
      <c r="O1045" s="14">
        <f t="shared" si="66"/>
        <v>543</v>
      </c>
      <c r="P1045" s="15">
        <f t="shared" si="67"/>
        <v>0.6542168674698795</v>
      </c>
    </row>
    <row r="1046" spans="1:16" ht="15.75" customHeight="1" x14ac:dyDescent="0.3">
      <c r="A1046" s="32" t="s">
        <v>59</v>
      </c>
      <c r="B1046" s="9" t="s">
        <v>341</v>
      </c>
      <c r="C1046" s="9" t="s">
        <v>341</v>
      </c>
      <c r="D1046" s="9" t="s">
        <v>318</v>
      </c>
      <c r="E1046" s="10">
        <v>25</v>
      </c>
      <c r="F1046" s="9"/>
      <c r="G1046" s="11">
        <v>0</v>
      </c>
      <c r="H1046" s="9" t="s">
        <v>257</v>
      </c>
      <c r="I1046" s="9" t="s">
        <v>258</v>
      </c>
      <c r="J1046" s="9" t="s">
        <v>8</v>
      </c>
      <c r="K1046" s="9"/>
      <c r="L1046" s="9" t="s">
        <v>348</v>
      </c>
      <c r="M1046" s="12">
        <f t="shared" si="64"/>
        <v>331</v>
      </c>
      <c r="N1046" s="13">
        <f t="shared" si="65"/>
        <v>520</v>
      </c>
      <c r="O1046" s="14">
        <f t="shared" si="66"/>
        <v>851</v>
      </c>
      <c r="P1046" s="15">
        <f t="shared" si="67"/>
        <v>1.0253012048192771</v>
      </c>
    </row>
    <row r="1047" spans="1:16" ht="15.75" customHeight="1" x14ac:dyDescent="0.3">
      <c r="A1047" s="32" t="s">
        <v>59</v>
      </c>
      <c r="B1047" s="9" t="s">
        <v>341</v>
      </c>
      <c r="C1047" s="9" t="s">
        <v>341</v>
      </c>
      <c r="D1047" s="9" t="s">
        <v>318</v>
      </c>
      <c r="E1047" s="10">
        <v>50</v>
      </c>
      <c r="F1047" s="9"/>
      <c r="G1047" s="11">
        <v>0</v>
      </c>
      <c r="H1047" s="9" t="s">
        <v>96</v>
      </c>
      <c r="I1047" s="9" t="s">
        <v>97</v>
      </c>
      <c r="J1047" s="9" t="s">
        <v>8</v>
      </c>
      <c r="K1047" s="9"/>
      <c r="L1047" s="9" t="s">
        <v>414</v>
      </c>
      <c r="M1047" s="12">
        <f t="shared" si="64"/>
        <v>501</v>
      </c>
      <c r="N1047" s="13">
        <f t="shared" si="65"/>
        <v>486.5</v>
      </c>
      <c r="O1047" s="14">
        <f t="shared" si="66"/>
        <v>987.5</v>
      </c>
      <c r="P1047" s="15">
        <f t="shared" si="67"/>
        <v>1.1897590361445782</v>
      </c>
    </row>
    <row r="1048" spans="1:16" ht="15.75" customHeight="1" x14ac:dyDescent="0.3">
      <c r="A1048" s="41" t="s">
        <v>59</v>
      </c>
      <c r="B1048" s="9" t="s">
        <v>415</v>
      </c>
      <c r="C1048" s="9" t="s">
        <v>415</v>
      </c>
      <c r="D1048" s="42" t="s">
        <v>103</v>
      </c>
      <c r="E1048" s="43"/>
      <c r="F1048" s="10">
        <v>425</v>
      </c>
      <c r="G1048" s="11">
        <v>0</v>
      </c>
      <c r="H1048" s="9"/>
      <c r="I1048" s="44" t="s">
        <v>416</v>
      </c>
      <c r="J1048" s="44" t="s">
        <v>417</v>
      </c>
      <c r="K1048" s="41"/>
      <c r="L1048" s="9"/>
      <c r="M1048" s="12">
        <f t="shared" si="64"/>
        <v>0</v>
      </c>
      <c r="N1048" s="13">
        <f t="shared" si="65"/>
        <v>0</v>
      </c>
      <c r="O1048" s="14">
        <f t="shared" si="66"/>
        <v>0</v>
      </c>
      <c r="P1048" s="15">
        <f t="shared" si="67"/>
        <v>0</v>
      </c>
    </row>
    <row r="1049" spans="1:16" ht="15.75" customHeight="1" x14ac:dyDescent="0.3">
      <c r="A1049" s="32" t="s">
        <v>59</v>
      </c>
      <c r="B1049" s="9" t="s">
        <v>415</v>
      </c>
      <c r="C1049" s="9" t="s">
        <v>415</v>
      </c>
      <c r="D1049" s="42" t="s">
        <v>103</v>
      </c>
      <c r="E1049" s="45">
        <v>40</v>
      </c>
      <c r="F1049" s="36"/>
      <c r="G1049" s="36"/>
      <c r="H1049" s="36"/>
      <c r="I1049" s="24" t="s">
        <v>231</v>
      </c>
      <c r="J1049" s="24" t="s">
        <v>4</v>
      </c>
      <c r="K1049" s="31" t="s">
        <v>337</v>
      </c>
      <c r="L1049" s="36"/>
      <c r="M1049" s="12">
        <f t="shared" si="64"/>
        <v>116</v>
      </c>
      <c r="N1049" s="13">
        <f t="shared" si="65"/>
        <v>105</v>
      </c>
      <c r="O1049" s="14">
        <f t="shared" si="66"/>
        <v>221</v>
      </c>
      <c r="P1049" s="15">
        <f t="shared" si="67"/>
        <v>0.26626506024096386</v>
      </c>
    </row>
    <row r="1050" spans="1:16" ht="15.75" customHeight="1" x14ac:dyDescent="0.3">
      <c r="A1050" s="32" t="s">
        <v>59</v>
      </c>
      <c r="B1050" s="9" t="s">
        <v>415</v>
      </c>
      <c r="C1050" s="9" t="s">
        <v>415</v>
      </c>
      <c r="D1050" s="42" t="s">
        <v>103</v>
      </c>
      <c r="E1050" s="45">
        <v>60</v>
      </c>
      <c r="F1050" s="36"/>
      <c r="G1050" s="36"/>
      <c r="H1050" s="36"/>
      <c r="I1050" s="31" t="s">
        <v>172</v>
      </c>
      <c r="J1050" s="31" t="s">
        <v>8</v>
      </c>
      <c r="K1050" s="31" t="s">
        <v>340</v>
      </c>
      <c r="L1050" s="36" t="s">
        <v>303</v>
      </c>
      <c r="M1050" s="12">
        <f t="shared" si="64"/>
        <v>339</v>
      </c>
      <c r="N1050" s="13">
        <f t="shared" si="65"/>
        <v>296</v>
      </c>
      <c r="O1050" s="14">
        <f t="shared" si="66"/>
        <v>635</v>
      </c>
      <c r="P1050" s="15">
        <f t="shared" si="67"/>
        <v>0.76506024096385539</v>
      </c>
    </row>
    <row r="1051" spans="1:16" ht="15.75" customHeight="1" x14ac:dyDescent="0.3">
      <c r="A1051" s="32" t="s">
        <v>59</v>
      </c>
      <c r="B1051" s="9" t="s">
        <v>415</v>
      </c>
      <c r="C1051" s="9" t="s">
        <v>415</v>
      </c>
      <c r="D1051" s="42" t="s">
        <v>103</v>
      </c>
      <c r="E1051" s="45">
        <v>20</v>
      </c>
      <c r="F1051" s="36"/>
      <c r="G1051" s="36"/>
      <c r="H1051" s="36"/>
      <c r="I1051" s="9" t="s">
        <v>223</v>
      </c>
      <c r="J1051" s="31" t="s">
        <v>4</v>
      </c>
      <c r="K1051" s="31" t="s">
        <v>338</v>
      </c>
      <c r="L1051" s="36"/>
      <c r="M1051" s="12">
        <f t="shared" si="64"/>
        <v>41</v>
      </c>
      <c r="N1051" s="13">
        <f t="shared" si="65"/>
        <v>124</v>
      </c>
      <c r="O1051" s="14">
        <f t="shared" si="66"/>
        <v>165</v>
      </c>
      <c r="P1051" s="15">
        <f t="shared" si="67"/>
        <v>0.19879518072289157</v>
      </c>
    </row>
    <row r="1052" spans="1:16" ht="15.75" customHeight="1" x14ac:dyDescent="0.3">
      <c r="A1052" s="32" t="s">
        <v>59</v>
      </c>
      <c r="B1052" s="9" t="s">
        <v>415</v>
      </c>
      <c r="C1052" s="9" t="s">
        <v>415</v>
      </c>
      <c r="D1052" s="42" t="s">
        <v>103</v>
      </c>
      <c r="E1052" s="45">
        <f>40+5</f>
        <v>45</v>
      </c>
      <c r="F1052" s="36"/>
      <c r="G1052" s="36"/>
      <c r="H1052" s="36"/>
      <c r="I1052" s="31" t="s">
        <v>85</v>
      </c>
      <c r="J1052" s="31" t="s">
        <v>4</v>
      </c>
      <c r="K1052" s="31" t="s">
        <v>418</v>
      </c>
      <c r="L1052" s="36"/>
      <c r="M1052" s="12">
        <f t="shared" si="64"/>
        <v>284</v>
      </c>
      <c r="N1052" s="13">
        <f t="shared" si="65"/>
        <v>691.5</v>
      </c>
      <c r="O1052" s="14">
        <f t="shared" si="66"/>
        <v>975.5</v>
      </c>
      <c r="P1052" s="15">
        <f t="shared" si="67"/>
        <v>1.175301204819277</v>
      </c>
    </row>
    <row r="1053" spans="1:16" ht="15.75" customHeight="1" x14ac:dyDescent="0.3">
      <c r="A1053" s="32" t="s">
        <v>59</v>
      </c>
      <c r="B1053" s="9" t="s">
        <v>415</v>
      </c>
      <c r="C1053" s="9" t="s">
        <v>415</v>
      </c>
      <c r="D1053" s="42" t="s">
        <v>103</v>
      </c>
      <c r="E1053" s="45">
        <v>20</v>
      </c>
      <c r="F1053" s="36"/>
      <c r="G1053" s="36"/>
      <c r="H1053" s="36"/>
      <c r="I1053" s="31" t="s">
        <v>211</v>
      </c>
      <c r="J1053" s="31" t="s">
        <v>4</v>
      </c>
      <c r="K1053" s="31" t="s">
        <v>338</v>
      </c>
      <c r="L1053" s="36"/>
      <c r="M1053" s="12">
        <f t="shared" si="64"/>
        <v>213</v>
      </c>
      <c r="N1053" s="13">
        <f t="shared" si="65"/>
        <v>399</v>
      </c>
      <c r="O1053" s="14">
        <f t="shared" si="66"/>
        <v>612</v>
      </c>
      <c r="P1053" s="15">
        <f t="shared" si="67"/>
        <v>0.73734939759036144</v>
      </c>
    </row>
    <row r="1054" spans="1:16" ht="15.75" customHeight="1" x14ac:dyDescent="0.3">
      <c r="A1054" s="119" t="s">
        <v>59</v>
      </c>
      <c r="B1054" s="9" t="s">
        <v>415</v>
      </c>
      <c r="C1054" s="9" t="s">
        <v>415</v>
      </c>
      <c r="D1054" s="42" t="s">
        <v>103</v>
      </c>
      <c r="E1054" s="45">
        <f>20+5+10</f>
        <v>35</v>
      </c>
      <c r="F1054" s="36"/>
      <c r="G1054" s="36"/>
      <c r="H1054" s="36"/>
      <c r="I1054" s="31" t="s">
        <v>92</v>
      </c>
      <c r="J1054" s="31" t="s">
        <v>4</v>
      </c>
      <c r="K1054" s="31" t="s">
        <v>419</v>
      </c>
      <c r="L1054" s="36" t="s">
        <v>197</v>
      </c>
      <c r="M1054" s="12">
        <f t="shared" si="64"/>
        <v>405</v>
      </c>
      <c r="N1054" s="13">
        <f t="shared" si="65"/>
        <v>478</v>
      </c>
      <c r="O1054" s="14">
        <f t="shared" si="66"/>
        <v>883</v>
      </c>
      <c r="P1054" s="15">
        <f t="shared" si="67"/>
        <v>1.0638554216867471</v>
      </c>
    </row>
    <row r="1055" spans="1:16" ht="15.75" customHeight="1" x14ac:dyDescent="0.3">
      <c r="A1055" s="32" t="s">
        <v>59</v>
      </c>
      <c r="B1055" s="9" t="s">
        <v>415</v>
      </c>
      <c r="C1055" s="9" t="s">
        <v>415</v>
      </c>
      <c r="D1055" s="42" t="s">
        <v>103</v>
      </c>
      <c r="E1055" s="45">
        <v>5</v>
      </c>
      <c r="F1055" s="36"/>
      <c r="G1055" s="36"/>
      <c r="H1055" s="36"/>
      <c r="I1055" s="31" t="s">
        <v>187</v>
      </c>
      <c r="J1055" s="31" t="s">
        <v>4</v>
      </c>
      <c r="K1055" s="31" t="s">
        <v>420</v>
      </c>
      <c r="L1055" s="36"/>
      <c r="M1055" s="12">
        <f t="shared" si="64"/>
        <v>127</v>
      </c>
      <c r="N1055" s="13">
        <f t="shared" si="65"/>
        <v>133.5</v>
      </c>
      <c r="O1055" s="14">
        <f t="shared" si="66"/>
        <v>260.5</v>
      </c>
      <c r="P1055" s="15">
        <f t="shared" si="67"/>
        <v>0.31385542168674696</v>
      </c>
    </row>
    <row r="1056" spans="1:16" ht="15.75" customHeight="1" x14ac:dyDescent="0.3">
      <c r="A1056" s="32" t="s">
        <v>59</v>
      </c>
      <c r="B1056" s="9" t="s">
        <v>415</v>
      </c>
      <c r="C1056" s="9" t="s">
        <v>415</v>
      </c>
      <c r="D1056" s="42" t="s">
        <v>103</v>
      </c>
      <c r="E1056" s="45">
        <v>5</v>
      </c>
      <c r="F1056" s="36"/>
      <c r="G1056" s="36"/>
      <c r="H1056" s="36"/>
      <c r="I1056" s="31" t="s">
        <v>168</v>
      </c>
      <c r="J1056" s="31" t="s">
        <v>4</v>
      </c>
      <c r="K1056" s="31" t="s">
        <v>421</v>
      </c>
      <c r="L1056" s="36"/>
      <c r="M1056" s="12">
        <f t="shared" si="64"/>
        <v>456</v>
      </c>
      <c r="N1056" s="13">
        <f t="shared" si="65"/>
        <v>362</v>
      </c>
      <c r="O1056" s="14">
        <f t="shared" si="66"/>
        <v>818</v>
      </c>
      <c r="P1056" s="15">
        <f t="shared" si="67"/>
        <v>0.98554216867469879</v>
      </c>
    </row>
    <row r="1057" spans="1:16" ht="15.75" customHeight="1" x14ac:dyDescent="0.3">
      <c r="A1057" s="32" t="s">
        <v>59</v>
      </c>
      <c r="B1057" s="9" t="s">
        <v>415</v>
      </c>
      <c r="C1057" s="9" t="s">
        <v>415</v>
      </c>
      <c r="D1057" s="42" t="s">
        <v>422</v>
      </c>
      <c r="E1057" s="46">
        <f>40+3.5</f>
        <v>43.5</v>
      </c>
      <c r="F1057" s="36"/>
      <c r="G1057" s="36">
        <v>0</v>
      </c>
      <c r="H1057" s="36"/>
      <c r="I1057" s="31" t="s">
        <v>147</v>
      </c>
      <c r="J1057" s="31" t="s">
        <v>8</v>
      </c>
      <c r="K1057" s="31" t="s">
        <v>423</v>
      </c>
      <c r="L1057" s="36" t="s">
        <v>424</v>
      </c>
      <c r="M1057" s="12">
        <f t="shared" si="64"/>
        <v>279</v>
      </c>
      <c r="N1057" s="13">
        <f t="shared" si="65"/>
        <v>475.5</v>
      </c>
      <c r="O1057" s="14">
        <f t="shared" si="66"/>
        <v>754.5</v>
      </c>
      <c r="P1057" s="15">
        <f t="shared" si="67"/>
        <v>0.90903614457831328</v>
      </c>
    </row>
    <row r="1058" spans="1:16" ht="15.75" customHeight="1" x14ac:dyDescent="0.3">
      <c r="A1058" s="32" t="s">
        <v>59</v>
      </c>
      <c r="B1058" s="9" t="s">
        <v>415</v>
      </c>
      <c r="C1058" s="9" t="s">
        <v>415</v>
      </c>
      <c r="D1058" s="42" t="s">
        <v>422</v>
      </c>
      <c r="E1058" s="46">
        <f>20+7+3.5</f>
        <v>30.5</v>
      </c>
      <c r="F1058" s="36"/>
      <c r="G1058" s="36">
        <v>0</v>
      </c>
      <c r="H1058" s="36"/>
      <c r="I1058" s="31" t="s">
        <v>246</v>
      </c>
      <c r="J1058" s="31" t="s">
        <v>8</v>
      </c>
      <c r="K1058" s="31" t="s">
        <v>425</v>
      </c>
      <c r="L1058" s="36" t="s">
        <v>424</v>
      </c>
      <c r="M1058" s="12">
        <f t="shared" si="64"/>
        <v>200</v>
      </c>
      <c r="N1058" s="13">
        <f t="shared" si="65"/>
        <v>271</v>
      </c>
      <c r="O1058" s="14">
        <f t="shared" si="66"/>
        <v>471</v>
      </c>
      <c r="P1058" s="15">
        <f t="shared" si="67"/>
        <v>0.56746987951807226</v>
      </c>
    </row>
    <row r="1059" spans="1:16" ht="15.75" customHeight="1" x14ac:dyDescent="0.3">
      <c r="A1059" s="32" t="s">
        <v>59</v>
      </c>
      <c r="B1059" s="9" t="s">
        <v>415</v>
      </c>
      <c r="C1059" s="9" t="s">
        <v>415</v>
      </c>
      <c r="D1059" s="42" t="s">
        <v>422</v>
      </c>
      <c r="E1059" s="46">
        <f>40+3.5</f>
        <v>43.5</v>
      </c>
      <c r="F1059" s="36"/>
      <c r="G1059" s="36">
        <v>0</v>
      </c>
      <c r="H1059" s="36"/>
      <c r="I1059" s="31" t="s">
        <v>95</v>
      </c>
      <c r="J1059" s="31" t="s">
        <v>8</v>
      </c>
      <c r="K1059" s="31" t="s">
        <v>423</v>
      </c>
      <c r="L1059" s="36" t="s">
        <v>424</v>
      </c>
      <c r="M1059" s="12">
        <f t="shared" si="64"/>
        <v>283</v>
      </c>
      <c r="N1059" s="13">
        <f t="shared" si="65"/>
        <v>440</v>
      </c>
      <c r="O1059" s="14">
        <f t="shared" si="66"/>
        <v>723</v>
      </c>
      <c r="P1059" s="15">
        <f t="shared" si="67"/>
        <v>0.87108433734939761</v>
      </c>
    </row>
    <row r="1060" spans="1:16" ht="15.75" customHeight="1" x14ac:dyDescent="0.3">
      <c r="A1060" s="32" t="s">
        <v>59</v>
      </c>
      <c r="B1060" s="9" t="s">
        <v>415</v>
      </c>
      <c r="C1060" s="9" t="s">
        <v>415</v>
      </c>
      <c r="D1060" s="42" t="s">
        <v>422</v>
      </c>
      <c r="E1060" s="47">
        <v>3.5</v>
      </c>
      <c r="F1060" s="48"/>
      <c r="G1060" s="48">
        <v>0</v>
      </c>
      <c r="H1060" s="48"/>
      <c r="I1060" s="49" t="s">
        <v>137</v>
      </c>
      <c r="J1060" s="49" t="s">
        <v>426</v>
      </c>
      <c r="K1060" s="49" t="s">
        <v>420</v>
      </c>
      <c r="L1060" s="48" t="s">
        <v>424</v>
      </c>
      <c r="M1060" s="12">
        <f t="shared" si="64"/>
        <v>212</v>
      </c>
      <c r="N1060" s="13">
        <f t="shared" si="65"/>
        <v>8</v>
      </c>
      <c r="O1060" s="14">
        <f t="shared" si="66"/>
        <v>220</v>
      </c>
      <c r="P1060" s="15">
        <f t="shared" si="67"/>
        <v>0.26506024096385544</v>
      </c>
    </row>
    <row r="1061" spans="1:16" ht="15.75" customHeight="1" x14ac:dyDescent="0.3">
      <c r="A1061" s="32" t="s">
        <v>59</v>
      </c>
      <c r="B1061" s="9" t="s">
        <v>415</v>
      </c>
      <c r="C1061" s="9" t="s">
        <v>415</v>
      </c>
      <c r="D1061" s="42" t="s">
        <v>422</v>
      </c>
      <c r="E1061" s="50">
        <v>20</v>
      </c>
      <c r="F1061" s="9"/>
      <c r="G1061" s="9"/>
      <c r="H1061" s="9"/>
      <c r="I1061" s="41" t="s">
        <v>109</v>
      </c>
      <c r="J1061" s="31"/>
      <c r="K1061" s="41" t="s">
        <v>338</v>
      </c>
      <c r="L1061" s="9"/>
      <c r="M1061" s="12">
        <f t="shared" si="64"/>
        <v>284</v>
      </c>
      <c r="N1061" s="13">
        <f t="shared" si="65"/>
        <v>193</v>
      </c>
      <c r="O1061" s="14">
        <f t="shared" si="66"/>
        <v>477</v>
      </c>
      <c r="P1061" s="15">
        <f t="shared" si="67"/>
        <v>0.57469879518072287</v>
      </c>
    </row>
    <row r="1062" spans="1:16" ht="15.75" customHeight="1" x14ac:dyDescent="0.3">
      <c r="A1062" s="32" t="s">
        <v>59</v>
      </c>
      <c r="B1062" s="9" t="s">
        <v>415</v>
      </c>
      <c r="C1062" s="9" t="s">
        <v>415</v>
      </c>
      <c r="D1062" s="42" t="s">
        <v>422</v>
      </c>
      <c r="E1062" s="51">
        <v>20</v>
      </c>
      <c r="F1062" s="9"/>
      <c r="G1062" s="9"/>
      <c r="H1062" s="9"/>
      <c r="I1062" s="41" t="s">
        <v>292</v>
      </c>
      <c r="J1062" s="31" t="s">
        <v>8</v>
      </c>
      <c r="K1062" s="41" t="s">
        <v>338</v>
      </c>
      <c r="L1062" s="9"/>
      <c r="M1062" s="12">
        <f t="shared" si="64"/>
        <v>44</v>
      </c>
      <c r="N1062" s="13">
        <f t="shared" si="65"/>
        <v>61</v>
      </c>
      <c r="O1062" s="14">
        <f t="shared" si="66"/>
        <v>105</v>
      </c>
      <c r="P1062" s="15">
        <f t="shared" si="67"/>
        <v>0.12650602409638553</v>
      </c>
    </row>
    <row r="1063" spans="1:16" ht="15.75" customHeight="1" x14ac:dyDescent="0.3">
      <c r="A1063" s="41" t="s">
        <v>59</v>
      </c>
      <c r="B1063" s="9" t="s">
        <v>415</v>
      </c>
      <c r="C1063" s="9" t="s">
        <v>415</v>
      </c>
      <c r="D1063" s="42" t="s">
        <v>422</v>
      </c>
      <c r="E1063" s="50">
        <v>34</v>
      </c>
      <c r="F1063" s="9"/>
      <c r="G1063" s="9"/>
      <c r="H1063" s="9"/>
      <c r="I1063" s="52" t="s">
        <v>427</v>
      </c>
      <c r="J1063" s="41"/>
      <c r="K1063" s="41"/>
      <c r="L1063" s="9"/>
      <c r="M1063" s="12">
        <f t="shared" si="64"/>
        <v>0</v>
      </c>
      <c r="N1063" s="13">
        <f t="shared" si="65"/>
        <v>34</v>
      </c>
      <c r="O1063" s="14">
        <f t="shared" si="66"/>
        <v>34</v>
      </c>
      <c r="P1063" s="15">
        <f t="shared" si="67"/>
        <v>4.0963855421686748E-2</v>
      </c>
    </row>
    <row r="1064" spans="1:16" ht="15.75" customHeight="1" x14ac:dyDescent="0.3">
      <c r="A1064" s="9" t="s">
        <v>59</v>
      </c>
      <c r="B1064" s="9" t="s">
        <v>415</v>
      </c>
      <c r="C1064" s="9" t="s">
        <v>415</v>
      </c>
      <c r="D1064" s="9" t="s">
        <v>199</v>
      </c>
      <c r="E1064" s="53"/>
      <c r="F1064" s="54">
        <v>575</v>
      </c>
      <c r="G1064" s="55">
        <v>0</v>
      </c>
      <c r="H1064" s="56"/>
      <c r="I1064" s="57" t="s">
        <v>428</v>
      </c>
      <c r="J1064" s="57" t="s">
        <v>429</v>
      </c>
      <c r="K1064" s="58"/>
      <c r="L1064" s="56"/>
      <c r="M1064" s="12">
        <f t="shared" si="64"/>
        <v>0</v>
      </c>
      <c r="N1064" s="13">
        <f t="shared" si="65"/>
        <v>0</v>
      </c>
      <c r="O1064" s="14">
        <f t="shared" si="66"/>
        <v>0</v>
      </c>
      <c r="P1064" s="15">
        <f t="shared" si="67"/>
        <v>0</v>
      </c>
    </row>
    <row r="1065" spans="1:16" ht="15.75" customHeight="1" x14ac:dyDescent="0.3">
      <c r="A1065" s="120" t="s">
        <v>59</v>
      </c>
      <c r="B1065" s="36" t="s">
        <v>415</v>
      </c>
      <c r="C1065" s="9" t="s">
        <v>415</v>
      </c>
      <c r="D1065" s="9" t="s">
        <v>199</v>
      </c>
      <c r="E1065" s="10">
        <v>140</v>
      </c>
      <c r="F1065" s="9"/>
      <c r="G1065" s="9"/>
      <c r="H1065" s="9"/>
      <c r="I1065" s="32" t="s">
        <v>129</v>
      </c>
      <c r="J1065" s="32" t="s">
        <v>8</v>
      </c>
      <c r="K1065" s="32" t="s">
        <v>430</v>
      </c>
      <c r="L1065" s="9" t="s">
        <v>431</v>
      </c>
      <c r="M1065" s="12">
        <f t="shared" si="64"/>
        <v>348</v>
      </c>
      <c r="N1065" s="13">
        <f t="shared" si="65"/>
        <v>583</v>
      </c>
      <c r="O1065" s="14">
        <f t="shared" si="66"/>
        <v>931</v>
      </c>
      <c r="P1065" s="15">
        <f t="shared" si="67"/>
        <v>1.1216867469879519</v>
      </c>
    </row>
    <row r="1066" spans="1:16" ht="15.75" customHeight="1" x14ac:dyDescent="0.3">
      <c r="A1066" s="120" t="s">
        <v>59</v>
      </c>
      <c r="B1066" s="36" t="s">
        <v>415</v>
      </c>
      <c r="C1066" s="9" t="s">
        <v>415</v>
      </c>
      <c r="D1066" s="9" t="s">
        <v>199</v>
      </c>
      <c r="E1066" s="10">
        <v>120</v>
      </c>
      <c r="F1066" s="9"/>
      <c r="G1066" s="9"/>
      <c r="H1066" s="9"/>
      <c r="I1066" s="32" t="s">
        <v>211</v>
      </c>
      <c r="J1066" s="32" t="s">
        <v>4</v>
      </c>
      <c r="K1066" s="32" t="s">
        <v>432</v>
      </c>
      <c r="L1066" s="9"/>
      <c r="M1066" s="12">
        <f t="shared" si="64"/>
        <v>213</v>
      </c>
      <c r="N1066" s="13">
        <f t="shared" si="65"/>
        <v>399</v>
      </c>
      <c r="O1066" s="14">
        <f t="shared" si="66"/>
        <v>612</v>
      </c>
      <c r="P1066" s="15">
        <f t="shared" si="67"/>
        <v>0.73734939759036144</v>
      </c>
    </row>
    <row r="1067" spans="1:16" ht="15.75" customHeight="1" x14ac:dyDescent="0.3">
      <c r="A1067" s="120" t="s">
        <v>59</v>
      </c>
      <c r="B1067" s="36" t="s">
        <v>415</v>
      </c>
      <c r="C1067" s="9" t="s">
        <v>415</v>
      </c>
      <c r="D1067" s="9" t="s">
        <v>199</v>
      </c>
      <c r="E1067" s="10">
        <v>80</v>
      </c>
      <c r="F1067" s="9"/>
      <c r="G1067" s="9"/>
      <c r="H1067" s="9"/>
      <c r="I1067" s="32" t="s">
        <v>168</v>
      </c>
      <c r="J1067" s="32" t="s">
        <v>4</v>
      </c>
      <c r="K1067" s="32" t="s">
        <v>433</v>
      </c>
      <c r="L1067" s="9"/>
      <c r="M1067" s="12">
        <f t="shared" si="64"/>
        <v>456</v>
      </c>
      <c r="N1067" s="13">
        <f t="shared" si="65"/>
        <v>362</v>
      </c>
      <c r="O1067" s="14">
        <f t="shared" si="66"/>
        <v>818</v>
      </c>
      <c r="P1067" s="15">
        <f t="shared" si="67"/>
        <v>0.98554216867469879</v>
      </c>
    </row>
    <row r="1068" spans="1:16" ht="15.75" customHeight="1" x14ac:dyDescent="0.3">
      <c r="A1068" s="120" t="s">
        <v>59</v>
      </c>
      <c r="B1068" s="36" t="s">
        <v>415</v>
      </c>
      <c r="C1068" s="9" t="s">
        <v>415</v>
      </c>
      <c r="D1068" s="9" t="s">
        <v>199</v>
      </c>
      <c r="E1068" s="10">
        <v>71.5</v>
      </c>
      <c r="F1068" s="9"/>
      <c r="G1068" s="9"/>
      <c r="H1068" s="9"/>
      <c r="I1068" s="32" t="s">
        <v>85</v>
      </c>
      <c r="J1068" s="32" t="s">
        <v>4</v>
      </c>
      <c r="K1068" s="32" t="s">
        <v>434</v>
      </c>
      <c r="L1068" s="9"/>
      <c r="M1068" s="12">
        <f t="shared" si="64"/>
        <v>284</v>
      </c>
      <c r="N1068" s="13">
        <f t="shared" si="65"/>
        <v>691.5</v>
      </c>
      <c r="O1068" s="14">
        <f t="shared" si="66"/>
        <v>975.5</v>
      </c>
      <c r="P1068" s="15">
        <f t="shared" si="67"/>
        <v>1.175301204819277</v>
      </c>
    </row>
    <row r="1069" spans="1:16" ht="15.75" customHeight="1" x14ac:dyDescent="0.3">
      <c r="A1069" s="120" t="s">
        <v>59</v>
      </c>
      <c r="B1069" s="36" t="s">
        <v>415</v>
      </c>
      <c r="C1069" s="9" t="s">
        <v>415</v>
      </c>
      <c r="D1069" s="9" t="s">
        <v>199</v>
      </c>
      <c r="E1069" s="10">
        <v>71.5</v>
      </c>
      <c r="F1069" s="9"/>
      <c r="G1069" s="9"/>
      <c r="H1069" s="9"/>
      <c r="I1069" s="32" t="s">
        <v>180</v>
      </c>
      <c r="J1069" s="32" t="s">
        <v>4</v>
      </c>
      <c r="K1069" s="32" t="s">
        <v>434</v>
      </c>
      <c r="L1069" s="9" t="s">
        <v>181</v>
      </c>
      <c r="M1069" s="12">
        <f t="shared" si="64"/>
        <v>703</v>
      </c>
      <c r="N1069" s="13">
        <f t="shared" si="65"/>
        <v>179.5</v>
      </c>
      <c r="O1069" s="14">
        <f t="shared" si="66"/>
        <v>882.5</v>
      </c>
      <c r="P1069" s="15">
        <f t="shared" si="67"/>
        <v>1.0632530120481927</v>
      </c>
    </row>
    <row r="1070" spans="1:16" ht="15.75" customHeight="1" x14ac:dyDescent="0.3">
      <c r="A1070" s="120" t="s">
        <v>59</v>
      </c>
      <c r="B1070" s="36" t="s">
        <v>415</v>
      </c>
      <c r="C1070" s="9" t="s">
        <v>415</v>
      </c>
      <c r="D1070" s="9" t="s">
        <v>199</v>
      </c>
      <c r="E1070" s="10">
        <v>11.5</v>
      </c>
      <c r="F1070" s="59"/>
      <c r="G1070" s="59"/>
      <c r="H1070" s="59"/>
      <c r="I1070" s="32" t="s">
        <v>201</v>
      </c>
      <c r="J1070" s="32" t="s">
        <v>4</v>
      </c>
      <c r="K1070" s="58" t="s">
        <v>435</v>
      </c>
      <c r="L1070" s="56"/>
      <c r="M1070" s="12">
        <f t="shared" si="64"/>
        <v>647</v>
      </c>
      <c r="N1070" s="13">
        <f t="shared" si="65"/>
        <v>461.5</v>
      </c>
      <c r="O1070" s="14">
        <f t="shared" si="66"/>
        <v>1108.5</v>
      </c>
      <c r="P1070" s="15">
        <f t="shared" si="67"/>
        <v>1.3355421686746989</v>
      </c>
    </row>
    <row r="1071" spans="1:16" ht="15.75" customHeight="1" x14ac:dyDescent="0.3">
      <c r="A1071" s="120" t="s">
        <v>59</v>
      </c>
      <c r="B1071" s="36" t="s">
        <v>415</v>
      </c>
      <c r="C1071" s="9" t="s">
        <v>415</v>
      </c>
      <c r="D1071" s="9" t="s">
        <v>199</v>
      </c>
      <c r="E1071" s="10">
        <v>11.5</v>
      </c>
      <c r="F1071" s="59"/>
      <c r="G1071" s="59"/>
      <c r="H1071" s="59"/>
      <c r="I1071" s="32" t="s">
        <v>187</v>
      </c>
      <c r="J1071" s="32" t="s">
        <v>21</v>
      </c>
      <c r="K1071" s="32" t="s">
        <v>420</v>
      </c>
      <c r="L1071" s="9"/>
      <c r="M1071" s="12">
        <f t="shared" si="64"/>
        <v>127</v>
      </c>
      <c r="N1071" s="13">
        <f t="shared" si="65"/>
        <v>133.5</v>
      </c>
      <c r="O1071" s="14">
        <f t="shared" si="66"/>
        <v>260.5</v>
      </c>
      <c r="P1071" s="15">
        <f t="shared" si="67"/>
        <v>0.31385542168674696</v>
      </c>
    </row>
    <row r="1072" spans="1:16" ht="15.75" customHeight="1" x14ac:dyDescent="0.3">
      <c r="A1072" s="9" t="s">
        <v>59</v>
      </c>
      <c r="B1072" s="9" t="s">
        <v>415</v>
      </c>
      <c r="C1072" s="9" t="s">
        <v>415</v>
      </c>
      <c r="D1072" s="9" t="s">
        <v>199</v>
      </c>
      <c r="E1072" s="10">
        <v>46</v>
      </c>
      <c r="F1072" s="9"/>
      <c r="G1072" s="9"/>
      <c r="H1072" s="9"/>
      <c r="I1072" s="60" t="s">
        <v>436</v>
      </c>
      <c r="J1072" s="32"/>
      <c r="K1072" s="32" t="s">
        <v>437</v>
      </c>
      <c r="L1072" s="9"/>
      <c r="M1072" s="12">
        <f t="shared" si="64"/>
        <v>0</v>
      </c>
      <c r="N1072" s="13">
        <f t="shared" si="65"/>
        <v>46</v>
      </c>
      <c r="O1072" s="14">
        <f t="shared" si="66"/>
        <v>46</v>
      </c>
      <c r="P1072" s="15">
        <f t="shared" si="67"/>
        <v>5.5421686746987948E-2</v>
      </c>
    </row>
    <row r="1073" spans="1:16" ht="15.75" customHeight="1" x14ac:dyDescent="0.3">
      <c r="A1073" s="119" t="s">
        <v>59</v>
      </c>
      <c r="B1073" s="9" t="s">
        <v>415</v>
      </c>
      <c r="C1073" s="9" t="s">
        <v>415</v>
      </c>
      <c r="D1073" s="9" t="s">
        <v>199</v>
      </c>
      <c r="E1073" s="10">
        <v>23</v>
      </c>
      <c r="F1073" s="9"/>
      <c r="G1073" s="9"/>
      <c r="H1073" s="9"/>
      <c r="I1073" s="32" t="s">
        <v>92</v>
      </c>
      <c r="J1073" s="32" t="s">
        <v>4</v>
      </c>
      <c r="K1073" s="32" t="s">
        <v>438</v>
      </c>
      <c r="L1073" s="9" t="s">
        <v>197</v>
      </c>
      <c r="M1073" s="12">
        <f t="shared" si="64"/>
        <v>405</v>
      </c>
      <c r="N1073" s="13">
        <f t="shared" si="65"/>
        <v>478</v>
      </c>
      <c r="O1073" s="14">
        <f t="shared" si="66"/>
        <v>883</v>
      </c>
      <c r="P1073" s="15">
        <f t="shared" si="67"/>
        <v>1.0638554216867471</v>
      </c>
    </row>
    <row r="1074" spans="1:16" ht="15.75" customHeight="1" x14ac:dyDescent="0.3">
      <c r="A1074" s="41" t="s">
        <v>59</v>
      </c>
      <c r="B1074" s="9" t="s">
        <v>415</v>
      </c>
      <c r="C1074" s="9" t="s">
        <v>415</v>
      </c>
      <c r="D1074" s="9" t="s">
        <v>119</v>
      </c>
      <c r="E1074" s="53"/>
      <c r="F1074" s="10">
        <v>350</v>
      </c>
      <c r="G1074" s="11">
        <v>0</v>
      </c>
      <c r="H1074" s="9"/>
      <c r="I1074" s="61" t="s">
        <v>439</v>
      </c>
      <c r="J1074" s="61" t="s">
        <v>440</v>
      </c>
      <c r="K1074" s="14"/>
      <c r="L1074" s="9"/>
      <c r="M1074" s="12">
        <f t="shared" si="64"/>
        <v>0</v>
      </c>
      <c r="N1074" s="13">
        <f t="shared" si="65"/>
        <v>0</v>
      </c>
      <c r="O1074" s="14">
        <f t="shared" si="66"/>
        <v>0</v>
      </c>
      <c r="P1074" s="15">
        <f t="shared" si="67"/>
        <v>0</v>
      </c>
    </row>
    <row r="1075" spans="1:16" ht="15.75" customHeight="1" x14ac:dyDescent="0.3">
      <c r="A1075" s="120" t="s">
        <v>59</v>
      </c>
      <c r="B1075" s="36" t="s">
        <v>415</v>
      </c>
      <c r="C1075" s="36" t="s">
        <v>415</v>
      </c>
      <c r="D1075" s="36" t="s">
        <v>441</v>
      </c>
      <c r="E1075" s="62">
        <f>60+3+6</f>
        <v>69</v>
      </c>
      <c r="F1075" s="36"/>
      <c r="G1075" s="36">
        <v>0</v>
      </c>
      <c r="H1075" s="36"/>
      <c r="I1075" s="33" t="s">
        <v>97</v>
      </c>
      <c r="J1075" s="33" t="s">
        <v>8</v>
      </c>
      <c r="K1075" s="33" t="s">
        <v>442</v>
      </c>
      <c r="L1075" s="36" t="s">
        <v>443</v>
      </c>
      <c r="M1075" s="12">
        <f t="shared" si="64"/>
        <v>501</v>
      </c>
      <c r="N1075" s="13">
        <f t="shared" si="65"/>
        <v>486.5</v>
      </c>
      <c r="O1075" s="14">
        <f t="shared" si="66"/>
        <v>987.5</v>
      </c>
      <c r="P1075" s="15">
        <f t="shared" si="67"/>
        <v>1.1897590361445782</v>
      </c>
    </row>
    <row r="1076" spans="1:16" ht="15.75" customHeight="1" x14ac:dyDescent="0.3">
      <c r="A1076" s="120" t="s">
        <v>59</v>
      </c>
      <c r="B1076" s="36" t="s">
        <v>415</v>
      </c>
      <c r="C1076" s="36" t="s">
        <v>415</v>
      </c>
      <c r="D1076" s="36" t="s">
        <v>441</v>
      </c>
      <c r="E1076" s="62">
        <f>40+3</f>
        <v>43</v>
      </c>
      <c r="F1076" s="36"/>
      <c r="G1076" s="36">
        <v>0</v>
      </c>
      <c r="H1076" s="36"/>
      <c r="I1076" s="33" t="s">
        <v>155</v>
      </c>
      <c r="J1076" s="33" t="s">
        <v>8</v>
      </c>
      <c r="K1076" s="33" t="s">
        <v>444</v>
      </c>
      <c r="L1076" s="36" t="s">
        <v>443</v>
      </c>
      <c r="M1076" s="12">
        <f t="shared" si="64"/>
        <v>370</v>
      </c>
      <c r="N1076" s="13">
        <f t="shared" si="65"/>
        <v>124.5</v>
      </c>
      <c r="O1076" s="14">
        <f t="shared" si="66"/>
        <v>494.5</v>
      </c>
      <c r="P1076" s="15">
        <f t="shared" si="67"/>
        <v>0.5957831325301205</v>
      </c>
    </row>
    <row r="1077" spans="1:16" ht="15.75" customHeight="1" x14ac:dyDescent="0.3">
      <c r="A1077" s="120" t="s">
        <v>59</v>
      </c>
      <c r="B1077" s="36" t="s">
        <v>415</v>
      </c>
      <c r="C1077" s="36" t="s">
        <v>415</v>
      </c>
      <c r="D1077" s="36" t="s">
        <v>441</v>
      </c>
      <c r="E1077" s="62">
        <v>20</v>
      </c>
      <c r="F1077" s="36"/>
      <c r="G1077" s="36">
        <v>0</v>
      </c>
      <c r="H1077" s="36"/>
      <c r="I1077" s="33" t="s">
        <v>251</v>
      </c>
      <c r="J1077" s="33" t="s">
        <v>8</v>
      </c>
      <c r="K1077" s="33" t="s">
        <v>445</v>
      </c>
      <c r="L1077" s="36" t="s">
        <v>443</v>
      </c>
      <c r="M1077" s="12">
        <f t="shared" si="64"/>
        <v>179</v>
      </c>
      <c r="N1077" s="13">
        <f t="shared" si="65"/>
        <v>72</v>
      </c>
      <c r="O1077" s="14">
        <f t="shared" si="66"/>
        <v>251</v>
      </c>
      <c r="P1077" s="15">
        <f t="shared" si="67"/>
        <v>0.30240963855421688</v>
      </c>
    </row>
    <row r="1078" spans="1:16" ht="15.75" customHeight="1" x14ac:dyDescent="0.3">
      <c r="A1078" s="120" t="s">
        <v>59</v>
      </c>
      <c r="B1078" s="36" t="s">
        <v>415</v>
      </c>
      <c r="C1078" s="36" t="s">
        <v>415</v>
      </c>
      <c r="D1078" s="36" t="s">
        <v>441</v>
      </c>
      <c r="E1078" s="62">
        <v>3</v>
      </c>
      <c r="F1078" s="36"/>
      <c r="G1078" s="36">
        <v>0</v>
      </c>
      <c r="H1078" s="9" t="s">
        <v>259</v>
      </c>
      <c r="I1078" s="9" t="s">
        <v>260</v>
      </c>
      <c r="J1078" s="33" t="s">
        <v>21</v>
      </c>
      <c r="K1078" s="33" t="s">
        <v>420</v>
      </c>
      <c r="L1078" s="36" t="s">
        <v>443</v>
      </c>
      <c r="M1078" s="12">
        <f t="shared" si="64"/>
        <v>144</v>
      </c>
      <c r="N1078" s="13">
        <f t="shared" si="65"/>
        <v>88.5</v>
      </c>
      <c r="O1078" s="14">
        <f t="shared" si="66"/>
        <v>232.5</v>
      </c>
      <c r="P1078" s="15">
        <f t="shared" si="67"/>
        <v>0.28012048192771083</v>
      </c>
    </row>
    <row r="1079" spans="1:16" ht="15.75" customHeight="1" x14ac:dyDescent="0.3">
      <c r="A1079" s="120" t="s">
        <v>59</v>
      </c>
      <c r="B1079" s="36" t="s">
        <v>415</v>
      </c>
      <c r="C1079" s="36" t="s">
        <v>415</v>
      </c>
      <c r="D1079" s="36" t="s">
        <v>441</v>
      </c>
      <c r="E1079" s="62">
        <v>3</v>
      </c>
      <c r="F1079" s="36"/>
      <c r="G1079" s="36">
        <v>0</v>
      </c>
      <c r="H1079" s="36"/>
      <c r="I1079" s="33" t="s">
        <v>258</v>
      </c>
      <c r="J1079" s="33" t="s">
        <v>8</v>
      </c>
      <c r="K1079" s="33" t="s">
        <v>421</v>
      </c>
      <c r="L1079" s="48" t="s">
        <v>443</v>
      </c>
      <c r="M1079" s="12">
        <f t="shared" si="64"/>
        <v>331</v>
      </c>
      <c r="N1079" s="13">
        <f t="shared" si="65"/>
        <v>520</v>
      </c>
      <c r="O1079" s="14">
        <f t="shared" si="66"/>
        <v>851</v>
      </c>
      <c r="P1079" s="15">
        <f t="shared" si="67"/>
        <v>1.0253012048192771</v>
      </c>
    </row>
    <row r="1080" spans="1:16" ht="15.75" customHeight="1" x14ac:dyDescent="0.3">
      <c r="A1080" s="120" t="s">
        <v>59</v>
      </c>
      <c r="B1080" s="36" t="s">
        <v>415</v>
      </c>
      <c r="C1080" s="36" t="s">
        <v>415</v>
      </c>
      <c r="D1080" s="36" t="s">
        <v>119</v>
      </c>
      <c r="E1080" s="62">
        <f>40+8</f>
        <v>48</v>
      </c>
      <c r="F1080" s="36"/>
      <c r="G1080" s="36">
        <v>0</v>
      </c>
      <c r="H1080" s="36" t="s">
        <v>272</v>
      </c>
      <c r="I1080" s="33" t="s">
        <v>273</v>
      </c>
      <c r="J1080" s="33" t="s">
        <v>8</v>
      </c>
      <c r="K1080" s="33" t="s">
        <v>446</v>
      </c>
      <c r="L1080" s="63"/>
      <c r="M1080" s="12">
        <f t="shared" si="64"/>
        <v>552</v>
      </c>
      <c r="N1080" s="13">
        <f t="shared" si="65"/>
        <v>171</v>
      </c>
      <c r="O1080" s="14">
        <f t="shared" si="66"/>
        <v>723</v>
      </c>
      <c r="P1080" s="15">
        <f t="shared" si="67"/>
        <v>0.87108433734939761</v>
      </c>
    </row>
    <row r="1081" spans="1:16" ht="15.75" customHeight="1" x14ac:dyDescent="0.3">
      <c r="A1081" s="120" t="s">
        <v>59</v>
      </c>
      <c r="B1081" s="36" t="s">
        <v>415</v>
      </c>
      <c r="C1081" s="36" t="s">
        <v>415</v>
      </c>
      <c r="D1081" s="36" t="s">
        <v>119</v>
      </c>
      <c r="E1081" s="62">
        <v>20</v>
      </c>
      <c r="F1081" s="36"/>
      <c r="G1081" s="36">
        <v>0</v>
      </c>
      <c r="H1081" s="36" t="s">
        <v>328</v>
      </c>
      <c r="I1081" s="33" t="s">
        <v>64</v>
      </c>
      <c r="J1081" s="33" t="s">
        <v>4</v>
      </c>
      <c r="K1081" s="33" t="s">
        <v>338</v>
      </c>
      <c r="L1081" s="63"/>
      <c r="M1081" s="12">
        <f t="shared" si="64"/>
        <v>284</v>
      </c>
      <c r="N1081" s="13">
        <f t="shared" si="65"/>
        <v>140</v>
      </c>
      <c r="O1081" s="14">
        <f t="shared" si="66"/>
        <v>424</v>
      </c>
      <c r="P1081" s="15">
        <f t="shared" si="67"/>
        <v>0.51084337349397591</v>
      </c>
    </row>
    <row r="1082" spans="1:16" ht="15.75" customHeight="1" x14ac:dyDescent="0.3">
      <c r="A1082" s="120" t="s">
        <v>59</v>
      </c>
      <c r="B1082" s="36" t="s">
        <v>415</v>
      </c>
      <c r="C1082" s="36" t="s">
        <v>415</v>
      </c>
      <c r="D1082" s="36" t="s">
        <v>119</v>
      </c>
      <c r="E1082" s="62">
        <v>4</v>
      </c>
      <c r="F1082" s="36"/>
      <c r="G1082" s="36">
        <v>0</v>
      </c>
      <c r="H1082" s="36" t="s">
        <v>98</v>
      </c>
      <c r="I1082" s="33" t="s">
        <v>99</v>
      </c>
      <c r="J1082" s="33" t="s">
        <v>4</v>
      </c>
      <c r="K1082" s="33" t="s">
        <v>420</v>
      </c>
      <c r="L1082" s="63"/>
      <c r="M1082" s="12">
        <f t="shared" si="64"/>
        <v>239</v>
      </c>
      <c r="N1082" s="13">
        <f t="shared" si="65"/>
        <v>196.5</v>
      </c>
      <c r="O1082" s="14">
        <f t="shared" si="66"/>
        <v>435.5</v>
      </c>
      <c r="P1082" s="15">
        <f t="shared" si="67"/>
        <v>0.52469879518072293</v>
      </c>
    </row>
    <row r="1083" spans="1:16" ht="15.75" customHeight="1" x14ac:dyDescent="0.3">
      <c r="A1083" s="120" t="s">
        <v>59</v>
      </c>
      <c r="B1083" s="36" t="s">
        <v>415</v>
      </c>
      <c r="C1083" s="36" t="s">
        <v>415</v>
      </c>
      <c r="D1083" s="36" t="s">
        <v>119</v>
      </c>
      <c r="E1083" s="62">
        <v>24</v>
      </c>
      <c r="F1083" s="36"/>
      <c r="G1083" s="36"/>
      <c r="H1083" s="36" t="s">
        <v>70</v>
      </c>
      <c r="I1083" s="33" t="s">
        <v>71</v>
      </c>
      <c r="J1083" s="33" t="s">
        <v>447</v>
      </c>
      <c r="K1083" s="33" t="s">
        <v>448</v>
      </c>
      <c r="L1083" s="63"/>
      <c r="M1083" s="12">
        <f t="shared" si="64"/>
        <v>391</v>
      </c>
      <c r="N1083" s="13">
        <f t="shared" si="65"/>
        <v>436.5</v>
      </c>
      <c r="O1083" s="14">
        <f t="shared" si="66"/>
        <v>827.5</v>
      </c>
      <c r="P1083" s="15">
        <f t="shared" si="67"/>
        <v>0.99698795180722888</v>
      </c>
    </row>
    <row r="1084" spans="1:16" ht="15.75" customHeight="1" x14ac:dyDescent="0.3">
      <c r="A1084" s="120" t="s">
        <v>59</v>
      </c>
      <c r="B1084" s="36" t="s">
        <v>415</v>
      </c>
      <c r="C1084" s="36" t="s">
        <v>415</v>
      </c>
      <c r="D1084" s="36" t="s">
        <v>119</v>
      </c>
      <c r="E1084" s="62">
        <v>44</v>
      </c>
      <c r="F1084" s="36"/>
      <c r="G1084" s="36"/>
      <c r="H1084" s="36" t="s">
        <v>65</v>
      </c>
      <c r="I1084" s="33" t="s">
        <v>66</v>
      </c>
      <c r="J1084" s="33" t="s">
        <v>4</v>
      </c>
      <c r="K1084" s="33" t="s">
        <v>423</v>
      </c>
      <c r="L1084" s="63"/>
      <c r="M1084" s="12">
        <f t="shared" si="64"/>
        <v>291</v>
      </c>
      <c r="N1084" s="13">
        <f t="shared" si="65"/>
        <v>650.5</v>
      </c>
      <c r="O1084" s="14">
        <f t="shared" si="66"/>
        <v>941.5</v>
      </c>
      <c r="P1084" s="15">
        <f t="shared" si="67"/>
        <v>1.1343373493975903</v>
      </c>
    </row>
    <row r="1085" spans="1:16" ht="15.75" customHeight="1" x14ac:dyDescent="0.3">
      <c r="A1085" s="120" t="s">
        <v>59</v>
      </c>
      <c r="B1085" s="36" t="s">
        <v>415</v>
      </c>
      <c r="C1085" s="36" t="s">
        <v>415</v>
      </c>
      <c r="D1085" s="36" t="s">
        <v>119</v>
      </c>
      <c r="E1085" s="62">
        <v>44</v>
      </c>
      <c r="F1085" s="36"/>
      <c r="G1085" s="36"/>
      <c r="H1085" s="36" t="s">
        <v>115</v>
      </c>
      <c r="I1085" s="33" t="s">
        <v>116</v>
      </c>
      <c r="J1085" s="33" t="s">
        <v>4</v>
      </c>
      <c r="K1085" s="33" t="s">
        <v>423</v>
      </c>
      <c r="L1085" s="63"/>
      <c r="M1085" s="12">
        <f t="shared" si="64"/>
        <v>353</v>
      </c>
      <c r="N1085" s="13">
        <f t="shared" si="65"/>
        <v>367</v>
      </c>
      <c r="O1085" s="14">
        <f t="shared" si="66"/>
        <v>720</v>
      </c>
      <c r="P1085" s="15">
        <f t="shared" si="67"/>
        <v>0.86746987951807231</v>
      </c>
    </row>
    <row r="1086" spans="1:16" ht="15.75" customHeight="1" x14ac:dyDescent="0.3">
      <c r="A1086" s="31" t="s">
        <v>59</v>
      </c>
      <c r="B1086" s="36" t="s">
        <v>415</v>
      </c>
      <c r="C1086" s="36" t="s">
        <v>415</v>
      </c>
      <c r="D1086" s="36" t="s">
        <v>441</v>
      </c>
      <c r="E1086" s="62">
        <v>28</v>
      </c>
      <c r="F1086" s="36"/>
      <c r="G1086" s="36"/>
      <c r="H1086" s="36" t="s">
        <v>115</v>
      </c>
      <c r="I1086" s="33" t="s">
        <v>449</v>
      </c>
      <c r="J1086" s="33"/>
      <c r="K1086" s="33" t="s">
        <v>450</v>
      </c>
      <c r="L1086" s="63"/>
      <c r="M1086" s="12">
        <f t="shared" ref="M1086:M1130" si="68">SUMIFS($E$2:$E$1130,$A$2:$A$1130,"осень",$I$2:$I$1130,I1086)</f>
        <v>0</v>
      </c>
      <c r="N1086" s="13">
        <f t="shared" ref="N1086:N1130" si="69">SUMIFS($E$2:$E$1130,$A$2:$A$1130,"весна",$I$2:$I$1130,I1086)</f>
        <v>28</v>
      </c>
      <c r="O1086" s="14">
        <f t="shared" ref="O1086:O1130" si="70">M1086+N1086</f>
        <v>28</v>
      </c>
      <c r="P1086" s="15">
        <f t="shared" ref="P1086:P1130" si="71">O1086/$P$1</f>
        <v>3.3734939759036145E-2</v>
      </c>
    </row>
    <row r="1087" spans="1:16" ht="15.75" customHeight="1" x14ac:dyDescent="0.3">
      <c r="A1087" s="32" t="s">
        <v>59</v>
      </c>
      <c r="B1087" s="18" t="s">
        <v>415</v>
      </c>
      <c r="C1087" s="18" t="s">
        <v>415</v>
      </c>
      <c r="D1087" s="18" t="s">
        <v>119</v>
      </c>
      <c r="E1087" s="19">
        <v>50</v>
      </c>
      <c r="F1087" s="19">
        <v>50</v>
      </c>
      <c r="G1087" s="27"/>
      <c r="H1087" s="18"/>
      <c r="I1087" s="20" t="s">
        <v>71</v>
      </c>
      <c r="J1087" s="18"/>
      <c r="K1087" s="18"/>
      <c r="L1087" s="18" t="s">
        <v>451</v>
      </c>
      <c r="M1087" s="12">
        <f t="shared" si="68"/>
        <v>391</v>
      </c>
      <c r="N1087" s="13">
        <f t="shared" si="69"/>
        <v>436.5</v>
      </c>
      <c r="O1087" s="14">
        <f t="shared" si="70"/>
        <v>827.5</v>
      </c>
      <c r="P1087" s="15">
        <f t="shared" si="71"/>
        <v>0.99698795180722888</v>
      </c>
    </row>
    <row r="1088" spans="1:16" ht="15.75" customHeight="1" x14ac:dyDescent="0.3">
      <c r="A1088" s="32" t="s">
        <v>59</v>
      </c>
      <c r="B1088" s="9" t="s">
        <v>415</v>
      </c>
      <c r="C1088" s="9" t="s">
        <v>415</v>
      </c>
      <c r="D1088" s="9" t="s">
        <v>344</v>
      </c>
      <c r="E1088" s="10">
        <v>50</v>
      </c>
      <c r="F1088" s="9"/>
      <c r="G1088" s="11">
        <v>0</v>
      </c>
      <c r="H1088" s="9" t="s">
        <v>76</v>
      </c>
      <c r="I1088" s="9" t="s">
        <v>77</v>
      </c>
      <c r="J1088" s="9"/>
      <c r="K1088" s="9"/>
      <c r="L1088" s="9" t="s">
        <v>345</v>
      </c>
      <c r="M1088" s="12">
        <f t="shared" si="68"/>
        <v>249</v>
      </c>
      <c r="N1088" s="13">
        <f t="shared" si="69"/>
        <v>294</v>
      </c>
      <c r="O1088" s="14">
        <f t="shared" si="70"/>
        <v>543</v>
      </c>
      <c r="P1088" s="15">
        <f t="shared" si="71"/>
        <v>0.6542168674698795</v>
      </c>
    </row>
    <row r="1089" spans="1:16" ht="15.75" customHeight="1" x14ac:dyDescent="0.3">
      <c r="A1089" s="32" t="s">
        <v>59</v>
      </c>
      <c r="B1089" s="9" t="s">
        <v>415</v>
      </c>
      <c r="C1089" s="9" t="s">
        <v>415</v>
      </c>
      <c r="D1089" s="9" t="s">
        <v>346</v>
      </c>
      <c r="E1089" s="10">
        <v>25</v>
      </c>
      <c r="F1089" s="9"/>
      <c r="G1089" s="11">
        <v>0</v>
      </c>
      <c r="H1089" s="9" t="s">
        <v>257</v>
      </c>
      <c r="I1089" s="9" t="s">
        <v>258</v>
      </c>
      <c r="J1089" s="9" t="s">
        <v>8</v>
      </c>
      <c r="K1089" s="9"/>
      <c r="L1089" s="9" t="s">
        <v>347</v>
      </c>
      <c r="M1089" s="12">
        <f t="shared" si="68"/>
        <v>331</v>
      </c>
      <c r="N1089" s="13">
        <f t="shared" si="69"/>
        <v>520</v>
      </c>
      <c r="O1089" s="14">
        <f t="shared" si="70"/>
        <v>851</v>
      </c>
      <c r="P1089" s="15">
        <f t="shared" si="71"/>
        <v>1.0253012048192771</v>
      </c>
    </row>
    <row r="1090" spans="1:16" ht="15.75" customHeight="1" x14ac:dyDescent="0.3">
      <c r="A1090" s="41" t="s">
        <v>59</v>
      </c>
      <c r="B1090" s="9" t="s">
        <v>415</v>
      </c>
      <c r="C1090" s="9" t="s">
        <v>415</v>
      </c>
      <c r="D1090" s="9" t="s">
        <v>189</v>
      </c>
      <c r="E1090" s="65"/>
      <c r="F1090" s="10">
        <v>150</v>
      </c>
      <c r="G1090" s="11">
        <v>0</v>
      </c>
      <c r="H1090" s="9"/>
      <c r="I1090" s="66" t="s">
        <v>452</v>
      </c>
      <c r="J1090" s="9"/>
      <c r="K1090" s="9"/>
      <c r="L1090" s="9"/>
      <c r="M1090" s="12">
        <f t="shared" si="68"/>
        <v>0</v>
      </c>
      <c r="N1090" s="13">
        <f t="shared" si="69"/>
        <v>0</v>
      </c>
      <c r="O1090" s="14">
        <f t="shared" si="70"/>
        <v>0</v>
      </c>
      <c r="P1090" s="15">
        <f t="shared" si="71"/>
        <v>0</v>
      </c>
    </row>
    <row r="1091" spans="1:16" ht="15.75" customHeight="1" x14ac:dyDescent="0.3">
      <c r="A1091" s="32" t="s">
        <v>59</v>
      </c>
      <c r="B1091" s="9" t="s">
        <v>415</v>
      </c>
      <c r="C1091" s="9" t="s">
        <v>415</v>
      </c>
      <c r="D1091" s="9" t="s">
        <v>189</v>
      </c>
      <c r="E1091" s="67">
        <v>43</v>
      </c>
      <c r="F1091" s="10"/>
      <c r="G1091" s="11"/>
      <c r="H1091" s="9"/>
      <c r="I1091" s="9" t="s">
        <v>172</v>
      </c>
      <c r="J1091" s="9"/>
      <c r="K1091" s="9" t="s">
        <v>453</v>
      </c>
      <c r="L1091" s="9"/>
      <c r="M1091" s="12">
        <f t="shared" si="68"/>
        <v>339</v>
      </c>
      <c r="N1091" s="13">
        <f t="shared" si="69"/>
        <v>296</v>
      </c>
      <c r="O1091" s="14">
        <f t="shared" si="70"/>
        <v>635</v>
      </c>
      <c r="P1091" s="15">
        <f t="shared" si="71"/>
        <v>0.76506024096385539</v>
      </c>
    </row>
    <row r="1092" spans="1:16" ht="15.75" customHeight="1" x14ac:dyDescent="0.3">
      <c r="A1092" s="119" t="s">
        <v>59</v>
      </c>
      <c r="B1092" s="9" t="s">
        <v>415</v>
      </c>
      <c r="C1092" s="9" t="s">
        <v>415</v>
      </c>
      <c r="D1092" s="9" t="s">
        <v>189</v>
      </c>
      <c r="E1092" s="67">
        <v>46</v>
      </c>
      <c r="F1092" s="10"/>
      <c r="G1092" s="11"/>
      <c r="H1092" s="9"/>
      <c r="I1092" s="9" t="s">
        <v>92</v>
      </c>
      <c r="J1092" s="9"/>
      <c r="K1092" s="9" t="s">
        <v>454</v>
      </c>
      <c r="L1092" s="9"/>
      <c r="M1092" s="12">
        <f t="shared" si="68"/>
        <v>405</v>
      </c>
      <c r="N1092" s="13">
        <f t="shared" si="69"/>
        <v>478</v>
      </c>
      <c r="O1092" s="14">
        <f t="shared" si="70"/>
        <v>883</v>
      </c>
      <c r="P1092" s="15">
        <f t="shared" si="71"/>
        <v>1.0638554216867471</v>
      </c>
    </row>
    <row r="1093" spans="1:16" ht="15.75" customHeight="1" x14ac:dyDescent="0.3">
      <c r="A1093" s="32" t="s">
        <v>59</v>
      </c>
      <c r="B1093" s="9" t="s">
        <v>415</v>
      </c>
      <c r="C1093" s="9" t="s">
        <v>415</v>
      </c>
      <c r="D1093" s="9" t="s">
        <v>189</v>
      </c>
      <c r="E1093" s="67">
        <v>23</v>
      </c>
      <c r="F1093" s="10"/>
      <c r="G1093" s="11"/>
      <c r="H1093" s="9"/>
      <c r="I1093" s="9" t="s">
        <v>168</v>
      </c>
      <c r="J1093" s="9"/>
      <c r="K1093" s="9" t="s">
        <v>455</v>
      </c>
      <c r="L1093" s="9"/>
      <c r="M1093" s="12">
        <f t="shared" si="68"/>
        <v>456</v>
      </c>
      <c r="N1093" s="13">
        <f t="shared" si="69"/>
        <v>362</v>
      </c>
      <c r="O1093" s="14">
        <f t="shared" si="70"/>
        <v>818</v>
      </c>
      <c r="P1093" s="15">
        <f t="shared" si="71"/>
        <v>0.98554216867469879</v>
      </c>
    </row>
    <row r="1094" spans="1:16" ht="15.75" customHeight="1" x14ac:dyDescent="0.3">
      <c r="A1094" s="32" t="s">
        <v>59</v>
      </c>
      <c r="B1094" s="9" t="s">
        <v>415</v>
      </c>
      <c r="C1094" s="9" t="s">
        <v>415</v>
      </c>
      <c r="D1094" s="9" t="s">
        <v>189</v>
      </c>
      <c r="E1094" s="67">
        <v>3</v>
      </c>
      <c r="F1094" s="10"/>
      <c r="G1094" s="11"/>
      <c r="H1094" s="9"/>
      <c r="I1094" s="9" t="s">
        <v>187</v>
      </c>
      <c r="J1094" s="9"/>
      <c r="K1094" s="9" t="s">
        <v>456</v>
      </c>
      <c r="L1094" s="9"/>
      <c r="M1094" s="12">
        <f t="shared" si="68"/>
        <v>127</v>
      </c>
      <c r="N1094" s="13">
        <f t="shared" si="69"/>
        <v>133.5</v>
      </c>
      <c r="O1094" s="14">
        <f t="shared" si="70"/>
        <v>260.5</v>
      </c>
      <c r="P1094" s="15">
        <f t="shared" si="71"/>
        <v>0.31385542168674696</v>
      </c>
    </row>
    <row r="1095" spans="1:16" ht="15.75" customHeight="1" x14ac:dyDescent="0.3">
      <c r="A1095" s="32" t="s">
        <v>59</v>
      </c>
      <c r="B1095" s="9" t="s">
        <v>415</v>
      </c>
      <c r="C1095" s="9" t="s">
        <v>415</v>
      </c>
      <c r="D1095" s="9" t="s">
        <v>189</v>
      </c>
      <c r="E1095" s="67">
        <v>23</v>
      </c>
      <c r="F1095" s="10"/>
      <c r="G1095" s="11"/>
      <c r="H1095" s="9"/>
      <c r="I1095" s="9" t="s">
        <v>223</v>
      </c>
      <c r="J1095" s="9"/>
      <c r="K1095" s="9" t="s">
        <v>457</v>
      </c>
      <c r="L1095" s="9"/>
      <c r="M1095" s="12">
        <f t="shared" si="68"/>
        <v>41</v>
      </c>
      <c r="N1095" s="13">
        <f t="shared" si="69"/>
        <v>124</v>
      </c>
      <c r="O1095" s="14">
        <f t="shared" si="70"/>
        <v>165</v>
      </c>
      <c r="P1095" s="15">
        <f t="shared" si="71"/>
        <v>0.19879518072289157</v>
      </c>
    </row>
    <row r="1096" spans="1:16" ht="15.75" customHeight="1" x14ac:dyDescent="0.3">
      <c r="A1096" s="41" t="s">
        <v>59</v>
      </c>
      <c r="B1096" s="9" t="s">
        <v>415</v>
      </c>
      <c r="C1096" s="9" t="s">
        <v>415</v>
      </c>
      <c r="D1096" s="9" t="s">
        <v>189</v>
      </c>
      <c r="E1096" s="67">
        <v>12</v>
      </c>
      <c r="F1096" s="10"/>
      <c r="G1096" s="11"/>
      <c r="H1096" s="9"/>
      <c r="I1096" s="9" t="s">
        <v>458</v>
      </c>
      <c r="J1096" s="9"/>
      <c r="K1096" s="9" t="s">
        <v>459</v>
      </c>
      <c r="L1096" s="9"/>
      <c r="M1096" s="12">
        <f t="shared" si="68"/>
        <v>0</v>
      </c>
      <c r="N1096" s="13">
        <f t="shared" si="69"/>
        <v>12</v>
      </c>
      <c r="O1096" s="14">
        <f t="shared" si="70"/>
        <v>12</v>
      </c>
      <c r="P1096" s="15">
        <f t="shared" si="71"/>
        <v>1.4457831325301205E-2</v>
      </c>
    </row>
    <row r="1097" spans="1:16" ht="15.75" customHeight="1" x14ac:dyDescent="0.3">
      <c r="A1097" s="41" t="s">
        <v>59</v>
      </c>
      <c r="B1097" s="9" t="s">
        <v>415</v>
      </c>
      <c r="C1097" s="9" t="s">
        <v>415</v>
      </c>
      <c r="D1097" s="9" t="s">
        <v>165</v>
      </c>
      <c r="E1097" s="53"/>
      <c r="F1097" s="10">
        <v>245</v>
      </c>
      <c r="G1097" s="11">
        <v>0</v>
      </c>
      <c r="H1097" s="9"/>
      <c r="I1097" s="66" t="s">
        <v>460</v>
      </c>
      <c r="J1097" s="9"/>
      <c r="K1097" s="9"/>
      <c r="L1097" s="9"/>
      <c r="M1097" s="12">
        <f t="shared" si="68"/>
        <v>0</v>
      </c>
      <c r="N1097" s="13">
        <f t="shared" si="69"/>
        <v>0</v>
      </c>
      <c r="O1097" s="14">
        <f t="shared" si="70"/>
        <v>0</v>
      </c>
      <c r="P1097" s="15">
        <f t="shared" si="71"/>
        <v>0</v>
      </c>
    </row>
    <row r="1098" spans="1:16" ht="15.75" customHeight="1" x14ac:dyDescent="0.3">
      <c r="A1098" s="32" t="s">
        <v>59</v>
      </c>
      <c r="B1098" s="9" t="s">
        <v>415</v>
      </c>
      <c r="C1098" s="9" t="s">
        <v>415</v>
      </c>
      <c r="D1098" s="35" t="s">
        <v>165</v>
      </c>
      <c r="E1098" s="68">
        <v>30</v>
      </c>
      <c r="F1098" s="35"/>
      <c r="G1098" s="35"/>
      <c r="H1098" s="35"/>
      <c r="I1098" s="24" t="s">
        <v>231</v>
      </c>
      <c r="J1098" s="24" t="s">
        <v>4</v>
      </c>
      <c r="K1098" s="9" t="s">
        <v>338</v>
      </c>
      <c r="L1098" s="35" t="s">
        <v>232</v>
      </c>
      <c r="M1098" s="12">
        <f t="shared" si="68"/>
        <v>116</v>
      </c>
      <c r="N1098" s="13">
        <f t="shared" si="69"/>
        <v>105</v>
      </c>
      <c r="O1098" s="14">
        <f t="shared" si="70"/>
        <v>221</v>
      </c>
      <c r="P1098" s="15">
        <f t="shared" si="71"/>
        <v>0.26626506024096386</v>
      </c>
    </row>
    <row r="1099" spans="1:16" ht="15.75" customHeight="1" x14ac:dyDescent="0.3">
      <c r="A1099" s="32" t="s">
        <v>59</v>
      </c>
      <c r="B1099" s="9" t="s">
        <v>415</v>
      </c>
      <c r="C1099" s="9" t="s">
        <v>415</v>
      </c>
      <c r="D1099" s="35" t="s">
        <v>165</v>
      </c>
      <c r="E1099" s="68">
        <v>33</v>
      </c>
      <c r="F1099" s="35"/>
      <c r="G1099" s="35"/>
      <c r="H1099" s="35"/>
      <c r="I1099" s="9" t="s">
        <v>129</v>
      </c>
      <c r="J1099" s="34" t="s">
        <v>8</v>
      </c>
      <c r="K1099" s="24" t="s">
        <v>461</v>
      </c>
      <c r="L1099" s="35" t="s">
        <v>431</v>
      </c>
      <c r="M1099" s="12">
        <f t="shared" si="68"/>
        <v>348</v>
      </c>
      <c r="N1099" s="13">
        <f t="shared" si="69"/>
        <v>583</v>
      </c>
      <c r="O1099" s="14">
        <f t="shared" si="70"/>
        <v>931</v>
      </c>
      <c r="P1099" s="15">
        <f t="shared" si="71"/>
        <v>1.1216867469879519</v>
      </c>
    </row>
    <row r="1100" spans="1:16" ht="15.75" customHeight="1" x14ac:dyDescent="0.3">
      <c r="A1100" s="32" t="s">
        <v>59</v>
      </c>
      <c r="B1100" s="9" t="s">
        <v>415</v>
      </c>
      <c r="C1100" s="9" t="s">
        <v>415</v>
      </c>
      <c r="D1100" s="35" t="s">
        <v>165</v>
      </c>
      <c r="E1100" s="68">
        <v>33</v>
      </c>
      <c r="F1100" s="35"/>
      <c r="G1100" s="35"/>
      <c r="H1100" s="35"/>
      <c r="I1100" s="35" t="s">
        <v>172</v>
      </c>
      <c r="J1100" s="35" t="s">
        <v>8</v>
      </c>
      <c r="K1100" s="24" t="s">
        <v>461</v>
      </c>
      <c r="L1100" s="69" t="s">
        <v>303</v>
      </c>
      <c r="M1100" s="12">
        <f t="shared" si="68"/>
        <v>339</v>
      </c>
      <c r="N1100" s="13">
        <f t="shared" si="69"/>
        <v>296</v>
      </c>
      <c r="O1100" s="14">
        <f t="shared" si="70"/>
        <v>635</v>
      </c>
      <c r="P1100" s="15">
        <f t="shared" si="71"/>
        <v>0.76506024096385539</v>
      </c>
    </row>
    <row r="1101" spans="1:16" ht="15.75" customHeight="1" x14ac:dyDescent="0.3">
      <c r="A1101" s="32" t="s">
        <v>59</v>
      </c>
      <c r="B1101" s="9" t="s">
        <v>415</v>
      </c>
      <c r="C1101" s="9" t="s">
        <v>415</v>
      </c>
      <c r="D1101" s="35" t="s">
        <v>165</v>
      </c>
      <c r="E1101" s="68">
        <v>63</v>
      </c>
      <c r="F1101" s="35"/>
      <c r="G1101" s="35"/>
      <c r="H1101" s="35"/>
      <c r="I1101" s="35" t="s">
        <v>175</v>
      </c>
      <c r="J1101" s="9" t="s">
        <v>8</v>
      </c>
      <c r="K1101" s="24" t="s">
        <v>462</v>
      </c>
      <c r="L1101" s="53"/>
      <c r="M1101" s="12">
        <f t="shared" si="68"/>
        <v>320</v>
      </c>
      <c r="N1101" s="13">
        <f t="shared" si="69"/>
        <v>169</v>
      </c>
      <c r="O1101" s="14">
        <f t="shared" si="70"/>
        <v>489</v>
      </c>
      <c r="P1101" s="15">
        <f t="shared" si="71"/>
        <v>0.58915662650602407</v>
      </c>
    </row>
    <row r="1102" spans="1:16" ht="15.75" customHeight="1" x14ac:dyDescent="0.3">
      <c r="A1102" s="32" t="s">
        <v>59</v>
      </c>
      <c r="B1102" s="9" t="s">
        <v>415</v>
      </c>
      <c r="C1102" s="9" t="s">
        <v>415</v>
      </c>
      <c r="D1102" s="35" t="s">
        <v>165</v>
      </c>
      <c r="E1102" s="68">
        <v>30</v>
      </c>
      <c r="F1102" s="35"/>
      <c r="G1102" s="35"/>
      <c r="H1102" s="35"/>
      <c r="I1102" s="35" t="s">
        <v>168</v>
      </c>
      <c r="J1102" s="9" t="s">
        <v>4</v>
      </c>
      <c r="K1102" s="24" t="s">
        <v>338</v>
      </c>
      <c r="L1102" s="35" t="s">
        <v>197</v>
      </c>
      <c r="M1102" s="12">
        <f t="shared" si="68"/>
        <v>456</v>
      </c>
      <c r="N1102" s="13">
        <f t="shared" si="69"/>
        <v>362</v>
      </c>
      <c r="O1102" s="14">
        <f t="shared" si="70"/>
        <v>818</v>
      </c>
      <c r="P1102" s="15">
        <f t="shared" si="71"/>
        <v>0.98554216867469879</v>
      </c>
    </row>
    <row r="1103" spans="1:16" ht="15.75" customHeight="1" x14ac:dyDescent="0.3">
      <c r="A1103" s="119" t="s">
        <v>59</v>
      </c>
      <c r="B1103" s="9" t="s">
        <v>415</v>
      </c>
      <c r="C1103" s="9" t="s">
        <v>415</v>
      </c>
      <c r="D1103" s="35" t="s">
        <v>165</v>
      </c>
      <c r="E1103" s="68">
        <v>6</v>
      </c>
      <c r="F1103" s="35"/>
      <c r="G1103" s="35"/>
      <c r="H1103" s="35"/>
      <c r="I1103" s="36" t="s">
        <v>92</v>
      </c>
      <c r="J1103" s="9" t="s">
        <v>4</v>
      </c>
      <c r="K1103" s="24" t="s">
        <v>409</v>
      </c>
      <c r="L1103" s="37"/>
      <c r="M1103" s="12">
        <f t="shared" si="68"/>
        <v>405</v>
      </c>
      <c r="N1103" s="13">
        <f t="shared" si="69"/>
        <v>478</v>
      </c>
      <c r="O1103" s="14">
        <f t="shared" si="70"/>
        <v>883</v>
      </c>
      <c r="P1103" s="15">
        <f t="shared" si="71"/>
        <v>1.0638554216867471</v>
      </c>
    </row>
    <row r="1104" spans="1:16" ht="15.75" customHeight="1" x14ac:dyDescent="0.3">
      <c r="A1104" s="41" t="s">
        <v>59</v>
      </c>
      <c r="B1104" s="9" t="s">
        <v>415</v>
      </c>
      <c r="C1104" s="9" t="s">
        <v>415</v>
      </c>
      <c r="D1104" s="35" t="s">
        <v>165</v>
      </c>
      <c r="E1104" s="68">
        <v>15</v>
      </c>
      <c r="F1104" s="35"/>
      <c r="G1104" s="35"/>
      <c r="H1104" s="35"/>
      <c r="I1104" s="70" t="s">
        <v>463</v>
      </c>
      <c r="J1104" s="9"/>
      <c r="K1104" s="24" t="s">
        <v>464</v>
      </c>
      <c r="L1104" s="37"/>
      <c r="M1104" s="12">
        <f t="shared" si="68"/>
        <v>0</v>
      </c>
      <c r="N1104" s="13">
        <f t="shared" si="69"/>
        <v>15</v>
      </c>
      <c r="O1104" s="14">
        <f t="shared" si="70"/>
        <v>15</v>
      </c>
      <c r="P1104" s="15">
        <f t="shared" si="71"/>
        <v>1.8072289156626505E-2</v>
      </c>
    </row>
    <row r="1105" spans="1:16" ht="15.75" customHeight="1" x14ac:dyDescent="0.3">
      <c r="A1105" s="41" t="s">
        <v>59</v>
      </c>
      <c r="B1105" s="18" t="s">
        <v>415</v>
      </c>
      <c r="C1105" s="18" t="s">
        <v>415</v>
      </c>
      <c r="D1105" s="71" t="s">
        <v>165</v>
      </c>
      <c r="E1105" s="72">
        <v>35</v>
      </c>
      <c r="F1105" s="71"/>
      <c r="G1105" s="71"/>
      <c r="H1105" s="71"/>
      <c r="I1105" s="73" t="s">
        <v>465</v>
      </c>
      <c r="J1105" s="74"/>
      <c r="K1105" s="75" t="s">
        <v>338</v>
      </c>
      <c r="L1105" s="76"/>
      <c r="M1105" s="12">
        <f t="shared" si="68"/>
        <v>0</v>
      </c>
      <c r="N1105" s="13">
        <f t="shared" si="69"/>
        <v>140</v>
      </c>
      <c r="O1105" s="14">
        <f t="shared" si="70"/>
        <v>140</v>
      </c>
      <c r="P1105" s="15">
        <f t="shared" si="71"/>
        <v>0.16867469879518071</v>
      </c>
    </row>
    <row r="1106" spans="1:16" ht="15.75" customHeight="1" x14ac:dyDescent="0.3">
      <c r="A1106" s="41" t="s">
        <v>59</v>
      </c>
      <c r="B1106" s="9" t="s">
        <v>415</v>
      </c>
      <c r="C1106" s="9" t="s">
        <v>415</v>
      </c>
      <c r="D1106" s="9" t="s">
        <v>237</v>
      </c>
      <c r="E1106" s="53"/>
      <c r="F1106" s="10">
        <v>210</v>
      </c>
      <c r="G1106" s="11">
        <v>0</v>
      </c>
      <c r="H1106" s="9"/>
      <c r="I1106" s="66" t="s">
        <v>466</v>
      </c>
      <c r="J1106" s="9"/>
      <c r="K1106" s="9"/>
      <c r="L1106" s="9"/>
      <c r="M1106" s="12">
        <f t="shared" si="68"/>
        <v>0</v>
      </c>
      <c r="N1106" s="13">
        <f t="shared" si="69"/>
        <v>0</v>
      </c>
      <c r="O1106" s="14">
        <f t="shared" si="70"/>
        <v>0</v>
      </c>
      <c r="P1106" s="15">
        <f t="shared" si="71"/>
        <v>0</v>
      </c>
    </row>
    <row r="1107" spans="1:16" ht="15.75" customHeight="1" x14ac:dyDescent="0.3">
      <c r="A1107" s="32" t="s">
        <v>59</v>
      </c>
      <c r="B1107" s="9" t="s">
        <v>415</v>
      </c>
      <c r="C1107" s="9" t="s">
        <v>415</v>
      </c>
      <c r="D1107" s="9" t="s">
        <v>237</v>
      </c>
      <c r="E1107" s="10">
        <v>32.5</v>
      </c>
      <c r="F1107" s="9"/>
      <c r="G1107" s="11">
        <v>0</v>
      </c>
      <c r="H1107" s="9"/>
      <c r="I1107" s="9" t="s">
        <v>99</v>
      </c>
      <c r="J1107" s="9" t="s">
        <v>4</v>
      </c>
      <c r="K1107" s="26" t="s">
        <v>467</v>
      </c>
      <c r="L1107" s="26"/>
      <c r="M1107" s="12">
        <f t="shared" si="68"/>
        <v>239</v>
      </c>
      <c r="N1107" s="13">
        <f t="shared" si="69"/>
        <v>196.5</v>
      </c>
      <c r="O1107" s="14">
        <f t="shared" si="70"/>
        <v>435.5</v>
      </c>
      <c r="P1107" s="15">
        <f t="shared" si="71"/>
        <v>0.52469879518072293</v>
      </c>
    </row>
    <row r="1108" spans="1:16" ht="15.75" customHeight="1" x14ac:dyDescent="0.3">
      <c r="A1108" s="32" t="s">
        <v>59</v>
      </c>
      <c r="B1108" s="9" t="s">
        <v>415</v>
      </c>
      <c r="C1108" s="9" t="s">
        <v>415</v>
      </c>
      <c r="D1108" s="9" t="s">
        <v>237</v>
      </c>
      <c r="E1108" s="10">
        <v>32.5</v>
      </c>
      <c r="F1108" s="9"/>
      <c r="G1108" s="11">
        <v>0</v>
      </c>
      <c r="H1108" s="9"/>
      <c r="I1108" s="9" t="s">
        <v>66</v>
      </c>
      <c r="J1108" s="9"/>
      <c r="K1108" s="26" t="s">
        <v>468</v>
      </c>
      <c r="L1108" s="26"/>
      <c r="M1108" s="12">
        <f t="shared" si="68"/>
        <v>291</v>
      </c>
      <c r="N1108" s="13">
        <f t="shared" si="69"/>
        <v>650.5</v>
      </c>
      <c r="O1108" s="14">
        <f t="shared" si="70"/>
        <v>941.5</v>
      </c>
      <c r="P1108" s="15">
        <f t="shared" si="71"/>
        <v>1.1343373493975903</v>
      </c>
    </row>
    <row r="1109" spans="1:16" ht="15.75" customHeight="1" x14ac:dyDescent="0.3">
      <c r="A1109" s="32" t="s">
        <v>59</v>
      </c>
      <c r="B1109" s="9" t="s">
        <v>415</v>
      </c>
      <c r="C1109" s="9" t="s">
        <v>415</v>
      </c>
      <c r="D1109" s="9" t="s">
        <v>237</v>
      </c>
      <c r="E1109" s="10">
        <v>30</v>
      </c>
      <c r="F1109" s="9"/>
      <c r="G1109" s="11">
        <v>0</v>
      </c>
      <c r="H1109" s="9"/>
      <c r="I1109" s="9" t="s">
        <v>116</v>
      </c>
      <c r="J1109" s="9" t="s">
        <v>4</v>
      </c>
      <c r="K1109" s="26" t="s">
        <v>338</v>
      </c>
      <c r="L1109" s="26"/>
      <c r="M1109" s="12">
        <f t="shared" si="68"/>
        <v>353</v>
      </c>
      <c r="N1109" s="13">
        <f t="shared" si="69"/>
        <v>367</v>
      </c>
      <c r="O1109" s="14">
        <f t="shared" si="70"/>
        <v>720</v>
      </c>
      <c r="P1109" s="15">
        <f t="shared" si="71"/>
        <v>0.86746987951807231</v>
      </c>
    </row>
    <row r="1110" spans="1:16" ht="15.75" customHeight="1" x14ac:dyDescent="0.3">
      <c r="A1110" s="32" t="s">
        <v>59</v>
      </c>
      <c r="B1110" s="9" t="s">
        <v>415</v>
      </c>
      <c r="C1110" s="9" t="s">
        <v>415</v>
      </c>
      <c r="D1110" s="9" t="s">
        <v>237</v>
      </c>
      <c r="E1110" s="10">
        <v>35</v>
      </c>
      <c r="F1110" s="9"/>
      <c r="G1110" s="11">
        <v>0</v>
      </c>
      <c r="H1110" s="9"/>
      <c r="I1110" s="9" t="s">
        <v>273</v>
      </c>
      <c r="J1110" s="9"/>
      <c r="K1110" s="26" t="s">
        <v>468</v>
      </c>
      <c r="L1110" s="26"/>
      <c r="M1110" s="12">
        <f t="shared" si="68"/>
        <v>552</v>
      </c>
      <c r="N1110" s="13">
        <f t="shared" si="69"/>
        <v>171</v>
      </c>
      <c r="O1110" s="14">
        <f t="shared" si="70"/>
        <v>723</v>
      </c>
      <c r="P1110" s="15">
        <f t="shared" si="71"/>
        <v>0.87108433734939761</v>
      </c>
    </row>
    <row r="1111" spans="1:16" ht="15.75" customHeight="1" x14ac:dyDescent="0.3">
      <c r="A1111" s="32" t="s">
        <v>59</v>
      </c>
      <c r="B1111" s="9" t="s">
        <v>415</v>
      </c>
      <c r="C1111" s="9" t="s">
        <v>415</v>
      </c>
      <c r="D1111" s="9" t="s">
        <v>237</v>
      </c>
      <c r="E1111" s="10">
        <v>30</v>
      </c>
      <c r="F1111" s="9"/>
      <c r="G1111" s="11">
        <v>0</v>
      </c>
      <c r="H1111" s="9"/>
      <c r="I1111" s="9" t="s">
        <v>64</v>
      </c>
      <c r="J1111" s="9"/>
      <c r="K1111" s="26" t="s">
        <v>338</v>
      </c>
      <c r="L1111" s="26"/>
      <c r="M1111" s="12">
        <f t="shared" si="68"/>
        <v>284</v>
      </c>
      <c r="N1111" s="13">
        <f t="shared" si="69"/>
        <v>140</v>
      </c>
      <c r="O1111" s="14">
        <f t="shared" si="70"/>
        <v>424</v>
      </c>
      <c r="P1111" s="15">
        <f t="shared" si="71"/>
        <v>0.51084337349397591</v>
      </c>
    </row>
    <row r="1112" spans="1:16" ht="15.75" customHeight="1" x14ac:dyDescent="0.3">
      <c r="A1112" s="32" t="s">
        <v>59</v>
      </c>
      <c r="B1112" s="9" t="s">
        <v>415</v>
      </c>
      <c r="C1112" s="9" t="s">
        <v>415</v>
      </c>
      <c r="D1112" s="9" t="s">
        <v>237</v>
      </c>
      <c r="E1112" s="10">
        <v>2.5</v>
      </c>
      <c r="F1112" s="9"/>
      <c r="G1112" s="11"/>
      <c r="H1112" s="9"/>
      <c r="I1112" s="38" t="s">
        <v>71</v>
      </c>
      <c r="J1112" s="77" t="s">
        <v>447</v>
      </c>
      <c r="K1112" s="78" t="s">
        <v>421</v>
      </c>
      <c r="L1112" s="78"/>
      <c r="M1112" s="12">
        <f t="shared" si="68"/>
        <v>391</v>
      </c>
      <c r="N1112" s="13">
        <f t="shared" si="69"/>
        <v>436.5</v>
      </c>
      <c r="O1112" s="14">
        <f t="shared" si="70"/>
        <v>827.5</v>
      </c>
      <c r="P1112" s="15">
        <f t="shared" si="71"/>
        <v>0.99698795180722888</v>
      </c>
    </row>
    <row r="1113" spans="1:16" ht="15.75" customHeight="1" x14ac:dyDescent="0.3">
      <c r="A1113" s="41" t="s">
        <v>59</v>
      </c>
      <c r="B1113" s="9" t="s">
        <v>415</v>
      </c>
      <c r="C1113" s="9" t="s">
        <v>415</v>
      </c>
      <c r="D1113" s="9" t="s">
        <v>237</v>
      </c>
      <c r="E1113" s="10">
        <v>12.5</v>
      </c>
      <c r="F1113" s="9"/>
      <c r="G1113" s="11"/>
      <c r="H1113" s="9"/>
      <c r="I1113" s="9" t="s">
        <v>469</v>
      </c>
      <c r="J1113" s="79"/>
      <c r="K1113" s="63" t="s">
        <v>464</v>
      </c>
      <c r="L1113" s="26"/>
      <c r="M1113" s="12">
        <f t="shared" si="68"/>
        <v>0</v>
      </c>
      <c r="N1113" s="13">
        <f t="shared" si="69"/>
        <v>12.5</v>
      </c>
      <c r="O1113" s="14">
        <f t="shared" si="70"/>
        <v>12.5</v>
      </c>
      <c r="P1113" s="15">
        <f t="shared" si="71"/>
        <v>1.5060240963855422E-2</v>
      </c>
    </row>
    <row r="1114" spans="1:16" ht="15.75" customHeight="1" x14ac:dyDescent="0.3">
      <c r="A1114" s="80" t="s">
        <v>59</v>
      </c>
      <c r="B1114" s="81" t="s">
        <v>415</v>
      </c>
      <c r="C1114" s="81" t="s">
        <v>415</v>
      </c>
      <c r="D1114" s="74" t="s">
        <v>237</v>
      </c>
      <c r="E1114" s="82">
        <v>35</v>
      </c>
      <c r="F1114" s="74"/>
      <c r="G1114" s="74">
        <v>0</v>
      </c>
      <c r="H1114" s="83"/>
      <c r="I1114" s="20" t="s">
        <v>465</v>
      </c>
      <c r="J1114" s="81"/>
      <c r="K1114" s="81" t="s">
        <v>470</v>
      </c>
      <c r="L1114" s="28"/>
      <c r="M1114" s="12">
        <f t="shared" si="68"/>
        <v>0</v>
      </c>
      <c r="N1114" s="13">
        <f t="shared" si="69"/>
        <v>140</v>
      </c>
      <c r="O1114" s="14">
        <f t="shared" si="70"/>
        <v>140</v>
      </c>
      <c r="P1114" s="15">
        <f t="shared" si="71"/>
        <v>0.16867469879518071</v>
      </c>
    </row>
    <row r="1115" spans="1:16" ht="15.75" customHeight="1" x14ac:dyDescent="0.3">
      <c r="A1115" s="41" t="s">
        <v>59</v>
      </c>
      <c r="B1115" s="9" t="s">
        <v>415</v>
      </c>
      <c r="C1115" s="9" t="s">
        <v>415</v>
      </c>
      <c r="D1115" s="9" t="s">
        <v>152</v>
      </c>
      <c r="E1115" s="53"/>
      <c r="F1115" s="10">
        <v>245</v>
      </c>
      <c r="G1115" s="11">
        <v>0</v>
      </c>
      <c r="H1115" s="9"/>
      <c r="I1115" s="66" t="s">
        <v>471</v>
      </c>
      <c r="J1115" s="9"/>
      <c r="K1115" s="9"/>
      <c r="L1115" s="9"/>
      <c r="M1115" s="12">
        <f t="shared" si="68"/>
        <v>0</v>
      </c>
      <c r="N1115" s="13">
        <f t="shared" si="69"/>
        <v>0</v>
      </c>
      <c r="O1115" s="14">
        <f t="shared" si="70"/>
        <v>0</v>
      </c>
      <c r="P1115" s="15">
        <f t="shared" si="71"/>
        <v>0</v>
      </c>
    </row>
    <row r="1116" spans="1:16" ht="15.75" customHeight="1" x14ac:dyDescent="0.3">
      <c r="A1116" s="32" t="s">
        <v>59</v>
      </c>
      <c r="B1116" s="9" t="s">
        <v>415</v>
      </c>
      <c r="C1116" s="9" t="s">
        <v>415</v>
      </c>
      <c r="D1116" s="9" t="s">
        <v>152</v>
      </c>
      <c r="E1116" s="68">
        <v>35</v>
      </c>
      <c r="F1116" s="35"/>
      <c r="G1116" s="84">
        <v>0</v>
      </c>
      <c r="H1116" s="35"/>
      <c r="I1116" s="39" t="s">
        <v>258</v>
      </c>
      <c r="J1116" s="34" t="s">
        <v>8</v>
      </c>
      <c r="K1116" s="36" t="s">
        <v>472</v>
      </c>
      <c r="L1116" s="53"/>
      <c r="M1116" s="12">
        <f t="shared" si="68"/>
        <v>331</v>
      </c>
      <c r="N1116" s="13">
        <f t="shared" si="69"/>
        <v>520</v>
      </c>
      <c r="O1116" s="14">
        <f t="shared" si="70"/>
        <v>851</v>
      </c>
      <c r="P1116" s="15">
        <f t="shared" si="71"/>
        <v>1.0253012048192771</v>
      </c>
    </row>
    <row r="1117" spans="1:16" ht="15.75" customHeight="1" x14ac:dyDescent="0.3">
      <c r="A1117" s="32" t="s">
        <v>59</v>
      </c>
      <c r="B1117" s="9" t="s">
        <v>415</v>
      </c>
      <c r="C1117" s="9" t="s">
        <v>415</v>
      </c>
      <c r="D1117" s="9" t="s">
        <v>152</v>
      </c>
      <c r="E1117" s="68">
        <v>62.5</v>
      </c>
      <c r="F1117" s="35"/>
      <c r="G1117" s="84">
        <v>0</v>
      </c>
      <c r="H1117" s="35"/>
      <c r="I1117" s="39" t="s">
        <v>97</v>
      </c>
      <c r="J1117" s="34" t="s">
        <v>8</v>
      </c>
      <c r="K1117" s="36" t="s">
        <v>473</v>
      </c>
      <c r="L1117" s="53"/>
      <c r="M1117" s="12">
        <f t="shared" si="68"/>
        <v>501</v>
      </c>
      <c r="N1117" s="13">
        <f t="shared" si="69"/>
        <v>486.5</v>
      </c>
      <c r="O1117" s="14">
        <f t="shared" si="70"/>
        <v>987.5</v>
      </c>
      <c r="P1117" s="15">
        <f t="shared" si="71"/>
        <v>1.1897590361445782</v>
      </c>
    </row>
    <row r="1118" spans="1:16" ht="15.75" customHeight="1" x14ac:dyDescent="0.3">
      <c r="A1118" s="32" t="s">
        <v>59</v>
      </c>
      <c r="B1118" s="9" t="s">
        <v>415</v>
      </c>
      <c r="C1118" s="9" t="s">
        <v>415</v>
      </c>
      <c r="D1118" s="9" t="s">
        <v>152</v>
      </c>
      <c r="E1118" s="68">
        <v>30</v>
      </c>
      <c r="F1118" s="35"/>
      <c r="G1118" s="84">
        <v>0</v>
      </c>
      <c r="H1118" s="35"/>
      <c r="I1118" s="39" t="s">
        <v>77</v>
      </c>
      <c r="J1118" s="34" t="s">
        <v>8</v>
      </c>
      <c r="K1118" s="34" t="s">
        <v>338</v>
      </c>
      <c r="L1118" s="39"/>
      <c r="M1118" s="12">
        <f t="shared" si="68"/>
        <v>249</v>
      </c>
      <c r="N1118" s="13">
        <f t="shared" si="69"/>
        <v>294</v>
      </c>
      <c r="O1118" s="14">
        <f t="shared" si="70"/>
        <v>543</v>
      </c>
      <c r="P1118" s="15">
        <f t="shared" si="71"/>
        <v>0.6542168674698795</v>
      </c>
    </row>
    <row r="1119" spans="1:16" ht="15.75" customHeight="1" x14ac:dyDescent="0.3">
      <c r="A1119" s="32" t="s">
        <v>59</v>
      </c>
      <c r="B1119" s="9" t="s">
        <v>415</v>
      </c>
      <c r="C1119" s="9" t="s">
        <v>415</v>
      </c>
      <c r="D1119" s="9" t="s">
        <v>152</v>
      </c>
      <c r="E1119" s="68">
        <v>2.5</v>
      </c>
      <c r="F1119" s="35"/>
      <c r="G1119" s="84"/>
      <c r="H1119" s="9" t="s">
        <v>259</v>
      </c>
      <c r="I1119" s="9" t="s">
        <v>260</v>
      </c>
      <c r="J1119" s="34" t="s">
        <v>21</v>
      </c>
      <c r="K1119" s="34" t="s">
        <v>420</v>
      </c>
      <c r="L1119" s="39"/>
      <c r="M1119" s="12">
        <f t="shared" si="68"/>
        <v>144</v>
      </c>
      <c r="N1119" s="13">
        <f t="shared" si="69"/>
        <v>88.5</v>
      </c>
      <c r="O1119" s="14">
        <f t="shared" si="70"/>
        <v>232.5</v>
      </c>
      <c r="P1119" s="15">
        <f t="shared" si="71"/>
        <v>0.28012048192771083</v>
      </c>
    </row>
    <row r="1120" spans="1:16" ht="15.75" customHeight="1" x14ac:dyDescent="0.3">
      <c r="A1120" s="32" t="s">
        <v>59</v>
      </c>
      <c r="B1120" s="9" t="s">
        <v>415</v>
      </c>
      <c r="C1120" s="9" t="s">
        <v>415</v>
      </c>
      <c r="D1120" s="9" t="s">
        <v>152</v>
      </c>
      <c r="E1120" s="68">
        <v>2.5</v>
      </c>
      <c r="F1120" s="35"/>
      <c r="G1120" s="84"/>
      <c r="H1120" s="35"/>
      <c r="I1120" s="39" t="s">
        <v>155</v>
      </c>
      <c r="J1120" s="34" t="s">
        <v>8</v>
      </c>
      <c r="K1120" s="34" t="s">
        <v>421</v>
      </c>
      <c r="L1120" s="39"/>
      <c r="M1120" s="12">
        <f t="shared" si="68"/>
        <v>370</v>
      </c>
      <c r="N1120" s="13">
        <f t="shared" si="69"/>
        <v>124.5</v>
      </c>
      <c r="O1120" s="14">
        <f t="shared" si="70"/>
        <v>494.5</v>
      </c>
      <c r="P1120" s="15">
        <f t="shared" si="71"/>
        <v>0.5957831325301205</v>
      </c>
    </row>
    <row r="1121" spans="1:36" ht="15.75" customHeight="1" x14ac:dyDescent="0.3">
      <c r="A1121" s="32" t="s">
        <v>59</v>
      </c>
      <c r="B1121" s="9" t="s">
        <v>415</v>
      </c>
      <c r="C1121" s="9" t="s">
        <v>415</v>
      </c>
      <c r="D1121" s="9" t="s">
        <v>152</v>
      </c>
      <c r="E1121" s="68">
        <v>30</v>
      </c>
      <c r="F1121" s="35"/>
      <c r="G1121" s="84">
        <v>0</v>
      </c>
      <c r="H1121" s="35"/>
      <c r="I1121" s="39" t="s">
        <v>95</v>
      </c>
      <c r="J1121" s="34" t="s">
        <v>8</v>
      </c>
      <c r="K1121" s="35" t="s">
        <v>338</v>
      </c>
      <c r="L1121" s="39"/>
      <c r="M1121" s="12">
        <f t="shared" si="68"/>
        <v>283</v>
      </c>
      <c r="N1121" s="13">
        <f t="shared" si="69"/>
        <v>440</v>
      </c>
      <c r="O1121" s="14">
        <f t="shared" si="70"/>
        <v>723</v>
      </c>
      <c r="P1121" s="15">
        <f t="shared" si="71"/>
        <v>0.87108433734939761</v>
      </c>
    </row>
    <row r="1122" spans="1:36" ht="15.75" customHeight="1" x14ac:dyDescent="0.3">
      <c r="A1122" s="41" t="s">
        <v>59</v>
      </c>
      <c r="B1122" s="9" t="s">
        <v>415</v>
      </c>
      <c r="C1122" s="9" t="s">
        <v>415</v>
      </c>
      <c r="D1122" s="9" t="s">
        <v>152</v>
      </c>
      <c r="E1122" s="10">
        <v>12.5</v>
      </c>
      <c r="F1122" s="63"/>
      <c r="G1122" s="63"/>
      <c r="H1122" s="63"/>
      <c r="I1122" s="9" t="s">
        <v>474</v>
      </c>
      <c r="J1122" s="63"/>
      <c r="K1122" s="63" t="s">
        <v>464</v>
      </c>
      <c r="L1122" s="63"/>
      <c r="M1122" s="12">
        <f t="shared" si="68"/>
        <v>0</v>
      </c>
      <c r="N1122" s="13">
        <f t="shared" si="69"/>
        <v>12.5</v>
      </c>
      <c r="O1122" s="14">
        <f t="shared" si="70"/>
        <v>12.5</v>
      </c>
      <c r="P1122" s="15">
        <f t="shared" si="71"/>
        <v>1.5060240963855422E-2</v>
      </c>
    </row>
    <row r="1123" spans="1:36" ht="15.75" customHeight="1" x14ac:dyDescent="0.3">
      <c r="A1123" s="80" t="s">
        <v>59</v>
      </c>
      <c r="B1123" s="81" t="s">
        <v>415</v>
      </c>
      <c r="C1123" s="81" t="s">
        <v>415</v>
      </c>
      <c r="D1123" s="85" t="s">
        <v>152</v>
      </c>
      <c r="E1123" s="86">
        <v>70</v>
      </c>
      <c r="F1123" s="85"/>
      <c r="G1123" s="87">
        <v>0</v>
      </c>
      <c r="H1123" s="85"/>
      <c r="I1123" s="20" t="s">
        <v>465</v>
      </c>
      <c r="J1123" s="85"/>
      <c r="K1123" s="88" t="s">
        <v>337</v>
      </c>
      <c r="L1123" s="28" t="s">
        <v>339</v>
      </c>
      <c r="M1123" s="12">
        <f t="shared" si="68"/>
        <v>0</v>
      </c>
      <c r="N1123" s="13">
        <f t="shared" si="69"/>
        <v>140</v>
      </c>
      <c r="O1123" s="14">
        <f t="shared" si="70"/>
        <v>140</v>
      </c>
      <c r="P1123" s="15">
        <f t="shared" si="71"/>
        <v>0.16867469879518071</v>
      </c>
    </row>
    <row r="1124" spans="1:36" ht="15.75" customHeight="1" x14ac:dyDescent="0.3">
      <c r="A1124" s="89" t="s">
        <v>59</v>
      </c>
      <c r="B1124" s="90" t="s">
        <v>415</v>
      </c>
      <c r="C1124" s="90" t="s">
        <v>415</v>
      </c>
      <c r="D1124" s="90" t="s">
        <v>144</v>
      </c>
      <c r="E1124" s="53"/>
      <c r="F1124" s="10">
        <v>315</v>
      </c>
      <c r="G1124" s="11">
        <v>0</v>
      </c>
      <c r="H1124" s="91"/>
      <c r="I1124" s="66" t="s">
        <v>475</v>
      </c>
      <c r="J1124" s="90"/>
      <c r="K1124" s="90"/>
      <c r="L1124" s="90"/>
      <c r="M1124" s="12">
        <f t="shared" si="68"/>
        <v>0</v>
      </c>
      <c r="N1124" s="13">
        <f t="shared" si="69"/>
        <v>0</v>
      </c>
      <c r="O1124" s="14">
        <f t="shared" si="70"/>
        <v>0</v>
      </c>
      <c r="P1124" s="15">
        <f t="shared" si="71"/>
        <v>0</v>
      </c>
    </row>
    <row r="1125" spans="1:36" ht="15.75" customHeight="1" x14ac:dyDescent="0.3">
      <c r="A1125" s="121" t="s">
        <v>59</v>
      </c>
      <c r="B1125" s="90" t="s">
        <v>415</v>
      </c>
      <c r="C1125" s="90" t="s">
        <v>415</v>
      </c>
      <c r="D1125" s="90" t="s">
        <v>144</v>
      </c>
      <c r="E1125" s="10">
        <v>99</v>
      </c>
      <c r="F1125" s="9"/>
      <c r="G1125" s="11">
        <v>0</v>
      </c>
      <c r="H1125" s="92"/>
      <c r="I1125" s="40" t="s">
        <v>147</v>
      </c>
      <c r="J1125" s="34" t="s">
        <v>8</v>
      </c>
      <c r="K1125" s="9" t="s">
        <v>434</v>
      </c>
      <c r="L1125" s="53"/>
      <c r="M1125" s="12">
        <f t="shared" si="68"/>
        <v>279</v>
      </c>
      <c r="N1125" s="13">
        <f t="shared" si="69"/>
        <v>475.5</v>
      </c>
      <c r="O1125" s="14">
        <f t="shared" si="70"/>
        <v>754.5</v>
      </c>
      <c r="P1125" s="15">
        <f t="shared" si="71"/>
        <v>0.90903614457831328</v>
      </c>
    </row>
    <row r="1126" spans="1:36" ht="15.75" customHeight="1" x14ac:dyDescent="0.3">
      <c r="A1126" s="121" t="s">
        <v>59</v>
      </c>
      <c r="B1126" s="90" t="s">
        <v>415</v>
      </c>
      <c r="C1126" s="90" t="s">
        <v>415</v>
      </c>
      <c r="D1126" s="90" t="s">
        <v>144</v>
      </c>
      <c r="E1126" s="93">
        <v>64.5</v>
      </c>
      <c r="F1126" s="94"/>
      <c r="G1126" s="95">
        <v>0</v>
      </c>
      <c r="H1126" s="94"/>
      <c r="I1126" s="40" t="s">
        <v>246</v>
      </c>
      <c r="J1126" s="34" t="s">
        <v>8</v>
      </c>
      <c r="K1126" s="9" t="s">
        <v>462</v>
      </c>
      <c r="L1126" s="53"/>
      <c r="M1126" s="12">
        <f t="shared" si="68"/>
        <v>200</v>
      </c>
      <c r="N1126" s="13">
        <f t="shared" si="69"/>
        <v>271</v>
      </c>
      <c r="O1126" s="14">
        <f t="shared" si="70"/>
        <v>471</v>
      </c>
      <c r="P1126" s="15">
        <f t="shared" si="71"/>
        <v>0.56746987951807226</v>
      </c>
    </row>
    <row r="1127" spans="1:36" ht="15.75" customHeight="1" x14ac:dyDescent="0.3">
      <c r="A1127" s="121" t="s">
        <v>59</v>
      </c>
      <c r="B1127" s="90" t="s">
        <v>415</v>
      </c>
      <c r="C1127" s="90" t="s">
        <v>415</v>
      </c>
      <c r="D1127" s="90" t="s">
        <v>144</v>
      </c>
      <c r="E1127" s="93">
        <v>64.5</v>
      </c>
      <c r="F1127" s="94"/>
      <c r="G1127" s="95">
        <v>0</v>
      </c>
      <c r="H1127" s="94"/>
      <c r="I1127" s="40" t="s">
        <v>95</v>
      </c>
      <c r="J1127" s="34" t="s">
        <v>8</v>
      </c>
      <c r="K1127" s="9" t="s">
        <v>462</v>
      </c>
      <c r="L1127" s="53"/>
      <c r="M1127" s="12">
        <f t="shared" si="68"/>
        <v>283</v>
      </c>
      <c r="N1127" s="13">
        <f t="shared" si="69"/>
        <v>440</v>
      </c>
      <c r="O1127" s="14">
        <f t="shared" si="70"/>
        <v>723</v>
      </c>
      <c r="P1127" s="15">
        <f t="shared" si="71"/>
        <v>0.87108433734939761</v>
      </c>
    </row>
    <row r="1128" spans="1:36" ht="15.75" customHeight="1" x14ac:dyDescent="0.3">
      <c r="A1128" s="121" t="s">
        <v>59</v>
      </c>
      <c r="B1128" s="90" t="s">
        <v>415</v>
      </c>
      <c r="C1128" s="90" t="s">
        <v>415</v>
      </c>
      <c r="D1128" s="90" t="s">
        <v>144</v>
      </c>
      <c r="E1128" s="93">
        <v>60</v>
      </c>
      <c r="F1128" s="94"/>
      <c r="G1128" s="95">
        <v>0</v>
      </c>
      <c r="H1128" s="94"/>
      <c r="I1128" s="40" t="s">
        <v>77</v>
      </c>
      <c r="J1128" s="34" t="s">
        <v>8</v>
      </c>
      <c r="K1128" s="9" t="s">
        <v>337</v>
      </c>
      <c r="L1128" s="53"/>
      <c r="M1128" s="12">
        <f t="shared" si="68"/>
        <v>249</v>
      </c>
      <c r="N1128" s="13">
        <f t="shared" si="69"/>
        <v>294</v>
      </c>
      <c r="O1128" s="14">
        <f t="shared" si="70"/>
        <v>543</v>
      </c>
      <c r="P1128" s="15">
        <f t="shared" si="71"/>
        <v>0.6542168674698795</v>
      </c>
    </row>
    <row r="1129" spans="1:36" ht="15.75" customHeight="1" x14ac:dyDescent="0.3">
      <c r="A1129" s="32" t="s">
        <v>59</v>
      </c>
      <c r="B1129" s="9" t="s">
        <v>415</v>
      </c>
      <c r="C1129" s="9" t="s">
        <v>415</v>
      </c>
      <c r="D1129" s="9" t="s">
        <v>144</v>
      </c>
      <c r="E1129" s="53">
        <v>4.5</v>
      </c>
      <c r="F1129" s="10"/>
      <c r="G1129" s="11"/>
      <c r="H1129" s="9"/>
      <c r="I1129" s="96" t="s">
        <v>137</v>
      </c>
      <c r="J1129" s="9" t="s">
        <v>426</v>
      </c>
      <c r="K1129" s="9" t="s">
        <v>420</v>
      </c>
      <c r="L1129" s="9"/>
      <c r="M1129" s="12">
        <f t="shared" si="68"/>
        <v>212</v>
      </c>
      <c r="N1129" s="13">
        <f t="shared" si="69"/>
        <v>8</v>
      </c>
      <c r="O1129" s="14">
        <f t="shared" si="70"/>
        <v>220</v>
      </c>
      <c r="P1129" s="15">
        <f t="shared" si="71"/>
        <v>0.26506024096385544</v>
      </c>
      <c r="Q1129" s="53"/>
      <c r="R1129" s="53"/>
      <c r="S1129" s="53"/>
      <c r="T1129" s="53"/>
      <c r="U1129" s="53"/>
      <c r="V1129" s="53"/>
      <c r="W1129" s="53"/>
      <c r="X1129" s="53"/>
      <c r="Y1129" s="53"/>
      <c r="Z1129" s="53"/>
      <c r="AA1129" s="53"/>
      <c r="AB1129" s="53"/>
      <c r="AC1129" s="53"/>
      <c r="AD1129" s="53"/>
      <c r="AE1129" s="53"/>
      <c r="AF1129" s="53"/>
      <c r="AG1129" s="53"/>
      <c r="AH1129" s="53"/>
      <c r="AI1129" s="53"/>
      <c r="AJ1129" s="53"/>
    </row>
    <row r="1130" spans="1:36" ht="15.75" customHeight="1" x14ac:dyDescent="0.3">
      <c r="A1130" s="41" t="s">
        <v>59</v>
      </c>
      <c r="B1130" s="9" t="s">
        <v>415</v>
      </c>
      <c r="C1130" s="9" t="s">
        <v>415</v>
      </c>
      <c r="D1130" s="9" t="s">
        <v>144</v>
      </c>
      <c r="E1130" s="53">
        <v>22.5</v>
      </c>
      <c r="F1130" s="10"/>
      <c r="G1130" s="11"/>
      <c r="H1130" s="9"/>
      <c r="I1130" s="9" t="s">
        <v>476</v>
      </c>
      <c r="J1130" s="63"/>
      <c r="K1130" s="63" t="s">
        <v>464</v>
      </c>
      <c r="L1130" s="9"/>
      <c r="M1130" s="12">
        <f t="shared" si="68"/>
        <v>0</v>
      </c>
      <c r="N1130" s="13">
        <f t="shared" si="69"/>
        <v>22.5</v>
      </c>
      <c r="O1130" s="14">
        <f t="shared" si="70"/>
        <v>22.5</v>
      </c>
      <c r="P1130" s="15">
        <f t="shared" si="71"/>
        <v>2.710843373493976E-2</v>
      </c>
      <c r="Q1130" s="53"/>
      <c r="R1130" s="53"/>
      <c r="S1130" s="53"/>
      <c r="T1130" s="53"/>
      <c r="U1130" s="53"/>
      <c r="V1130" s="53"/>
      <c r="W1130" s="53"/>
      <c r="X1130" s="53"/>
      <c r="Y1130" s="53"/>
      <c r="Z1130" s="53"/>
      <c r="AA1130" s="53"/>
      <c r="AB1130" s="53"/>
      <c r="AC1130" s="53"/>
      <c r="AD1130" s="53"/>
      <c r="AE1130" s="53"/>
      <c r="AF1130" s="53"/>
      <c r="AG1130" s="53"/>
      <c r="AH1130" s="53"/>
      <c r="AI1130" s="53"/>
      <c r="AJ1130" s="53"/>
    </row>
    <row r="1131" spans="1:36" ht="15.75" customHeight="1" x14ac:dyDescent="0.3">
      <c r="B1131" s="97"/>
      <c r="C1131" s="97"/>
      <c r="D1131" s="97"/>
      <c r="E1131" s="98"/>
      <c r="F1131" s="97"/>
      <c r="G1131" s="97"/>
      <c r="H1131" s="97"/>
      <c r="I1131" s="97"/>
      <c r="J1131" s="97"/>
      <c r="K1131" s="97"/>
      <c r="L1131" s="97"/>
    </row>
    <row r="1132" spans="1:36" ht="15.75" customHeight="1" x14ac:dyDescent="0.3">
      <c r="B1132" s="97"/>
      <c r="C1132" s="97"/>
      <c r="D1132" s="97"/>
      <c r="E1132" s="98">
        <f>SUBTOTAL(9,E2:E1131)</f>
        <v>20009</v>
      </c>
      <c r="F1132" s="97"/>
      <c r="G1132" s="97"/>
      <c r="H1132" s="97"/>
      <c r="I1132" s="97"/>
      <c r="J1132" s="97"/>
      <c r="K1132" s="97"/>
      <c r="L1132" s="97"/>
    </row>
    <row r="1133" spans="1:36" ht="15.75" customHeight="1" x14ac:dyDescent="0.3">
      <c r="B1133" s="97"/>
      <c r="C1133" s="97"/>
      <c r="D1133" s="97"/>
      <c r="E1133" s="98"/>
      <c r="F1133" s="97"/>
      <c r="G1133" s="97"/>
      <c r="H1133" s="97"/>
      <c r="I1133" s="97"/>
      <c r="J1133" s="97"/>
      <c r="K1133" s="97"/>
      <c r="L1133" s="97"/>
    </row>
    <row r="1134" spans="1:36" ht="15.75" customHeight="1" x14ac:dyDescent="0.3">
      <c r="B1134" s="97"/>
      <c r="C1134" s="97"/>
      <c r="D1134" s="97"/>
      <c r="E1134" s="98"/>
      <c r="F1134" s="97"/>
      <c r="G1134" s="97"/>
      <c r="H1134" s="97"/>
      <c r="I1134" s="97"/>
      <c r="J1134" s="97"/>
      <c r="K1134" s="97"/>
      <c r="L1134" s="97"/>
    </row>
    <row r="1135" spans="1:36" ht="15.75" customHeight="1" x14ac:dyDescent="0.3">
      <c r="B1135" s="97"/>
      <c r="C1135" s="97"/>
      <c r="D1135" s="97"/>
      <c r="E1135" s="98"/>
      <c r="F1135" s="97"/>
      <c r="G1135" s="97"/>
      <c r="H1135" s="97"/>
      <c r="I1135" s="97"/>
      <c r="J1135" s="99">
        <f>F1048-225</f>
        <v>200</v>
      </c>
      <c r="K1135" s="97"/>
      <c r="L1135" s="97"/>
    </row>
    <row r="1136" spans="1:36" ht="15.75" customHeight="1" x14ac:dyDescent="0.3">
      <c r="B1136" s="97"/>
      <c r="C1136" s="97"/>
      <c r="D1136" s="100"/>
      <c r="E1136" s="101" t="s">
        <v>477</v>
      </c>
      <c r="F1136" s="102" t="s">
        <v>478</v>
      </c>
      <c r="G1136" s="100"/>
      <c r="H1136" s="100"/>
      <c r="I1136" s="100"/>
      <c r="J1136" s="100"/>
      <c r="K1136" s="97"/>
      <c r="L1136" s="97"/>
    </row>
    <row r="1137" spans="2:13" ht="15.75" customHeight="1" x14ac:dyDescent="0.3">
      <c r="B1137" s="97"/>
      <c r="C1137" s="97"/>
      <c r="D1137" s="100"/>
      <c r="E1137" s="101">
        <v>150</v>
      </c>
      <c r="F1137" s="102">
        <f>E1137/25</f>
        <v>6</v>
      </c>
      <c r="G1137" s="100"/>
      <c r="H1137" s="103"/>
      <c r="I1137" s="100"/>
      <c r="J1137" s="100"/>
      <c r="K1137" s="97"/>
      <c r="L1137" s="97"/>
    </row>
    <row r="1138" spans="2:13" ht="15.75" customHeight="1" x14ac:dyDescent="0.3">
      <c r="B1138" s="97"/>
      <c r="C1138" s="97"/>
      <c r="D1138" s="103" t="s">
        <v>479</v>
      </c>
      <c r="E1138" s="104" t="s">
        <v>480</v>
      </c>
      <c r="F1138" s="100">
        <v>20</v>
      </c>
      <c r="G1138" s="100">
        <f>$F$1137*F1138</f>
        <v>120</v>
      </c>
      <c r="H1138" s="100"/>
      <c r="I1138" s="100"/>
      <c r="J1138" s="100"/>
      <c r="K1138" s="97"/>
      <c r="L1138" s="97"/>
    </row>
    <row r="1139" spans="2:13" ht="15.75" customHeight="1" x14ac:dyDescent="0.3">
      <c r="B1139" s="97"/>
      <c r="C1139" s="97"/>
      <c r="D1139" s="103"/>
      <c r="E1139" s="105" t="s">
        <v>481</v>
      </c>
      <c r="F1139" s="106">
        <v>1</v>
      </c>
      <c r="G1139" s="106">
        <f t="shared" ref="G1139:G1146" si="72">F1139*$F$1137</f>
        <v>6</v>
      </c>
      <c r="H1139" s="100"/>
      <c r="I1139" s="100"/>
      <c r="J1139" s="100"/>
      <c r="K1139" s="97">
        <v>230</v>
      </c>
      <c r="L1139" s="97"/>
    </row>
    <row r="1140" spans="2:13" ht="15.75" customHeight="1" x14ac:dyDescent="0.3">
      <c r="B1140" s="97"/>
      <c r="C1140" s="97"/>
      <c r="D1140" s="103"/>
      <c r="E1140" s="107" t="s">
        <v>420</v>
      </c>
      <c r="F1140" s="108">
        <v>0.5</v>
      </c>
      <c r="G1140" s="108">
        <f t="shared" si="72"/>
        <v>3</v>
      </c>
      <c r="H1140" s="100"/>
      <c r="I1140" s="100"/>
      <c r="J1140" s="100"/>
      <c r="K1140" s="97">
        <v>175</v>
      </c>
      <c r="L1140" s="97"/>
    </row>
    <row r="1141" spans="2:13" ht="15.75" customHeight="1" x14ac:dyDescent="0.3">
      <c r="B1141" s="97"/>
      <c r="C1141" s="97"/>
      <c r="D1141" s="103"/>
      <c r="E1141" s="109" t="s">
        <v>482</v>
      </c>
      <c r="F1141" s="110">
        <v>0.5</v>
      </c>
      <c r="G1141" s="109">
        <f t="shared" si="72"/>
        <v>3</v>
      </c>
      <c r="H1141" s="100"/>
      <c r="I1141" s="100"/>
      <c r="J1141" s="100"/>
      <c r="K1141" s="97"/>
      <c r="L1141" s="97"/>
      <c r="M1141">
        <v>1126</v>
      </c>
    </row>
    <row r="1142" spans="2:13" ht="15.75" customHeight="1" x14ac:dyDescent="0.3">
      <c r="B1142" s="97"/>
      <c r="C1142" s="97"/>
      <c r="D1142" s="103"/>
      <c r="E1142" s="109" t="s">
        <v>483</v>
      </c>
      <c r="F1142" s="110">
        <v>0.5</v>
      </c>
      <c r="G1142" s="109">
        <f t="shared" si="72"/>
        <v>3</v>
      </c>
      <c r="H1142" s="100"/>
      <c r="I1142" s="100"/>
      <c r="J1142" s="100"/>
      <c r="K1142" s="97"/>
      <c r="L1142" s="97"/>
      <c r="M1142">
        <f>M1141-830</f>
        <v>296</v>
      </c>
    </row>
    <row r="1143" spans="2:13" ht="15.75" customHeight="1" x14ac:dyDescent="0.3">
      <c r="B1143" s="97"/>
      <c r="C1143" s="97"/>
      <c r="D1143" s="103"/>
      <c r="E1143" s="105" t="s">
        <v>484</v>
      </c>
      <c r="F1143" s="106">
        <v>0.5</v>
      </c>
      <c r="G1143" s="106">
        <f t="shared" si="72"/>
        <v>3</v>
      </c>
      <c r="H1143" s="100"/>
      <c r="I1143" s="100"/>
      <c r="J1143" s="100"/>
      <c r="K1143" s="97"/>
      <c r="L1143" s="97"/>
    </row>
    <row r="1144" spans="2:13" ht="15.75" customHeight="1" x14ac:dyDescent="0.3">
      <c r="B1144" s="97"/>
      <c r="C1144" s="97"/>
      <c r="D1144" s="103"/>
      <c r="E1144" s="105" t="s">
        <v>485</v>
      </c>
      <c r="F1144" s="106">
        <v>0.5</v>
      </c>
      <c r="G1144" s="106">
        <f t="shared" si="72"/>
        <v>3</v>
      </c>
      <c r="H1144" s="100"/>
      <c r="I1144" s="100" t="s">
        <v>486</v>
      </c>
      <c r="J1144" s="100"/>
      <c r="K1144" s="97"/>
      <c r="L1144" s="97"/>
    </row>
    <row r="1145" spans="2:13" ht="15.75" customHeight="1" x14ac:dyDescent="0.3">
      <c r="B1145" s="97"/>
      <c r="C1145" s="97"/>
      <c r="D1145" s="103"/>
      <c r="E1145" s="105" t="s">
        <v>485</v>
      </c>
      <c r="F1145" s="106">
        <v>0.5</v>
      </c>
      <c r="G1145" s="106">
        <f t="shared" si="72"/>
        <v>3</v>
      </c>
      <c r="H1145" s="100"/>
      <c r="I1145" s="106">
        <f>G1143+G1144+G1145</f>
        <v>9</v>
      </c>
      <c r="J1145" s="111" t="s">
        <v>487</v>
      </c>
      <c r="K1145" s="97"/>
      <c r="L1145" s="97"/>
      <c r="M1145">
        <f>963-830</f>
        <v>133</v>
      </c>
    </row>
    <row r="1146" spans="2:13" ht="15.75" customHeight="1" x14ac:dyDescent="0.3">
      <c r="B1146" s="97"/>
      <c r="C1146" s="97"/>
      <c r="D1146" s="103"/>
      <c r="E1146" s="109" t="s">
        <v>409</v>
      </c>
      <c r="F1146" s="110">
        <v>1</v>
      </c>
      <c r="G1146" s="110">
        <f t="shared" si="72"/>
        <v>6</v>
      </c>
      <c r="H1146" s="112"/>
      <c r="I1146" s="109">
        <f>G1146+G1142+G1141</f>
        <v>12</v>
      </c>
      <c r="J1146" s="111" t="s">
        <v>488</v>
      </c>
      <c r="K1146" s="97"/>
      <c r="L1146" s="97"/>
    </row>
    <row r="1147" spans="2:13" ht="15.75" customHeight="1" x14ac:dyDescent="0.3">
      <c r="B1147" s="97"/>
      <c r="C1147" s="97"/>
      <c r="D1147" s="113"/>
      <c r="E1147" s="114"/>
      <c r="F1147" s="115">
        <f t="shared" ref="F1147:G1147" si="73">SUBTOTAL(9,F1138:F1146)</f>
        <v>25</v>
      </c>
      <c r="G1147" s="115">
        <f t="shared" si="73"/>
        <v>150</v>
      </c>
      <c r="H1147" s="115"/>
      <c r="I1147" s="100"/>
      <c r="J1147" s="111"/>
      <c r="K1147" s="97"/>
      <c r="L1147" s="97"/>
    </row>
    <row r="1148" spans="2:13" ht="15.75" customHeight="1" x14ac:dyDescent="0.3">
      <c r="B1148" s="97"/>
      <c r="C1148" s="97"/>
      <c r="D1148" s="103"/>
      <c r="E1148" s="100"/>
      <c r="F1148" s="100"/>
      <c r="G1148" s="100"/>
      <c r="H1148" s="100"/>
      <c r="I1148" s="100"/>
      <c r="J1148" s="111"/>
      <c r="K1148" s="97"/>
      <c r="L1148" s="97"/>
    </row>
    <row r="1149" spans="2:13" ht="15.75" customHeight="1" x14ac:dyDescent="0.3">
      <c r="B1149" s="97"/>
      <c r="C1149" s="97"/>
      <c r="D1149" s="103"/>
      <c r="E1149" s="101" t="s">
        <v>477</v>
      </c>
      <c r="F1149" s="102" t="s">
        <v>478</v>
      </c>
      <c r="G1149" s="100"/>
      <c r="H1149" s="100"/>
      <c r="I1149" s="100"/>
      <c r="J1149" s="111"/>
      <c r="K1149" s="97"/>
      <c r="L1149" s="97"/>
    </row>
    <row r="1150" spans="2:13" ht="15.75" customHeight="1" x14ac:dyDescent="0.3">
      <c r="B1150" s="97"/>
      <c r="C1150" s="97"/>
      <c r="D1150" s="103"/>
      <c r="E1150" s="101">
        <v>315</v>
      </c>
      <c r="F1150" s="102">
        <f>E1150/35</f>
        <v>9</v>
      </c>
      <c r="G1150" s="100"/>
      <c r="H1150" s="100"/>
      <c r="I1150" s="100"/>
      <c r="J1150" s="111"/>
      <c r="K1150" s="97"/>
      <c r="L1150" s="97"/>
    </row>
    <row r="1151" spans="2:13" ht="15.75" customHeight="1" x14ac:dyDescent="0.3">
      <c r="B1151" s="97"/>
      <c r="C1151" s="97"/>
      <c r="D1151" s="103" t="s">
        <v>489</v>
      </c>
      <c r="E1151" s="104" t="s">
        <v>480</v>
      </c>
      <c r="F1151" s="100">
        <v>30</v>
      </c>
      <c r="G1151" s="100">
        <f>$F$1150*F1151</f>
        <v>270</v>
      </c>
      <c r="H1151" s="100"/>
      <c r="I1151" s="100"/>
      <c r="J1151" s="111"/>
      <c r="K1151" s="97"/>
      <c r="L1151" s="97"/>
    </row>
    <row r="1152" spans="2:13" ht="15.75" customHeight="1" x14ac:dyDescent="0.3">
      <c r="B1152" s="97"/>
      <c r="C1152" s="97"/>
      <c r="D1152" s="103"/>
      <c r="E1152" s="105" t="s">
        <v>481</v>
      </c>
      <c r="F1152" s="106">
        <v>1</v>
      </c>
      <c r="G1152" s="106">
        <f t="shared" ref="G1152:G1159" si="74">F1152*$F$1150</f>
        <v>9</v>
      </c>
      <c r="H1152" s="100"/>
      <c r="I1152" s="100"/>
      <c r="J1152" s="111"/>
      <c r="K1152" s="97"/>
      <c r="L1152" s="97"/>
    </row>
    <row r="1153" spans="2:12" ht="15.75" customHeight="1" x14ac:dyDescent="0.3">
      <c r="B1153" s="97"/>
      <c r="C1153" s="97"/>
      <c r="D1153" s="103"/>
      <c r="E1153" s="107" t="s">
        <v>420</v>
      </c>
      <c r="F1153" s="108">
        <v>0.5</v>
      </c>
      <c r="G1153" s="108">
        <f t="shared" si="74"/>
        <v>4.5</v>
      </c>
      <c r="H1153" s="100"/>
      <c r="I1153" s="100"/>
      <c r="J1153" s="111"/>
      <c r="K1153" s="97"/>
      <c r="L1153" s="97"/>
    </row>
    <row r="1154" spans="2:12" ht="15.75" customHeight="1" x14ac:dyDescent="0.3">
      <c r="B1154" s="97"/>
      <c r="C1154" s="97"/>
      <c r="D1154" s="103"/>
      <c r="E1154" s="109" t="s">
        <v>482</v>
      </c>
      <c r="F1154" s="110">
        <v>0.5</v>
      </c>
      <c r="G1154" s="109">
        <f t="shared" si="74"/>
        <v>4.5</v>
      </c>
      <c r="H1154" s="100"/>
      <c r="I1154" s="100"/>
      <c r="J1154" s="111"/>
      <c r="K1154" s="97"/>
      <c r="L1154" s="97"/>
    </row>
    <row r="1155" spans="2:12" ht="15.75" customHeight="1" x14ac:dyDescent="0.3">
      <c r="B1155" s="97"/>
      <c r="C1155" s="97"/>
      <c r="D1155" s="103"/>
      <c r="E1155" s="109" t="s">
        <v>483</v>
      </c>
      <c r="F1155" s="110">
        <v>0.5</v>
      </c>
      <c r="G1155" s="109">
        <f t="shared" si="74"/>
        <v>4.5</v>
      </c>
      <c r="H1155" s="100"/>
      <c r="I1155" s="100"/>
      <c r="J1155" s="111"/>
      <c r="K1155" s="97"/>
      <c r="L1155" s="97"/>
    </row>
    <row r="1156" spans="2:12" ht="15.75" customHeight="1" x14ac:dyDescent="0.3">
      <c r="B1156" s="97"/>
      <c r="C1156" s="97"/>
      <c r="D1156" s="103"/>
      <c r="E1156" s="105" t="s">
        <v>484</v>
      </c>
      <c r="F1156" s="106">
        <v>0.5</v>
      </c>
      <c r="G1156" s="106">
        <f t="shared" si="74"/>
        <v>4.5</v>
      </c>
      <c r="H1156" s="100"/>
      <c r="I1156" s="100"/>
      <c r="J1156" s="111"/>
      <c r="K1156" s="97"/>
      <c r="L1156" s="97"/>
    </row>
    <row r="1157" spans="2:12" ht="15.75" customHeight="1" x14ac:dyDescent="0.3">
      <c r="B1157" s="97"/>
      <c r="C1157" s="97"/>
      <c r="D1157" s="103"/>
      <c r="E1157" s="105" t="s">
        <v>485</v>
      </c>
      <c r="F1157" s="106">
        <v>0.5</v>
      </c>
      <c r="G1157" s="106">
        <f t="shared" si="74"/>
        <v>4.5</v>
      </c>
      <c r="H1157" s="100"/>
      <c r="I1157" s="100" t="s">
        <v>486</v>
      </c>
      <c r="J1157" s="111"/>
      <c r="K1157" s="97"/>
      <c r="L1157" s="97"/>
    </row>
    <row r="1158" spans="2:12" ht="15.75" customHeight="1" x14ac:dyDescent="0.3">
      <c r="B1158" s="97"/>
      <c r="C1158" s="97"/>
      <c r="D1158" s="103"/>
      <c r="E1158" s="105" t="s">
        <v>485</v>
      </c>
      <c r="F1158" s="106">
        <v>0.5</v>
      </c>
      <c r="G1158" s="106">
        <f t="shared" si="74"/>
        <v>4.5</v>
      </c>
      <c r="H1158" s="100"/>
      <c r="I1158" s="106">
        <f>G1156+G1157+G1158</f>
        <v>13.5</v>
      </c>
      <c r="J1158" s="111" t="s">
        <v>487</v>
      </c>
      <c r="K1158" s="97"/>
      <c r="L1158" s="97"/>
    </row>
    <row r="1159" spans="2:12" ht="15.75" customHeight="1" x14ac:dyDescent="0.3">
      <c r="B1159" s="97"/>
      <c r="C1159" s="97"/>
      <c r="D1159" s="103"/>
      <c r="E1159" s="109" t="s">
        <v>409</v>
      </c>
      <c r="F1159" s="110">
        <v>1</v>
      </c>
      <c r="G1159" s="109">
        <f t="shared" si="74"/>
        <v>9</v>
      </c>
      <c r="H1159" s="112"/>
      <c r="I1159" s="109">
        <f>G1159+G1155+G1154</f>
        <v>18</v>
      </c>
      <c r="J1159" s="111" t="s">
        <v>488</v>
      </c>
      <c r="K1159" s="97"/>
      <c r="L1159" s="97"/>
    </row>
    <row r="1160" spans="2:12" ht="15.75" customHeight="1" x14ac:dyDescent="0.3">
      <c r="B1160" s="97"/>
      <c r="C1160" s="97"/>
      <c r="D1160" s="113"/>
      <c r="E1160" s="114"/>
      <c r="F1160" s="115">
        <f t="shared" ref="F1160:G1160" si="75">SUBTOTAL(9,F1151:F1159)</f>
        <v>35</v>
      </c>
      <c r="G1160" s="115">
        <f t="shared" si="75"/>
        <v>315</v>
      </c>
      <c r="H1160" s="115"/>
      <c r="I1160" s="100"/>
      <c r="J1160" s="100"/>
      <c r="K1160" s="97"/>
      <c r="L1160" s="97"/>
    </row>
    <row r="1161" spans="2:12" ht="15.75" customHeight="1" x14ac:dyDescent="0.3">
      <c r="B1161" s="97"/>
      <c r="C1161" s="97"/>
      <c r="D1161" s="97"/>
      <c r="E1161" s="98"/>
      <c r="F1161" s="97"/>
      <c r="G1161" s="97"/>
      <c r="H1161" s="97"/>
      <c r="I1161" s="97"/>
      <c r="J1161" s="97"/>
      <c r="K1161" s="97"/>
      <c r="L1161" s="97"/>
    </row>
    <row r="1162" spans="2:12" ht="15.75" customHeight="1" x14ac:dyDescent="0.3">
      <c r="B1162" s="97"/>
      <c r="C1162" s="97"/>
      <c r="D1162" s="97"/>
      <c r="E1162" s="98"/>
      <c r="F1162" s="97"/>
      <c r="G1162" s="97"/>
      <c r="H1162" s="97"/>
      <c r="I1162" s="97"/>
      <c r="J1162" s="97"/>
      <c r="K1162" s="97"/>
      <c r="L1162" s="97"/>
    </row>
    <row r="1163" spans="2:12" ht="15.75" customHeight="1" x14ac:dyDescent="0.3">
      <c r="B1163" s="97"/>
      <c r="C1163" s="97"/>
      <c r="D1163" s="103"/>
      <c r="E1163" s="101" t="s">
        <v>477</v>
      </c>
      <c r="F1163" s="102" t="s">
        <v>478</v>
      </c>
      <c r="G1163" s="100"/>
      <c r="H1163" s="97"/>
      <c r="I1163" s="97"/>
      <c r="J1163" s="97"/>
      <c r="K1163" s="97"/>
      <c r="L1163" s="97"/>
    </row>
    <row r="1164" spans="2:12" ht="15.75" customHeight="1" x14ac:dyDescent="0.3">
      <c r="B1164" s="97"/>
      <c r="C1164" s="97"/>
      <c r="D1164" s="103"/>
      <c r="E1164" s="101">
        <v>75</v>
      </c>
      <c r="F1164" s="102">
        <f>E1164/F1165</f>
        <v>5</v>
      </c>
      <c r="G1164" s="100"/>
      <c r="H1164" s="97"/>
      <c r="I1164" s="97"/>
      <c r="J1164" s="97"/>
      <c r="K1164" s="97"/>
      <c r="L1164" s="97"/>
    </row>
    <row r="1165" spans="2:12" ht="15.75" customHeight="1" x14ac:dyDescent="0.3">
      <c r="B1165" s="97"/>
      <c r="C1165" s="97"/>
      <c r="D1165" s="103" t="s">
        <v>490</v>
      </c>
      <c r="E1165" s="104" t="s">
        <v>480</v>
      </c>
      <c r="F1165" s="100">
        <v>15</v>
      </c>
      <c r="G1165" s="100"/>
      <c r="H1165" s="97"/>
      <c r="I1165" s="97"/>
      <c r="J1165" s="97"/>
      <c r="K1165" s="97"/>
      <c r="L1165" s="97"/>
    </row>
    <row r="1166" spans="2:12" ht="15.75" customHeight="1" x14ac:dyDescent="0.3">
      <c r="B1166" s="97"/>
      <c r="C1166" s="97"/>
      <c r="D1166" s="97"/>
      <c r="E1166" s="98"/>
      <c r="F1166" s="97"/>
      <c r="G1166" s="97"/>
      <c r="H1166" s="97"/>
      <c r="I1166" s="97"/>
      <c r="J1166" s="97"/>
      <c r="K1166" s="97"/>
      <c r="L1166" s="97"/>
    </row>
    <row r="1167" spans="2:12" ht="15.75" customHeight="1" x14ac:dyDescent="0.3">
      <c r="B1167" s="97"/>
      <c r="C1167" s="97"/>
      <c r="D1167" s="97"/>
      <c r="E1167" s="98"/>
      <c r="F1167" s="97"/>
      <c r="G1167" s="97"/>
      <c r="H1167" s="97"/>
      <c r="I1167" s="97"/>
      <c r="J1167" s="97"/>
      <c r="K1167" s="97"/>
      <c r="L1167" s="97"/>
    </row>
    <row r="1168" spans="2:12" ht="15.75" customHeight="1" x14ac:dyDescent="0.3">
      <c r="B1168" s="97"/>
      <c r="C1168" s="97"/>
      <c r="D1168" s="97"/>
      <c r="E1168" s="98"/>
      <c r="F1168" s="97"/>
      <c r="G1168" s="97"/>
      <c r="H1168" s="97"/>
      <c r="I1168" s="97"/>
      <c r="J1168" s="97"/>
      <c r="K1168" s="97"/>
      <c r="L1168" s="97"/>
    </row>
    <row r="1169" spans="2:12" ht="15.75" customHeight="1" x14ac:dyDescent="0.3">
      <c r="B1169" s="97"/>
      <c r="C1169" s="97"/>
      <c r="D1169" s="97"/>
      <c r="E1169" s="98"/>
      <c r="F1169" s="97"/>
      <c r="G1169" s="97"/>
      <c r="H1169" s="97"/>
      <c r="I1169" s="97"/>
      <c r="J1169" s="97"/>
      <c r="K1169" s="97"/>
      <c r="L1169" s="97"/>
    </row>
    <row r="1170" spans="2:12" ht="15.75" customHeight="1" x14ac:dyDescent="0.3">
      <c r="B1170" s="97"/>
      <c r="C1170" s="97"/>
      <c r="D1170" s="97"/>
      <c r="E1170" s="98"/>
      <c r="F1170" s="97"/>
      <c r="G1170" s="97"/>
      <c r="H1170" s="97"/>
      <c r="I1170" s="97"/>
      <c r="J1170" s="97"/>
      <c r="K1170" s="97"/>
      <c r="L1170" s="97"/>
    </row>
    <row r="1171" spans="2:12" ht="15.75" customHeight="1" x14ac:dyDescent="0.3">
      <c r="B1171" s="97"/>
      <c r="C1171" s="97"/>
      <c r="D1171" s="97"/>
      <c r="E1171" s="98"/>
      <c r="F1171" s="97"/>
      <c r="G1171" s="97"/>
      <c r="H1171" s="97"/>
      <c r="I1171" s="97"/>
      <c r="J1171" s="97"/>
      <c r="K1171" s="97"/>
      <c r="L1171" s="97"/>
    </row>
    <row r="1172" spans="2:12" ht="15.75" customHeight="1" x14ac:dyDescent="0.3">
      <c r="B1172" s="97"/>
      <c r="C1172" s="97"/>
      <c r="D1172" s="97"/>
      <c r="E1172" s="98"/>
      <c r="F1172" s="97"/>
      <c r="G1172" s="97"/>
      <c r="H1172" s="97"/>
      <c r="I1172" s="97"/>
      <c r="J1172" s="97"/>
      <c r="K1172" s="97"/>
      <c r="L1172" s="97"/>
    </row>
    <row r="1173" spans="2:12" ht="15.75" customHeight="1" x14ac:dyDescent="0.3">
      <c r="B1173" s="97"/>
      <c r="C1173" s="97"/>
      <c r="D1173" s="97"/>
      <c r="E1173" s="98"/>
      <c r="F1173" s="97"/>
      <c r="G1173" s="97"/>
      <c r="H1173" s="97"/>
      <c r="I1173" s="97"/>
      <c r="J1173" s="97"/>
      <c r="K1173" s="97"/>
      <c r="L1173" s="97"/>
    </row>
    <row r="1174" spans="2:12" ht="15.75" customHeight="1" x14ac:dyDescent="0.3">
      <c r="B1174" s="116"/>
      <c r="C1174" s="97"/>
      <c r="D1174" s="97"/>
      <c r="E1174" s="98"/>
      <c r="F1174" s="97"/>
      <c r="G1174" s="97"/>
      <c r="H1174" s="97"/>
      <c r="I1174" s="97"/>
      <c r="J1174" s="97"/>
      <c r="K1174" s="97"/>
      <c r="L1174" s="97"/>
    </row>
  </sheetData>
  <autoFilter ref="A1:Q1130" xr:uid="{00000000-0009-0000-0000-000002000000}"/>
  <pageMargins left="0.7" right="0.7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00"/>
  <sheetViews>
    <sheetView workbookViewId="0">
      <selection activeCell="A10" sqref="A10"/>
    </sheetView>
  </sheetViews>
  <sheetFormatPr defaultColWidth="14.44140625" defaultRowHeight="15" customHeight="1" x14ac:dyDescent="0.3"/>
  <cols>
    <col min="1" max="1" width="40" customWidth="1"/>
    <col min="2" max="2" width="7.33203125" customWidth="1"/>
    <col min="3" max="3" width="6.109375" customWidth="1"/>
    <col min="4" max="4" width="7.109375" customWidth="1"/>
    <col min="5" max="5" width="6.33203125" customWidth="1"/>
    <col min="6" max="10" width="0.88671875" hidden="1" customWidth="1"/>
    <col min="11" max="11" width="25.6640625" customWidth="1"/>
    <col min="12" max="12" width="9.109375" customWidth="1"/>
    <col min="13" max="13" width="8" customWidth="1"/>
    <col min="14" max="15" width="9.109375" hidden="1" customWidth="1"/>
    <col min="16" max="16" width="7.33203125" customWidth="1"/>
    <col min="17" max="17" width="8" customWidth="1"/>
    <col min="18" max="18" width="16.88671875" customWidth="1"/>
    <col min="19" max="19" width="8.33203125" customWidth="1"/>
    <col min="20" max="26" width="8" customWidth="1"/>
  </cols>
  <sheetData>
    <row r="1" spans="1:20" ht="14.4" x14ac:dyDescent="0.3">
      <c r="A1" s="122" t="s">
        <v>55</v>
      </c>
      <c r="B1" s="122" t="s">
        <v>491</v>
      </c>
      <c r="M1" s="123"/>
    </row>
    <row r="2" spans="1:20" ht="14.4" x14ac:dyDescent="0.3">
      <c r="M2" s="123"/>
    </row>
    <row r="3" spans="1:20" ht="14.4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124"/>
      <c r="M3" s="123"/>
    </row>
    <row r="4" spans="1:20" ht="14.4" x14ac:dyDescent="0.3">
      <c r="A4" s="125" t="s">
        <v>54</v>
      </c>
      <c r="B4" s="125" t="s">
        <v>58</v>
      </c>
      <c r="C4" s="125" t="s">
        <v>59</v>
      </c>
      <c r="D4" s="125" t="s">
        <v>60</v>
      </c>
      <c r="E4" s="125" t="s">
        <v>492</v>
      </c>
      <c r="F4" s="39"/>
      <c r="G4" s="39"/>
      <c r="H4" s="39"/>
      <c r="I4" s="39"/>
      <c r="J4" s="39"/>
      <c r="K4" s="124"/>
      <c r="L4" s="126" t="s">
        <v>493</v>
      </c>
      <c r="M4" s="127" t="s">
        <v>494</v>
      </c>
      <c r="N4" s="126"/>
      <c r="O4" s="126"/>
      <c r="P4" s="126" t="s">
        <v>495</v>
      </c>
      <c r="Q4" s="122" t="s">
        <v>496</v>
      </c>
      <c r="R4" s="122"/>
    </row>
    <row r="5" spans="1:20" ht="14.4" x14ac:dyDescent="0.3">
      <c r="A5" s="128" t="s">
        <v>68</v>
      </c>
      <c r="B5" s="125">
        <v>271</v>
      </c>
      <c r="C5" s="125">
        <v>281</v>
      </c>
      <c r="D5" s="125">
        <v>552</v>
      </c>
      <c r="E5" s="129">
        <v>0.66506024096385541</v>
      </c>
      <c r="F5" s="122"/>
      <c r="G5" s="122"/>
      <c r="H5" s="122"/>
      <c r="I5" s="122"/>
      <c r="J5" s="122"/>
      <c r="K5" s="122"/>
      <c r="L5" s="130">
        <f t="shared" ref="L5:L38" si="0">D5-M5*830</f>
        <v>-112</v>
      </c>
      <c r="M5" s="131">
        <v>0.8</v>
      </c>
      <c r="N5" s="130">
        <f t="shared" ref="N5:N38" si="1">E5-M5</f>
        <v>-0.13493975903614464</v>
      </c>
      <c r="O5" s="132">
        <f t="shared" ref="O5:O38" si="2">N5/M5</f>
        <v>-0.16867469879518079</v>
      </c>
      <c r="P5" s="122">
        <v>0.7</v>
      </c>
      <c r="Q5" s="130">
        <f t="shared" ref="Q5:Q38" si="3">M5-P5</f>
        <v>0.10000000000000009</v>
      </c>
      <c r="R5" s="122"/>
      <c r="T5" s="133"/>
    </row>
    <row r="6" spans="1:20" ht="14.4" x14ac:dyDescent="0.3">
      <c r="A6" s="125" t="s">
        <v>155</v>
      </c>
      <c r="B6" s="125">
        <v>220</v>
      </c>
      <c r="C6" s="125">
        <v>250</v>
      </c>
      <c r="D6" s="125">
        <v>470</v>
      </c>
      <c r="E6" s="129">
        <v>0.5662650602409639</v>
      </c>
      <c r="F6" s="122"/>
      <c r="G6" s="122"/>
      <c r="H6" s="122"/>
      <c r="I6" s="122"/>
      <c r="J6" s="122"/>
      <c r="K6" s="122"/>
      <c r="L6" s="130">
        <f t="shared" si="0"/>
        <v>55</v>
      </c>
      <c r="M6" s="131">
        <v>0.5</v>
      </c>
      <c r="N6" s="130">
        <f t="shared" si="1"/>
        <v>6.6265060240963902E-2</v>
      </c>
      <c r="O6" s="132">
        <f t="shared" si="2"/>
        <v>0.1325301204819278</v>
      </c>
      <c r="P6" s="122">
        <v>0.55000000000000004</v>
      </c>
      <c r="Q6" s="130">
        <f t="shared" si="3"/>
        <v>-5.0000000000000044E-2</v>
      </c>
      <c r="R6" s="122"/>
      <c r="T6" s="133"/>
    </row>
    <row r="7" spans="1:20" ht="14.4" x14ac:dyDescent="0.3">
      <c r="A7" s="128" t="s">
        <v>116</v>
      </c>
      <c r="B7" s="125">
        <v>299</v>
      </c>
      <c r="C7" s="125">
        <v>378</v>
      </c>
      <c r="D7" s="125">
        <v>677</v>
      </c>
      <c r="E7" s="129">
        <v>0.81566265060240961</v>
      </c>
      <c r="F7" s="122"/>
      <c r="G7" s="122"/>
      <c r="H7" s="122"/>
      <c r="I7" s="122"/>
      <c r="J7" s="122"/>
      <c r="K7" s="122"/>
      <c r="L7" s="130">
        <f t="shared" si="0"/>
        <v>-70</v>
      </c>
      <c r="M7" s="131">
        <v>0.9</v>
      </c>
      <c r="N7" s="130">
        <f t="shared" si="1"/>
        <v>-8.4337349397590411E-2</v>
      </c>
      <c r="O7" s="132">
        <f t="shared" si="2"/>
        <v>-9.3708165997322679E-2</v>
      </c>
      <c r="P7" s="122">
        <v>0.85</v>
      </c>
      <c r="Q7" s="130">
        <f t="shared" si="3"/>
        <v>5.0000000000000044E-2</v>
      </c>
      <c r="R7" s="122"/>
      <c r="T7" s="133"/>
    </row>
    <row r="8" spans="1:20" ht="14.4" x14ac:dyDescent="0.3">
      <c r="A8" s="125" t="s">
        <v>231</v>
      </c>
      <c r="B8" s="125">
        <v>118</v>
      </c>
      <c r="C8" s="125">
        <v>135</v>
      </c>
      <c r="D8" s="125">
        <v>253</v>
      </c>
      <c r="E8" s="129">
        <v>0.30481927710843376</v>
      </c>
      <c r="F8" s="122"/>
      <c r="G8" s="122"/>
      <c r="H8" s="122"/>
      <c r="I8" s="122"/>
      <c r="J8" s="122"/>
      <c r="K8" s="122"/>
      <c r="L8" s="130">
        <f t="shared" si="0"/>
        <v>45.5</v>
      </c>
      <c r="M8" s="131">
        <v>0.25</v>
      </c>
      <c r="N8" s="130">
        <f t="shared" si="1"/>
        <v>5.4819277108433762E-2</v>
      </c>
      <c r="O8" s="132">
        <f t="shared" si="2"/>
        <v>0.21927710843373505</v>
      </c>
      <c r="P8" s="122">
        <v>0.25</v>
      </c>
      <c r="Q8" s="130">
        <f t="shared" si="3"/>
        <v>0</v>
      </c>
      <c r="R8" s="122"/>
      <c r="T8" s="133"/>
    </row>
    <row r="9" spans="1:20" ht="14.4" x14ac:dyDescent="0.3">
      <c r="A9" s="125" t="s">
        <v>497</v>
      </c>
      <c r="B9" s="125">
        <v>216</v>
      </c>
      <c r="C9" s="125">
        <v>245</v>
      </c>
      <c r="D9" s="125">
        <v>461</v>
      </c>
      <c r="E9" s="129">
        <v>0.555421686746988</v>
      </c>
      <c r="F9" s="122"/>
      <c r="G9" s="122"/>
      <c r="H9" s="122"/>
      <c r="I9" s="122"/>
      <c r="J9" s="122"/>
      <c r="K9" s="122"/>
      <c r="L9" s="130">
        <f t="shared" si="0"/>
        <v>4.4999999999999432</v>
      </c>
      <c r="M9" s="131">
        <v>0.55000000000000004</v>
      </c>
      <c r="N9" s="130">
        <f t="shared" si="1"/>
        <v>5.4216867469879526E-3</v>
      </c>
      <c r="O9" s="132">
        <f t="shared" si="2"/>
        <v>9.8576122672508221E-3</v>
      </c>
      <c r="P9" s="122">
        <v>0.55000000000000004</v>
      </c>
      <c r="Q9" s="130">
        <f t="shared" si="3"/>
        <v>0</v>
      </c>
      <c r="R9" s="122"/>
      <c r="T9" s="133"/>
    </row>
    <row r="10" spans="1:20" ht="14.4" x14ac:dyDescent="0.3">
      <c r="A10" s="125" t="s">
        <v>392</v>
      </c>
      <c r="B10" s="125">
        <v>0</v>
      </c>
      <c r="C10" s="125">
        <v>87</v>
      </c>
      <c r="D10" s="125">
        <v>87</v>
      </c>
      <c r="E10" s="129">
        <v>0.10481927710843374</v>
      </c>
      <c r="F10" s="122"/>
      <c r="G10" s="122"/>
      <c r="H10" s="122"/>
      <c r="I10" s="122"/>
      <c r="J10" s="122"/>
      <c r="K10" s="122"/>
      <c r="L10" s="130">
        <f t="shared" si="0"/>
        <v>-37.5</v>
      </c>
      <c r="M10" s="131">
        <v>0.15</v>
      </c>
      <c r="N10" s="130">
        <f t="shared" si="1"/>
        <v>-4.5180722891566258E-2</v>
      </c>
      <c r="O10" s="132">
        <f t="shared" si="2"/>
        <v>-0.3012048192771084</v>
      </c>
      <c r="P10" s="122">
        <v>0</v>
      </c>
      <c r="Q10" s="130">
        <f t="shared" si="3"/>
        <v>0.15</v>
      </c>
      <c r="R10" s="122" t="s">
        <v>498</v>
      </c>
      <c r="S10" s="2">
        <v>0.1</v>
      </c>
      <c r="T10" s="133"/>
    </row>
    <row r="11" spans="1:20" ht="14.4" x14ac:dyDescent="0.3">
      <c r="A11" s="125" t="s">
        <v>66</v>
      </c>
      <c r="B11" s="125">
        <v>305</v>
      </c>
      <c r="C11" s="125">
        <v>387</v>
      </c>
      <c r="D11" s="125">
        <v>692</v>
      </c>
      <c r="E11" s="129">
        <v>0.83373493975903612</v>
      </c>
      <c r="F11" s="122"/>
      <c r="G11" s="122"/>
      <c r="H11" s="122"/>
      <c r="I11" s="122"/>
      <c r="J11" s="122"/>
      <c r="K11" s="122"/>
      <c r="L11" s="130">
        <f t="shared" si="0"/>
        <v>28</v>
      </c>
      <c r="M11" s="131">
        <v>0.8</v>
      </c>
      <c r="N11" s="130">
        <f t="shared" si="1"/>
        <v>3.3734939759036076E-2</v>
      </c>
      <c r="O11" s="132">
        <f t="shared" si="2"/>
        <v>4.2168674698795094E-2</v>
      </c>
      <c r="P11" s="122">
        <v>0.9</v>
      </c>
      <c r="Q11" s="130">
        <f t="shared" si="3"/>
        <v>-9.9999999999999978E-2</v>
      </c>
      <c r="R11" s="122"/>
      <c r="T11" s="133"/>
    </row>
    <row r="12" spans="1:20" ht="14.4" x14ac:dyDescent="0.3">
      <c r="A12" s="125" t="s">
        <v>137</v>
      </c>
      <c r="B12" s="125">
        <v>84</v>
      </c>
      <c r="C12" s="125">
        <v>0</v>
      </c>
      <c r="D12" s="125">
        <v>84</v>
      </c>
      <c r="E12" s="129">
        <v>0.10120481927710843</v>
      </c>
      <c r="F12" s="122"/>
      <c r="G12" s="122"/>
      <c r="H12" s="122"/>
      <c r="I12" s="122"/>
      <c r="J12" s="122"/>
      <c r="K12" s="122"/>
      <c r="L12" s="130">
        <f t="shared" si="0"/>
        <v>1</v>
      </c>
      <c r="M12" s="131">
        <v>0.1</v>
      </c>
      <c r="N12" s="130">
        <f t="shared" si="1"/>
        <v>1.2048192771084293E-3</v>
      </c>
      <c r="O12" s="132">
        <f t="shared" si="2"/>
        <v>1.2048192771084293E-2</v>
      </c>
      <c r="P12" s="122">
        <v>0.1</v>
      </c>
      <c r="Q12" s="130">
        <f t="shared" si="3"/>
        <v>0</v>
      </c>
      <c r="R12" s="122"/>
      <c r="T12" s="133"/>
    </row>
    <row r="13" spans="1:20" ht="14.4" x14ac:dyDescent="0.3">
      <c r="A13" s="125" t="s">
        <v>129</v>
      </c>
      <c r="B13" s="125">
        <v>243</v>
      </c>
      <c r="C13" s="125">
        <v>558</v>
      </c>
      <c r="D13" s="125">
        <v>801</v>
      </c>
      <c r="E13" s="129">
        <v>0.96506024096385545</v>
      </c>
      <c r="F13" s="122"/>
      <c r="G13" s="122"/>
      <c r="H13" s="122"/>
      <c r="I13" s="122"/>
      <c r="J13" s="122"/>
      <c r="K13" s="122"/>
      <c r="L13" s="130">
        <f t="shared" si="0"/>
        <v>95.5</v>
      </c>
      <c r="M13" s="131">
        <v>0.85</v>
      </c>
      <c r="N13" s="130">
        <f t="shared" si="1"/>
        <v>0.11506024096385548</v>
      </c>
      <c r="O13" s="132">
        <f t="shared" si="2"/>
        <v>0.13536498936924174</v>
      </c>
      <c r="P13" s="122">
        <v>0.9</v>
      </c>
      <c r="Q13" s="130">
        <f t="shared" si="3"/>
        <v>-5.0000000000000044E-2</v>
      </c>
      <c r="R13" s="122"/>
      <c r="T13" s="133"/>
    </row>
    <row r="14" spans="1:20" ht="14.4" x14ac:dyDescent="0.3">
      <c r="A14" s="128" t="s">
        <v>201</v>
      </c>
      <c r="B14" s="125">
        <v>265</v>
      </c>
      <c r="C14" s="125">
        <v>560</v>
      </c>
      <c r="D14" s="125">
        <v>825</v>
      </c>
      <c r="E14" s="129">
        <v>0.99397590361445787</v>
      </c>
      <c r="F14" s="122"/>
      <c r="G14" s="122"/>
      <c r="H14" s="122"/>
      <c r="I14" s="122"/>
      <c r="J14" s="122"/>
      <c r="K14" s="122"/>
      <c r="L14" s="130">
        <f t="shared" si="0"/>
        <v>36.5</v>
      </c>
      <c r="M14" s="131">
        <v>0.95</v>
      </c>
      <c r="N14" s="130">
        <f t="shared" si="1"/>
        <v>4.3975903614457912E-2</v>
      </c>
      <c r="O14" s="132">
        <f t="shared" si="2"/>
        <v>4.6290424857324118E-2</v>
      </c>
      <c r="P14" s="122">
        <v>0.9</v>
      </c>
      <c r="Q14" s="130">
        <f t="shared" si="3"/>
        <v>4.9999999999999933E-2</v>
      </c>
      <c r="R14" s="122"/>
      <c r="T14" s="133"/>
    </row>
    <row r="15" spans="1:20" ht="14.4" x14ac:dyDescent="0.3">
      <c r="A15" s="125" t="s">
        <v>180</v>
      </c>
      <c r="B15" s="125">
        <v>338</v>
      </c>
      <c r="C15" s="125">
        <v>96</v>
      </c>
      <c r="D15" s="125">
        <v>434</v>
      </c>
      <c r="E15" s="129">
        <v>0.52289156626506028</v>
      </c>
      <c r="F15" s="122"/>
      <c r="G15" s="122"/>
      <c r="H15" s="122"/>
      <c r="I15" s="122"/>
      <c r="J15" s="122"/>
      <c r="K15" s="122"/>
      <c r="L15" s="130">
        <f t="shared" si="0"/>
        <v>19</v>
      </c>
      <c r="M15" s="131">
        <v>0.5</v>
      </c>
      <c r="N15" s="130">
        <f t="shared" si="1"/>
        <v>2.2891566265060281E-2</v>
      </c>
      <c r="O15" s="132">
        <f t="shared" si="2"/>
        <v>4.5783132530120563E-2</v>
      </c>
      <c r="P15" s="122">
        <v>0.5</v>
      </c>
      <c r="Q15" s="130">
        <f t="shared" si="3"/>
        <v>0</v>
      </c>
      <c r="R15" s="122"/>
      <c r="T15" s="133"/>
    </row>
    <row r="16" spans="1:20" ht="14.4" x14ac:dyDescent="0.3">
      <c r="A16" s="125" t="s">
        <v>187</v>
      </c>
      <c r="B16" s="125">
        <v>167</v>
      </c>
      <c r="C16" s="125">
        <v>35</v>
      </c>
      <c r="D16" s="125">
        <v>202</v>
      </c>
      <c r="E16" s="129">
        <v>0.2433734939759036</v>
      </c>
      <c r="F16" s="122"/>
      <c r="G16" s="122"/>
      <c r="H16" s="122"/>
      <c r="I16" s="122"/>
      <c r="J16" s="122"/>
      <c r="K16" s="122"/>
      <c r="L16" s="130">
        <f t="shared" si="0"/>
        <v>36</v>
      </c>
      <c r="M16" s="131">
        <v>0.2</v>
      </c>
      <c r="N16" s="130">
        <f t="shared" si="1"/>
        <v>4.3373493975903593E-2</v>
      </c>
      <c r="O16" s="132">
        <f t="shared" si="2"/>
        <v>0.21686746987951797</v>
      </c>
      <c r="P16" s="122">
        <v>0.25</v>
      </c>
      <c r="Q16" s="130">
        <f t="shared" si="3"/>
        <v>-4.9999999999999989E-2</v>
      </c>
      <c r="R16" s="122"/>
      <c r="T16" s="133"/>
    </row>
    <row r="17" spans="1:20" ht="14.4" x14ac:dyDescent="0.3">
      <c r="A17" s="125" t="s">
        <v>95</v>
      </c>
      <c r="B17" s="125">
        <v>126</v>
      </c>
      <c r="C17" s="125">
        <v>359</v>
      </c>
      <c r="D17" s="125">
        <v>485</v>
      </c>
      <c r="E17" s="129">
        <v>0.58433734939759041</v>
      </c>
      <c r="F17" s="122"/>
      <c r="G17" s="122"/>
      <c r="H17" s="122"/>
      <c r="I17" s="122"/>
      <c r="J17" s="122"/>
      <c r="K17" s="122"/>
      <c r="L17" s="130">
        <f t="shared" si="0"/>
        <v>70</v>
      </c>
      <c r="M17" s="131">
        <v>0.5</v>
      </c>
      <c r="N17" s="130">
        <f t="shared" si="1"/>
        <v>8.4337349397590411E-2</v>
      </c>
      <c r="O17" s="132">
        <f t="shared" si="2"/>
        <v>0.16867469879518082</v>
      </c>
      <c r="P17" s="122">
        <v>0.6</v>
      </c>
      <c r="Q17" s="130">
        <f t="shared" si="3"/>
        <v>-9.9999999999999978E-2</v>
      </c>
      <c r="R17" s="122"/>
      <c r="T17" s="133"/>
    </row>
    <row r="18" spans="1:20" ht="14.4" x14ac:dyDescent="0.3">
      <c r="A18" s="125" t="s">
        <v>260</v>
      </c>
      <c r="B18" s="125">
        <v>197</v>
      </c>
      <c r="C18" s="125">
        <v>92</v>
      </c>
      <c r="D18" s="125">
        <v>289</v>
      </c>
      <c r="E18" s="129">
        <v>0.34819277108433733</v>
      </c>
      <c r="F18" s="122"/>
      <c r="G18" s="122"/>
      <c r="H18" s="122"/>
      <c r="I18" s="122"/>
      <c r="J18" s="122"/>
      <c r="K18" s="122"/>
      <c r="L18" s="130">
        <f t="shared" si="0"/>
        <v>-1.5</v>
      </c>
      <c r="M18" s="131">
        <v>0.35</v>
      </c>
      <c r="N18" s="130">
        <f t="shared" si="1"/>
        <v>-1.8072289156626509E-3</v>
      </c>
      <c r="O18" s="132">
        <f t="shared" si="2"/>
        <v>-5.1635111876075744E-3</v>
      </c>
      <c r="P18" s="122">
        <v>0.35</v>
      </c>
      <c r="Q18" s="130">
        <f t="shared" si="3"/>
        <v>0</v>
      </c>
      <c r="R18" s="122"/>
      <c r="T18" s="133"/>
    </row>
    <row r="19" spans="1:20" ht="14.4" x14ac:dyDescent="0.3">
      <c r="A19" s="125" t="s">
        <v>307</v>
      </c>
      <c r="B19" s="125">
        <v>0</v>
      </c>
      <c r="C19" s="125">
        <v>73</v>
      </c>
      <c r="D19" s="125">
        <v>73</v>
      </c>
      <c r="E19" s="129">
        <v>8.7951807228915657E-2</v>
      </c>
      <c r="F19" s="122"/>
      <c r="G19" s="122"/>
      <c r="H19" s="122"/>
      <c r="I19" s="122"/>
      <c r="J19" s="122"/>
      <c r="K19" s="122"/>
      <c r="L19" s="130">
        <f t="shared" si="0"/>
        <v>-10</v>
      </c>
      <c r="M19" s="131">
        <v>0.1</v>
      </c>
      <c r="N19" s="130">
        <f t="shared" si="1"/>
        <v>-1.2048192771084348E-2</v>
      </c>
      <c r="O19" s="132">
        <f t="shared" si="2"/>
        <v>-0.12048192771084348</v>
      </c>
      <c r="P19" s="122">
        <v>0.1</v>
      </c>
      <c r="Q19" s="130">
        <f t="shared" si="3"/>
        <v>0</v>
      </c>
      <c r="R19" s="122"/>
      <c r="T19" s="133"/>
    </row>
    <row r="20" spans="1:20" ht="14.4" x14ac:dyDescent="0.3">
      <c r="A20" s="125" t="s">
        <v>258</v>
      </c>
      <c r="B20" s="125">
        <v>368</v>
      </c>
      <c r="C20" s="125">
        <v>505</v>
      </c>
      <c r="D20" s="125">
        <v>873</v>
      </c>
      <c r="E20" s="129">
        <v>1.0518072289156626</v>
      </c>
      <c r="F20" s="122"/>
      <c r="G20" s="122"/>
      <c r="H20" s="122"/>
      <c r="I20" s="122"/>
      <c r="J20" s="122"/>
      <c r="K20" s="122"/>
      <c r="L20" s="130">
        <f t="shared" si="0"/>
        <v>126</v>
      </c>
      <c r="M20" s="131">
        <v>0.9</v>
      </c>
      <c r="N20" s="130">
        <f t="shared" si="1"/>
        <v>0.15180722891566256</v>
      </c>
      <c r="O20" s="132">
        <f t="shared" si="2"/>
        <v>0.16867469879518063</v>
      </c>
      <c r="P20" s="122">
        <v>0.9</v>
      </c>
      <c r="Q20" s="130">
        <f t="shared" si="3"/>
        <v>0</v>
      </c>
      <c r="R20" s="122"/>
      <c r="T20" s="133"/>
    </row>
    <row r="21" spans="1:20" ht="15.75" customHeight="1" x14ac:dyDescent="0.3">
      <c r="A21" s="125" t="s">
        <v>71</v>
      </c>
      <c r="B21" s="125">
        <v>202</v>
      </c>
      <c r="C21" s="125">
        <v>238</v>
      </c>
      <c r="D21" s="125">
        <v>440</v>
      </c>
      <c r="E21" s="129">
        <v>0.53012048192771088</v>
      </c>
      <c r="F21" s="122"/>
      <c r="G21" s="122"/>
      <c r="H21" s="122"/>
      <c r="I21" s="122"/>
      <c r="J21" s="122"/>
      <c r="K21" s="122"/>
      <c r="L21" s="130">
        <f t="shared" si="0"/>
        <v>-16.500000000000057</v>
      </c>
      <c r="M21" s="131">
        <v>0.55000000000000004</v>
      </c>
      <c r="N21" s="130">
        <f t="shared" si="1"/>
        <v>-1.987951807228916E-2</v>
      </c>
      <c r="O21" s="132">
        <f t="shared" si="2"/>
        <v>-3.6144578313253017E-2</v>
      </c>
      <c r="P21" s="122">
        <v>1</v>
      </c>
      <c r="Q21" s="130">
        <f t="shared" si="3"/>
        <v>-0.44999999999999996</v>
      </c>
      <c r="R21" s="122"/>
      <c r="T21" s="133"/>
    </row>
    <row r="22" spans="1:20" ht="15.75" customHeight="1" x14ac:dyDescent="0.3">
      <c r="A22" s="125" t="s">
        <v>268</v>
      </c>
      <c r="B22" s="125">
        <v>0</v>
      </c>
      <c r="C22" s="125">
        <v>56</v>
      </c>
      <c r="D22" s="125">
        <v>56</v>
      </c>
      <c r="E22" s="129">
        <v>6.746987951807229E-2</v>
      </c>
      <c r="F22" s="122"/>
      <c r="G22" s="122"/>
      <c r="H22" s="122"/>
      <c r="I22" s="122"/>
      <c r="J22" s="122"/>
      <c r="K22" s="122"/>
      <c r="L22" s="130">
        <f t="shared" si="0"/>
        <v>-27</v>
      </c>
      <c r="M22" s="131">
        <v>0.1</v>
      </c>
      <c r="N22" s="130">
        <f t="shared" si="1"/>
        <v>-3.2530120481927716E-2</v>
      </c>
      <c r="O22" s="132">
        <f t="shared" si="2"/>
        <v>-0.32530120481927716</v>
      </c>
      <c r="P22" s="122">
        <v>0.1</v>
      </c>
      <c r="Q22" s="130">
        <f t="shared" si="3"/>
        <v>0</v>
      </c>
      <c r="R22" s="122"/>
      <c r="T22" s="133"/>
    </row>
    <row r="23" spans="1:20" ht="15.75" customHeight="1" x14ac:dyDescent="0.3">
      <c r="A23" s="125" t="s">
        <v>147</v>
      </c>
      <c r="B23" s="125">
        <v>278</v>
      </c>
      <c r="C23" s="125">
        <v>459</v>
      </c>
      <c r="D23" s="125">
        <v>737</v>
      </c>
      <c r="E23" s="129">
        <v>0.88795180722891565</v>
      </c>
      <c r="F23" s="122"/>
      <c r="G23" s="122"/>
      <c r="H23" s="122"/>
      <c r="I23" s="122"/>
      <c r="J23" s="122"/>
      <c r="K23" s="122"/>
      <c r="L23" s="130">
        <f t="shared" si="0"/>
        <v>156</v>
      </c>
      <c r="M23" s="131">
        <v>0.7</v>
      </c>
      <c r="N23" s="130">
        <f t="shared" si="1"/>
        <v>0.18795180722891569</v>
      </c>
      <c r="O23" s="132">
        <f t="shared" si="2"/>
        <v>0.26850258175559388</v>
      </c>
      <c r="P23" s="122">
        <v>0.7</v>
      </c>
      <c r="Q23" s="130">
        <f t="shared" si="3"/>
        <v>0</v>
      </c>
      <c r="R23" s="122"/>
      <c r="T23" s="133"/>
    </row>
    <row r="24" spans="1:20" ht="15.75" customHeight="1" x14ac:dyDescent="0.3">
      <c r="A24" s="128" t="s">
        <v>85</v>
      </c>
      <c r="B24" s="125">
        <v>418</v>
      </c>
      <c r="C24" s="125">
        <v>470</v>
      </c>
      <c r="D24" s="125">
        <v>888</v>
      </c>
      <c r="E24" s="129">
        <v>1.0698795180722891</v>
      </c>
      <c r="F24" s="122"/>
      <c r="G24" s="122"/>
      <c r="H24" s="122"/>
      <c r="I24" s="122"/>
      <c r="J24" s="122"/>
      <c r="K24" s="122"/>
      <c r="L24" s="130">
        <f t="shared" si="0"/>
        <v>141</v>
      </c>
      <c r="M24" s="131">
        <v>0.9</v>
      </c>
      <c r="N24" s="130">
        <f t="shared" si="1"/>
        <v>0.16987951807228907</v>
      </c>
      <c r="O24" s="132">
        <f t="shared" si="2"/>
        <v>0.18875502008032119</v>
      </c>
      <c r="P24" s="122">
        <v>0.9</v>
      </c>
      <c r="Q24" s="130">
        <f t="shared" si="3"/>
        <v>0</v>
      </c>
      <c r="R24" s="122"/>
      <c r="T24" s="133"/>
    </row>
    <row r="25" spans="1:20" ht="15.75" customHeight="1" x14ac:dyDescent="0.3">
      <c r="A25" s="125" t="s">
        <v>77</v>
      </c>
      <c r="B25" s="125">
        <v>160</v>
      </c>
      <c r="C25" s="125">
        <v>207</v>
      </c>
      <c r="D25" s="125">
        <v>367</v>
      </c>
      <c r="E25" s="129">
        <v>0.44216867469879517</v>
      </c>
      <c r="F25" s="122"/>
      <c r="G25" s="122"/>
      <c r="H25" s="122"/>
      <c r="I25" s="122"/>
      <c r="J25" s="122"/>
      <c r="K25" s="122"/>
      <c r="L25" s="130">
        <f t="shared" si="0"/>
        <v>35</v>
      </c>
      <c r="M25" s="131">
        <v>0.4</v>
      </c>
      <c r="N25" s="130">
        <f t="shared" si="1"/>
        <v>4.216867469879515E-2</v>
      </c>
      <c r="O25" s="132">
        <f t="shared" si="2"/>
        <v>0.10542168674698787</v>
      </c>
      <c r="P25" s="122">
        <v>0.5</v>
      </c>
      <c r="Q25" s="130">
        <f t="shared" si="3"/>
        <v>-9.9999999999999978E-2</v>
      </c>
      <c r="R25" s="122"/>
      <c r="T25" s="133"/>
    </row>
    <row r="26" spans="1:20" ht="15.75" customHeight="1" x14ac:dyDescent="0.3">
      <c r="A26" s="125" t="s">
        <v>172</v>
      </c>
      <c r="B26" s="125">
        <v>262</v>
      </c>
      <c r="C26" s="125">
        <v>291</v>
      </c>
      <c r="D26" s="125">
        <v>553</v>
      </c>
      <c r="E26" s="129">
        <v>0.66626506024096388</v>
      </c>
      <c r="F26" s="122"/>
      <c r="G26" s="122"/>
      <c r="H26" s="122"/>
      <c r="I26" s="122"/>
      <c r="J26" s="122"/>
      <c r="K26" s="122"/>
      <c r="L26" s="130">
        <f t="shared" si="0"/>
        <v>55</v>
      </c>
      <c r="M26" s="131">
        <v>0.6</v>
      </c>
      <c r="N26" s="130">
        <f t="shared" si="1"/>
        <v>6.6265060240963902E-2</v>
      </c>
      <c r="O26" s="132">
        <f t="shared" si="2"/>
        <v>0.11044176706827318</v>
      </c>
      <c r="P26" s="122">
        <v>0.65</v>
      </c>
      <c r="Q26" s="130">
        <f t="shared" si="3"/>
        <v>-5.0000000000000044E-2</v>
      </c>
      <c r="R26" s="122"/>
      <c r="T26" s="133"/>
    </row>
    <row r="27" spans="1:20" ht="15.75" customHeight="1" x14ac:dyDescent="0.3">
      <c r="A27" s="125" t="s">
        <v>99</v>
      </c>
      <c r="B27" s="125">
        <v>143</v>
      </c>
      <c r="C27" s="125">
        <v>186</v>
      </c>
      <c r="D27" s="125">
        <v>329</v>
      </c>
      <c r="E27" s="129">
        <v>0.39638554216867472</v>
      </c>
      <c r="F27" s="122"/>
      <c r="G27" s="122"/>
      <c r="H27" s="122"/>
      <c r="I27" s="122"/>
      <c r="J27" s="122"/>
      <c r="K27" s="122"/>
      <c r="L27" s="130">
        <f t="shared" si="0"/>
        <v>-3</v>
      </c>
      <c r="M27" s="131">
        <v>0.4</v>
      </c>
      <c r="N27" s="130">
        <f t="shared" si="1"/>
        <v>-3.6144578313253017E-3</v>
      </c>
      <c r="O27" s="132">
        <f t="shared" si="2"/>
        <v>-9.0361445783132543E-3</v>
      </c>
      <c r="P27" s="122">
        <v>0.45</v>
      </c>
      <c r="Q27" s="130">
        <f t="shared" si="3"/>
        <v>-4.9999999999999989E-2</v>
      </c>
      <c r="R27" s="122"/>
      <c r="T27" s="133"/>
    </row>
    <row r="28" spans="1:20" ht="15.75" customHeight="1" x14ac:dyDescent="0.3">
      <c r="A28" s="125" t="s">
        <v>211</v>
      </c>
      <c r="B28" s="125">
        <v>285</v>
      </c>
      <c r="C28" s="125">
        <v>162</v>
      </c>
      <c r="D28" s="125">
        <v>447</v>
      </c>
      <c r="E28" s="129">
        <v>0.53855421686746985</v>
      </c>
      <c r="F28" s="122"/>
      <c r="G28" s="122"/>
      <c r="H28" s="122"/>
      <c r="I28" s="122"/>
      <c r="J28" s="122"/>
      <c r="K28" s="122"/>
      <c r="L28" s="130">
        <f t="shared" si="0"/>
        <v>115</v>
      </c>
      <c r="M28" s="131">
        <v>0.4</v>
      </c>
      <c r="N28" s="130">
        <f t="shared" si="1"/>
        <v>0.13855421686746983</v>
      </c>
      <c r="O28" s="132">
        <f t="shared" si="2"/>
        <v>0.34638554216867457</v>
      </c>
      <c r="P28" s="122">
        <v>0.55000000000000004</v>
      </c>
      <c r="Q28" s="130">
        <f t="shared" si="3"/>
        <v>-0.15000000000000002</v>
      </c>
      <c r="R28" s="122"/>
      <c r="T28" s="133"/>
    </row>
    <row r="29" spans="1:20" ht="15.75" customHeight="1" x14ac:dyDescent="0.3">
      <c r="A29" s="125" t="s">
        <v>64</v>
      </c>
      <c r="B29" s="125">
        <v>253</v>
      </c>
      <c r="C29" s="125">
        <v>130</v>
      </c>
      <c r="D29" s="125">
        <v>383</v>
      </c>
      <c r="E29" s="129">
        <v>0.4614457831325301</v>
      </c>
      <c r="F29" s="122"/>
      <c r="G29" s="122"/>
      <c r="H29" s="122"/>
      <c r="I29" s="122"/>
      <c r="J29" s="122"/>
      <c r="K29" s="122"/>
      <c r="L29" s="130">
        <f t="shared" si="0"/>
        <v>51</v>
      </c>
      <c r="M29" s="131">
        <v>0.4</v>
      </c>
      <c r="N29" s="130">
        <f t="shared" si="1"/>
        <v>6.1445783132530074E-2</v>
      </c>
      <c r="O29" s="132">
        <f t="shared" si="2"/>
        <v>0.15361445783132519</v>
      </c>
      <c r="P29" s="122">
        <v>0.4</v>
      </c>
      <c r="Q29" s="130">
        <f t="shared" si="3"/>
        <v>0</v>
      </c>
      <c r="R29" s="122"/>
      <c r="T29" s="133"/>
    </row>
    <row r="30" spans="1:20" ht="15.75" customHeight="1" x14ac:dyDescent="0.3">
      <c r="A30" s="125" t="s">
        <v>97</v>
      </c>
      <c r="B30" s="125">
        <v>332</v>
      </c>
      <c r="C30" s="125">
        <v>473</v>
      </c>
      <c r="D30" s="125">
        <v>805</v>
      </c>
      <c r="E30" s="129">
        <v>0.96987951807228912</v>
      </c>
      <c r="F30" s="122"/>
      <c r="G30" s="122"/>
      <c r="H30" s="122"/>
      <c r="I30" s="122"/>
      <c r="J30" s="122"/>
      <c r="K30" s="122"/>
      <c r="L30" s="130">
        <f t="shared" si="0"/>
        <v>16.5</v>
      </c>
      <c r="M30" s="131">
        <v>0.95</v>
      </c>
      <c r="N30" s="130">
        <f t="shared" si="1"/>
        <v>1.987951807228916E-2</v>
      </c>
      <c r="O30" s="132">
        <f t="shared" si="2"/>
        <v>2.0925808497146484E-2</v>
      </c>
      <c r="P30" s="122">
        <v>0.95</v>
      </c>
      <c r="Q30" s="130">
        <f t="shared" si="3"/>
        <v>0</v>
      </c>
      <c r="R30" s="122"/>
      <c r="T30" s="133"/>
    </row>
    <row r="31" spans="1:20" ht="15.75" customHeight="1" x14ac:dyDescent="0.3">
      <c r="A31" s="125" t="s">
        <v>292</v>
      </c>
      <c r="B31" s="125">
        <v>52</v>
      </c>
      <c r="C31" s="125">
        <v>22</v>
      </c>
      <c r="D31" s="125">
        <v>74</v>
      </c>
      <c r="E31" s="129">
        <v>8.91566265060241E-2</v>
      </c>
      <c r="F31" s="122"/>
      <c r="G31" s="122"/>
      <c r="H31" s="122"/>
      <c r="I31" s="122"/>
      <c r="J31" s="122"/>
      <c r="K31" s="122"/>
      <c r="L31" s="130">
        <f t="shared" si="0"/>
        <v>-9</v>
      </c>
      <c r="M31" s="131">
        <v>0.1</v>
      </c>
      <c r="N31" s="130">
        <f t="shared" si="1"/>
        <v>-1.0843373493975905E-2</v>
      </c>
      <c r="O31" s="132">
        <f t="shared" si="2"/>
        <v>-0.10843373493975905</v>
      </c>
      <c r="P31" s="122">
        <v>0.1</v>
      </c>
      <c r="Q31" s="130">
        <f t="shared" si="3"/>
        <v>0</v>
      </c>
      <c r="R31" s="122"/>
      <c r="T31" s="133"/>
    </row>
    <row r="32" spans="1:20" ht="15.75" customHeight="1" x14ac:dyDescent="0.3">
      <c r="A32" s="128" t="s">
        <v>273</v>
      </c>
      <c r="B32" s="125">
        <v>575</v>
      </c>
      <c r="C32" s="125">
        <v>126</v>
      </c>
      <c r="D32" s="125">
        <v>701</v>
      </c>
      <c r="E32" s="129">
        <v>0.84457831325301203</v>
      </c>
      <c r="F32" s="122"/>
      <c r="G32" s="122"/>
      <c r="H32" s="122"/>
      <c r="I32" s="122"/>
      <c r="J32" s="122"/>
      <c r="K32" s="122"/>
      <c r="L32" s="130">
        <f t="shared" si="0"/>
        <v>37</v>
      </c>
      <c r="M32" s="131">
        <v>0.8</v>
      </c>
      <c r="N32" s="130">
        <f t="shared" si="1"/>
        <v>4.4578313253011981E-2</v>
      </c>
      <c r="O32" s="132">
        <f t="shared" si="2"/>
        <v>5.5722891566264976E-2</v>
      </c>
      <c r="P32" s="122">
        <v>0.9</v>
      </c>
      <c r="Q32" s="130">
        <f t="shared" si="3"/>
        <v>-9.9999999999999978E-2</v>
      </c>
      <c r="R32" s="122"/>
      <c r="T32" s="133"/>
    </row>
    <row r="33" spans="1:20" ht="15.75" customHeight="1" x14ac:dyDescent="0.3">
      <c r="A33" s="128" t="s">
        <v>92</v>
      </c>
      <c r="B33" s="125">
        <v>256</v>
      </c>
      <c r="C33" s="125">
        <v>610</v>
      </c>
      <c r="D33" s="125">
        <v>866</v>
      </c>
      <c r="E33" s="129">
        <v>1.0433734939759036</v>
      </c>
      <c r="F33" s="122"/>
      <c r="G33" s="122"/>
      <c r="H33" s="122"/>
      <c r="I33" s="122"/>
      <c r="J33" s="122"/>
      <c r="K33" s="122"/>
      <c r="L33" s="130">
        <f t="shared" si="0"/>
        <v>77.5</v>
      </c>
      <c r="M33" s="131">
        <v>0.95</v>
      </c>
      <c r="N33" s="130">
        <f t="shared" si="1"/>
        <v>9.3373493975903665E-2</v>
      </c>
      <c r="O33" s="132">
        <f t="shared" si="2"/>
        <v>9.8287888395688069E-2</v>
      </c>
      <c r="P33" s="122">
        <v>0.9</v>
      </c>
      <c r="Q33" s="130">
        <f t="shared" si="3"/>
        <v>4.9999999999999933E-2</v>
      </c>
      <c r="R33" s="122"/>
      <c r="T33" s="133"/>
    </row>
    <row r="34" spans="1:20" ht="15.75" customHeight="1" x14ac:dyDescent="0.3">
      <c r="A34" s="125" t="s">
        <v>109</v>
      </c>
      <c r="B34" s="125">
        <v>195</v>
      </c>
      <c r="C34" s="125">
        <v>136</v>
      </c>
      <c r="D34" s="125">
        <v>331</v>
      </c>
      <c r="E34" s="129">
        <v>0.39879518072289155</v>
      </c>
      <c r="F34" s="122"/>
      <c r="G34" s="122"/>
      <c r="H34" s="122"/>
      <c r="I34" s="122"/>
      <c r="J34" s="122"/>
      <c r="K34" s="122"/>
      <c r="L34" s="130">
        <f t="shared" si="0"/>
        <v>-1</v>
      </c>
      <c r="M34" s="131">
        <v>0.4</v>
      </c>
      <c r="N34" s="130">
        <f t="shared" si="1"/>
        <v>-1.2048192771084709E-3</v>
      </c>
      <c r="O34" s="132">
        <f t="shared" si="2"/>
        <v>-3.0120481927711773E-3</v>
      </c>
      <c r="P34" s="122">
        <v>0.4</v>
      </c>
      <c r="Q34" s="130">
        <f t="shared" si="3"/>
        <v>0</v>
      </c>
      <c r="R34" s="122"/>
      <c r="T34" s="133"/>
    </row>
    <row r="35" spans="1:20" ht="15.75" customHeight="1" x14ac:dyDescent="0.3">
      <c r="A35" s="125" t="s">
        <v>175</v>
      </c>
      <c r="B35" s="125">
        <v>285</v>
      </c>
      <c r="C35" s="125">
        <v>151</v>
      </c>
      <c r="D35" s="125">
        <v>436</v>
      </c>
      <c r="E35" s="129">
        <v>0.52530120481927711</v>
      </c>
      <c r="F35" s="122"/>
      <c r="G35" s="122"/>
      <c r="H35" s="122"/>
      <c r="I35" s="122"/>
      <c r="J35" s="122"/>
      <c r="K35" s="122"/>
      <c r="L35" s="130">
        <f t="shared" si="0"/>
        <v>104</v>
      </c>
      <c r="M35" s="131">
        <v>0.4</v>
      </c>
      <c r="N35" s="130">
        <f t="shared" si="1"/>
        <v>0.12530120481927709</v>
      </c>
      <c r="O35" s="132">
        <f t="shared" si="2"/>
        <v>0.31325301204819272</v>
      </c>
      <c r="P35" s="122">
        <v>0.4</v>
      </c>
      <c r="Q35" s="130">
        <f t="shared" si="3"/>
        <v>0</v>
      </c>
      <c r="R35" s="122"/>
      <c r="T35" s="133"/>
    </row>
    <row r="36" spans="1:20" ht="15.75" customHeight="1" x14ac:dyDescent="0.3">
      <c r="A36" s="125" t="s">
        <v>246</v>
      </c>
      <c r="B36" s="125">
        <v>149</v>
      </c>
      <c r="C36" s="125">
        <v>189</v>
      </c>
      <c r="D36" s="125">
        <v>338</v>
      </c>
      <c r="E36" s="129">
        <v>0.40722891566265063</v>
      </c>
      <c r="F36" s="122"/>
      <c r="G36" s="122"/>
      <c r="H36" s="122"/>
      <c r="I36" s="122"/>
      <c r="J36" s="122"/>
      <c r="K36" s="122"/>
      <c r="L36" s="130">
        <f t="shared" si="0"/>
        <v>6</v>
      </c>
      <c r="M36" s="131">
        <v>0.4</v>
      </c>
      <c r="N36" s="130">
        <f t="shared" si="1"/>
        <v>7.2289156626506035E-3</v>
      </c>
      <c r="O36" s="132">
        <f t="shared" si="2"/>
        <v>1.8072289156626509E-2</v>
      </c>
      <c r="P36" s="122">
        <v>0.5</v>
      </c>
      <c r="Q36" s="130">
        <f t="shared" si="3"/>
        <v>-9.9999999999999978E-2</v>
      </c>
      <c r="R36" s="122"/>
      <c r="T36" s="133"/>
    </row>
    <row r="37" spans="1:20" ht="15.75" customHeight="1" x14ac:dyDescent="0.3">
      <c r="A37" s="125" t="s">
        <v>168</v>
      </c>
      <c r="B37" s="125">
        <v>467</v>
      </c>
      <c r="C37" s="125">
        <v>225</v>
      </c>
      <c r="D37" s="125">
        <v>692</v>
      </c>
      <c r="E37" s="129">
        <v>0.83373493975903612</v>
      </c>
      <c r="F37" s="122"/>
      <c r="G37" s="122"/>
      <c r="H37" s="122"/>
      <c r="I37" s="122"/>
      <c r="J37" s="122"/>
      <c r="K37" s="122"/>
      <c r="L37" s="130">
        <f t="shared" si="0"/>
        <v>69.5</v>
      </c>
      <c r="M37" s="131">
        <v>0.75</v>
      </c>
      <c r="N37" s="130">
        <f t="shared" si="1"/>
        <v>8.373493975903612E-2</v>
      </c>
      <c r="O37" s="132">
        <f t="shared" si="2"/>
        <v>0.11164658634538149</v>
      </c>
      <c r="P37" s="122">
        <v>0.85</v>
      </c>
      <c r="Q37" s="130">
        <f t="shared" si="3"/>
        <v>-9.9999999999999978E-2</v>
      </c>
      <c r="R37" s="122"/>
      <c r="T37" s="133"/>
    </row>
    <row r="38" spans="1:20" ht="15.75" customHeight="1" x14ac:dyDescent="0.3">
      <c r="A38" s="125" t="s">
        <v>499</v>
      </c>
      <c r="B38" s="125">
        <v>66</v>
      </c>
      <c r="C38" s="125">
        <v>384</v>
      </c>
      <c r="D38" s="125">
        <v>450</v>
      </c>
      <c r="E38" s="129">
        <v>0.54216867469879515</v>
      </c>
      <c r="F38" s="122"/>
      <c r="G38" s="122"/>
      <c r="H38" s="122"/>
      <c r="I38" s="122"/>
      <c r="J38" s="122"/>
      <c r="K38" s="122"/>
      <c r="L38" s="130">
        <f t="shared" si="0"/>
        <v>35</v>
      </c>
      <c r="M38" s="131">
        <v>0.5</v>
      </c>
      <c r="N38" s="130">
        <f t="shared" si="1"/>
        <v>4.216867469879515E-2</v>
      </c>
      <c r="O38" s="132">
        <f t="shared" si="2"/>
        <v>8.43373493975903E-2</v>
      </c>
      <c r="P38" s="122">
        <v>0.5</v>
      </c>
      <c r="Q38" s="130">
        <f t="shared" si="3"/>
        <v>0</v>
      </c>
      <c r="R38" s="122"/>
      <c r="T38" s="133"/>
    </row>
    <row r="39" spans="1:20" ht="15.75" customHeight="1" x14ac:dyDescent="0.3">
      <c r="A39" s="39" t="s">
        <v>500</v>
      </c>
      <c r="B39" s="39">
        <v>160</v>
      </c>
      <c r="C39" s="39">
        <v>151.5</v>
      </c>
      <c r="D39" s="39">
        <v>311.5</v>
      </c>
      <c r="E39" s="134">
        <v>0.37530120481927709</v>
      </c>
      <c r="F39" s="39"/>
      <c r="G39" s="39"/>
      <c r="H39" s="39"/>
      <c r="I39" s="39"/>
      <c r="J39" s="39"/>
      <c r="K39" s="124"/>
      <c r="M39" s="123"/>
    </row>
    <row r="40" spans="1:20" ht="15.75" customHeight="1" x14ac:dyDescent="0.3">
      <c r="A40" s="39" t="s">
        <v>501</v>
      </c>
      <c r="B40" s="39">
        <v>0</v>
      </c>
      <c r="C40" s="39">
        <v>134</v>
      </c>
      <c r="D40" s="39">
        <v>134</v>
      </c>
      <c r="E40" s="134">
        <v>0.16144578313253011</v>
      </c>
      <c r="F40" s="39"/>
      <c r="G40" s="39"/>
      <c r="H40" s="39"/>
      <c r="I40" s="39"/>
      <c r="J40" s="39"/>
      <c r="K40" s="124"/>
      <c r="M40" s="123"/>
    </row>
    <row r="41" spans="1:20" ht="15.75" customHeight="1" x14ac:dyDescent="0.3">
      <c r="A41" s="39" t="s">
        <v>502</v>
      </c>
      <c r="B41" s="39">
        <v>0</v>
      </c>
      <c r="C41" s="39">
        <v>100.5</v>
      </c>
      <c r="D41" s="39">
        <v>100.5</v>
      </c>
      <c r="E41" s="134">
        <v>0.12108433734939759</v>
      </c>
      <c r="F41" s="39"/>
      <c r="G41" s="39"/>
      <c r="H41" s="39"/>
      <c r="I41" s="39"/>
      <c r="J41" s="39"/>
      <c r="K41" s="124"/>
      <c r="M41" s="123"/>
    </row>
    <row r="42" spans="1:20" ht="15.75" customHeight="1" x14ac:dyDescent="0.3">
      <c r="A42" s="39" t="s">
        <v>503</v>
      </c>
      <c r="B42" s="39">
        <v>0</v>
      </c>
      <c r="C42" s="39">
        <v>0</v>
      </c>
      <c r="D42" s="39">
        <v>0</v>
      </c>
      <c r="E42" s="39">
        <v>0</v>
      </c>
      <c r="F42" s="39"/>
      <c r="G42" s="39"/>
      <c r="H42" s="39"/>
      <c r="I42" s="39"/>
      <c r="J42" s="39"/>
      <c r="K42" s="124"/>
      <c r="M42" s="123"/>
    </row>
    <row r="43" spans="1:20" ht="15.75" customHeight="1" x14ac:dyDescent="0.3">
      <c r="A43" s="125" t="s">
        <v>504</v>
      </c>
      <c r="B43" s="125"/>
      <c r="C43" s="125"/>
      <c r="D43" s="125"/>
      <c r="E43" s="125"/>
      <c r="F43" s="125"/>
      <c r="G43" s="125"/>
      <c r="H43" s="125"/>
      <c r="I43" s="125"/>
      <c r="J43" s="125"/>
      <c r="K43" s="122"/>
      <c r="M43" s="135">
        <f>SUM(M5:M42)</f>
        <v>18.099999999999994</v>
      </c>
    </row>
    <row r="44" spans="1:20" ht="15.75" customHeight="1" x14ac:dyDescent="0.3">
      <c r="M44" s="123"/>
    </row>
    <row r="45" spans="1:20" ht="15.75" customHeight="1" x14ac:dyDescent="0.3">
      <c r="M45" s="123">
        <f>M43*830</f>
        <v>15022.999999999995</v>
      </c>
      <c r="N45" s="2">
        <v>16697</v>
      </c>
    </row>
    <row r="46" spans="1:20" ht="15.75" customHeight="1" x14ac:dyDescent="0.3">
      <c r="M46" s="123"/>
      <c r="N46" s="2">
        <f>N45-M45</f>
        <v>1674.0000000000055</v>
      </c>
    </row>
    <row r="47" spans="1:20" ht="15.75" customHeight="1" x14ac:dyDescent="0.3">
      <c r="M47" s="123"/>
    </row>
    <row r="48" spans="1:20" ht="15.75" customHeight="1" x14ac:dyDescent="0.3">
      <c r="M48" s="123"/>
    </row>
    <row r="49" spans="13:13" ht="15.75" customHeight="1" x14ac:dyDescent="0.3">
      <c r="M49" s="123"/>
    </row>
    <row r="50" spans="13:13" ht="15.75" customHeight="1" x14ac:dyDescent="0.3">
      <c r="M50" s="123"/>
    </row>
    <row r="51" spans="13:13" ht="15.75" customHeight="1" x14ac:dyDescent="0.3">
      <c r="M51" s="123"/>
    </row>
    <row r="52" spans="13:13" ht="15.75" customHeight="1" x14ac:dyDescent="0.3">
      <c r="M52" s="123"/>
    </row>
    <row r="53" spans="13:13" ht="15.75" customHeight="1" x14ac:dyDescent="0.3">
      <c r="M53" s="123"/>
    </row>
    <row r="54" spans="13:13" ht="15.75" customHeight="1" x14ac:dyDescent="0.3">
      <c r="M54" s="123"/>
    </row>
    <row r="55" spans="13:13" ht="15.75" customHeight="1" x14ac:dyDescent="0.3">
      <c r="M55" s="123"/>
    </row>
    <row r="56" spans="13:13" ht="15.75" customHeight="1" x14ac:dyDescent="0.3">
      <c r="M56" s="123"/>
    </row>
    <row r="57" spans="13:13" ht="15.75" customHeight="1" x14ac:dyDescent="0.3">
      <c r="M57" s="123"/>
    </row>
    <row r="58" spans="13:13" ht="15.75" customHeight="1" x14ac:dyDescent="0.3">
      <c r="M58" s="123"/>
    </row>
    <row r="59" spans="13:13" ht="15.75" customHeight="1" x14ac:dyDescent="0.3">
      <c r="M59" s="123"/>
    </row>
    <row r="60" spans="13:13" ht="15.75" customHeight="1" x14ac:dyDescent="0.3">
      <c r="M60" s="123"/>
    </row>
    <row r="61" spans="13:13" ht="15.75" customHeight="1" x14ac:dyDescent="0.3">
      <c r="M61" s="123"/>
    </row>
    <row r="62" spans="13:13" ht="15.75" customHeight="1" x14ac:dyDescent="0.3">
      <c r="M62" s="123"/>
    </row>
    <row r="63" spans="13:13" ht="15.75" customHeight="1" x14ac:dyDescent="0.3">
      <c r="M63" s="123"/>
    </row>
    <row r="64" spans="13:13" ht="15.75" customHeight="1" x14ac:dyDescent="0.3">
      <c r="M64" s="123"/>
    </row>
    <row r="65" spans="13:13" ht="15.75" customHeight="1" x14ac:dyDescent="0.3">
      <c r="M65" s="123"/>
    </row>
    <row r="66" spans="13:13" ht="15.75" customHeight="1" x14ac:dyDescent="0.3">
      <c r="M66" s="123"/>
    </row>
    <row r="67" spans="13:13" ht="15.75" customHeight="1" x14ac:dyDescent="0.3">
      <c r="M67" s="123"/>
    </row>
    <row r="68" spans="13:13" ht="15.75" customHeight="1" x14ac:dyDescent="0.3">
      <c r="M68" s="123"/>
    </row>
    <row r="69" spans="13:13" ht="15.75" customHeight="1" x14ac:dyDescent="0.3">
      <c r="M69" s="123"/>
    </row>
    <row r="70" spans="13:13" ht="15.75" customHeight="1" x14ac:dyDescent="0.3">
      <c r="M70" s="123"/>
    </row>
    <row r="71" spans="13:13" ht="15.75" customHeight="1" x14ac:dyDescent="0.3">
      <c r="M71" s="123"/>
    </row>
    <row r="72" spans="13:13" ht="15.75" customHeight="1" x14ac:dyDescent="0.3">
      <c r="M72" s="123"/>
    </row>
    <row r="73" spans="13:13" ht="15.75" customHeight="1" x14ac:dyDescent="0.3">
      <c r="M73" s="123"/>
    </row>
    <row r="74" spans="13:13" ht="15.75" customHeight="1" x14ac:dyDescent="0.3">
      <c r="M74" s="123"/>
    </row>
    <row r="75" spans="13:13" ht="15.75" customHeight="1" x14ac:dyDescent="0.3">
      <c r="M75" s="123"/>
    </row>
    <row r="76" spans="13:13" ht="15.75" customHeight="1" x14ac:dyDescent="0.3">
      <c r="M76" s="123"/>
    </row>
    <row r="77" spans="13:13" ht="15.75" customHeight="1" x14ac:dyDescent="0.3">
      <c r="M77" s="123"/>
    </row>
    <row r="78" spans="13:13" ht="15.75" customHeight="1" x14ac:dyDescent="0.3">
      <c r="M78" s="123"/>
    </row>
    <row r="79" spans="13:13" ht="15.75" customHeight="1" x14ac:dyDescent="0.3">
      <c r="M79" s="123"/>
    </row>
    <row r="80" spans="13:13" ht="15.75" customHeight="1" x14ac:dyDescent="0.3">
      <c r="M80" s="123"/>
    </row>
    <row r="81" spans="13:13" ht="15.75" customHeight="1" x14ac:dyDescent="0.3">
      <c r="M81" s="123"/>
    </row>
    <row r="82" spans="13:13" ht="15.75" customHeight="1" x14ac:dyDescent="0.3">
      <c r="M82" s="123"/>
    </row>
    <row r="83" spans="13:13" ht="15.75" customHeight="1" x14ac:dyDescent="0.3">
      <c r="M83" s="123"/>
    </row>
    <row r="84" spans="13:13" ht="15.75" customHeight="1" x14ac:dyDescent="0.3">
      <c r="M84" s="123"/>
    </row>
    <row r="85" spans="13:13" ht="15.75" customHeight="1" x14ac:dyDescent="0.3">
      <c r="M85" s="123"/>
    </row>
    <row r="86" spans="13:13" ht="15.75" customHeight="1" x14ac:dyDescent="0.3">
      <c r="M86" s="123"/>
    </row>
    <row r="87" spans="13:13" ht="15.75" customHeight="1" x14ac:dyDescent="0.3">
      <c r="M87" s="123"/>
    </row>
    <row r="88" spans="13:13" ht="15.75" customHeight="1" x14ac:dyDescent="0.3">
      <c r="M88" s="123"/>
    </row>
    <row r="89" spans="13:13" ht="15.75" customHeight="1" x14ac:dyDescent="0.3">
      <c r="M89" s="123"/>
    </row>
    <row r="90" spans="13:13" ht="15.75" customHeight="1" x14ac:dyDescent="0.3">
      <c r="M90" s="123"/>
    </row>
    <row r="91" spans="13:13" ht="15.75" customHeight="1" x14ac:dyDescent="0.3">
      <c r="M91" s="123"/>
    </row>
    <row r="92" spans="13:13" ht="15.75" customHeight="1" x14ac:dyDescent="0.3">
      <c r="M92" s="123"/>
    </row>
    <row r="93" spans="13:13" ht="15.75" customHeight="1" x14ac:dyDescent="0.3">
      <c r="M93" s="123"/>
    </row>
    <row r="94" spans="13:13" ht="15.75" customHeight="1" x14ac:dyDescent="0.3">
      <c r="M94" s="123"/>
    </row>
    <row r="95" spans="13:13" ht="15.75" customHeight="1" x14ac:dyDescent="0.3">
      <c r="M95" s="123"/>
    </row>
    <row r="96" spans="13:13" ht="15.75" customHeight="1" x14ac:dyDescent="0.3">
      <c r="M96" s="123"/>
    </row>
    <row r="97" spans="13:13" ht="15.75" customHeight="1" x14ac:dyDescent="0.3">
      <c r="M97" s="123"/>
    </row>
    <row r="98" spans="13:13" ht="15.75" customHeight="1" x14ac:dyDescent="0.3">
      <c r="M98" s="123"/>
    </row>
    <row r="99" spans="13:13" ht="15.75" customHeight="1" x14ac:dyDescent="0.3">
      <c r="M99" s="123"/>
    </row>
    <row r="100" spans="13:13" ht="15.75" customHeight="1" x14ac:dyDescent="0.3">
      <c r="M100" s="123"/>
    </row>
    <row r="101" spans="13:13" ht="15.75" customHeight="1" x14ac:dyDescent="0.3">
      <c r="M101" s="123"/>
    </row>
    <row r="102" spans="13:13" ht="15.75" customHeight="1" x14ac:dyDescent="0.3">
      <c r="M102" s="123"/>
    </row>
    <row r="103" spans="13:13" ht="15.75" customHeight="1" x14ac:dyDescent="0.3">
      <c r="M103" s="123"/>
    </row>
    <row r="104" spans="13:13" ht="15.75" customHeight="1" x14ac:dyDescent="0.3">
      <c r="M104" s="123"/>
    </row>
    <row r="105" spans="13:13" ht="15.75" customHeight="1" x14ac:dyDescent="0.3">
      <c r="M105" s="123"/>
    </row>
    <row r="106" spans="13:13" ht="15.75" customHeight="1" x14ac:dyDescent="0.3">
      <c r="M106" s="123"/>
    </row>
    <row r="107" spans="13:13" ht="15.75" customHeight="1" x14ac:dyDescent="0.3">
      <c r="M107" s="123"/>
    </row>
    <row r="108" spans="13:13" ht="15.75" customHeight="1" x14ac:dyDescent="0.3">
      <c r="M108" s="123"/>
    </row>
    <row r="109" spans="13:13" ht="15.75" customHeight="1" x14ac:dyDescent="0.3">
      <c r="M109" s="123"/>
    </row>
    <row r="110" spans="13:13" ht="15.75" customHeight="1" x14ac:dyDescent="0.3">
      <c r="M110" s="123"/>
    </row>
    <row r="111" spans="13:13" ht="15.75" customHeight="1" x14ac:dyDescent="0.3">
      <c r="M111" s="123"/>
    </row>
    <row r="112" spans="13:13" ht="15.75" customHeight="1" x14ac:dyDescent="0.3">
      <c r="M112" s="123"/>
    </row>
    <row r="113" spans="13:13" ht="15.75" customHeight="1" x14ac:dyDescent="0.3">
      <c r="M113" s="123"/>
    </row>
    <row r="114" spans="13:13" ht="15.75" customHeight="1" x14ac:dyDescent="0.3">
      <c r="M114" s="123"/>
    </row>
    <row r="115" spans="13:13" ht="15.75" customHeight="1" x14ac:dyDescent="0.3">
      <c r="M115" s="123"/>
    </row>
    <row r="116" spans="13:13" ht="15.75" customHeight="1" x14ac:dyDescent="0.3">
      <c r="M116" s="123"/>
    </row>
    <row r="117" spans="13:13" ht="15.75" customHeight="1" x14ac:dyDescent="0.3">
      <c r="M117" s="123"/>
    </row>
    <row r="118" spans="13:13" ht="15.75" customHeight="1" x14ac:dyDescent="0.3">
      <c r="M118" s="123"/>
    </row>
    <row r="119" spans="13:13" ht="15.75" customHeight="1" x14ac:dyDescent="0.3">
      <c r="M119" s="123"/>
    </row>
    <row r="120" spans="13:13" ht="15.75" customHeight="1" x14ac:dyDescent="0.3">
      <c r="M120" s="123"/>
    </row>
    <row r="121" spans="13:13" ht="15.75" customHeight="1" x14ac:dyDescent="0.3">
      <c r="M121" s="123"/>
    </row>
    <row r="122" spans="13:13" ht="15.75" customHeight="1" x14ac:dyDescent="0.3">
      <c r="M122" s="123"/>
    </row>
    <row r="123" spans="13:13" ht="15.75" customHeight="1" x14ac:dyDescent="0.3">
      <c r="M123" s="123"/>
    </row>
    <row r="124" spans="13:13" ht="15.75" customHeight="1" x14ac:dyDescent="0.3">
      <c r="M124" s="123"/>
    </row>
    <row r="125" spans="13:13" ht="15.75" customHeight="1" x14ac:dyDescent="0.3">
      <c r="M125" s="123"/>
    </row>
    <row r="126" spans="13:13" ht="15.75" customHeight="1" x14ac:dyDescent="0.3">
      <c r="M126" s="123"/>
    </row>
    <row r="127" spans="13:13" ht="15.75" customHeight="1" x14ac:dyDescent="0.3">
      <c r="M127" s="123"/>
    </row>
    <row r="128" spans="13:13" ht="15.75" customHeight="1" x14ac:dyDescent="0.3">
      <c r="M128" s="123"/>
    </row>
    <row r="129" spans="13:13" ht="15.75" customHeight="1" x14ac:dyDescent="0.3">
      <c r="M129" s="123"/>
    </row>
    <row r="130" spans="13:13" ht="15.75" customHeight="1" x14ac:dyDescent="0.3">
      <c r="M130" s="123"/>
    </row>
    <row r="131" spans="13:13" ht="15.75" customHeight="1" x14ac:dyDescent="0.3">
      <c r="M131" s="123"/>
    </row>
    <row r="132" spans="13:13" ht="15.75" customHeight="1" x14ac:dyDescent="0.3">
      <c r="M132" s="123"/>
    </row>
    <row r="133" spans="13:13" ht="15.75" customHeight="1" x14ac:dyDescent="0.3">
      <c r="M133" s="123"/>
    </row>
    <row r="134" spans="13:13" ht="15.75" customHeight="1" x14ac:dyDescent="0.3">
      <c r="M134" s="123"/>
    </row>
    <row r="135" spans="13:13" ht="15.75" customHeight="1" x14ac:dyDescent="0.3">
      <c r="M135" s="123"/>
    </row>
    <row r="136" spans="13:13" ht="15.75" customHeight="1" x14ac:dyDescent="0.3">
      <c r="M136" s="123"/>
    </row>
    <row r="137" spans="13:13" ht="15.75" customHeight="1" x14ac:dyDescent="0.3">
      <c r="M137" s="123"/>
    </row>
    <row r="138" spans="13:13" ht="15.75" customHeight="1" x14ac:dyDescent="0.3">
      <c r="M138" s="123"/>
    </row>
    <row r="139" spans="13:13" ht="15.75" customHeight="1" x14ac:dyDescent="0.3">
      <c r="M139" s="123"/>
    </row>
    <row r="140" spans="13:13" ht="15.75" customHeight="1" x14ac:dyDescent="0.3">
      <c r="M140" s="123"/>
    </row>
    <row r="141" spans="13:13" ht="15.75" customHeight="1" x14ac:dyDescent="0.3">
      <c r="M141" s="123"/>
    </row>
    <row r="142" spans="13:13" ht="15.75" customHeight="1" x14ac:dyDescent="0.3">
      <c r="M142" s="123"/>
    </row>
    <row r="143" spans="13:13" ht="15.75" customHeight="1" x14ac:dyDescent="0.3">
      <c r="M143" s="123"/>
    </row>
    <row r="144" spans="13:13" ht="15.75" customHeight="1" x14ac:dyDescent="0.3">
      <c r="M144" s="123"/>
    </row>
    <row r="145" spans="13:13" ht="15.75" customHeight="1" x14ac:dyDescent="0.3">
      <c r="M145" s="123"/>
    </row>
    <row r="146" spans="13:13" ht="15.75" customHeight="1" x14ac:dyDescent="0.3">
      <c r="M146" s="123"/>
    </row>
    <row r="147" spans="13:13" ht="15.75" customHeight="1" x14ac:dyDescent="0.3">
      <c r="M147" s="123"/>
    </row>
    <row r="148" spans="13:13" ht="15.75" customHeight="1" x14ac:dyDescent="0.3">
      <c r="M148" s="123"/>
    </row>
    <row r="149" spans="13:13" ht="15.75" customHeight="1" x14ac:dyDescent="0.3">
      <c r="M149" s="123"/>
    </row>
    <row r="150" spans="13:13" ht="15.75" customHeight="1" x14ac:dyDescent="0.3">
      <c r="M150" s="123"/>
    </row>
    <row r="151" spans="13:13" ht="15.75" customHeight="1" x14ac:dyDescent="0.3">
      <c r="M151" s="123"/>
    </row>
    <row r="152" spans="13:13" ht="15.75" customHeight="1" x14ac:dyDescent="0.3">
      <c r="M152" s="123"/>
    </row>
    <row r="153" spans="13:13" ht="15.75" customHeight="1" x14ac:dyDescent="0.3">
      <c r="M153" s="123"/>
    </row>
    <row r="154" spans="13:13" ht="15.75" customHeight="1" x14ac:dyDescent="0.3">
      <c r="M154" s="123"/>
    </row>
    <row r="155" spans="13:13" ht="15.75" customHeight="1" x14ac:dyDescent="0.3">
      <c r="M155" s="123"/>
    </row>
    <row r="156" spans="13:13" ht="15.75" customHeight="1" x14ac:dyDescent="0.3">
      <c r="M156" s="123"/>
    </row>
    <row r="157" spans="13:13" ht="15.75" customHeight="1" x14ac:dyDescent="0.3">
      <c r="M157" s="123"/>
    </row>
    <row r="158" spans="13:13" ht="15.75" customHeight="1" x14ac:dyDescent="0.3">
      <c r="M158" s="123"/>
    </row>
    <row r="159" spans="13:13" ht="15.75" customHeight="1" x14ac:dyDescent="0.3">
      <c r="M159" s="123"/>
    </row>
    <row r="160" spans="13:13" ht="15.75" customHeight="1" x14ac:dyDescent="0.3">
      <c r="M160" s="123"/>
    </row>
    <row r="161" spans="13:13" ht="15.75" customHeight="1" x14ac:dyDescent="0.3">
      <c r="M161" s="123"/>
    </row>
    <row r="162" spans="13:13" ht="15.75" customHeight="1" x14ac:dyDescent="0.3">
      <c r="M162" s="123"/>
    </row>
    <row r="163" spans="13:13" ht="15.75" customHeight="1" x14ac:dyDescent="0.3">
      <c r="M163" s="123"/>
    </row>
    <row r="164" spans="13:13" ht="15.75" customHeight="1" x14ac:dyDescent="0.3">
      <c r="M164" s="123"/>
    </row>
    <row r="165" spans="13:13" ht="15.75" customHeight="1" x14ac:dyDescent="0.3">
      <c r="M165" s="123"/>
    </row>
    <row r="166" spans="13:13" ht="15.75" customHeight="1" x14ac:dyDescent="0.3">
      <c r="M166" s="123"/>
    </row>
    <row r="167" spans="13:13" ht="15.75" customHeight="1" x14ac:dyDescent="0.3">
      <c r="M167" s="123"/>
    </row>
    <row r="168" spans="13:13" ht="15.75" customHeight="1" x14ac:dyDescent="0.3">
      <c r="M168" s="123"/>
    </row>
    <row r="169" spans="13:13" ht="15.75" customHeight="1" x14ac:dyDescent="0.3">
      <c r="M169" s="123"/>
    </row>
    <row r="170" spans="13:13" ht="15.75" customHeight="1" x14ac:dyDescent="0.3">
      <c r="M170" s="123"/>
    </row>
    <row r="171" spans="13:13" ht="15.75" customHeight="1" x14ac:dyDescent="0.3">
      <c r="M171" s="123"/>
    </row>
    <row r="172" spans="13:13" ht="15.75" customHeight="1" x14ac:dyDescent="0.3">
      <c r="M172" s="123"/>
    </row>
    <row r="173" spans="13:13" ht="15.75" customHeight="1" x14ac:dyDescent="0.3">
      <c r="M173" s="123"/>
    </row>
    <row r="174" spans="13:13" ht="15.75" customHeight="1" x14ac:dyDescent="0.3">
      <c r="M174" s="123"/>
    </row>
    <row r="175" spans="13:13" ht="15.75" customHeight="1" x14ac:dyDescent="0.3">
      <c r="M175" s="123"/>
    </row>
    <row r="176" spans="13:13" ht="15.75" customHeight="1" x14ac:dyDescent="0.3">
      <c r="M176" s="123"/>
    </row>
    <row r="177" spans="13:13" ht="15.75" customHeight="1" x14ac:dyDescent="0.3">
      <c r="M177" s="123"/>
    </row>
    <row r="178" spans="13:13" ht="15.75" customHeight="1" x14ac:dyDescent="0.3">
      <c r="M178" s="123"/>
    </row>
    <row r="179" spans="13:13" ht="15.75" customHeight="1" x14ac:dyDescent="0.3">
      <c r="M179" s="123"/>
    </row>
    <row r="180" spans="13:13" ht="15.75" customHeight="1" x14ac:dyDescent="0.3">
      <c r="M180" s="123"/>
    </row>
    <row r="181" spans="13:13" ht="15.75" customHeight="1" x14ac:dyDescent="0.3">
      <c r="M181" s="123"/>
    </row>
    <row r="182" spans="13:13" ht="15.75" customHeight="1" x14ac:dyDescent="0.3">
      <c r="M182" s="123"/>
    </row>
    <row r="183" spans="13:13" ht="15.75" customHeight="1" x14ac:dyDescent="0.3">
      <c r="M183" s="123"/>
    </row>
    <row r="184" spans="13:13" ht="15.75" customHeight="1" x14ac:dyDescent="0.3">
      <c r="M184" s="123"/>
    </row>
    <row r="185" spans="13:13" ht="15.75" customHeight="1" x14ac:dyDescent="0.3">
      <c r="M185" s="123"/>
    </row>
    <row r="186" spans="13:13" ht="15.75" customHeight="1" x14ac:dyDescent="0.3">
      <c r="M186" s="123"/>
    </row>
    <row r="187" spans="13:13" ht="15.75" customHeight="1" x14ac:dyDescent="0.3">
      <c r="M187" s="123"/>
    </row>
    <row r="188" spans="13:13" ht="15.75" customHeight="1" x14ac:dyDescent="0.3">
      <c r="M188" s="123"/>
    </row>
    <row r="189" spans="13:13" ht="15.75" customHeight="1" x14ac:dyDescent="0.3">
      <c r="M189" s="123"/>
    </row>
    <row r="190" spans="13:13" ht="15.75" customHeight="1" x14ac:dyDescent="0.3">
      <c r="M190" s="123"/>
    </row>
    <row r="191" spans="13:13" ht="15.75" customHeight="1" x14ac:dyDescent="0.3">
      <c r="M191" s="123"/>
    </row>
    <row r="192" spans="13:13" ht="15.75" customHeight="1" x14ac:dyDescent="0.3">
      <c r="M192" s="123"/>
    </row>
    <row r="193" spans="13:13" ht="15.75" customHeight="1" x14ac:dyDescent="0.3">
      <c r="M193" s="123"/>
    </row>
    <row r="194" spans="13:13" ht="15.75" customHeight="1" x14ac:dyDescent="0.3">
      <c r="M194" s="123"/>
    </row>
    <row r="195" spans="13:13" ht="15.75" customHeight="1" x14ac:dyDescent="0.3">
      <c r="M195" s="123"/>
    </row>
    <row r="196" spans="13:13" ht="15.75" customHeight="1" x14ac:dyDescent="0.3">
      <c r="M196" s="123"/>
    </row>
    <row r="197" spans="13:13" ht="15.75" customHeight="1" x14ac:dyDescent="0.3">
      <c r="M197" s="123"/>
    </row>
    <row r="198" spans="13:13" ht="15.75" customHeight="1" x14ac:dyDescent="0.3">
      <c r="M198" s="123"/>
    </row>
    <row r="199" spans="13:13" ht="15.75" customHeight="1" x14ac:dyDescent="0.3">
      <c r="M199" s="123"/>
    </row>
    <row r="200" spans="13:13" ht="15.75" customHeight="1" x14ac:dyDescent="0.3">
      <c r="M200" s="123"/>
    </row>
    <row r="201" spans="13:13" ht="15.75" customHeight="1" x14ac:dyDescent="0.3">
      <c r="M201" s="123"/>
    </row>
    <row r="202" spans="13:13" ht="15.75" customHeight="1" x14ac:dyDescent="0.3">
      <c r="M202" s="123"/>
    </row>
    <row r="203" spans="13:13" ht="15.75" customHeight="1" x14ac:dyDescent="0.3">
      <c r="M203" s="123"/>
    </row>
    <row r="204" spans="13:13" ht="15.75" customHeight="1" x14ac:dyDescent="0.3">
      <c r="M204" s="123"/>
    </row>
    <row r="205" spans="13:13" ht="15.75" customHeight="1" x14ac:dyDescent="0.3">
      <c r="M205" s="123"/>
    </row>
    <row r="206" spans="13:13" ht="15.75" customHeight="1" x14ac:dyDescent="0.3">
      <c r="M206" s="123"/>
    </row>
    <row r="207" spans="13:13" ht="15.75" customHeight="1" x14ac:dyDescent="0.3">
      <c r="M207" s="123"/>
    </row>
    <row r="208" spans="13:13" ht="15.75" customHeight="1" x14ac:dyDescent="0.3">
      <c r="M208" s="123"/>
    </row>
    <row r="209" spans="13:13" ht="15.75" customHeight="1" x14ac:dyDescent="0.3">
      <c r="M209" s="123"/>
    </row>
    <row r="210" spans="13:13" ht="15.75" customHeight="1" x14ac:dyDescent="0.3">
      <c r="M210" s="123"/>
    </row>
    <row r="211" spans="13:13" ht="15.75" customHeight="1" x14ac:dyDescent="0.3">
      <c r="M211" s="123"/>
    </row>
    <row r="212" spans="13:13" ht="15.75" customHeight="1" x14ac:dyDescent="0.3">
      <c r="M212" s="123"/>
    </row>
    <row r="213" spans="13:13" ht="15.75" customHeight="1" x14ac:dyDescent="0.3">
      <c r="M213" s="123"/>
    </row>
    <row r="214" spans="13:13" ht="15.75" customHeight="1" x14ac:dyDescent="0.3">
      <c r="M214" s="123"/>
    </row>
    <row r="215" spans="13:13" ht="15.75" customHeight="1" x14ac:dyDescent="0.3">
      <c r="M215" s="123"/>
    </row>
    <row r="216" spans="13:13" ht="15.75" customHeight="1" x14ac:dyDescent="0.3">
      <c r="M216" s="123"/>
    </row>
    <row r="217" spans="13:13" ht="15.75" customHeight="1" x14ac:dyDescent="0.3">
      <c r="M217" s="123"/>
    </row>
    <row r="218" spans="13:13" ht="15.75" customHeight="1" x14ac:dyDescent="0.3">
      <c r="M218" s="123"/>
    </row>
    <row r="219" spans="13:13" ht="15.75" customHeight="1" x14ac:dyDescent="0.3">
      <c r="M219" s="123"/>
    </row>
    <row r="220" spans="13:13" ht="15.75" customHeight="1" x14ac:dyDescent="0.3">
      <c r="M220" s="123"/>
    </row>
    <row r="221" spans="13:13" ht="15.75" customHeight="1" x14ac:dyDescent="0.3">
      <c r="M221" s="123"/>
    </row>
    <row r="222" spans="13:13" ht="15.75" customHeight="1" x14ac:dyDescent="0.3">
      <c r="M222" s="123"/>
    </row>
    <row r="223" spans="13:13" ht="15.75" customHeight="1" x14ac:dyDescent="0.3">
      <c r="M223" s="123"/>
    </row>
    <row r="224" spans="13:13" ht="15.75" customHeight="1" x14ac:dyDescent="0.3">
      <c r="M224" s="123"/>
    </row>
    <row r="225" spans="13:13" ht="15.75" customHeight="1" x14ac:dyDescent="0.3">
      <c r="M225" s="123"/>
    </row>
    <row r="226" spans="13:13" ht="15.75" customHeight="1" x14ac:dyDescent="0.3">
      <c r="M226" s="123"/>
    </row>
    <row r="227" spans="13:13" ht="15.75" customHeight="1" x14ac:dyDescent="0.3">
      <c r="M227" s="123"/>
    </row>
    <row r="228" spans="13:13" ht="15.75" customHeight="1" x14ac:dyDescent="0.3">
      <c r="M228" s="123"/>
    </row>
    <row r="229" spans="13:13" ht="15.75" customHeight="1" x14ac:dyDescent="0.3">
      <c r="M229" s="123"/>
    </row>
    <row r="230" spans="13:13" ht="15.75" customHeight="1" x14ac:dyDescent="0.3">
      <c r="M230" s="123"/>
    </row>
    <row r="231" spans="13:13" ht="15.75" customHeight="1" x14ac:dyDescent="0.3">
      <c r="M231" s="123"/>
    </row>
    <row r="232" spans="13:13" ht="15.75" customHeight="1" x14ac:dyDescent="0.3">
      <c r="M232" s="123"/>
    </row>
    <row r="233" spans="13:13" ht="15.75" customHeight="1" x14ac:dyDescent="0.3">
      <c r="M233" s="123"/>
    </row>
    <row r="234" spans="13:13" ht="15.75" customHeight="1" x14ac:dyDescent="0.3">
      <c r="M234" s="123"/>
    </row>
    <row r="235" spans="13:13" ht="15.75" customHeight="1" x14ac:dyDescent="0.3">
      <c r="M235" s="123"/>
    </row>
    <row r="236" spans="13:13" ht="15.75" customHeight="1" x14ac:dyDescent="0.3">
      <c r="M236" s="123"/>
    </row>
    <row r="237" spans="13:13" ht="15.75" customHeight="1" x14ac:dyDescent="0.3">
      <c r="M237" s="123"/>
    </row>
    <row r="238" spans="13:13" ht="15.75" customHeight="1" x14ac:dyDescent="0.3">
      <c r="M238" s="123"/>
    </row>
    <row r="239" spans="13:13" ht="15.75" customHeight="1" x14ac:dyDescent="0.3">
      <c r="M239" s="123"/>
    </row>
    <row r="240" spans="13:13" ht="15.75" customHeight="1" x14ac:dyDescent="0.3">
      <c r="M240" s="123"/>
    </row>
    <row r="241" spans="13:13" ht="15.75" customHeight="1" x14ac:dyDescent="0.3">
      <c r="M241" s="123"/>
    </row>
    <row r="242" spans="13:13" ht="15.75" customHeight="1" x14ac:dyDescent="0.3">
      <c r="M242" s="123"/>
    </row>
    <row r="243" spans="13:13" ht="15.75" customHeight="1" x14ac:dyDescent="0.3">
      <c r="M243" s="123"/>
    </row>
    <row r="244" spans="13:13" ht="15.75" customHeight="1" x14ac:dyDescent="0.3">
      <c r="M244" s="123"/>
    </row>
    <row r="245" spans="13:13" ht="15.75" customHeight="1" x14ac:dyDescent="0.3">
      <c r="M245" s="123"/>
    </row>
    <row r="246" spans="13:13" ht="15.75" customHeight="1" x14ac:dyDescent="0.3">
      <c r="M246" s="123"/>
    </row>
    <row r="247" spans="13:13" ht="15.75" customHeight="1" x14ac:dyDescent="0.3">
      <c r="M247" s="123"/>
    </row>
    <row r="248" spans="13:13" ht="15.75" customHeight="1" x14ac:dyDescent="0.3">
      <c r="M248" s="123"/>
    </row>
    <row r="249" spans="13:13" ht="15.75" customHeight="1" x14ac:dyDescent="0.3">
      <c r="M249" s="123"/>
    </row>
    <row r="250" spans="13:13" ht="15.75" customHeight="1" x14ac:dyDescent="0.3">
      <c r="M250" s="123"/>
    </row>
    <row r="251" spans="13:13" ht="15.75" customHeight="1" x14ac:dyDescent="0.3">
      <c r="M251" s="123"/>
    </row>
    <row r="252" spans="13:13" ht="15.75" customHeight="1" x14ac:dyDescent="0.3">
      <c r="M252" s="123"/>
    </row>
    <row r="253" spans="13:13" ht="15.75" customHeight="1" x14ac:dyDescent="0.3">
      <c r="M253" s="123"/>
    </row>
    <row r="254" spans="13:13" ht="15.75" customHeight="1" x14ac:dyDescent="0.3">
      <c r="M254" s="123"/>
    </row>
    <row r="255" spans="13:13" ht="15.75" customHeight="1" x14ac:dyDescent="0.3">
      <c r="M255" s="123"/>
    </row>
    <row r="256" spans="13:13" ht="15.75" customHeight="1" x14ac:dyDescent="0.3">
      <c r="M256" s="123"/>
    </row>
    <row r="257" spans="13:13" ht="15.75" customHeight="1" x14ac:dyDescent="0.3">
      <c r="M257" s="123"/>
    </row>
    <row r="258" spans="13:13" ht="15.75" customHeight="1" x14ac:dyDescent="0.3">
      <c r="M258" s="123"/>
    </row>
    <row r="259" spans="13:13" ht="15.75" customHeight="1" x14ac:dyDescent="0.3">
      <c r="M259" s="123"/>
    </row>
    <row r="260" spans="13:13" ht="15.75" customHeight="1" x14ac:dyDescent="0.3">
      <c r="M260" s="123"/>
    </row>
    <row r="261" spans="13:13" ht="15.75" customHeight="1" x14ac:dyDescent="0.3">
      <c r="M261" s="123"/>
    </row>
    <row r="262" spans="13:13" ht="15.75" customHeight="1" x14ac:dyDescent="0.3">
      <c r="M262" s="123"/>
    </row>
    <row r="263" spans="13:13" ht="15.75" customHeight="1" x14ac:dyDescent="0.3">
      <c r="M263" s="123"/>
    </row>
    <row r="264" spans="13:13" ht="15.75" customHeight="1" x14ac:dyDescent="0.3">
      <c r="M264" s="123"/>
    </row>
    <row r="265" spans="13:13" ht="15.75" customHeight="1" x14ac:dyDescent="0.3">
      <c r="M265" s="123"/>
    </row>
    <row r="266" spans="13:13" ht="15.75" customHeight="1" x14ac:dyDescent="0.3">
      <c r="M266" s="123"/>
    </row>
    <row r="267" spans="13:13" ht="15.75" customHeight="1" x14ac:dyDescent="0.3">
      <c r="M267" s="123"/>
    </row>
    <row r="268" spans="13:13" ht="15.75" customHeight="1" x14ac:dyDescent="0.3">
      <c r="M268" s="123"/>
    </row>
    <row r="269" spans="13:13" ht="15.75" customHeight="1" x14ac:dyDescent="0.3">
      <c r="M269" s="123"/>
    </row>
    <row r="270" spans="13:13" ht="15.75" customHeight="1" x14ac:dyDescent="0.3">
      <c r="M270" s="123"/>
    </row>
    <row r="271" spans="13:13" ht="15.75" customHeight="1" x14ac:dyDescent="0.3">
      <c r="M271" s="123"/>
    </row>
    <row r="272" spans="13:13" ht="15.75" customHeight="1" x14ac:dyDescent="0.3">
      <c r="M272" s="123"/>
    </row>
    <row r="273" spans="13:13" ht="15.75" customHeight="1" x14ac:dyDescent="0.3">
      <c r="M273" s="123"/>
    </row>
    <row r="274" spans="13:13" ht="15.75" customHeight="1" x14ac:dyDescent="0.3">
      <c r="M274" s="123"/>
    </row>
    <row r="275" spans="13:13" ht="15.75" customHeight="1" x14ac:dyDescent="0.3">
      <c r="M275" s="123"/>
    </row>
    <row r="276" spans="13:13" ht="15.75" customHeight="1" x14ac:dyDescent="0.3">
      <c r="M276" s="123"/>
    </row>
    <row r="277" spans="13:13" ht="15.75" customHeight="1" x14ac:dyDescent="0.3">
      <c r="M277" s="123"/>
    </row>
    <row r="278" spans="13:13" ht="15.75" customHeight="1" x14ac:dyDescent="0.3">
      <c r="M278" s="123"/>
    </row>
    <row r="279" spans="13:13" ht="15.75" customHeight="1" x14ac:dyDescent="0.3">
      <c r="M279" s="123"/>
    </row>
    <row r="280" spans="13:13" ht="15.75" customHeight="1" x14ac:dyDescent="0.3">
      <c r="M280" s="123"/>
    </row>
    <row r="281" spans="13:13" ht="15.75" customHeight="1" x14ac:dyDescent="0.3">
      <c r="M281" s="123"/>
    </row>
    <row r="282" spans="13:13" ht="15.75" customHeight="1" x14ac:dyDescent="0.3">
      <c r="M282" s="123"/>
    </row>
    <row r="283" spans="13:13" ht="15.75" customHeight="1" x14ac:dyDescent="0.3">
      <c r="M283" s="123"/>
    </row>
    <row r="284" spans="13:13" ht="15.75" customHeight="1" x14ac:dyDescent="0.3">
      <c r="M284" s="123"/>
    </row>
    <row r="285" spans="13:13" ht="15.75" customHeight="1" x14ac:dyDescent="0.3">
      <c r="M285" s="123"/>
    </row>
    <row r="286" spans="13:13" ht="15.75" customHeight="1" x14ac:dyDescent="0.3">
      <c r="M286" s="123"/>
    </row>
    <row r="287" spans="13:13" ht="15.75" customHeight="1" x14ac:dyDescent="0.3">
      <c r="M287" s="123"/>
    </row>
    <row r="288" spans="13:13" ht="15.75" customHeight="1" x14ac:dyDescent="0.3">
      <c r="M288" s="123"/>
    </row>
    <row r="289" spans="13:13" ht="15.75" customHeight="1" x14ac:dyDescent="0.3">
      <c r="M289" s="123"/>
    </row>
    <row r="290" spans="13:13" ht="15.75" customHeight="1" x14ac:dyDescent="0.3">
      <c r="M290" s="123"/>
    </row>
    <row r="291" spans="13:13" ht="15.75" customHeight="1" x14ac:dyDescent="0.3">
      <c r="M291" s="123"/>
    </row>
    <row r="292" spans="13:13" ht="15.75" customHeight="1" x14ac:dyDescent="0.3">
      <c r="M292" s="123"/>
    </row>
    <row r="293" spans="13:13" ht="15.75" customHeight="1" x14ac:dyDescent="0.3">
      <c r="M293" s="123"/>
    </row>
    <row r="294" spans="13:13" ht="15.75" customHeight="1" x14ac:dyDescent="0.3">
      <c r="M294" s="123"/>
    </row>
    <row r="295" spans="13:13" ht="15.75" customHeight="1" x14ac:dyDescent="0.3">
      <c r="M295" s="123"/>
    </row>
    <row r="296" spans="13:13" ht="15.75" customHeight="1" x14ac:dyDescent="0.3">
      <c r="M296" s="123"/>
    </row>
    <row r="297" spans="13:13" ht="15.75" customHeight="1" x14ac:dyDescent="0.3">
      <c r="M297" s="123"/>
    </row>
    <row r="298" spans="13:13" ht="15.75" customHeight="1" x14ac:dyDescent="0.3">
      <c r="M298" s="123"/>
    </row>
    <row r="299" spans="13:13" ht="15.75" customHeight="1" x14ac:dyDescent="0.3">
      <c r="M299" s="123"/>
    </row>
    <row r="300" spans="13:13" ht="15.75" customHeight="1" x14ac:dyDescent="0.3">
      <c r="M300" s="123"/>
    </row>
    <row r="301" spans="13:13" ht="15.75" customHeight="1" x14ac:dyDescent="0.3">
      <c r="M301" s="123"/>
    </row>
    <row r="302" spans="13:13" ht="15.75" customHeight="1" x14ac:dyDescent="0.3">
      <c r="M302" s="123"/>
    </row>
    <row r="303" spans="13:13" ht="15.75" customHeight="1" x14ac:dyDescent="0.3">
      <c r="M303" s="123"/>
    </row>
    <row r="304" spans="13:13" ht="15.75" customHeight="1" x14ac:dyDescent="0.3">
      <c r="M304" s="123"/>
    </row>
    <row r="305" spans="13:13" ht="15.75" customHeight="1" x14ac:dyDescent="0.3">
      <c r="M305" s="123"/>
    </row>
    <row r="306" spans="13:13" ht="15.75" customHeight="1" x14ac:dyDescent="0.3">
      <c r="M306" s="123"/>
    </row>
    <row r="307" spans="13:13" ht="15.75" customHeight="1" x14ac:dyDescent="0.3">
      <c r="M307" s="123"/>
    </row>
    <row r="308" spans="13:13" ht="15.75" customHeight="1" x14ac:dyDescent="0.3">
      <c r="M308" s="123"/>
    </row>
    <row r="309" spans="13:13" ht="15.75" customHeight="1" x14ac:dyDescent="0.3">
      <c r="M309" s="123"/>
    </row>
    <row r="310" spans="13:13" ht="15.75" customHeight="1" x14ac:dyDescent="0.3">
      <c r="M310" s="123"/>
    </row>
    <row r="311" spans="13:13" ht="15.75" customHeight="1" x14ac:dyDescent="0.3">
      <c r="M311" s="123"/>
    </row>
    <row r="312" spans="13:13" ht="15.75" customHeight="1" x14ac:dyDescent="0.3">
      <c r="M312" s="123"/>
    </row>
    <row r="313" spans="13:13" ht="15.75" customHeight="1" x14ac:dyDescent="0.3">
      <c r="M313" s="123"/>
    </row>
    <row r="314" spans="13:13" ht="15.75" customHeight="1" x14ac:dyDescent="0.3">
      <c r="M314" s="123"/>
    </row>
    <row r="315" spans="13:13" ht="15.75" customHeight="1" x14ac:dyDescent="0.3">
      <c r="M315" s="123"/>
    </row>
    <row r="316" spans="13:13" ht="15.75" customHeight="1" x14ac:dyDescent="0.3">
      <c r="M316" s="123"/>
    </row>
    <row r="317" spans="13:13" ht="15.75" customHeight="1" x14ac:dyDescent="0.3">
      <c r="M317" s="123"/>
    </row>
    <row r="318" spans="13:13" ht="15.75" customHeight="1" x14ac:dyDescent="0.3">
      <c r="M318" s="123"/>
    </row>
    <row r="319" spans="13:13" ht="15.75" customHeight="1" x14ac:dyDescent="0.3">
      <c r="M319" s="123"/>
    </row>
    <row r="320" spans="13:13" ht="15.75" customHeight="1" x14ac:dyDescent="0.3">
      <c r="M320" s="123"/>
    </row>
    <row r="321" spans="13:13" ht="15.75" customHeight="1" x14ac:dyDescent="0.3">
      <c r="M321" s="123"/>
    </row>
    <row r="322" spans="13:13" ht="15.75" customHeight="1" x14ac:dyDescent="0.3">
      <c r="M322" s="123"/>
    </row>
    <row r="323" spans="13:13" ht="15.75" customHeight="1" x14ac:dyDescent="0.3">
      <c r="M323" s="123"/>
    </row>
    <row r="324" spans="13:13" ht="15.75" customHeight="1" x14ac:dyDescent="0.3">
      <c r="M324" s="123"/>
    </row>
    <row r="325" spans="13:13" ht="15.75" customHeight="1" x14ac:dyDescent="0.3">
      <c r="M325" s="123"/>
    </row>
    <row r="326" spans="13:13" ht="15.75" customHeight="1" x14ac:dyDescent="0.3">
      <c r="M326" s="123"/>
    </row>
    <row r="327" spans="13:13" ht="15.75" customHeight="1" x14ac:dyDescent="0.3">
      <c r="M327" s="123"/>
    </row>
    <row r="328" spans="13:13" ht="15.75" customHeight="1" x14ac:dyDescent="0.3">
      <c r="M328" s="123"/>
    </row>
    <row r="329" spans="13:13" ht="15.75" customHeight="1" x14ac:dyDescent="0.3">
      <c r="M329" s="123"/>
    </row>
    <row r="330" spans="13:13" ht="15.75" customHeight="1" x14ac:dyDescent="0.3">
      <c r="M330" s="123"/>
    </row>
    <row r="331" spans="13:13" ht="15.75" customHeight="1" x14ac:dyDescent="0.3">
      <c r="M331" s="123"/>
    </row>
    <row r="332" spans="13:13" ht="15.75" customHeight="1" x14ac:dyDescent="0.3">
      <c r="M332" s="123"/>
    </row>
    <row r="333" spans="13:13" ht="15.75" customHeight="1" x14ac:dyDescent="0.3">
      <c r="M333" s="123"/>
    </row>
    <row r="334" spans="13:13" ht="15.75" customHeight="1" x14ac:dyDescent="0.3">
      <c r="M334" s="123"/>
    </row>
    <row r="335" spans="13:13" ht="15.75" customHeight="1" x14ac:dyDescent="0.3">
      <c r="M335" s="123"/>
    </row>
    <row r="336" spans="13:13" ht="15.75" customHeight="1" x14ac:dyDescent="0.3">
      <c r="M336" s="123"/>
    </row>
    <row r="337" spans="13:13" ht="15.75" customHeight="1" x14ac:dyDescent="0.3">
      <c r="M337" s="123"/>
    </row>
    <row r="338" spans="13:13" ht="15.75" customHeight="1" x14ac:dyDescent="0.3">
      <c r="M338" s="123"/>
    </row>
    <row r="339" spans="13:13" ht="15.75" customHeight="1" x14ac:dyDescent="0.3">
      <c r="M339" s="123"/>
    </row>
    <row r="340" spans="13:13" ht="15.75" customHeight="1" x14ac:dyDescent="0.3">
      <c r="M340" s="123"/>
    </row>
    <row r="341" spans="13:13" ht="15.75" customHeight="1" x14ac:dyDescent="0.3">
      <c r="M341" s="123"/>
    </row>
    <row r="342" spans="13:13" ht="15.75" customHeight="1" x14ac:dyDescent="0.3">
      <c r="M342" s="123"/>
    </row>
    <row r="343" spans="13:13" ht="15.75" customHeight="1" x14ac:dyDescent="0.3">
      <c r="M343" s="123"/>
    </row>
    <row r="344" spans="13:13" ht="15.75" customHeight="1" x14ac:dyDescent="0.3">
      <c r="M344" s="123"/>
    </row>
    <row r="345" spans="13:13" ht="15.75" customHeight="1" x14ac:dyDescent="0.3">
      <c r="M345" s="123"/>
    </row>
    <row r="346" spans="13:13" ht="15.75" customHeight="1" x14ac:dyDescent="0.3">
      <c r="M346" s="123"/>
    </row>
    <row r="347" spans="13:13" ht="15.75" customHeight="1" x14ac:dyDescent="0.3">
      <c r="M347" s="123"/>
    </row>
    <row r="348" spans="13:13" ht="15.75" customHeight="1" x14ac:dyDescent="0.3">
      <c r="M348" s="123"/>
    </row>
    <row r="349" spans="13:13" ht="15.75" customHeight="1" x14ac:dyDescent="0.3">
      <c r="M349" s="123"/>
    </row>
    <row r="350" spans="13:13" ht="15.75" customHeight="1" x14ac:dyDescent="0.3">
      <c r="M350" s="123"/>
    </row>
    <row r="351" spans="13:13" ht="15.75" customHeight="1" x14ac:dyDescent="0.3">
      <c r="M351" s="123"/>
    </row>
    <row r="352" spans="13:13" ht="15.75" customHeight="1" x14ac:dyDescent="0.3">
      <c r="M352" s="123"/>
    </row>
    <row r="353" spans="13:13" ht="15.75" customHeight="1" x14ac:dyDescent="0.3">
      <c r="M353" s="123"/>
    </row>
    <row r="354" spans="13:13" ht="15.75" customHeight="1" x14ac:dyDescent="0.3">
      <c r="M354" s="123"/>
    </row>
    <row r="355" spans="13:13" ht="15.75" customHeight="1" x14ac:dyDescent="0.3">
      <c r="M355" s="123"/>
    </row>
    <row r="356" spans="13:13" ht="15.75" customHeight="1" x14ac:dyDescent="0.3">
      <c r="M356" s="123"/>
    </row>
    <row r="357" spans="13:13" ht="15.75" customHeight="1" x14ac:dyDescent="0.3">
      <c r="M357" s="123"/>
    </row>
    <row r="358" spans="13:13" ht="15.75" customHeight="1" x14ac:dyDescent="0.3">
      <c r="M358" s="123"/>
    </row>
    <row r="359" spans="13:13" ht="15.75" customHeight="1" x14ac:dyDescent="0.3">
      <c r="M359" s="123"/>
    </row>
    <row r="360" spans="13:13" ht="15.75" customHeight="1" x14ac:dyDescent="0.3">
      <c r="M360" s="123"/>
    </row>
    <row r="361" spans="13:13" ht="15.75" customHeight="1" x14ac:dyDescent="0.3">
      <c r="M361" s="123"/>
    </row>
    <row r="362" spans="13:13" ht="15.75" customHeight="1" x14ac:dyDescent="0.3">
      <c r="M362" s="123"/>
    </row>
    <row r="363" spans="13:13" ht="15.75" customHeight="1" x14ac:dyDescent="0.3">
      <c r="M363" s="123"/>
    </row>
    <row r="364" spans="13:13" ht="15.75" customHeight="1" x14ac:dyDescent="0.3">
      <c r="M364" s="123"/>
    </row>
    <row r="365" spans="13:13" ht="15.75" customHeight="1" x14ac:dyDescent="0.3">
      <c r="M365" s="123"/>
    </row>
    <row r="366" spans="13:13" ht="15.75" customHeight="1" x14ac:dyDescent="0.3">
      <c r="M366" s="123"/>
    </row>
    <row r="367" spans="13:13" ht="15.75" customHeight="1" x14ac:dyDescent="0.3">
      <c r="M367" s="123"/>
    </row>
    <row r="368" spans="13:13" ht="15.75" customHeight="1" x14ac:dyDescent="0.3">
      <c r="M368" s="123"/>
    </row>
    <row r="369" spans="13:13" ht="15.75" customHeight="1" x14ac:dyDescent="0.3">
      <c r="M369" s="123"/>
    </row>
    <row r="370" spans="13:13" ht="15.75" customHeight="1" x14ac:dyDescent="0.3">
      <c r="M370" s="123"/>
    </row>
    <row r="371" spans="13:13" ht="15.75" customHeight="1" x14ac:dyDescent="0.3">
      <c r="M371" s="123"/>
    </row>
    <row r="372" spans="13:13" ht="15.75" customHeight="1" x14ac:dyDescent="0.3">
      <c r="M372" s="123"/>
    </row>
    <row r="373" spans="13:13" ht="15.75" customHeight="1" x14ac:dyDescent="0.3">
      <c r="M373" s="123"/>
    </row>
    <row r="374" spans="13:13" ht="15.75" customHeight="1" x14ac:dyDescent="0.3">
      <c r="M374" s="123"/>
    </row>
    <row r="375" spans="13:13" ht="15.75" customHeight="1" x14ac:dyDescent="0.3">
      <c r="M375" s="123"/>
    </row>
    <row r="376" spans="13:13" ht="15.75" customHeight="1" x14ac:dyDescent="0.3">
      <c r="M376" s="123"/>
    </row>
    <row r="377" spans="13:13" ht="15.75" customHeight="1" x14ac:dyDescent="0.3">
      <c r="M377" s="123"/>
    </row>
    <row r="378" spans="13:13" ht="15.75" customHeight="1" x14ac:dyDescent="0.3">
      <c r="M378" s="123"/>
    </row>
    <row r="379" spans="13:13" ht="15.75" customHeight="1" x14ac:dyDescent="0.3">
      <c r="M379" s="123"/>
    </row>
    <row r="380" spans="13:13" ht="15.75" customHeight="1" x14ac:dyDescent="0.3">
      <c r="M380" s="123"/>
    </row>
    <row r="381" spans="13:13" ht="15.75" customHeight="1" x14ac:dyDescent="0.3">
      <c r="M381" s="123"/>
    </row>
    <row r="382" spans="13:13" ht="15.75" customHeight="1" x14ac:dyDescent="0.3">
      <c r="M382" s="123"/>
    </row>
    <row r="383" spans="13:13" ht="15.75" customHeight="1" x14ac:dyDescent="0.3">
      <c r="M383" s="123"/>
    </row>
    <row r="384" spans="13:13" ht="15.75" customHeight="1" x14ac:dyDescent="0.3">
      <c r="M384" s="123"/>
    </row>
    <row r="385" spans="13:13" ht="15.75" customHeight="1" x14ac:dyDescent="0.3">
      <c r="M385" s="123"/>
    </row>
    <row r="386" spans="13:13" ht="15.75" customHeight="1" x14ac:dyDescent="0.3">
      <c r="M386" s="123"/>
    </row>
    <row r="387" spans="13:13" ht="15.75" customHeight="1" x14ac:dyDescent="0.3">
      <c r="M387" s="123"/>
    </row>
    <row r="388" spans="13:13" ht="15.75" customHeight="1" x14ac:dyDescent="0.3">
      <c r="M388" s="123"/>
    </row>
    <row r="389" spans="13:13" ht="15.75" customHeight="1" x14ac:dyDescent="0.3">
      <c r="M389" s="123"/>
    </row>
    <row r="390" spans="13:13" ht="15.75" customHeight="1" x14ac:dyDescent="0.3">
      <c r="M390" s="123"/>
    </row>
    <row r="391" spans="13:13" ht="15.75" customHeight="1" x14ac:dyDescent="0.3">
      <c r="M391" s="123"/>
    </row>
    <row r="392" spans="13:13" ht="15.75" customHeight="1" x14ac:dyDescent="0.3">
      <c r="M392" s="123"/>
    </row>
    <row r="393" spans="13:13" ht="15.75" customHeight="1" x14ac:dyDescent="0.3">
      <c r="M393" s="123"/>
    </row>
    <row r="394" spans="13:13" ht="15.75" customHeight="1" x14ac:dyDescent="0.3">
      <c r="M394" s="123"/>
    </row>
    <row r="395" spans="13:13" ht="15.75" customHeight="1" x14ac:dyDescent="0.3">
      <c r="M395" s="123"/>
    </row>
    <row r="396" spans="13:13" ht="15.75" customHeight="1" x14ac:dyDescent="0.3">
      <c r="M396" s="123"/>
    </row>
    <row r="397" spans="13:13" ht="15.75" customHeight="1" x14ac:dyDescent="0.3">
      <c r="M397" s="123"/>
    </row>
    <row r="398" spans="13:13" ht="15.75" customHeight="1" x14ac:dyDescent="0.3">
      <c r="M398" s="123"/>
    </row>
    <row r="399" spans="13:13" ht="15.75" customHeight="1" x14ac:dyDescent="0.3">
      <c r="M399" s="123"/>
    </row>
    <row r="400" spans="13:13" ht="15.75" customHeight="1" x14ac:dyDescent="0.3">
      <c r="M400" s="123"/>
    </row>
    <row r="401" spans="13:13" ht="15.75" customHeight="1" x14ac:dyDescent="0.3">
      <c r="M401" s="123"/>
    </row>
    <row r="402" spans="13:13" ht="15.75" customHeight="1" x14ac:dyDescent="0.3">
      <c r="M402" s="123"/>
    </row>
    <row r="403" spans="13:13" ht="15.75" customHeight="1" x14ac:dyDescent="0.3">
      <c r="M403" s="123"/>
    </row>
    <row r="404" spans="13:13" ht="15.75" customHeight="1" x14ac:dyDescent="0.3">
      <c r="M404" s="123"/>
    </row>
    <row r="405" spans="13:13" ht="15.75" customHeight="1" x14ac:dyDescent="0.3">
      <c r="M405" s="123"/>
    </row>
    <row r="406" spans="13:13" ht="15.75" customHeight="1" x14ac:dyDescent="0.3">
      <c r="M406" s="123"/>
    </row>
    <row r="407" spans="13:13" ht="15.75" customHeight="1" x14ac:dyDescent="0.3">
      <c r="M407" s="123"/>
    </row>
    <row r="408" spans="13:13" ht="15.75" customHeight="1" x14ac:dyDescent="0.3">
      <c r="M408" s="123"/>
    </row>
    <row r="409" spans="13:13" ht="15.75" customHeight="1" x14ac:dyDescent="0.3">
      <c r="M409" s="123"/>
    </row>
    <row r="410" spans="13:13" ht="15.75" customHeight="1" x14ac:dyDescent="0.3">
      <c r="M410" s="123"/>
    </row>
    <row r="411" spans="13:13" ht="15.75" customHeight="1" x14ac:dyDescent="0.3">
      <c r="M411" s="123"/>
    </row>
    <row r="412" spans="13:13" ht="15.75" customHeight="1" x14ac:dyDescent="0.3">
      <c r="M412" s="123"/>
    </row>
    <row r="413" spans="13:13" ht="15.75" customHeight="1" x14ac:dyDescent="0.3">
      <c r="M413" s="123"/>
    </row>
    <row r="414" spans="13:13" ht="15.75" customHeight="1" x14ac:dyDescent="0.3">
      <c r="M414" s="123"/>
    </row>
    <row r="415" spans="13:13" ht="15.75" customHeight="1" x14ac:dyDescent="0.3">
      <c r="M415" s="123"/>
    </row>
    <row r="416" spans="13:13" ht="15.75" customHeight="1" x14ac:dyDescent="0.3">
      <c r="M416" s="123"/>
    </row>
    <row r="417" spans="13:13" ht="15.75" customHeight="1" x14ac:dyDescent="0.3">
      <c r="M417" s="123"/>
    </row>
    <row r="418" spans="13:13" ht="15.75" customHeight="1" x14ac:dyDescent="0.3">
      <c r="M418" s="123"/>
    </row>
    <row r="419" spans="13:13" ht="15.75" customHeight="1" x14ac:dyDescent="0.3">
      <c r="M419" s="123"/>
    </row>
    <row r="420" spans="13:13" ht="15.75" customHeight="1" x14ac:dyDescent="0.3">
      <c r="M420" s="123"/>
    </row>
    <row r="421" spans="13:13" ht="15.75" customHeight="1" x14ac:dyDescent="0.3">
      <c r="M421" s="123"/>
    </row>
    <row r="422" spans="13:13" ht="15.75" customHeight="1" x14ac:dyDescent="0.3">
      <c r="M422" s="123"/>
    </row>
    <row r="423" spans="13:13" ht="15.75" customHeight="1" x14ac:dyDescent="0.3">
      <c r="M423" s="123"/>
    </row>
    <row r="424" spans="13:13" ht="15.75" customHeight="1" x14ac:dyDescent="0.3">
      <c r="M424" s="123"/>
    </row>
    <row r="425" spans="13:13" ht="15.75" customHeight="1" x14ac:dyDescent="0.3">
      <c r="M425" s="123"/>
    </row>
    <row r="426" spans="13:13" ht="15.75" customHeight="1" x14ac:dyDescent="0.3">
      <c r="M426" s="123"/>
    </row>
    <row r="427" spans="13:13" ht="15.75" customHeight="1" x14ac:dyDescent="0.3">
      <c r="M427" s="123"/>
    </row>
    <row r="428" spans="13:13" ht="15.75" customHeight="1" x14ac:dyDescent="0.3">
      <c r="M428" s="123"/>
    </row>
    <row r="429" spans="13:13" ht="15.75" customHeight="1" x14ac:dyDescent="0.3">
      <c r="M429" s="123"/>
    </row>
    <row r="430" spans="13:13" ht="15.75" customHeight="1" x14ac:dyDescent="0.3">
      <c r="M430" s="123"/>
    </row>
    <row r="431" spans="13:13" ht="15.75" customHeight="1" x14ac:dyDescent="0.3">
      <c r="M431" s="123"/>
    </row>
    <row r="432" spans="13:13" ht="15.75" customHeight="1" x14ac:dyDescent="0.3">
      <c r="M432" s="123"/>
    </row>
    <row r="433" spans="13:13" ht="15.75" customHeight="1" x14ac:dyDescent="0.3">
      <c r="M433" s="123"/>
    </row>
    <row r="434" spans="13:13" ht="15.75" customHeight="1" x14ac:dyDescent="0.3">
      <c r="M434" s="123"/>
    </row>
    <row r="435" spans="13:13" ht="15.75" customHeight="1" x14ac:dyDescent="0.3">
      <c r="M435" s="123"/>
    </row>
    <row r="436" spans="13:13" ht="15.75" customHeight="1" x14ac:dyDescent="0.3">
      <c r="M436" s="123"/>
    </row>
    <row r="437" spans="13:13" ht="15.75" customHeight="1" x14ac:dyDescent="0.3">
      <c r="M437" s="123"/>
    </row>
    <row r="438" spans="13:13" ht="15.75" customHeight="1" x14ac:dyDescent="0.3">
      <c r="M438" s="123"/>
    </row>
    <row r="439" spans="13:13" ht="15.75" customHeight="1" x14ac:dyDescent="0.3">
      <c r="M439" s="123"/>
    </row>
    <row r="440" spans="13:13" ht="15.75" customHeight="1" x14ac:dyDescent="0.3">
      <c r="M440" s="123"/>
    </row>
    <row r="441" spans="13:13" ht="15.75" customHeight="1" x14ac:dyDescent="0.3">
      <c r="M441" s="123"/>
    </row>
    <row r="442" spans="13:13" ht="15.75" customHeight="1" x14ac:dyDescent="0.3">
      <c r="M442" s="123"/>
    </row>
    <row r="443" spans="13:13" ht="15.75" customHeight="1" x14ac:dyDescent="0.3">
      <c r="M443" s="123"/>
    </row>
    <row r="444" spans="13:13" ht="15.75" customHeight="1" x14ac:dyDescent="0.3">
      <c r="M444" s="123"/>
    </row>
    <row r="445" spans="13:13" ht="15.75" customHeight="1" x14ac:dyDescent="0.3">
      <c r="M445" s="123"/>
    </row>
    <row r="446" spans="13:13" ht="15.75" customHeight="1" x14ac:dyDescent="0.3">
      <c r="M446" s="123"/>
    </row>
    <row r="447" spans="13:13" ht="15.75" customHeight="1" x14ac:dyDescent="0.3">
      <c r="M447" s="123"/>
    </row>
    <row r="448" spans="13:13" ht="15.75" customHeight="1" x14ac:dyDescent="0.3">
      <c r="M448" s="123"/>
    </row>
    <row r="449" spans="13:13" ht="15.75" customHeight="1" x14ac:dyDescent="0.3">
      <c r="M449" s="123"/>
    </row>
    <row r="450" spans="13:13" ht="15.75" customHeight="1" x14ac:dyDescent="0.3">
      <c r="M450" s="123"/>
    </row>
    <row r="451" spans="13:13" ht="15.75" customHeight="1" x14ac:dyDescent="0.3">
      <c r="M451" s="123"/>
    </row>
    <row r="452" spans="13:13" ht="15.75" customHeight="1" x14ac:dyDescent="0.3">
      <c r="M452" s="123"/>
    </row>
    <row r="453" spans="13:13" ht="15.75" customHeight="1" x14ac:dyDescent="0.3">
      <c r="M453" s="123"/>
    </row>
    <row r="454" spans="13:13" ht="15.75" customHeight="1" x14ac:dyDescent="0.3">
      <c r="M454" s="123"/>
    </row>
    <row r="455" spans="13:13" ht="15.75" customHeight="1" x14ac:dyDescent="0.3">
      <c r="M455" s="123"/>
    </row>
    <row r="456" spans="13:13" ht="15.75" customHeight="1" x14ac:dyDescent="0.3">
      <c r="M456" s="123"/>
    </row>
    <row r="457" spans="13:13" ht="15.75" customHeight="1" x14ac:dyDescent="0.3">
      <c r="M457" s="123"/>
    </row>
    <row r="458" spans="13:13" ht="15.75" customHeight="1" x14ac:dyDescent="0.3">
      <c r="M458" s="123"/>
    </row>
    <row r="459" spans="13:13" ht="15.75" customHeight="1" x14ac:dyDescent="0.3">
      <c r="M459" s="123"/>
    </row>
    <row r="460" spans="13:13" ht="15.75" customHeight="1" x14ac:dyDescent="0.3">
      <c r="M460" s="123"/>
    </row>
    <row r="461" spans="13:13" ht="15.75" customHeight="1" x14ac:dyDescent="0.3">
      <c r="M461" s="123"/>
    </row>
    <row r="462" spans="13:13" ht="15.75" customHeight="1" x14ac:dyDescent="0.3">
      <c r="M462" s="123"/>
    </row>
    <row r="463" spans="13:13" ht="15.75" customHeight="1" x14ac:dyDescent="0.3">
      <c r="M463" s="123"/>
    </row>
    <row r="464" spans="13:13" ht="15.75" customHeight="1" x14ac:dyDescent="0.3">
      <c r="M464" s="123"/>
    </row>
    <row r="465" spans="13:13" ht="15.75" customHeight="1" x14ac:dyDescent="0.3">
      <c r="M465" s="123"/>
    </row>
    <row r="466" spans="13:13" ht="15.75" customHeight="1" x14ac:dyDescent="0.3">
      <c r="M466" s="123"/>
    </row>
    <row r="467" spans="13:13" ht="15.75" customHeight="1" x14ac:dyDescent="0.3">
      <c r="M467" s="123"/>
    </row>
    <row r="468" spans="13:13" ht="15.75" customHeight="1" x14ac:dyDescent="0.3">
      <c r="M468" s="123"/>
    </row>
    <row r="469" spans="13:13" ht="15.75" customHeight="1" x14ac:dyDescent="0.3">
      <c r="M469" s="123"/>
    </row>
    <row r="470" spans="13:13" ht="15.75" customHeight="1" x14ac:dyDescent="0.3">
      <c r="M470" s="123"/>
    </row>
    <row r="471" spans="13:13" ht="15.75" customHeight="1" x14ac:dyDescent="0.3">
      <c r="M471" s="123"/>
    </row>
    <row r="472" spans="13:13" ht="15.75" customHeight="1" x14ac:dyDescent="0.3">
      <c r="M472" s="123"/>
    </row>
    <row r="473" spans="13:13" ht="15.75" customHeight="1" x14ac:dyDescent="0.3">
      <c r="M473" s="123"/>
    </row>
    <row r="474" spans="13:13" ht="15.75" customHeight="1" x14ac:dyDescent="0.3">
      <c r="M474" s="123"/>
    </row>
    <row r="475" spans="13:13" ht="15.75" customHeight="1" x14ac:dyDescent="0.3">
      <c r="M475" s="123"/>
    </row>
    <row r="476" spans="13:13" ht="15.75" customHeight="1" x14ac:dyDescent="0.3">
      <c r="M476" s="123"/>
    </row>
    <row r="477" spans="13:13" ht="15.75" customHeight="1" x14ac:dyDescent="0.3">
      <c r="M477" s="123"/>
    </row>
    <row r="478" spans="13:13" ht="15.75" customHeight="1" x14ac:dyDescent="0.3">
      <c r="M478" s="123"/>
    </row>
    <row r="479" spans="13:13" ht="15.75" customHeight="1" x14ac:dyDescent="0.3">
      <c r="M479" s="123"/>
    </row>
    <row r="480" spans="13:13" ht="15.75" customHeight="1" x14ac:dyDescent="0.3">
      <c r="M480" s="123"/>
    </row>
    <row r="481" spans="13:13" ht="15.75" customHeight="1" x14ac:dyDescent="0.3">
      <c r="M481" s="123"/>
    </row>
    <row r="482" spans="13:13" ht="15.75" customHeight="1" x14ac:dyDescent="0.3">
      <c r="M482" s="123"/>
    </row>
    <row r="483" spans="13:13" ht="15.75" customHeight="1" x14ac:dyDescent="0.3">
      <c r="M483" s="123"/>
    </row>
    <row r="484" spans="13:13" ht="15.75" customHeight="1" x14ac:dyDescent="0.3">
      <c r="M484" s="123"/>
    </row>
    <row r="485" spans="13:13" ht="15.75" customHeight="1" x14ac:dyDescent="0.3">
      <c r="M485" s="123"/>
    </row>
    <row r="486" spans="13:13" ht="15.75" customHeight="1" x14ac:dyDescent="0.3">
      <c r="M486" s="123"/>
    </row>
    <row r="487" spans="13:13" ht="15.75" customHeight="1" x14ac:dyDescent="0.3">
      <c r="M487" s="123"/>
    </row>
    <row r="488" spans="13:13" ht="15.75" customHeight="1" x14ac:dyDescent="0.3">
      <c r="M488" s="123"/>
    </row>
    <row r="489" spans="13:13" ht="15.75" customHeight="1" x14ac:dyDescent="0.3">
      <c r="M489" s="123"/>
    </row>
    <row r="490" spans="13:13" ht="15.75" customHeight="1" x14ac:dyDescent="0.3">
      <c r="M490" s="123"/>
    </row>
    <row r="491" spans="13:13" ht="15.75" customHeight="1" x14ac:dyDescent="0.3">
      <c r="M491" s="123"/>
    </row>
    <row r="492" spans="13:13" ht="15.75" customHeight="1" x14ac:dyDescent="0.3">
      <c r="M492" s="123"/>
    </row>
    <row r="493" spans="13:13" ht="15.75" customHeight="1" x14ac:dyDescent="0.3">
      <c r="M493" s="123"/>
    </row>
    <row r="494" spans="13:13" ht="15.75" customHeight="1" x14ac:dyDescent="0.3">
      <c r="M494" s="123"/>
    </row>
    <row r="495" spans="13:13" ht="15.75" customHeight="1" x14ac:dyDescent="0.3">
      <c r="M495" s="123"/>
    </row>
    <row r="496" spans="13:13" ht="15.75" customHeight="1" x14ac:dyDescent="0.3">
      <c r="M496" s="123"/>
    </row>
    <row r="497" spans="13:13" ht="15.75" customHeight="1" x14ac:dyDescent="0.3">
      <c r="M497" s="123"/>
    </row>
    <row r="498" spans="13:13" ht="15.75" customHeight="1" x14ac:dyDescent="0.3">
      <c r="M498" s="123"/>
    </row>
    <row r="499" spans="13:13" ht="15.75" customHeight="1" x14ac:dyDescent="0.3">
      <c r="M499" s="123"/>
    </row>
    <row r="500" spans="13:13" ht="15.75" customHeight="1" x14ac:dyDescent="0.3">
      <c r="M500" s="123"/>
    </row>
    <row r="501" spans="13:13" ht="15.75" customHeight="1" x14ac:dyDescent="0.3">
      <c r="M501" s="123"/>
    </row>
    <row r="502" spans="13:13" ht="15.75" customHeight="1" x14ac:dyDescent="0.3">
      <c r="M502" s="123"/>
    </row>
    <row r="503" spans="13:13" ht="15.75" customHeight="1" x14ac:dyDescent="0.3">
      <c r="M503" s="123"/>
    </row>
    <row r="504" spans="13:13" ht="15.75" customHeight="1" x14ac:dyDescent="0.3">
      <c r="M504" s="123"/>
    </row>
    <row r="505" spans="13:13" ht="15.75" customHeight="1" x14ac:dyDescent="0.3">
      <c r="M505" s="123"/>
    </row>
    <row r="506" spans="13:13" ht="15.75" customHeight="1" x14ac:dyDescent="0.3">
      <c r="M506" s="123"/>
    </row>
    <row r="507" spans="13:13" ht="15.75" customHeight="1" x14ac:dyDescent="0.3">
      <c r="M507" s="123"/>
    </row>
    <row r="508" spans="13:13" ht="15.75" customHeight="1" x14ac:dyDescent="0.3">
      <c r="M508" s="123"/>
    </row>
    <row r="509" spans="13:13" ht="15.75" customHeight="1" x14ac:dyDescent="0.3">
      <c r="M509" s="123"/>
    </row>
    <row r="510" spans="13:13" ht="15.75" customHeight="1" x14ac:dyDescent="0.3">
      <c r="M510" s="123"/>
    </row>
    <row r="511" spans="13:13" ht="15.75" customHeight="1" x14ac:dyDescent="0.3">
      <c r="M511" s="123"/>
    </row>
    <row r="512" spans="13:13" ht="15.75" customHeight="1" x14ac:dyDescent="0.3">
      <c r="M512" s="123"/>
    </row>
    <row r="513" spans="13:13" ht="15.75" customHeight="1" x14ac:dyDescent="0.3">
      <c r="M513" s="123"/>
    </row>
    <row r="514" spans="13:13" ht="15.75" customHeight="1" x14ac:dyDescent="0.3">
      <c r="M514" s="123"/>
    </row>
    <row r="515" spans="13:13" ht="15.75" customHeight="1" x14ac:dyDescent="0.3">
      <c r="M515" s="123"/>
    </row>
    <row r="516" spans="13:13" ht="15.75" customHeight="1" x14ac:dyDescent="0.3">
      <c r="M516" s="123"/>
    </row>
    <row r="517" spans="13:13" ht="15.75" customHeight="1" x14ac:dyDescent="0.3">
      <c r="M517" s="123"/>
    </row>
    <row r="518" spans="13:13" ht="15.75" customHeight="1" x14ac:dyDescent="0.3">
      <c r="M518" s="123"/>
    </row>
    <row r="519" spans="13:13" ht="15.75" customHeight="1" x14ac:dyDescent="0.3">
      <c r="M519" s="123"/>
    </row>
    <row r="520" spans="13:13" ht="15.75" customHeight="1" x14ac:dyDescent="0.3">
      <c r="M520" s="123"/>
    </row>
    <row r="521" spans="13:13" ht="15.75" customHeight="1" x14ac:dyDescent="0.3">
      <c r="M521" s="123"/>
    </row>
    <row r="522" spans="13:13" ht="15.75" customHeight="1" x14ac:dyDescent="0.3">
      <c r="M522" s="123"/>
    </row>
    <row r="523" spans="13:13" ht="15.75" customHeight="1" x14ac:dyDescent="0.3">
      <c r="M523" s="123"/>
    </row>
    <row r="524" spans="13:13" ht="15.75" customHeight="1" x14ac:dyDescent="0.3">
      <c r="M524" s="123"/>
    </row>
    <row r="525" spans="13:13" ht="15.75" customHeight="1" x14ac:dyDescent="0.3">
      <c r="M525" s="123"/>
    </row>
    <row r="526" spans="13:13" ht="15.75" customHeight="1" x14ac:dyDescent="0.3">
      <c r="M526" s="123"/>
    </row>
    <row r="527" spans="13:13" ht="15.75" customHeight="1" x14ac:dyDescent="0.3">
      <c r="M527" s="123"/>
    </row>
    <row r="528" spans="13:13" ht="15.75" customHeight="1" x14ac:dyDescent="0.3">
      <c r="M528" s="123"/>
    </row>
    <row r="529" spans="13:13" ht="15.75" customHeight="1" x14ac:dyDescent="0.3">
      <c r="M529" s="123"/>
    </row>
    <row r="530" spans="13:13" ht="15.75" customHeight="1" x14ac:dyDescent="0.3">
      <c r="M530" s="123"/>
    </row>
    <row r="531" spans="13:13" ht="15.75" customHeight="1" x14ac:dyDescent="0.3">
      <c r="M531" s="123"/>
    </row>
    <row r="532" spans="13:13" ht="15.75" customHeight="1" x14ac:dyDescent="0.3">
      <c r="M532" s="123"/>
    </row>
    <row r="533" spans="13:13" ht="15.75" customHeight="1" x14ac:dyDescent="0.3">
      <c r="M533" s="123"/>
    </row>
    <row r="534" spans="13:13" ht="15.75" customHeight="1" x14ac:dyDescent="0.3">
      <c r="M534" s="123"/>
    </row>
    <row r="535" spans="13:13" ht="15.75" customHeight="1" x14ac:dyDescent="0.3">
      <c r="M535" s="123"/>
    </row>
    <row r="536" spans="13:13" ht="15.75" customHeight="1" x14ac:dyDescent="0.3">
      <c r="M536" s="123"/>
    </row>
    <row r="537" spans="13:13" ht="15.75" customHeight="1" x14ac:dyDescent="0.3">
      <c r="M537" s="123"/>
    </row>
    <row r="538" spans="13:13" ht="15.75" customHeight="1" x14ac:dyDescent="0.3">
      <c r="M538" s="123"/>
    </row>
    <row r="539" spans="13:13" ht="15.75" customHeight="1" x14ac:dyDescent="0.3">
      <c r="M539" s="123"/>
    </row>
    <row r="540" spans="13:13" ht="15.75" customHeight="1" x14ac:dyDescent="0.3">
      <c r="M540" s="123"/>
    </row>
    <row r="541" spans="13:13" ht="15.75" customHeight="1" x14ac:dyDescent="0.3">
      <c r="M541" s="123"/>
    </row>
    <row r="542" spans="13:13" ht="15.75" customHeight="1" x14ac:dyDescent="0.3">
      <c r="M542" s="123"/>
    </row>
    <row r="543" spans="13:13" ht="15.75" customHeight="1" x14ac:dyDescent="0.3">
      <c r="M543" s="123"/>
    </row>
    <row r="544" spans="13:13" ht="15.75" customHeight="1" x14ac:dyDescent="0.3">
      <c r="M544" s="123"/>
    </row>
    <row r="545" spans="13:13" ht="15.75" customHeight="1" x14ac:dyDescent="0.3">
      <c r="M545" s="123"/>
    </row>
    <row r="546" spans="13:13" ht="15.75" customHeight="1" x14ac:dyDescent="0.3">
      <c r="M546" s="123"/>
    </row>
    <row r="547" spans="13:13" ht="15.75" customHeight="1" x14ac:dyDescent="0.3">
      <c r="M547" s="123"/>
    </row>
    <row r="548" spans="13:13" ht="15.75" customHeight="1" x14ac:dyDescent="0.3">
      <c r="M548" s="123"/>
    </row>
    <row r="549" spans="13:13" ht="15.75" customHeight="1" x14ac:dyDescent="0.3">
      <c r="M549" s="123"/>
    </row>
    <row r="550" spans="13:13" ht="15.75" customHeight="1" x14ac:dyDescent="0.3">
      <c r="M550" s="123"/>
    </row>
    <row r="551" spans="13:13" ht="15.75" customHeight="1" x14ac:dyDescent="0.3">
      <c r="M551" s="123"/>
    </row>
    <row r="552" spans="13:13" ht="15.75" customHeight="1" x14ac:dyDescent="0.3">
      <c r="M552" s="123"/>
    </row>
    <row r="553" spans="13:13" ht="15.75" customHeight="1" x14ac:dyDescent="0.3">
      <c r="M553" s="123"/>
    </row>
    <row r="554" spans="13:13" ht="15.75" customHeight="1" x14ac:dyDescent="0.3">
      <c r="M554" s="123"/>
    </row>
    <row r="555" spans="13:13" ht="15.75" customHeight="1" x14ac:dyDescent="0.3">
      <c r="M555" s="123"/>
    </row>
    <row r="556" spans="13:13" ht="15.75" customHeight="1" x14ac:dyDescent="0.3">
      <c r="M556" s="123"/>
    </row>
    <row r="557" spans="13:13" ht="15.75" customHeight="1" x14ac:dyDescent="0.3">
      <c r="M557" s="123"/>
    </row>
    <row r="558" spans="13:13" ht="15.75" customHeight="1" x14ac:dyDescent="0.3">
      <c r="M558" s="123"/>
    </row>
    <row r="559" spans="13:13" ht="15.75" customHeight="1" x14ac:dyDescent="0.3">
      <c r="M559" s="123"/>
    </row>
    <row r="560" spans="13:13" ht="15.75" customHeight="1" x14ac:dyDescent="0.3">
      <c r="M560" s="123"/>
    </row>
    <row r="561" spans="13:13" ht="15.75" customHeight="1" x14ac:dyDescent="0.3">
      <c r="M561" s="123"/>
    </row>
    <row r="562" spans="13:13" ht="15.75" customHeight="1" x14ac:dyDescent="0.3">
      <c r="M562" s="123"/>
    </row>
    <row r="563" spans="13:13" ht="15.75" customHeight="1" x14ac:dyDescent="0.3">
      <c r="M563" s="123"/>
    </row>
    <row r="564" spans="13:13" ht="15.75" customHeight="1" x14ac:dyDescent="0.3">
      <c r="M564" s="123"/>
    </row>
    <row r="565" spans="13:13" ht="15.75" customHeight="1" x14ac:dyDescent="0.3">
      <c r="M565" s="123"/>
    </row>
    <row r="566" spans="13:13" ht="15.75" customHeight="1" x14ac:dyDescent="0.3">
      <c r="M566" s="123"/>
    </row>
    <row r="567" spans="13:13" ht="15.75" customHeight="1" x14ac:dyDescent="0.3">
      <c r="M567" s="123"/>
    </row>
    <row r="568" spans="13:13" ht="15.75" customHeight="1" x14ac:dyDescent="0.3">
      <c r="M568" s="123"/>
    </row>
    <row r="569" spans="13:13" ht="15.75" customHeight="1" x14ac:dyDescent="0.3">
      <c r="M569" s="123"/>
    </row>
    <row r="570" spans="13:13" ht="15.75" customHeight="1" x14ac:dyDescent="0.3">
      <c r="M570" s="123"/>
    </row>
    <row r="571" spans="13:13" ht="15.75" customHeight="1" x14ac:dyDescent="0.3">
      <c r="M571" s="123"/>
    </row>
    <row r="572" spans="13:13" ht="15.75" customHeight="1" x14ac:dyDescent="0.3">
      <c r="M572" s="123"/>
    </row>
    <row r="573" spans="13:13" ht="15.75" customHeight="1" x14ac:dyDescent="0.3">
      <c r="M573" s="123"/>
    </row>
    <row r="574" spans="13:13" ht="15.75" customHeight="1" x14ac:dyDescent="0.3">
      <c r="M574" s="123"/>
    </row>
    <row r="575" spans="13:13" ht="15.75" customHeight="1" x14ac:dyDescent="0.3">
      <c r="M575" s="123"/>
    </row>
    <row r="576" spans="13:13" ht="15.75" customHeight="1" x14ac:dyDescent="0.3">
      <c r="M576" s="123"/>
    </row>
    <row r="577" spans="13:13" ht="15.75" customHeight="1" x14ac:dyDescent="0.3">
      <c r="M577" s="123"/>
    </row>
    <row r="578" spans="13:13" ht="15.75" customHeight="1" x14ac:dyDescent="0.3">
      <c r="M578" s="123"/>
    </row>
    <row r="579" spans="13:13" ht="15.75" customHeight="1" x14ac:dyDescent="0.3">
      <c r="M579" s="123"/>
    </row>
    <row r="580" spans="13:13" ht="15.75" customHeight="1" x14ac:dyDescent="0.3">
      <c r="M580" s="123"/>
    </row>
    <row r="581" spans="13:13" ht="15.75" customHeight="1" x14ac:dyDescent="0.3">
      <c r="M581" s="123"/>
    </row>
    <row r="582" spans="13:13" ht="15.75" customHeight="1" x14ac:dyDescent="0.3">
      <c r="M582" s="123"/>
    </row>
    <row r="583" spans="13:13" ht="15.75" customHeight="1" x14ac:dyDescent="0.3">
      <c r="M583" s="123"/>
    </row>
    <row r="584" spans="13:13" ht="15.75" customHeight="1" x14ac:dyDescent="0.3">
      <c r="M584" s="123"/>
    </row>
    <row r="585" spans="13:13" ht="15.75" customHeight="1" x14ac:dyDescent="0.3">
      <c r="M585" s="123"/>
    </row>
    <row r="586" spans="13:13" ht="15.75" customHeight="1" x14ac:dyDescent="0.3">
      <c r="M586" s="123"/>
    </row>
    <row r="587" spans="13:13" ht="15.75" customHeight="1" x14ac:dyDescent="0.3">
      <c r="M587" s="123"/>
    </row>
    <row r="588" spans="13:13" ht="15.75" customHeight="1" x14ac:dyDescent="0.3">
      <c r="M588" s="123"/>
    </row>
    <row r="589" spans="13:13" ht="15.75" customHeight="1" x14ac:dyDescent="0.3">
      <c r="M589" s="123"/>
    </row>
    <row r="590" spans="13:13" ht="15.75" customHeight="1" x14ac:dyDescent="0.3">
      <c r="M590" s="123"/>
    </row>
    <row r="591" spans="13:13" ht="15.75" customHeight="1" x14ac:dyDescent="0.3">
      <c r="M591" s="123"/>
    </row>
    <row r="592" spans="13:13" ht="15.75" customHeight="1" x14ac:dyDescent="0.3">
      <c r="M592" s="123"/>
    </row>
    <row r="593" spans="13:13" ht="15.75" customHeight="1" x14ac:dyDescent="0.3">
      <c r="M593" s="123"/>
    </row>
    <row r="594" spans="13:13" ht="15.75" customHeight="1" x14ac:dyDescent="0.3">
      <c r="M594" s="123"/>
    </row>
    <row r="595" spans="13:13" ht="15.75" customHeight="1" x14ac:dyDescent="0.3">
      <c r="M595" s="123"/>
    </row>
    <row r="596" spans="13:13" ht="15.75" customHeight="1" x14ac:dyDescent="0.3">
      <c r="M596" s="123"/>
    </row>
    <row r="597" spans="13:13" ht="15.75" customHeight="1" x14ac:dyDescent="0.3">
      <c r="M597" s="123"/>
    </row>
    <row r="598" spans="13:13" ht="15.75" customHeight="1" x14ac:dyDescent="0.3">
      <c r="M598" s="123"/>
    </row>
    <row r="599" spans="13:13" ht="15.75" customHeight="1" x14ac:dyDescent="0.3">
      <c r="M599" s="123"/>
    </row>
    <row r="600" spans="13:13" ht="15.75" customHeight="1" x14ac:dyDescent="0.3">
      <c r="M600" s="123"/>
    </row>
    <row r="601" spans="13:13" ht="15.75" customHeight="1" x14ac:dyDescent="0.3">
      <c r="M601" s="123"/>
    </row>
    <row r="602" spans="13:13" ht="15.75" customHeight="1" x14ac:dyDescent="0.3">
      <c r="M602" s="123"/>
    </row>
    <row r="603" spans="13:13" ht="15.75" customHeight="1" x14ac:dyDescent="0.3">
      <c r="M603" s="123"/>
    </row>
    <row r="604" spans="13:13" ht="15.75" customHeight="1" x14ac:dyDescent="0.3">
      <c r="M604" s="123"/>
    </row>
    <row r="605" spans="13:13" ht="15.75" customHeight="1" x14ac:dyDescent="0.3">
      <c r="M605" s="123"/>
    </row>
    <row r="606" spans="13:13" ht="15.75" customHeight="1" x14ac:dyDescent="0.3">
      <c r="M606" s="123"/>
    </row>
    <row r="607" spans="13:13" ht="15.75" customHeight="1" x14ac:dyDescent="0.3">
      <c r="M607" s="123"/>
    </row>
    <row r="608" spans="13:13" ht="15.75" customHeight="1" x14ac:dyDescent="0.3">
      <c r="M608" s="123"/>
    </row>
    <row r="609" spans="13:13" ht="15.75" customHeight="1" x14ac:dyDescent="0.3">
      <c r="M609" s="123"/>
    </row>
    <row r="610" spans="13:13" ht="15.75" customHeight="1" x14ac:dyDescent="0.3">
      <c r="M610" s="123"/>
    </row>
    <row r="611" spans="13:13" ht="15.75" customHeight="1" x14ac:dyDescent="0.3">
      <c r="M611" s="123"/>
    </row>
    <row r="612" spans="13:13" ht="15.75" customHeight="1" x14ac:dyDescent="0.3">
      <c r="M612" s="123"/>
    </row>
    <row r="613" spans="13:13" ht="15.75" customHeight="1" x14ac:dyDescent="0.3">
      <c r="M613" s="123"/>
    </row>
    <row r="614" spans="13:13" ht="15.75" customHeight="1" x14ac:dyDescent="0.3">
      <c r="M614" s="123"/>
    </row>
    <row r="615" spans="13:13" ht="15.75" customHeight="1" x14ac:dyDescent="0.3">
      <c r="M615" s="123"/>
    </row>
    <row r="616" spans="13:13" ht="15.75" customHeight="1" x14ac:dyDescent="0.3">
      <c r="M616" s="123"/>
    </row>
    <row r="617" spans="13:13" ht="15.75" customHeight="1" x14ac:dyDescent="0.3">
      <c r="M617" s="123"/>
    </row>
    <row r="618" spans="13:13" ht="15.75" customHeight="1" x14ac:dyDescent="0.3">
      <c r="M618" s="123"/>
    </row>
    <row r="619" spans="13:13" ht="15.75" customHeight="1" x14ac:dyDescent="0.3">
      <c r="M619" s="123"/>
    </row>
    <row r="620" spans="13:13" ht="15.75" customHeight="1" x14ac:dyDescent="0.3">
      <c r="M620" s="123"/>
    </row>
    <row r="621" spans="13:13" ht="15.75" customHeight="1" x14ac:dyDescent="0.3">
      <c r="M621" s="123"/>
    </row>
    <row r="622" spans="13:13" ht="15.75" customHeight="1" x14ac:dyDescent="0.3">
      <c r="M622" s="123"/>
    </row>
    <row r="623" spans="13:13" ht="15.75" customHeight="1" x14ac:dyDescent="0.3">
      <c r="M623" s="123"/>
    </row>
    <row r="624" spans="13:13" ht="15.75" customHeight="1" x14ac:dyDescent="0.3">
      <c r="M624" s="123"/>
    </row>
    <row r="625" spans="13:13" ht="15.75" customHeight="1" x14ac:dyDescent="0.3">
      <c r="M625" s="123"/>
    </row>
    <row r="626" spans="13:13" ht="15.75" customHeight="1" x14ac:dyDescent="0.3">
      <c r="M626" s="123"/>
    </row>
    <row r="627" spans="13:13" ht="15.75" customHeight="1" x14ac:dyDescent="0.3">
      <c r="M627" s="123"/>
    </row>
    <row r="628" spans="13:13" ht="15.75" customHeight="1" x14ac:dyDescent="0.3">
      <c r="M628" s="123"/>
    </row>
    <row r="629" spans="13:13" ht="15.75" customHeight="1" x14ac:dyDescent="0.3">
      <c r="M629" s="123"/>
    </row>
    <row r="630" spans="13:13" ht="15.75" customHeight="1" x14ac:dyDescent="0.3">
      <c r="M630" s="123"/>
    </row>
    <row r="631" spans="13:13" ht="15.75" customHeight="1" x14ac:dyDescent="0.3">
      <c r="M631" s="123"/>
    </row>
    <row r="632" spans="13:13" ht="15.75" customHeight="1" x14ac:dyDescent="0.3">
      <c r="M632" s="123"/>
    </row>
    <row r="633" spans="13:13" ht="15.75" customHeight="1" x14ac:dyDescent="0.3">
      <c r="M633" s="123"/>
    </row>
    <row r="634" spans="13:13" ht="15.75" customHeight="1" x14ac:dyDescent="0.3">
      <c r="M634" s="123"/>
    </row>
    <row r="635" spans="13:13" ht="15.75" customHeight="1" x14ac:dyDescent="0.3">
      <c r="M635" s="123"/>
    </row>
    <row r="636" spans="13:13" ht="15.75" customHeight="1" x14ac:dyDescent="0.3">
      <c r="M636" s="123"/>
    </row>
    <row r="637" spans="13:13" ht="15.75" customHeight="1" x14ac:dyDescent="0.3">
      <c r="M637" s="123"/>
    </row>
    <row r="638" spans="13:13" ht="15.75" customHeight="1" x14ac:dyDescent="0.3">
      <c r="M638" s="123"/>
    </row>
    <row r="639" spans="13:13" ht="15.75" customHeight="1" x14ac:dyDescent="0.3">
      <c r="M639" s="123"/>
    </row>
    <row r="640" spans="13:13" ht="15.75" customHeight="1" x14ac:dyDescent="0.3">
      <c r="M640" s="123"/>
    </row>
    <row r="641" spans="13:13" ht="15.75" customHeight="1" x14ac:dyDescent="0.3">
      <c r="M641" s="123"/>
    </row>
    <row r="642" spans="13:13" ht="15.75" customHeight="1" x14ac:dyDescent="0.3">
      <c r="M642" s="123"/>
    </row>
    <row r="643" spans="13:13" ht="15.75" customHeight="1" x14ac:dyDescent="0.3">
      <c r="M643" s="123"/>
    </row>
    <row r="644" spans="13:13" ht="15.75" customHeight="1" x14ac:dyDescent="0.3">
      <c r="M644" s="123"/>
    </row>
    <row r="645" spans="13:13" ht="15.75" customHeight="1" x14ac:dyDescent="0.3">
      <c r="M645" s="123"/>
    </row>
    <row r="646" spans="13:13" ht="15.75" customHeight="1" x14ac:dyDescent="0.3">
      <c r="M646" s="123"/>
    </row>
    <row r="647" spans="13:13" ht="15.75" customHeight="1" x14ac:dyDescent="0.3">
      <c r="M647" s="123"/>
    </row>
    <row r="648" spans="13:13" ht="15.75" customHeight="1" x14ac:dyDescent="0.3">
      <c r="M648" s="123"/>
    </row>
    <row r="649" spans="13:13" ht="15.75" customHeight="1" x14ac:dyDescent="0.3">
      <c r="M649" s="123"/>
    </row>
    <row r="650" spans="13:13" ht="15.75" customHeight="1" x14ac:dyDescent="0.3">
      <c r="M650" s="123"/>
    </row>
    <row r="651" spans="13:13" ht="15.75" customHeight="1" x14ac:dyDescent="0.3">
      <c r="M651" s="123"/>
    </row>
    <row r="652" spans="13:13" ht="15.75" customHeight="1" x14ac:dyDescent="0.3">
      <c r="M652" s="123"/>
    </row>
    <row r="653" spans="13:13" ht="15.75" customHeight="1" x14ac:dyDescent="0.3">
      <c r="M653" s="123"/>
    </row>
    <row r="654" spans="13:13" ht="15.75" customHeight="1" x14ac:dyDescent="0.3">
      <c r="M654" s="123"/>
    </row>
    <row r="655" spans="13:13" ht="15.75" customHeight="1" x14ac:dyDescent="0.3">
      <c r="M655" s="123"/>
    </row>
    <row r="656" spans="13:13" ht="15.75" customHeight="1" x14ac:dyDescent="0.3">
      <c r="M656" s="123"/>
    </row>
    <row r="657" spans="13:13" ht="15.75" customHeight="1" x14ac:dyDescent="0.3">
      <c r="M657" s="123"/>
    </row>
    <row r="658" spans="13:13" ht="15.75" customHeight="1" x14ac:dyDescent="0.3">
      <c r="M658" s="123"/>
    </row>
    <row r="659" spans="13:13" ht="15.75" customHeight="1" x14ac:dyDescent="0.3">
      <c r="M659" s="123"/>
    </row>
    <row r="660" spans="13:13" ht="15.75" customHeight="1" x14ac:dyDescent="0.3">
      <c r="M660" s="123"/>
    </row>
    <row r="661" spans="13:13" ht="15.75" customHeight="1" x14ac:dyDescent="0.3">
      <c r="M661" s="123"/>
    </row>
    <row r="662" spans="13:13" ht="15.75" customHeight="1" x14ac:dyDescent="0.3">
      <c r="M662" s="123"/>
    </row>
    <row r="663" spans="13:13" ht="15.75" customHeight="1" x14ac:dyDescent="0.3">
      <c r="M663" s="123"/>
    </row>
    <row r="664" spans="13:13" ht="15.75" customHeight="1" x14ac:dyDescent="0.3">
      <c r="M664" s="123"/>
    </row>
    <row r="665" spans="13:13" ht="15.75" customHeight="1" x14ac:dyDescent="0.3">
      <c r="M665" s="123"/>
    </row>
    <row r="666" spans="13:13" ht="15.75" customHeight="1" x14ac:dyDescent="0.3">
      <c r="M666" s="123"/>
    </row>
    <row r="667" spans="13:13" ht="15.75" customHeight="1" x14ac:dyDescent="0.3">
      <c r="M667" s="123"/>
    </row>
    <row r="668" spans="13:13" ht="15.75" customHeight="1" x14ac:dyDescent="0.3">
      <c r="M668" s="123"/>
    </row>
    <row r="669" spans="13:13" ht="15.75" customHeight="1" x14ac:dyDescent="0.3">
      <c r="M669" s="123"/>
    </row>
    <row r="670" spans="13:13" ht="15.75" customHeight="1" x14ac:dyDescent="0.3">
      <c r="M670" s="123"/>
    </row>
    <row r="671" spans="13:13" ht="15.75" customHeight="1" x14ac:dyDescent="0.3">
      <c r="M671" s="123"/>
    </row>
    <row r="672" spans="13:13" ht="15.75" customHeight="1" x14ac:dyDescent="0.3">
      <c r="M672" s="123"/>
    </row>
    <row r="673" spans="13:13" ht="15.75" customHeight="1" x14ac:dyDescent="0.3">
      <c r="M673" s="123"/>
    </row>
    <row r="674" spans="13:13" ht="15.75" customHeight="1" x14ac:dyDescent="0.3">
      <c r="M674" s="123"/>
    </row>
    <row r="675" spans="13:13" ht="15.75" customHeight="1" x14ac:dyDescent="0.3">
      <c r="M675" s="123"/>
    </row>
    <row r="676" spans="13:13" ht="15.75" customHeight="1" x14ac:dyDescent="0.3">
      <c r="M676" s="123"/>
    </row>
    <row r="677" spans="13:13" ht="15.75" customHeight="1" x14ac:dyDescent="0.3">
      <c r="M677" s="123"/>
    </row>
    <row r="678" spans="13:13" ht="15.75" customHeight="1" x14ac:dyDescent="0.3">
      <c r="M678" s="123"/>
    </row>
    <row r="679" spans="13:13" ht="15.75" customHeight="1" x14ac:dyDescent="0.3">
      <c r="M679" s="123"/>
    </row>
    <row r="680" spans="13:13" ht="15.75" customHeight="1" x14ac:dyDescent="0.3">
      <c r="M680" s="123"/>
    </row>
    <row r="681" spans="13:13" ht="15.75" customHeight="1" x14ac:dyDescent="0.3">
      <c r="M681" s="123"/>
    </row>
    <row r="682" spans="13:13" ht="15.75" customHeight="1" x14ac:dyDescent="0.3">
      <c r="M682" s="123"/>
    </row>
    <row r="683" spans="13:13" ht="15.75" customHeight="1" x14ac:dyDescent="0.3">
      <c r="M683" s="123"/>
    </row>
    <row r="684" spans="13:13" ht="15.75" customHeight="1" x14ac:dyDescent="0.3">
      <c r="M684" s="123"/>
    </row>
    <row r="685" spans="13:13" ht="15.75" customHeight="1" x14ac:dyDescent="0.3">
      <c r="M685" s="123"/>
    </row>
    <row r="686" spans="13:13" ht="15.75" customHeight="1" x14ac:dyDescent="0.3">
      <c r="M686" s="123"/>
    </row>
    <row r="687" spans="13:13" ht="15.75" customHeight="1" x14ac:dyDescent="0.3">
      <c r="M687" s="123"/>
    </row>
    <row r="688" spans="13:13" ht="15.75" customHeight="1" x14ac:dyDescent="0.3">
      <c r="M688" s="123"/>
    </row>
    <row r="689" spans="13:13" ht="15.75" customHeight="1" x14ac:dyDescent="0.3">
      <c r="M689" s="123"/>
    </row>
    <row r="690" spans="13:13" ht="15.75" customHeight="1" x14ac:dyDescent="0.3">
      <c r="M690" s="123"/>
    </row>
    <row r="691" spans="13:13" ht="15.75" customHeight="1" x14ac:dyDescent="0.3">
      <c r="M691" s="123"/>
    </row>
    <row r="692" spans="13:13" ht="15.75" customHeight="1" x14ac:dyDescent="0.3">
      <c r="M692" s="123"/>
    </row>
    <row r="693" spans="13:13" ht="15.75" customHeight="1" x14ac:dyDescent="0.3">
      <c r="M693" s="123"/>
    </row>
    <row r="694" spans="13:13" ht="15.75" customHeight="1" x14ac:dyDescent="0.3">
      <c r="M694" s="123"/>
    </row>
    <row r="695" spans="13:13" ht="15.75" customHeight="1" x14ac:dyDescent="0.3">
      <c r="M695" s="123"/>
    </row>
    <row r="696" spans="13:13" ht="15.75" customHeight="1" x14ac:dyDescent="0.3">
      <c r="M696" s="123"/>
    </row>
    <row r="697" spans="13:13" ht="15.75" customHeight="1" x14ac:dyDescent="0.3">
      <c r="M697" s="123"/>
    </row>
    <row r="698" spans="13:13" ht="15.75" customHeight="1" x14ac:dyDescent="0.3">
      <c r="M698" s="123"/>
    </row>
    <row r="699" spans="13:13" ht="15.75" customHeight="1" x14ac:dyDescent="0.3">
      <c r="M699" s="123"/>
    </row>
    <row r="700" spans="13:13" ht="15.75" customHeight="1" x14ac:dyDescent="0.3">
      <c r="M700" s="123"/>
    </row>
    <row r="701" spans="13:13" ht="15.75" customHeight="1" x14ac:dyDescent="0.3">
      <c r="M701" s="123"/>
    </row>
    <row r="702" spans="13:13" ht="15.75" customHeight="1" x14ac:dyDescent="0.3">
      <c r="M702" s="123"/>
    </row>
    <row r="703" spans="13:13" ht="15.75" customHeight="1" x14ac:dyDescent="0.3">
      <c r="M703" s="123"/>
    </row>
    <row r="704" spans="13:13" ht="15.75" customHeight="1" x14ac:dyDescent="0.3">
      <c r="M704" s="123"/>
    </row>
    <row r="705" spans="13:13" ht="15.75" customHeight="1" x14ac:dyDescent="0.3">
      <c r="M705" s="123"/>
    </row>
    <row r="706" spans="13:13" ht="15.75" customHeight="1" x14ac:dyDescent="0.3">
      <c r="M706" s="123"/>
    </row>
    <row r="707" spans="13:13" ht="15.75" customHeight="1" x14ac:dyDescent="0.3">
      <c r="M707" s="123"/>
    </row>
    <row r="708" spans="13:13" ht="15.75" customHeight="1" x14ac:dyDescent="0.3">
      <c r="M708" s="123"/>
    </row>
    <row r="709" spans="13:13" ht="15.75" customHeight="1" x14ac:dyDescent="0.3">
      <c r="M709" s="123"/>
    </row>
    <row r="710" spans="13:13" ht="15.75" customHeight="1" x14ac:dyDescent="0.3">
      <c r="M710" s="123"/>
    </row>
    <row r="711" spans="13:13" ht="15.75" customHeight="1" x14ac:dyDescent="0.3">
      <c r="M711" s="123"/>
    </row>
    <row r="712" spans="13:13" ht="15.75" customHeight="1" x14ac:dyDescent="0.3">
      <c r="M712" s="123"/>
    </row>
    <row r="713" spans="13:13" ht="15.75" customHeight="1" x14ac:dyDescent="0.3">
      <c r="M713" s="123"/>
    </row>
    <row r="714" spans="13:13" ht="15.75" customHeight="1" x14ac:dyDescent="0.3">
      <c r="M714" s="123"/>
    </row>
    <row r="715" spans="13:13" ht="15.75" customHeight="1" x14ac:dyDescent="0.3">
      <c r="M715" s="123"/>
    </row>
    <row r="716" spans="13:13" ht="15.75" customHeight="1" x14ac:dyDescent="0.3">
      <c r="M716" s="123"/>
    </row>
    <row r="717" spans="13:13" ht="15.75" customHeight="1" x14ac:dyDescent="0.3">
      <c r="M717" s="123"/>
    </row>
    <row r="718" spans="13:13" ht="15.75" customHeight="1" x14ac:dyDescent="0.3">
      <c r="M718" s="123"/>
    </row>
    <row r="719" spans="13:13" ht="15.75" customHeight="1" x14ac:dyDescent="0.3">
      <c r="M719" s="123"/>
    </row>
    <row r="720" spans="13:13" ht="15.75" customHeight="1" x14ac:dyDescent="0.3">
      <c r="M720" s="123"/>
    </row>
    <row r="721" spans="13:13" ht="15.75" customHeight="1" x14ac:dyDescent="0.3">
      <c r="M721" s="123"/>
    </row>
    <row r="722" spans="13:13" ht="15.75" customHeight="1" x14ac:dyDescent="0.3">
      <c r="M722" s="123"/>
    </row>
    <row r="723" spans="13:13" ht="15.75" customHeight="1" x14ac:dyDescent="0.3">
      <c r="M723" s="123"/>
    </row>
    <row r="724" spans="13:13" ht="15.75" customHeight="1" x14ac:dyDescent="0.3">
      <c r="M724" s="123"/>
    </row>
    <row r="725" spans="13:13" ht="15.75" customHeight="1" x14ac:dyDescent="0.3">
      <c r="M725" s="123"/>
    </row>
    <row r="726" spans="13:13" ht="15.75" customHeight="1" x14ac:dyDescent="0.3">
      <c r="M726" s="123"/>
    </row>
    <row r="727" spans="13:13" ht="15.75" customHeight="1" x14ac:dyDescent="0.3">
      <c r="M727" s="123"/>
    </row>
    <row r="728" spans="13:13" ht="15.75" customHeight="1" x14ac:dyDescent="0.3">
      <c r="M728" s="123"/>
    </row>
    <row r="729" spans="13:13" ht="15.75" customHeight="1" x14ac:dyDescent="0.3">
      <c r="M729" s="123"/>
    </row>
    <row r="730" spans="13:13" ht="15.75" customHeight="1" x14ac:dyDescent="0.3">
      <c r="M730" s="123"/>
    </row>
    <row r="731" spans="13:13" ht="15.75" customHeight="1" x14ac:dyDescent="0.3">
      <c r="M731" s="123"/>
    </row>
    <row r="732" spans="13:13" ht="15.75" customHeight="1" x14ac:dyDescent="0.3">
      <c r="M732" s="123"/>
    </row>
    <row r="733" spans="13:13" ht="15.75" customHeight="1" x14ac:dyDescent="0.3">
      <c r="M733" s="123"/>
    </row>
    <row r="734" spans="13:13" ht="15.75" customHeight="1" x14ac:dyDescent="0.3">
      <c r="M734" s="123"/>
    </row>
    <row r="735" spans="13:13" ht="15.75" customHeight="1" x14ac:dyDescent="0.3">
      <c r="M735" s="123"/>
    </row>
    <row r="736" spans="13:13" ht="15.75" customHeight="1" x14ac:dyDescent="0.3">
      <c r="M736" s="123"/>
    </row>
    <row r="737" spans="13:13" ht="15.75" customHeight="1" x14ac:dyDescent="0.3">
      <c r="M737" s="123"/>
    </row>
    <row r="738" spans="13:13" ht="15.75" customHeight="1" x14ac:dyDescent="0.3">
      <c r="M738" s="123"/>
    </row>
    <row r="739" spans="13:13" ht="15.75" customHeight="1" x14ac:dyDescent="0.3">
      <c r="M739" s="123"/>
    </row>
    <row r="740" spans="13:13" ht="15.75" customHeight="1" x14ac:dyDescent="0.3">
      <c r="M740" s="123"/>
    </row>
    <row r="741" spans="13:13" ht="15.75" customHeight="1" x14ac:dyDescent="0.3">
      <c r="M741" s="123"/>
    </row>
    <row r="742" spans="13:13" ht="15.75" customHeight="1" x14ac:dyDescent="0.3">
      <c r="M742" s="123"/>
    </row>
    <row r="743" spans="13:13" ht="15.75" customHeight="1" x14ac:dyDescent="0.3">
      <c r="M743" s="123"/>
    </row>
    <row r="744" spans="13:13" ht="15.75" customHeight="1" x14ac:dyDescent="0.3">
      <c r="M744" s="123"/>
    </row>
    <row r="745" spans="13:13" ht="15.75" customHeight="1" x14ac:dyDescent="0.3">
      <c r="M745" s="123"/>
    </row>
    <row r="746" spans="13:13" ht="15.75" customHeight="1" x14ac:dyDescent="0.3">
      <c r="M746" s="123"/>
    </row>
    <row r="747" spans="13:13" ht="15.75" customHeight="1" x14ac:dyDescent="0.3">
      <c r="M747" s="123"/>
    </row>
    <row r="748" spans="13:13" ht="15.75" customHeight="1" x14ac:dyDescent="0.3">
      <c r="M748" s="123"/>
    </row>
    <row r="749" spans="13:13" ht="15.75" customHeight="1" x14ac:dyDescent="0.3">
      <c r="M749" s="123"/>
    </row>
    <row r="750" spans="13:13" ht="15.75" customHeight="1" x14ac:dyDescent="0.3">
      <c r="M750" s="123"/>
    </row>
    <row r="751" spans="13:13" ht="15.75" customHeight="1" x14ac:dyDescent="0.3">
      <c r="M751" s="123"/>
    </row>
    <row r="752" spans="13:13" ht="15.75" customHeight="1" x14ac:dyDescent="0.3">
      <c r="M752" s="123"/>
    </row>
    <row r="753" spans="13:13" ht="15.75" customHeight="1" x14ac:dyDescent="0.3">
      <c r="M753" s="123"/>
    </row>
    <row r="754" spans="13:13" ht="15.75" customHeight="1" x14ac:dyDescent="0.3">
      <c r="M754" s="123"/>
    </row>
    <row r="755" spans="13:13" ht="15.75" customHeight="1" x14ac:dyDescent="0.3">
      <c r="M755" s="123"/>
    </row>
    <row r="756" spans="13:13" ht="15.75" customHeight="1" x14ac:dyDescent="0.3">
      <c r="M756" s="123"/>
    </row>
    <row r="757" spans="13:13" ht="15.75" customHeight="1" x14ac:dyDescent="0.3">
      <c r="M757" s="123"/>
    </row>
    <row r="758" spans="13:13" ht="15.75" customHeight="1" x14ac:dyDescent="0.3">
      <c r="M758" s="123"/>
    </row>
    <row r="759" spans="13:13" ht="15.75" customHeight="1" x14ac:dyDescent="0.3">
      <c r="M759" s="123"/>
    </row>
    <row r="760" spans="13:13" ht="15.75" customHeight="1" x14ac:dyDescent="0.3">
      <c r="M760" s="123"/>
    </row>
    <row r="761" spans="13:13" ht="15.75" customHeight="1" x14ac:dyDescent="0.3">
      <c r="M761" s="123"/>
    </row>
    <row r="762" spans="13:13" ht="15.75" customHeight="1" x14ac:dyDescent="0.3">
      <c r="M762" s="123"/>
    </row>
    <row r="763" spans="13:13" ht="15.75" customHeight="1" x14ac:dyDescent="0.3">
      <c r="M763" s="123"/>
    </row>
    <row r="764" spans="13:13" ht="15.75" customHeight="1" x14ac:dyDescent="0.3">
      <c r="M764" s="123"/>
    </row>
    <row r="765" spans="13:13" ht="15.75" customHeight="1" x14ac:dyDescent="0.3">
      <c r="M765" s="123"/>
    </row>
    <row r="766" spans="13:13" ht="15.75" customHeight="1" x14ac:dyDescent="0.3">
      <c r="M766" s="123"/>
    </row>
    <row r="767" spans="13:13" ht="15.75" customHeight="1" x14ac:dyDescent="0.3">
      <c r="M767" s="123"/>
    </row>
    <row r="768" spans="13:13" ht="15.75" customHeight="1" x14ac:dyDescent="0.3">
      <c r="M768" s="123"/>
    </row>
    <row r="769" spans="13:13" ht="15.75" customHeight="1" x14ac:dyDescent="0.3">
      <c r="M769" s="123"/>
    </row>
    <row r="770" spans="13:13" ht="15.75" customHeight="1" x14ac:dyDescent="0.3">
      <c r="M770" s="123"/>
    </row>
    <row r="771" spans="13:13" ht="15.75" customHeight="1" x14ac:dyDescent="0.3">
      <c r="M771" s="123"/>
    </row>
    <row r="772" spans="13:13" ht="15.75" customHeight="1" x14ac:dyDescent="0.3">
      <c r="M772" s="123"/>
    </row>
    <row r="773" spans="13:13" ht="15.75" customHeight="1" x14ac:dyDescent="0.3">
      <c r="M773" s="123"/>
    </row>
    <row r="774" spans="13:13" ht="15.75" customHeight="1" x14ac:dyDescent="0.3">
      <c r="M774" s="123"/>
    </row>
    <row r="775" spans="13:13" ht="15.75" customHeight="1" x14ac:dyDescent="0.3">
      <c r="M775" s="123"/>
    </row>
    <row r="776" spans="13:13" ht="15.75" customHeight="1" x14ac:dyDescent="0.3">
      <c r="M776" s="123"/>
    </row>
    <row r="777" spans="13:13" ht="15.75" customHeight="1" x14ac:dyDescent="0.3">
      <c r="M777" s="123"/>
    </row>
    <row r="778" spans="13:13" ht="15.75" customHeight="1" x14ac:dyDescent="0.3">
      <c r="M778" s="123"/>
    </row>
    <row r="779" spans="13:13" ht="15.75" customHeight="1" x14ac:dyDescent="0.3">
      <c r="M779" s="123"/>
    </row>
    <row r="780" spans="13:13" ht="15.75" customHeight="1" x14ac:dyDescent="0.3">
      <c r="M780" s="123"/>
    </row>
    <row r="781" spans="13:13" ht="15.75" customHeight="1" x14ac:dyDescent="0.3">
      <c r="M781" s="123"/>
    </row>
    <row r="782" spans="13:13" ht="15.75" customHeight="1" x14ac:dyDescent="0.3">
      <c r="M782" s="123"/>
    </row>
    <row r="783" spans="13:13" ht="15.75" customHeight="1" x14ac:dyDescent="0.3">
      <c r="M783" s="123"/>
    </row>
    <row r="784" spans="13:13" ht="15.75" customHeight="1" x14ac:dyDescent="0.3">
      <c r="M784" s="123"/>
    </row>
    <row r="785" spans="13:13" ht="15.75" customHeight="1" x14ac:dyDescent="0.3">
      <c r="M785" s="123"/>
    </row>
    <row r="786" spans="13:13" ht="15.75" customHeight="1" x14ac:dyDescent="0.3">
      <c r="M786" s="123"/>
    </row>
    <row r="787" spans="13:13" ht="15.75" customHeight="1" x14ac:dyDescent="0.3">
      <c r="M787" s="123"/>
    </row>
    <row r="788" spans="13:13" ht="15.75" customHeight="1" x14ac:dyDescent="0.3">
      <c r="M788" s="123"/>
    </row>
    <row r="789" spans="13:13" ht="15.75" customHeight="1" x14ac:dyDescent="0.3">
      <c r="M789" s="123"/>
    </row>
    <row r="790" spans="13:13" ht="15.75" customHeight="1" x14ac:dyDescent="0.3">
      <c r="M790" s="123"/>
    </row>
    <row r="791" spans="13:13" ht="15.75" customHeight="1" x14ac:dyDescent="0.3">
      <c r="M791" s="123"/>
    </row>
    <row r="792" spans="13:13" ht="15.75" customHeight="1" x14ac:dyDescent="0.3">
      <c r="M792" s="123"/>
    </row>
    <row r="793" spans="13:13" ht="15.75" customHeight="1" x14ac:dyDescent="0.3">
      <c r="M793" s="123"/>
    </row>
    <row r="794" spans="13:13" ht="15.75" customHeight="1" x14ac:dyDescent="0.3">
      <c r="M794" s="123"/>
    </row>
    <row r="795" spans="13:13" ht="15.75" customHeight="1" x14ac:dyDescent="0.3">
      <c r="M795" s="123"/>
    </row>
    <row r="796" spans="13:13" ht="15.75" customHeight="1" x14ac:dyDescent="0.3">
      <c r="M796" s="123"/>
    </row>
    <row r="797" spans="13:13" ht="15.75" customHeight="1" x14ac:dyDescent="0.3">
      <c r="M797" s="123"/>
    </row>
    <row r="798" spans="13:13" ht="15.75" customHeight="1" x14ac:dyDescent="0.3">
      <c r="M798" s="123"/>
    </row>
    <row r="799" spans="13:13" ht="15.75" customHeight="1" x14ac:dyDescent="0.3">
      <c r="M799" s="123"/>
    </row>
    <row r="800" spans="13:13" ht="15.75" customHeight="1" x14ac:dyDescent="0.3">
      <c r="M800" s="123"/>
    </row>
    <row r="801" spans="13:13" ht="15.75" customHeight="1" x14ac:dyDescent="0.3">
      <c r="M801" s="123"/>
    </row>
    <row r="802" spans="13:13" ht="15.75" customHeight="1" x14ac:dyDescent="0.3">
      <c r="M802" s="123"/>
    </row>
    <row r="803" spans="13:13" ht="15.75" customHeight="1" x14ac:dyDescent="0.3">
      <c r="M803" s="123"/>
    </row>
    <row r="804" spans="13:13" ht="15.75" customHeight="1" x14ac:dyDescent="0.3">
      <c r="M804" s="123"/>
    </row>
    <row r="805" spans="13:13" ht="15.75" customHeight="1" x14ac:dyDescent="0.3">
      <c r="M805" s="123"/>
    </row>
    <row r="806" spans="13:13" ht="15.75" customHeight="1" x14ac:dyDescent="0.3">
      <c r="M806" s="123"/>
    </row>
    <row r="807" spans="13:13" ht="15.75" customHeight="1" x14ac:dyDescent="0.3">
      <c r="M807" s="123"/>
    </row>
    <row r="808" spans="13:13" ht="15.75" customHeight="1" x14ac:dyDescent="0.3">
      <c r="M808" s="123"/>
    </row>
    <row r="809" spans="13:13" ht="15.75" customHeight="1" x14ac:dyDescent="0.3">
      <c r="M809" s="123"/>
    </row>
    <row r="810" spans="13:13" ht="15.75" customHeight="1" x14ac:dyDescent="0.3">
      <c r="M810" s="123"/>
    </row>
    <row r="811" spans="13:13" ht="15.75" customHeight="1" x14ac:dyDescent="0.3">
      <c r="M811" s="123"/>
    </row>
    <row r="812" spans="13:13" ht="15.75" customHeight="1" x14ac:dyDescent="0.3">
      <c r="M812" s="123"/>
    </row>
    <row r="813" spans="13:13" ht="15.75" customHeight="1" x14ac:dyDescent="0.3">
      <c r="M813" s="123"/>
    </row>
    <row r="814" spans="13:13" ht="15.75" customHeight="1" x14ac:dyDescent="0.3">
      <c r="M814" s="123"/>
    </row>
    <row r="815" spans="13:13" ht="15.75" customHeight="1" x14ac:dyDescent="0.3">
      <c r="M815" s="123"/>
    </row>
    <row r="816" spans="13:13" ht="15.75" customHeight="1" x14ac:dyDescent="0.3">
      <c r="M816" s="123"/>
    </row>
    <row r="817" spans="13:13" ht="15.75" customHeight="1" x14ac:dyDescent="0.3">
      <c r="M817" s="123"/>
    </row>
    <row r="818" spans="13:13" ht="15.75" customHeight="1" x14ac:dyDescent="0.3">
      <c r="M818" s="123"/>
    </row>
    <row r="819" spans="13:13" ht="15.75" customHeight="1" x14ac:dyDescent="0.3">
      <c r="M819" s="123"/>
    </row>
    <row r="820" spans="13:13" ht="15.75" customHeight="1" x14ac:dyDescent="0.3">
      <c r="M820" s="123"/>
    </row>
    <row r="821" spans="13:13" ht="15.75" customHeight="1" x14ac:dyDescent="0.3">
      <c r="M821" s="123"/>
    </row>
    <row r="822" spans="13:13" ht="15.75" customHeight="1" x14ac:dyDescent="0.3">
      <c r="M822" s="123"/>
    </row>
    <row r="823" spans="13:13" ht="15.75" customHeight="1" x14ac:dyDescent="0.3">
      <c r="M823" s="123"/>
    </row>
    <row r="824" spans="13:13" ht="15.75" customHeight="1" x14ac:dyDescent="0.3">
      <c r="M824" s="123"/>
    </row>
    <row r="825" spans="13:13" ht="15.75" customHeight="1" x14ac:dyDescent="0.3">
      <c r="M825" s="123"/>
    </row>
    <row r="826" spans="13:13" ht="15.75" customHeight="1" x14ac:dyDescent="0.3">
      <c r="M826" s="123"/>
    </row>
    <row r="827" spans="13:13" ht="15.75" customHeight="1" x14ac:dyDescent="0.3">
      <c r="M827" s="123"/>
    </row>
    <row r="828" spans="13:13" ht="15.75" customHeight="1" x14ac:dyDescent="0.3">
      <c r="M828" s="123"/>
    </row>
    <row r="829" spans="13:13" ht="15.75" customHeight="1" x14ac:dyDescent="0.3">
      <c r="M829" s="123"/>
    </row>
    <row r="830" spans="13:13" ht="15.75" customHeight="1" x14ac:dyDescent="0.3">
      <c r="M830" s="123"/>
    </row>
    <row r="831" spans="13:13" ht="15.75" customHeight="1" x14ac:dyDescent="0.3">
      <c r="M831" s="123"/>
    </row>
    <row r="832" spans="13:13" ht="15.75" customHeight="1" x14ac:dyDescent="0.3">
      <c r="M832" s="123"/>
    </row>
    <row r="833" spans="13:13" ht="15.75" customHeight="1" x14ac:dyDescent="0.3">
      <c r="M833" s="123"/>
    </row>
    <row r="834" spans="13:13" ht="15.75" customHeight="1" x14ac:dyDescent="0.3">
      <c r="M834" s="123"/>
    </row>
    <row r="835" spans="13:13" ht="15.75" customHeight="1" x14ac:dyDescent="0.3">
      <c r="M835" s="123"/>
    </row>
    <row r="836" spans="13:13" ht="15.75" customHeight="1" x14ac:dyDescent="0.3">
      <c r="M836" s="123"/>
    </row>
    <row r="837" spans="13:13" ht="15.75" customHeight="1" x14ac:dyDescent="0.3">
      <c r="M837" s="123"/>
    </row>
    <row r="838" spans="13:13" ht="15.75" customHeight="1" x14ac:dyDescent="0.3">
      <c r="M838" s="123"/>
    </row>
    <row r="839" spans="13:13" ht="15.75" customHeight="1" x14ac:dyDescent="0.3">
      <c r="M839" s="123"/>
    </row>
    <row r="840" spans="13:13" ht="15.75" customHeight="1" x14ac:dyDescent="0.3">
      <c r="M840" s="123"/>
    </row>
    <row r="841" spans="13:13" ht="15.75" customHeight="1" x14ac:dyDescent="0.3">
      <c r="M841" s="123"/>
    </row>
    <row r="842" spans="13:13" ht="15.75" customHeight="1" x14ac:dyDescent="0.3">
      <c r="M842" s="123"/>
    </row>
    <row r="843" spans="13:13" ht="15.75" customHeight="1" x14ac:dyDescent="0.3">
      <c r="M843" s="123"/>
    </row>
    <row r="844" spans="13:13" ht="15.75" customHeight="1" x14ac:dyDescent="0.3">
      <c r="M844" s="123"/>
    </row>
    <row r="845" spans="13:13" ht="15.75" customHeight="1" x14ac:dyDescent="0.3">
      <c r="M845" s="123"/>
    </row>
    <row r="846" spans="13:13" ht="15.75" customHeight="1" x14ac:dyDescent="0.3">
      <c r="M846" s="123"/>
    </row>
    <row r="847" spans="13:13" ht="15.75" customHeight="1" x14ac:dyDescent="0.3">
      <c r="M847" s="123"/>
    </row>
    <row r="848" spans="13:13" ht="15.75" customHeight="1" x14ac:dyDescent="0.3">
      <c r="M848" s="123"/>
    </row>
    <row r="849" spans="13:13" ht="15.75" customHeight="1" x14ac:dyDescent="0.3">
      <c r="M849" s="123"/>
    </row>
    <row r="850" spans="13:13" ht="15.75" customHeight="1" x14ac:dyDescent="0.3">
      <c r="M850" s="123"/>
    </row>
    <row r="851" spans="13:13" ht="15.75" customHeight="1" x14ac:dyDescent="0.3">
      <c r="M851" s="123"/>
    </row>
    <row r="852" spans="13:13" ht="15.75" customHeight="1" x14ac:dyDescent="0.3">
      <c r="M852" s="123"/>
    </row>
    <row r="853" spans="13:13" ht="15.75" customHeight="1" x14ac:dyDescent="0.3">
      <c r="M853" s="123"/>
    </row>
    <row r="854" spans="13:13" ht="15.75" customHeight="1" x14ac:dyDescent="0.3">
      <c r="M854" s="123"/>
    </row>
    <row r="855" spans="13:13" ht="15.75" customHeight="1" x14ac:dyDescent="0.3">
      <c r="M855" s="123"/>
    </row>
    <row r="856" spans="13:13" ht="15.75" customHeight="1" x14ac:dyDescent="0.3">
      <c r="M856" s="123"/>
    </row>
    <row r="857" spans="13:13" ht="15.75" customHeight="1" x14ac:dyDescent="0.3">
      <c r="M857" s="123"/>
    </row>
    <row r="858" spans="13:13" ht="15.75" customHeight="1" x14ac:dyDescent="0.3">
      <c r="M858" s="123"/>
    </row>
    <row r="859" spans="13:13" ht="15.75" customHeight="1" x14ac:dyDescent="0.3">
      <c r="M859" s="123"/>
    </row>
    <row r="860" spans="13:13" ht="15.75" customHeight="1" x14ac:dyDescent="0.3">
      <c r="M860" s="123"/>
    </row>
    <row r="861" spans="13:13" ht="15.75" customHeight="1" x14ac:dyDescent="0.3">
      <c r="M861" s="123"/>
    </row>
    <row r="862" spans="13:13" ht="15.75" customHeight="1" x14ac:dyDescent="0.3">
      <c r="M862" s="123"/>
    </row>
    <row r="863" spans="13:13" ht="15.75" customHeight="1" x14ac:dyDescent="0.3">
      <c r="M863" s="123"/>
    </row>
    <row r="864" spans="13:13" ht="15.75" customHeight="1" x14ac:dyDescent="0.3">
      <c r="M864" s="123"/>
    </row>
    <row r="865" spans="13:13" ht="15.75" customHeight="1" x14ac:dyDescent="0.3">
      <c r="M865" s="123"/>
    </row>
    <row r="866" spans="13:13" ht="15.75" customHeight="1" x14ac:dyDescent="0.3">
      <c r="M866" s="123"/>
    </row>
    <row r="867" spans="13:13" ht="15.75" customHeight="1" x14ac:dyDescent="0.3">
      <c r="M867" s="123"/>
    </row>
    <row r="868" spans="13:13" ht="15.75" customHeight="1" x14ac:dyDescent="0.3">
      <c r="M868" s="123"/>
    </row>
    <row r="869" spans="13:13" ht="15.75" customHeight="1" x14ac:dyDescent="0.3">
      <c r="M869" s="123"/>
    </row>
    <row r="870" spans="13:13" ht="15.75" customHeight="1" x14ac:dyDescent="0.3">
      <c r="M870" s="123"/>
    </row>
    <row r="871" spans="13:13" ht="15.75" customHeight="1" x14ac:dyDescent="0.3">
      <c r="M871" s="123"/>
    </row>
    <row r="872" spans="13:13" ht="15.75" customHeight="1" x14ac:dyDescent="0.3">
      <c r="M872" s="123"/>
    </row>
    <row r="873" spans="13:13" ht="15.75" customHeight="1" x14ac:dyDescent="0.3">
      <c r="M873" s="123"/>
    </row>
    <row r="874" spans="13:13" ht="15.75" customHeight="1" x14ac:dyDescent="0.3">
      <c r="M874" s="123"/>
    </row>
    <row r="875" spans="13:13" ht="15.75" customHeight="1" x14ac:dyDescent="0.3">
      <c r="M875" s="123"/>
    </row>
    <row r="876" spans="13:13" ht="15.75" customHeight="1" x14ac:dyDescent="0.3">
      <c r="M876" s="123"/>
    </row>
    <row r="877" spans="13:13" ht="15.75" customHeight="1" x14ac:dyDescent="0.3">
      <c r="M877" s="123"/>
    </row>
    <row r="878" spans="13:13" ht="15.75" customHeight="1" x14ac:dyDescent="0.3">
      <c r="M878" s="123"/>
    </row>
    <row r="879" spans="13:13" ht="15.75" customHeight="1" x14ac:dyDescent="0.3">
      <c r="M879" s="123"/>
    </row>
    <row r="880" spans="13:13" ht="15.75" customHeight="1" x14ac:dyDescent="0.3">
      <c r="M880" s="123"/>
    </row>
    <row r="881" spans="13:13" ht="15.75" customHeight="1" x14ac:dyDescent="0.3">
      <c r="M881" s="123"/>
    </row>
    <row r="882" spans="13:13" ht="15.75" customHeight="1" x14ac:dyDescent="0.3">
      <c r="M882" s="123"/>
    </row>
    <row r="883" spans="13:13" ht="15.75" customHeight="1" x14ac:dyDescent="0.3">
      <c r="M883" s="123"/>
    </row>
    <row r="884" spans="13:13" ht="15.75" customHeight="1" x14ac:dyDescent="0.3">
      <c r="M884" s="123"/>
    </row>
    <row r="885" spans="13:13" ht="15.75" customHeight="1" x14ac:dyDescent="0.3">
      <c r="M885" s="123"/>
    </row>
    <row r="886" spans="13:13" ht="15.75" customHeight="1" x14ac:dyDescent="0.3">
      <c r="M886" s="123"/>
    </row>
    <row r="887" spans="13:13" ht="15.75" customHeight="1" x14ac:dyDescent="0.3">
      <c r="M887" s="123"/>
    </row>
    <row r="888" spans="13:13" ht="15.75" customHeight="1" x14ac:dyDescent="0.3">
      <c r="M888" s="123"/>
    </row>
    <row r="889" spans="13:13" ht="15.75" customHeight="1" x14ac:dyDescent="0.3">
      <c r="M889" s="123"/>
    </row>
    <row r="890" spans="13:13" ht="15.75" customHeight="1" x14ac:dyDescent="0.3">
      <c r="M890" s="123"/>
    </row>
    <row r="891" spans="13:13" ht="15.75" customHeight="1" x14ac:dyDescent="0.3">
      <c r="M891" s="123"/>
    </row>
    <row r="892" spans="13:13" ht="15.75" customHeight="1" x14ac:dyDescent="0.3">
      <c r="M892" s="123"/>
    </row>
    <row r="893" spans="13:13" ht="15.75" customHeight="1" x14ac:dyDescent="0.3">
      <c r="M893" s="123"/>
    </row>
    <row r="894" spans="13:13" ht="15.75" customHeight="1" x14ac:dyDescent="0.3">
      <c r="M894" s="123"/>
    </row>
    <row r="895" spans="13:13" ht="15.75" customHeight="1" x14ac:dyDescent="0.3">
      <c r="M895" s="123"/>
    </row>
    <row r="896" spans="13:13" ht="15.75" customHeight="1" x14ac:dyDescent="0.3">
      <c r="M896" s="123"/>
    </row>
    <row r="897" spans="13:13" ht="15.75" customHeight="1" x14ac:dyDescent="0.3">
      <c r="M897" s="123"/>
    </row>
    <row r="898" spans="13:13" ht="15.75" customHeight="1" x14ac:dyDescent="0.3">
      <c r="M898" s="123"/>
    </row>
    <row r="899" spans="13:13" ht="15.75" customHeight="1" x14ac:dyDescent="0.3">
      <c r="M899" s="123"/>
    </row>
    <row r="900" spans="13:13" ht="15.75" customHeight="1" x14ac:dyDescent="0.3">
      <c r="M900" s="123"/>
    </row>
    <row r="901" spans="13:13" ht="15.75" customHeight="1" x14ac:dyDescent="0.3">
      <c r="M901" s="123"/>
    </row>
    <row r="902" spans="13:13" ht="15.75" customHeight="1" x14ac:dyDescent="0.3">
      <c r="M902" s="123"/>
    </row>
    <row r="903" spans="13:13" ht="15.75" customHeight="1" x14ac:dyDescent="0.3">
      <c r="M903" s="123"/>
    </row>
    <row r="904" spans="13:13" ht="15.75" customHeight="1" x14ac:dyDescent="0.3">
      <c r="M904" s="123"/>
    </row>
    <row r="905" spans="13:13" ht="15.75" customHeight="1" x14ac:dyDescent="0.3">
      <c r="M905" s="123"/>
    </row>
    <row r="906" spans="13:13" ht="15.75" customHeight="1" x14ac:dyDescent="0.3">
      <c r="M906" s="123"/>
    </row>
    <row r="907" spans="13:13" ht="15.75" customHeight="1" x14ac:dyDescent="0.3">
      <c r="M907" s="123"/>
    </row>
    <row r="908" spans="13:13" ht="15.75" customHeight="1" x14ac:dyDescent="0.3">
      <c r="M908" s="123"/>
    </row>
    <row r="909" spans="13:13" ht="15.75" customHeight="1" x14ac:dyDescent="0.3">
      <c r="M909" s="123"/>
    </row>
    <row r="910" spans="13:13" ht="15.75" customHeight="1" x14ac:dyDescent="0.3">
      <c r="M910" s="123"/>
    </row>
    <row r="911" spans="13:13" ht="15.75" customHeight="1" x14ac:dyDescent="0.3">
      <c r="M911" s="123"/>
    </row>
    <row r="912" spans="13:13" ht="15.75" customHeight="1" x14ac:dyDescent="0.3">
      <c r="M912" s="123"/>
    </row>
    <row r="913" spans="13:13" ht="15.75" customHeight="1" x14ac:dyDescent="0.3">
      <c r="M913" s="123"/>
    </row>
    <row r="914" spans="13:13" ht="15.75" customHeight="1" x14ac:dyDescent="0.3">
      <c r="M914" s="123"/>
    </row>
    <row r="915" spans="13:13" ht="15.75" customHeight="1" x14ac:dyDescent="0.3">
      <c r="M915" s="123"/>
    </row>
    <row r="916" spans="13:13" ht="15.75" customHeight="1" x14ac:dyDescent="0.3">
      <c r="M916" s="123"/>
    </row>
    <row r="917" spans="13:13" ht="15.75" customHeight="1" x14ac:dyDescent="0.3">
      <c r="M917" s="123"/>
    </row>
    <row r="918" spans="13:13" ht="15.75" customHeight="1" x14ac:dyDescent="0.3">
      <c r="M918" s="123"/>
    </row>
    <row r="919" spans="13:13" ht="15.75" customHeight="1" x14ac:dyDescent="0.3">
      <c r="M919" s="123"/>
    </row>
    <row r="920" spans="13:13" ht="15.75" customHeight="1" x14ac:dyDescent="0.3">
      <c r="M920" s="123"/>
    </row>
    <row r="921" spans="13:13" ht="15.75" customHeight="1" x14ac:dyDescent="0.3">
      <c r="M921" s="123"/>
    </row>
    <row r="922" spans="13:13" ht="15.75" customHeight="1" x14ac:dyDescent="0.3">
      <c r="M922" s="123"/>
    </row>
    <row r="923" spans="13:13" ht="15.75" customHeight="1" x14ac:dyDescent="0.3">
      <c r="M923" s="123"/>
    </row>
    <row r="924" spans="13:13" ht="15.75" customHeight="1" x14ac:dyDescent="0.3">
      <c r="M924" s="123"/>
    </row>
    <row r="925" spans="13:13" ht="15.75" customHeight="1" x14ac:dyDescent="0.3">
      <c r="M925" s="123"/>
    </row>
    <row r="926" spans="13:13" ht="15.75" customHeight="1" x14ac:dyDescent="0.3">
      <c r="M926" s="123"/>
    </row>
    <row r="927" spans="13:13" ht="15.75" customHeight="1" x14ac:dyDescent="0.3">
      <c r="M927" s="123"/>
    </row>
    <row r="928" spans="13:13" ht="15.75" customHeight="1" x14ac:dyDescent="0.3">
      <c r="M928" s="123"/>
    </row>
    <row r="929" spans="13:13" ht="15.75" customHeight="1" x14ac:dyDescent="0.3">
      <c r="M929" s="123"/>
    </row>
    <row r="930" spans="13:13" ht="15.75" customHeight="1" x14ac:dyDescent="0.3">
      <c r="M930" s="123"/>
    </row>
    <row r="931" spans="13:13" ht="15.75" customHeight="1" x14ac:dyDescent="0.3">
      <c r="M931" s="123"/>
    </row>
    <row r="932" spans="13:13" ht="15.75" customHeight="1" x14ac:dyDescent="0.3">
      <c r="M932" s="123"/>
    </row>
    <row r="933" spans="13:13" ht="15.75" customHeight="1" x14ac:dyDescent="0.3">
      <c r="M933" s="123"/>
    </row>
    <row r="934" spans="13:13" ht="15.75" customHeight="1" x14ac:dyDescent="0.3">
      <c r="M934" s="123"/>
    </row>
    <row r="935" spans="13:13" ht="15.75" customHeight="1" x14ac:dyDescent="0.3">
      <c r="M935" s="123"/>
    </row>
    <row r="936" spans="13:13" ht="15.75" customHeight="1" x14ac:dyDescent="0.3">
      <c r="M936" s="123"/>
    </row>
    <row r="937" spans="13:13" ht="15.75" customHeight="1" x14ac:dyDescent="0.3">
      <c r="M937" s="123"/>
    </row>
    <row r="938" spans="13:13" ht="15.75" customHeight="1" x14ac:dyDescent="0.3">
      <c r="M938" s="123"/>
    </row>
    <row r="939" spans="13:13" ht="15.75" customHeight="1" x14ac:dyDescent="0.3">
      <c r="M939" s="123"/>
    </row>
    <row r="940" spans="13:13" ht="15.75" customHeight="1" x14ac:dyDescent="0.3">
      <c r="M940" s="123"/>
    </row>
    <row r="941" spans="13:13" ht="15.75" customHeight="1" x14ac:dyDescent="0.3">
      <c r="M941" s="123"/>
    </row>
    <row r="942" spans="13:13" ht="15.75" customHeight="1" x14ac:dyDescent="0.3">
      <c r="M942" s="123"/>
    </row>
    <row r="943" spans="13:13" ht="15.75" customHeight="1" x14ac:dyDescent="0.3">
      <c r="M943" s="123"/>
    </row>
    <row r="944" spans="13:13" ht="15.75" customHeight="1" x14ac:dyDescent="0.3">
      <c r="M944" s="123"/>
    </row>
    <row r="945" spans="13:13" ht="15.75" customHeight="1" x14ac:dyDescent="0.3">
      <c r="M945" s="123"/>
    </row>
    <row r="946" spans="13:13" ht="15.75" customHeight="1" x14ac:dyDescent="0.3">
      <c r="M946" s="123"/>
    </row>
    <row r="947" spans="13:13" ht="15.75" customHeight="1" x14ac:dyDescent="0.3">
      <c r="M947" s="123"/>
    </row>
    <row r="948" spans="13:13" ht="15.75" customHeight="1" x14ac:dyDescent="0.3">
      <c r="M948" s="123"/>
    </row>
    <row r="949" spans="13:13" ht="15.75" customHeight="1" x14ac:dyDescent="0.3">
      <c r="M949" s="123"/>
    </row>
    <row r="950" spans="13:13" ht="15.75" customHeight="1" x14ac:dyDescent="0.3">
      <c r="M950" s="123"/>
    </row>
    <row r="951" spans="13:13" ht="15.75" customHeight="1" x14ac:dyDescent="0.3">
      <c r="M951" s="123"/>
    </row>
    <row r="952" spans="13:13" ht="15.75" customHeight="1" x14ac:dyDescent="0.3">
      <c r="M952" s="123"/>
    </row>
    <row r="953" spans="13:13" ht="15.75" customHeight="1" x14ac:dyDescent="0.3">
      <c r="M953" s="123"/>
    </row>
    <row r="954" spans="13:13" ht="15.75" customHeight="1" x14ac:dyDescent="0.3">
      <c r="M954" s="123"/>
    </row>
    <row r="955" spans="13:13" ht="15.75" customHeight="1" x14ac:dyDescent="0.3">
      <c r="M955" s="123"/>
    </row>
    <row r="956" spans="13:13" ht="15.75" customHeight="1" x14ac:dyDescent="0.3">
      <c r="M956" s="123"/>
    </row>
    <row r="957" spans="13:13" ht="15.75" customHeight="1" x14ac:dyDescent="0.3">
      <c r="M957" s="123"/>
    </row>
    <row r="958" spans="13:13" ht="15.75" customHeight="1" x14ac:dyDescent="0.3">
      <c r="M958" s="123"/>
    </row>
    <row r="959" spans="13:13" ht="15.75" customHeight="1" x14ac:dyDescent="0.3">
      <c r="M959" s="123"/>
    </row>
    <row r="960" spans="13:13" ht="15.75" customHeight="1" x14ac:dyDescent="0.3">
      <c r="M960" s="123"/>
    </row>
    <row r="961" spans="13:13" ht="15.75" customHeight="1" x14ac:dyDescent="0.3">
      <c r="M961" s="123"/>
    </row>
    <row r="962" spans="13:13" ht="15.75" customHeight="1" x14ac:dyDescent="0.3">
      <c r="M962" s="123"/>
    </row>
    <row r="963" spans="13:13" ht="15.75" customHeight="1" x14ac:dyDescent="0.3">
      <c r="M963" s="123"/>
    </row>
    <row r="964" spans="13:13" ht="15.75" customHeight="1" x14ac:dyDescent="0.3">
      <c r="M964" s="123"/>
    </row>
    <row r="965" spans="13:13" ht="15.75" customHeight="1" x14ac:dyDescent="0.3">
      <c r="M965" s="123"/>
    </row>
    <row r="966" spans="13:13" ht="15.75" customHeight="1" x14ac:dyDescent="0.3">
      <c r="M966" s="123"/>
    </row>
    <row r="967" spans="13:13" ht="15.75" customHeight="1" x14ac:dyDescent="0.3">
      <c r="M967" s="123"/>
    </row>
    <row r="968" spans="13:13" ht="15.75" customHeight="1" x14ac:dyDescent="0.3">
      <c r="M968" s="123"/>
    </row>
    <row r="969" spans="13:13" ht="15.75" customHeight="1" x14ac:dyDescent="0.3">
      <c r="M969" s="123"/>
    </row>
    <row r="970" spans="13:13" ht="15.75" customHeight="1" x14ac:dyDescent="0.3">
      <c r="M970" s="123"/>
    </row>
    <row r="971" spans="13:13" ht="15.75" customHeight="1" x14ac:dyDescent="0.3">
      <c r="M971" s="123"/>
    </row>
    <row r="972" spans="13:13" ht="15.75" customHeight="1" x14ac:dyDescent="0.3">
      <c r="M972" s="123"/>
    </row>
    <row r="973" spans="13:13" ht="15.75" customHeight="1" x14ac:dyDescent="0.3">
      <c r="M973" s="123"/>
    </row>
    <row r="974" spans="13:13" ht="15.75" customHeight="1" x14ac:dyDescent="0.3">
      <c r="M974" s="123"/>
    </row>
    <row r="975" spans="13:13" ht="15.75" customHeight="1" x14ac:dyDescent="0.3">
      <c r="M975" s="123"/>
    </row>
    <row r="976" spans="13:13" ht="15.75" customHeight="1" x14ac:dyDescent="0.3">
      <c r="M976" s="123"/>
    </row>
    <row r="977" spans="13:13" ht="15.75" customHeight="1" x14ac:dyDescent="0.3">
      <c r="M977" s="123"/>
    </row>
    <row r="978" spans="13:13" ht="15.75" customHeight="1" x14ac:dyDescent="0.3">
      <c r="M978" s="123"/>
    </row>
    <row r="979" spans="13:13" ht="15.75" customHeight="1" x14ac:dyDescent="0.3">
      <c r="M979" s="123"/>
    </row>
    <row r="980" spans="13:13" ht="15.75" customHeight="1" x14ac:dyDescent="0.3">
      <c r="M980" s="123"/>
    </row>
    <row r="981" spans="13:13" ht="15.75" customHeight="1" x14ac:dyDescent="0.3">
      <c r="M981" s="123"/>
    </row>
    <row r="982" spans="13:13" ht="15.75" customHeight="1" x14ac:dyDescent="0.3">
      <c r="M982" s="123"/>
    </row>
    <row r="983" spans="13:13" ht="15.75" customHeight="1" x14ac:dyDescent="0.3">
      <c r="M983" s="123"/>
    </row>
    <row r="984" spans="13:13" ht="15.75" customHeight="1" x14ac:dyDescent="0.3">
      <c r="M984" s="123"/>
    </row>
    <row r="985" spans="13:13" ht="15.75" customHeight="1" x14ac:dyDescent="0.3">
      <c r="M985" s="123"/>
    </row>
    <row r="986" spans="13:13" ht="15.75" customHeight="1" x14ac:dyDescent="0.3">
      <c r="M986" s="123"/>
    </row>
    <row r="987" spans="13:13" ht="15.75" customHeight="1" x14ac:dyDescent="0.3">
      <c r="M987" s="123"/>
    </row>
    <row r="988" spans="13:13" ht="15.75" customHeight="1" x14ac:dyDescent="0.3">
      <c r="M988" s="123"/>
    </row>
    <row r="989" spans="13:13" ht="15.75" customHeight="1" x14ac:dyDescent="0.3">
      <c r="M989" s="123"/>
    </row>
    <row r="990" spans="13:13" ht="15.75" customHeight="1" x14ac:dyDescent="0.3">
      <c r="M990" s="123"/>
    </row>
    <row r="991" spans="13:13" ht="15.75" customHeight="1" x14ac:dyDescent="0.3">
      <c r="M991" s="123"/>
    </row>
    <row r="992" spans="13:13" ht="15.75" customHeight="1" x14ac:dyDescent="0.3">
      <c r="M992" s="123"/>
    </row>
    <row r="993" spans="13:13" ht="15.75" customHeight="1" x14ac:dyDescent="0.3">
      <c r="M993" s="123"/>
    </row>
    <row r="994" spans="13:13" ht="15.75" customHeight="1" x14ac:dyDescent="0.3">
      <c r="M994" s="123"/>
    </row>
    <row r="995" spans="13:13" ht="15.75" customHeight="1" x14ac:dyDescent="0.3">
      <c r="M995" s="123"/>
    </row>
    <row r="996" spans="13:13" ht="15.75" customHeight="1" x14ac:dyDescent="0.3">
      <c r="M996" s="123"/>
    </row>
    <row r="997" spans="13:13" ht="15.75" customHeight="1" x14ac:dyDescent="0.3">
      <c r="M997" s="123"/>
    </row>
    <row r="998" spans="13:13" ht="15.75" customHeight="1" x14ac:dyDescent="0.3">
      <c r="M998" s="123"/>
    </row>
    <row r="999" spans="13:13" ht="15.75" customHeight="1" x14ac:dyDescent="0.3">
      <c r="M999" s="123"/>
    </row>
    <row r="1000" spans="13:13" ht="15.75" customHeight="1" x14ac:dyDescent="0.3">
      <c r="M1000" s="123"/>
    </row>
  </sheetData>
  <conditionalFormatting sqref="Q5:Q38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G30"/>
  <sheetViews>
    <sheetView workbookViewId="0">
      <selection activeCell="D29" sqref="D29"/>
    </sheetView>
  </sheetViews>
  <sheetFormatPr defaultRowHeight="14.4" x14ac:dyDescent="0.3"/>
  <cols>
    <col min="1" max="1" width="34" bestFit="1" customWidth="1"/>
    <col min="2" max="2" width="23.44140625" customWidth="1"/>
    <col min="3" max="3" width="23.33203125" bestFit="1" customWidth="1"/>
    <col min="4" max="4" width="23" bestFit="1" customWidth="1"/>
    <col min="5" max="5" width="21" bestFit="1" customWidth="1"/>
    <col min="7" max="7" width="16.109375" customWidth="1"/>
  </cols>
  <sheetData>
    <row r="3" spans="1:7" x14ac:dyDescent="0.3">
      <c r="A3" s="136" t="s">
        <v>505</v>
      </c>
      <c r="B3" t="s">
        <v>506</v>
      </c>
      <c r="C3" t="s">
        <v>507</v>
      </c>
      <c r="D3" t="s">
        <v>508</v>
      </c>
      <c r="E3" t="s">
        <v>509</v>
      </c>
    </row>
    <row r="4" spans="1:7" x14ac:dyDescent="0.3">
      <c r="A4" s="97" t="s">
        <v>510</v>
      </c>
      <c r="B4">
        <v>205</v>
      </c>
      <c r="C4">
        <v>112</v>
      </c>
      <c r="D4">
        <v>317</v>
      </c>
      <c r="E4" s="133">
        <v>0.38192771084337357</v>
      </c>
    </row>
    <row r="5" spans="1:7" x14ac:dyDescent="0.3">
      <c r="A5" s="97" t="s">
        <v>511</v>
      </c>
      <c r="B5">
        <v>299</v>
      </c>
      <c r="C5">
        <v>160</v>
      </c>
      <c r="D5">
        <v>459</v>
      </c>
      <c r="E5" s="133">
        <v>0.55301204819277128</v>
      </c>
    </row>
    <row r="6" spans="1:7" x14ac:dyDescent="0.3">
      <c r="A6" s="97" t="s">
        <v>512</v>
      </c>
      <c r="B6">
        <v>230</v>
      </c>
      <c r="C6">
        <v>121.17999999999998</v>
      </c>
      <c r="D6">
        <v>351.18000000000006</v>
      </c>
      <c r="E6" s="133">
        <v>0.42310843373493984</v>
      </c>
    </row>
    <row r="7" spans="1:7" x14ac:dyDescent="0.3">
      <c r="A7" s="97" t="s">
        <v>513</v>
      </c>
      <c r="B7">
        <v>103</v>
      </c>
      <c r="C7">
        <v>179</v>
      </c>
      <c r="D7">
        <v>282</v>
      </c>
      <c r="E7" s="133">
        <v>0.33975903614457831</v>
      </c>
    </row>
    <row r="8" spans="1:7" x14ac:dyDescent="0.3">
      <c r="A8" s="97" t="s">
        <v>514</v>
      </c>
      <c r="B8">
        <v>164</v>
      </c>
      <c r="C8">
        <v>241</v>
      </c>
      <c r="D8">
        <v>405</v>
      </c>
      <c r="E8" s="133">
        <v>0.48795180722891562</v>
      </c>
    </row>
    <row r="9" spans="1:7" x14ac:dyDescent="0.3">
      <c r="A9" s="97" t="s">
        <v>515</v>
      </c>
      <c r="B9">
        <v>54</v>
      </c>
      <c r="C9">
        <v>158.18000000000004</v>
      </c>
      <c r="D9">
        <v>212.18000000000004</v>
      </c>
      <c r="E9" s="133">
        <v>0.25563855421686749</v>
      </c>
    </row>
    <row r="10" spans="1:7" x14ac:dyDescent="0.3">
      <c r="A10" s="97" t="s">
        <v>516</v>
      </c>
      <c r="B10">
        <v>160.32999999999996</v>
      </c>
      <c r="C10">
        <v>148.32999999999996</v>
      </c>
      <c r="D10">
        <v>308.65999999999991</v>
      </c>
      <c r="E10" s="133">
        <v>0.37187951807228903</v>
      </c>
    </row>
    <row r="11" spans="1:7" x14ac:dyDescent="0.3">
      <c r="A11" s="97" t="s">
        <v>517</v>
      </c>
      <c r="B11">
        <v>96</v>
      </c>
      <c r="C11">
        <v>367</v>
      </c>
      <c r="D11">
        <v>463</v>
      </c>
      <c r="E11" s="133">
        <v>0.55783132530120483</v>
      </c>
      <c r="G11" t="e">
        <f>GETPIVOTDATA("Среднее по полю 830",$A$3,"ФИО","Александрова Светлана Сергеевна")+GETPIVOTDATA("Среднее по полю 830",$A$3,"ФИО","Бендеркий Геннадий Петрович")+GETPIVOTDATA("Среднее по полю 830",$A$3,"ФИО","Власенко Артем Николаевич")+GETPIVOTDATA("Среднее по полю 830",$A$3,"ФИО",".")</f>
        <v>#REF!</v>
      </c>
    </row>
    <row r="12" spans="1:7" x14ac:dyDescent="0.3">
      <c r="A12" s="97" t="s">
        <v>518</v>
      </c>
      <c r="B12">
        <v>143</v>
      </c>
      <c r="C12">
        <v>196</v>
      </c>
      <c r="D12">
        <v>339</v>
      </c>
      <c r="E12" s="133">
        <v>0.40843373493975904</v>
      </c>
      <c r="G12" t="e">
        <f>G11*0.15</f>
        <v>#REF!</v>
      </c>
    </row>
    <row r="13" spans="1:7" x14ac:dyDescent="0.3">
      <c r="A13" s="97" t="s">
        <v>519</v>
      </c>
      <c r="B13">
        <v>128</v>
      </c>
      <c r="C13">
        <v>130</v>
      </c>
      <c r="D13">
        <v>258</v>
      </c>
      <c r="E13" s="133">
        <v>0.31084337349397589</v>
      </c>
      <c r="G13" t="e">
        <f>G11-G12</f>
        <v>#REF!</v>
      </c>
    </row>
    <row r="14" spans="1:7" x14ac:dyDescent="0.3">
      <c r="A14" s="97" t="s">
        <v>520</v>
      </c>
      <c r="B14">
        <v>47</v>
      </c>
      <c r="C14">
        <v>89</v>
      </c>
      <c r="D14">
        <v>136</v>
      </c>
      <c r="E14" s="133">
        <v>0.16385542168674697</v>
      </c>
    </row>
    <row r="15" spans="1:7" x14ac:dyDescent="0.3">
      <c r="A15" s="97" t="s">
        <v>521</v>
      </c>
      <c r="B15">
        <v>97</v>
      </c>
      <c r="C15">
        <v>80</v>
      </c>
      <c r="D15">
        <v>177</v>
      </c>
      <c r="E15" s="133">
        <v>0.21325301204819277</v>
      </c>
    </row>
    <row r="16" spans="1:7" x14ac:dyDescent="0.3">
      <c r="A16" s="97" t="s">
        <v>522</v>
      </c>
      <c r="B16">
        <v>51.67</v>
      </c>
      <c r="C16">
        <v>225.03000000000003</v>
      </c>
      <c r="D16">
        <v>276.7</v>
      </c>
      <c r="E16" s="133">
        <v>0.33337349397590366</v>
      </c>
    </row>
    <row r="17" spans="1:5" x14ac:dyDescent="0.3">
      <c r="A17" s="97" t="s">
        <v>523</v>
      </c>
      <c r="B17">
        <v>0</v>
      </c>
      <c r="C17">
        <v>24</v>
      </c>
      <c r="D17">
        <v>24</v>
      </c>
      <c r="E17" s="133">
        <v>2.891566265060241E-2</v>
      </c>
    </row>
    <row r="18" spans="1:5" x14ac:dyDescent="0.3">
      <c r="A18" s="97" t="s">
        <v>524</v>
      </c>
      <c r="B18">
        <v>75.33</v>
      </c>
      <c r="C18">
        <v>221.32999999999996</v>
      </c>
      <c r="D18">
        <v>296.65999999999991</v>
      </c>
      <c r="E18" s="133">
        <v>0.35742168674698782</v>
      </c>
    </row>
    <row r="19" spans="1:5" x14ac:dyDescent="0.3">
      <c r="A19" s="97" t="s">
        <v>137</v>
      </c>
      <c r="B19">
        <v>334</v>
      </c>
      <c r="C19">
        <v>215</v>
      </c>
      <c r="D19">
        <v>549</v>
      </c>
      <c r="E19" s="133">
        <v>0.66144578313253055</v>
      </c>
    </row>
    <row r="20" spans="1:5" x14ac:dyDescent="0.3">
      <c r="A20" s="97" t="s">
        <v>525</v>
      </c>
      <c r="B20">
        <v>206</v>
      </c>
      <c r="C20">
        <v>110</v>
      </c>
      <c r="D20">
        <v>316</v>
      </c>
      <c r="E20" s="133">
        <v>0.38072289156626488</v>
      </c>
    </row>
    <row r="21" spans="1:5" x14ac:dyDescent="0.3">
      <c r="A21" s="97" t="s">
        <v>526</v>
      </c>
      <c r="B21">
        <v>270.67</v>
      </c>
      <c r="C21">
        <v>355.03000000000009</v>
      </c>
      <c r="D21">
        <v>625.70000000000039</v>
      </c>
      <c r="E21" s="133">
        <v>0.75385542168674735</v>
      </c>
    </row>
    <row r="22" spans="1:5" x14ac:dyDescent="0.3">
      <c r="A22" s="97" t="s">
        <v>527</v>
      </c>
      <c r="B22">
        <v>332.33</v>
      </c>
      <c r="C22">
        <v>309.88</v>
      </c>
      <c r="D22">
        <v>642.20999999999947</v>
      </c>
      <c r="E22" s="133">
        <v>0.77374698795180696</v>
      </c>
    </row>
    <row r="23" spans="1:5" x14ac:dyDescent="0.3">
      <c r="A23" s="97" t="s">
        <v>528</v>
      </c>
      <c r="B23">
        <v>280.67</v>
      </c>
      <c r="C23">
        <v>392.03</v>
      </c>
      <c r="D23">
        <v>672.70000000000016</v>
      </c>
      <c r="E23" s="133">
        <v>0.81048192771084293</v>
      </c>
    </row>
    <row r="24" spans="1:5" x14ac:dyDescent="0.3">
      <c r="A24" s="97" t="s">
        <v>504</v>
      </c>
      <c r="B24">
        <v>203.4459776536313</v>
      </c>
      <c r="C24">
        <v>219.34983240223474</v>
      </c>
      <c r="D24">
        <v>422.79581005586681</v>
      </c>
      <c r="E24" s="133">
        <v>0.50939254223598329</v>
      </c>
    </row>
    <row r="30" spans="1:5" x14ac:dyDescent="0.3">
      <c r="E30" s="133">
        <f>SUM(E4:E24)</f>
        <v>9.0768503735612818</v>
      </c>
    </row>
  </sheetData>
  <pageMargins left="0.7" right="0.7" top="0.75" bottom="0.75" header="0.3" footer="0.3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J25"/>
  <sheetViews>
    <sheetView workbookViewId="0">
      <selection activeCell="D33" sqref="D33"/>
    </sheetView>
  </sheetViews>
  <sheetFormatPr defaultRowHeight="14.4" x14ac:dyDescent="0.3"/>
  <cols>
    <col min="1" max="1" width="34" bestFit="1" customWidth="1"/>
    <col min="2" max="2" width="8.109375" customWidth="1"/>
    <col min="3" max="4" width="7.88671875" customWidth="1"/>
    <col min="5" max="5" width="13.5546875" customWidth="1"/>
    <col min="6" max="6" width="9.109375" hidden="1" customWidth="1"/>
    <col min="8" max="8" width="0" hidden="1" customWidth="1"/>
  </cols>
  <sheetData>
    <row r="3" spans="1:10" x14ac:dyDescent="0.3">
      <c r="A3" s="137" t="s">
        <v>505</v>
      </c>
      <c r="B3" s="122" t="s">
        <v>529</v>
      </c>
      <c r="C3" s="122" t="s">
        <v>530</v>
      </c>
      <c r="D3" s="122" t="s">
        <v>531</v>
      </c>
      <c r="E3" s="122" t="s">
        <v>532</v>
      </c>
      <c r="F3" s="122"/>
      <c r="G3" s="122" t="s">
        <v>533</v>
      </c>
      <c r="H3" s="122" t="s">
        <v>534</v>
      </c>
      <c r="I3" s="122" t="s">
        <v>493</v>
      </c>
      <c r="J3" s="138" t="s">
        <v>535</v>
      </c>
    </row>
    <row r="4" spans="1:10" x14ac:dyDescent="0.3">
      <c r="A4" s="139" t="s">
        <v>510</v>
      </c>
      <c r="B4" s="122">
        <v>205</v>
      </c>
      <c r="C4" s="122">
        <v>112</v>
      </c>
      <c r="D4" s="122">
        <v>317</v>
      </c>
      <c r="E4" s="140">
        <v>0.38192771084337357</v>
      </c>
      <c r="F4" s="122">
        <f>GETPIVOTDATA("Ставка расчет",$A$3,"ФИО","Александрова Светлана Сергеевна")</f>
        <v>0.38192771084337357</v>
      </c>
      <c r="G4" s="130">
        <f t="shared" ref="G4:G23" si="0">F4*0.93</f>
        <v>0.35519277108433744</v>
      </c>
      <c r="H4" s="130">
        <f>GETPIVOTDATA("ч.Итого",$A$3,"ФИО","Александрова Светлана Сергеевна")</f>
        <v>317</v>
      </c>
      <c r="I4" s="141">
        <f t="shared" ref="I4:I23" si="1">H4-G4*830</f>
        <v>22.189999999999941</v>
      </c>
      <c r="J4" s="142">
        <v>0.4</v>
      </c>
    </row>
    <row r="5" spans="1:10" x14ac:dyDescent="0.3">
      <c r="A5" s="139" t="s">
        <v>519</v>
      </c>
      <c r="B5" s="122">
        <v>128</v>
      </c>
      <c r="C5" s="122">
        <v>130</v>
      </c>
      <c r="D5" s="122">
        <v>258</v>
      </c>
      <c r="E5" s="140">
        <v>0.31084337349397589</v>
      </c>
      <c r="F5" s="122">
        <f>GETPIVOTDATA("Ставка расчет",$A$3,"ФИО","Анферова Маргарита Сергеевна")</f>
        <v>0.31084337349397589</v>
      </c>
      <c r="G5" s="130">
        <f t="shared" si="0"/>
        <v>0.28908433734939759</v>
      </c>
      <c r="H5" s="130">
        <f>GETPIVOTDATA("ч.Итого",$A$3,"ФИО","Анферова Маргарита Сергеевна")</f>
        <v>258</v>
      </c>
      <c r="I5" s="141">
        <f t="shared" si="1"/>
        <v>18.060000000000002</v>
      </c>
      <c r="J5" s="142">
        <v>0.3</v>
      </c>
    </row>
    <row r="6" spans="1:10" x14ac:dyDescent="0.3">
      <c r="A6" s="139" t="s">
        <v>517</v>
      </c>
      <c r="B6" s="122">
        <v>96</v>
      </c>
      <c r="C6" s="122">
        <v>367</v>
      </c>
      <c r="D6" s="122">
        <v>463</v>
      </c>
      <c r="E6" s="140">
        <v>0.55783132530120483</v>
      </c>
      <c r="F6" s="122">
        <f>GETPIVOTDATA("Ставка расчет",$A$3,"ФИО","Белевцев Андрей Михайлович")</f>
        <v>0.55783132530120483</v>
      </c>
      <c r="G6" s="130">
        <f t="shared" si="0"/>
        <v>0.51878313253012054</v>
      </c>
      <c r="H6" s="130">
        <f>GETPIVOTDATA("ч.Итого",$A$3,"ФИО","Белевцев Андрей Михайлович")</f>
        <v>463</v>
      </c>
      <c r="I6" s="141">
        <f t="shared" si="1"/>
        <v>32.409999999999968</v>
      </c>
      <c r="J6" s="142">
        <v>0.4</v>
      </c>
    </row>
    <row r="7" spans="1:10" x14ac:dyDescent="0.3">
      <c r="A7" s="139" t="s">
        <v>524</v>
      </c>
      <c r="B7" s="122">
        <v>75.33</v>
      </c>
      <c r="C7" s="122">
        <v>221.32999999999996</v>
      </c>
      <c r="D7" s="122">
        <v>296.65999999999991</v>
      </c>
      <c r="E7" s="140">
        <v>0.35742168674698782</v>
      </c>
      <c r="F7" s="122">
        <f>GETPIVOTDATA("Ставка расчет",$A$3,"ФИО","Бендерский Геннадий Петрович ")</f>
        <v>0.35742168674698782</v>
      </c>
      <c r="G7" s="130">
        <f t="shared" si="0"/>
        <v>0.33240216867469868</v>
      </c>
      <c r="H7" s="130">
        <f>GETPIVOTDATA("ч.Итого",$A$3,"ФИО","Бендерский Геннадий Петрович ")</f>
        <v>296.65999999999991</v>
      </c>
      <c r="I7" s="141">
        <f t="shared" si="1"/>
        <v>20.766200000000026</v>
      </c>
      <c r="J7" s="142">
        <v>0.3</v>
      </c>
    </row>
    <row r="8" spans="1:10" x14ac:dyDescent="0.3">
      <c r="A8" s="139" t="s">
        <v>512</v>
      </c>
      <c r="B8" s="122">
        <v>230</v>
      </c>
      <c r="C8" s="122">
        <v>121.17999999999998</v>
      </c>
      <c r="D8" s="122">
        <v>351.18000000000006</v>
      </c>
      <c r="E8" s="140">
        <v>0.42310843373493984</v>
      </c>
      <c r="F8" s="122">
        <f>GETPIVOTDATA("Ставка расчет",$A$3,"ФИО","Бухаров Сергей Викторович")</f>
        <v>0.42310843373493984</v>
      </c>
      <c r="G8" s="130">
        <f t="shared" si="0"/>
        <v>0.39349084337349405</v>
      </c>
      <c r="H8" s="130">
        <f>GETPIVOTDATA("ч.Итого",$A$3,"ФИО","Бухаров Сергей Викторович")</f>
        <v>351.18000000000006</v>
      </c>
      <c r="I8" s="141">
        <f t="shared" si="1"/>
        <v>24.582600000000014</v>
      </c>
      <c r="J8" s="142">
        <v>0.35</v>
      </c>
    </row>
    <row r="9" spans="1:10" x14ac:dyDescent="0.3">
      <c r="A9" s="139" t="s">
        <v>137</v>
      </c>
      <c r="B9" s="122">
        <v>334</v>
      </c>
      <c r="C9" s="122">
        <v>215</v>
      </c>
      <c r="D9" s="122">
        <v>549</v>
      </c>
      <c r="E9" s="140">
        <v>0.66144578313253055</v>
      </c>
      <c r="F9" s="122">
        <f>GETPIVOTDATA("Ставка расчет",$A$3,"ФИО","Власенко Артем Николаевич ")</f>
        <v>0.66144578313253055</v>
      </c>
      <c r="G9" s="130">
        <f t="shared" si="0"/>
        <v>0.61514457831325342</v>
      </c>
      <c r="H9" s="130">
        <f>GETPIVOTDATA("ч.Итого",$A$3,"ФИО","Власенко Артем Николаевич ")</f>
        <v>549</v>
      </c>
      <c r="I9" s="141">
        <f t="shared" si="1"/>
        <v>38.429999999999666</v>
      </c>
      <c r="J9" s="142">
        <v>0.75</v>
      </c>
    </row>
    <row r="10" spans="1:10" x14ac:dyDescent="0.3">
      <c r="A10" s="139" t="s">
        <v>521</v>
      </c>
      <c r="B10" s="122">
        <v>97</v>
      </c>
      <c r="C10" s="122">
        <v>80</v>
      </c>
      <c r="D10" s="122">
        <v>177</v>
      </c>
      <c r="E10" s="140">
        <v>0.21325301204819277</v>
      </c>
      <c r="F10" s="122">
        <f>GETPIVOTDATA("Ставка расчет",$A$3,"ФИО","Воронин Павел Александрович")</f>
        <v>0.21325301204819277</v>
      </c>
      <c r="G10" s="130">
        <f t="shared" si="0"/>
        <v>0.19832530120481928</v>
      </c>
      <c r="H10" s="130">
        <f>GETPIVOTDATA("ч.Итого",$A$3,"ФИО","Воронин Павел Александрович")</f>
        <v>177</v>
      </c>
      <c r="I10" s="141">
        <f t="shared" si="1"/>
        <v>12.389999999999986</v>
      </c>
      <c r="J10" s="142">
        <v>0.4</v>
      </c>
    </row>
    <row r="11" spans="1:10" x14ac:dyDescent="0.3">
      <c r="A11" s="139" t="s">
        <v>515</v>
      </c>
      <c r="B11" s="122">
        <v>54</v>
      </c>
      <c r="C11" s="122">
        <v>158.18000000000004</v>
      </c>
      <c r="D11" s="122">
        <v>212.18000000000004</v>
      </c>
      <c r="E11" s="140">
        <v>0.25563855421686749</v>
      </c>
      <c r="F11" s="122">
        <f>GETPIVOTDATA("Ставка расчет",$A$3,"ФИО","Гвоздарев Роман Сергеевич")</f>
        <v>0.25563855421686749</v>
      </c>
      <c r="G11" s="130">
        <f t="shared" si="0"/>
        <v>0.23774385542168677</v>
      </c>
      <c r="H11" s="130">
        <f>GETPIVOTDATA("ч.Итого",$A$3,"ФИО","Гвоздарев Роман Сергеевич")</f>
        <v>212.18000000000004</v>
      </c>
      <c r="I11" s="141">
        <f t="shared" si="1"/>
        <v>14.852600000000024</v>
      </c>
      <c r="J11" s="142">
        <v>0.25</v>
      </c>
    </row>
    <row r="12" spans="1:10" x14ac:dyDescent="0.3">
      <c r="A12" s="139" t="s">
        <v>514</v>
      </c>
      <c r="B12" s="122">
        <v>164</v>
      </c>
      <c r="C12" s="122">
        <v>241</v>
      </c>
      <c r="D12" s="122">
        <v>405</v>
      </c>
      <c r="E12" s="140">
        <v>0.48795180722891562</v>
      </c>
      <c r="F12" s="122">
        <f>GETPIVOTDATA("Ставка расчет",$A$3,"ФИО","Дворецкий Виктор Васильевич")</f>
        <v>0.48795180722891562</v>
      </c>
      <c r="G12" s="130">
        <f t="shared" si="0"/>
        <v>0.45379518072289154</v>
      </c>
      <c r="H12" s="130">
        <f>GETPIVOTDATA("ч.Итого",$A$3,"ФИО","Дворецкий Виктор Васильевич")</f>
        <v>405</v>
      </c>
      <c r="I12" s="141">
        <f t="shared" si="1"/>
        <v>28.350000000000023</v>
      </c>
      <c r="J12" s="142">
        <v>0.4</v>
      </c>
    </row>
    <row r="13" spans="1:10" x14ac:dyDescent="0.3">
      <c r="A13" s="139" t="s">
        <v>518</v>
      </c>
      <c r="B13" s="122">
        <v>143</v>
      </c>
      <c r="C13" s="122">
        <v>196</v>
      </c>
      <c r="D13" s="122">
        <v>339</v>
      </c>
      <c r="E13" s="140">
        <v>0.40843373493975904</v>
      </c>
      <c r="F13" s="122">
        <f>GETPIVOTDATA("Ставка расчет",$A$3,"ФИО","Дрягин Иван Олегович")</f>
        <v>0.40843373493975904</v>
      </c>
      <c r="G13" s="130">
        <f t="shared" si="0"/>
        <v>0.37984337349397596</v>
      </c>
      <c r="H13" s="130">
        <f>GETPIVOTDATA("ч.Итого",$A$3,"ФИО","Дрягин Иван Олегович")</f>
        <v>339</v>
      </c>
      <c r="I13" s="141">
        <f t="shared" si="1"/>
        <v>23.729999999999961</v>
      </c>
      <c r="J13" s="142">
        <v>0.4</v>
      </c>
    </row>
    <row r="14" spans="1:10" x14ac:dyDescent="0.3">
      <c r="A14" s="139" t="s">
        <v>528</v>
      </c>
      <c r="B14" s="122">
        <v>280.67</v>
      </c>
      <c r="C14" s="122">
        <v>392.03</v>
      </c>
      <c r="D14" s="122">
        <v>672.70000000000016</v>
      </c>
      <c r="E14" s="140">
        <v>0.81048192771084293</v>
      </c>
      <c r="F14" s="122">
        <f>GETPIVOTDATA("Ставка расчет",$A$3,"ФИО","Епанешникова Ирина Кириковна ")</f>
        <v>0.81048192771084293</v>
      </c>
      <c r="G14" s="130">
        <f t="shared" si="0"/>
        <v>0.75374819277108396</v>
      </c>
      <c r="H14" s="130">
        <f>GETPIVOTDATA("ч.Итого",$A$3,"ФИО","Епанешникова Ирина Кириковна ")</f>
        <v>672.70000000000016</v>
      </c>
      <c r="I14" s="141">
        <f t="shared" si="1"/>
        <v>47.08900000000051</v>
      </c>
      <c r="J14" s="142">
        <v>0.75</v>
      </c>
    </row>
    <row r="15" spans="1:10" x14ac:dyDescent="0.3">
      <c r="A15" s="139" t="s">
        <v>516</v>
      </c>
      <c r="B15" s="122">
        <v>160.32999999999996</v>
      </c>
      <c r="C15" s="122">
        <v>148.32999999999996</v>
      </c>
      <c r="D15" s="122">
        <v>308.65999999999991</v>
      </c>
      <c r="E15" s="140">
        <v>0.37187951807228903</v>
      </c>
      <c r="F15" s="122">
        <f>GETPIVOTDATA("Ставка расчет",$A$3,"ФИО","Истомина Наталья Леонидовна")</f>
        <v>0.37187951807228903</v>
      </c>
      <c r="G15" s="130">
        <f t="shared" si="0"/>
        <v>0.34584795180722883</v>
      </c>
      <c r="H15" s="130">
        <f>GETPIVOTDATA("ч.Итого",$A$3,"ФИО","Истомина Наталья Леонидовна")</f>
        <v>308.65999999999991</v>
      </c>
      <c r="I15" s="141">
        <f t="shared" si="1"/>
        <v>21.606200000000001</v>
      </c>
      <c r="J15" s="142">
        <v>0.35</v>
      </c>
    </row>
    <row r="16" spans="1:10" x14ac:dyDescent="0.3">
      <c r="A16" s="139" t="s">
        <v>511</v>
      </c>
      <c r="B16" s="122">
        <v>299</v>
      </c>
      <c r="C16" s="122">
        <v>160</v>
      </c>
      <c r="D16" s="122">
        <v>459</v>
      </c>
      <c r="E16" s="140">
        <v>0.55301204819277128</v>
      </c>
      <c r="F16" s="122">
        <f>GETPIVOTDATA("Ставка расчет",$A$3,"ФИО","Климов Константин Николаевич")</f>
        <v>0.55301204819277128</v>
      </c>
      <c r="G16" s="130">
        <f t="shared" si="0"/>
        <v>0.51430120481927732</v>
      </c>
      <c r="H16" s="130">
        <f>GETPIVOTDATA("ч.Итого",$A$3,"ФИО","Климов Константин Николаевич")</f>
        <v>459</v>
      </c>
      <c r="I16" s="141">
        <f t="shared" si="1"/>
        <v>32.129999999999825</v>
      </c>
      <c r="J16" s="142">
        <v>0.4</v>
      </c>
    </row>
    <row r="17" spans="1:10" x14ac:dyDescent="0.3">
      <c r="A17" s="139" t="s">
        <v>525</v>
      </c>
      <c r="B17" s="122">
        <v>206</v>
      </c>
      <c r="C17" s="122">
        <v>110</v>
      </c>
      <c r="D17" s="122">
        <v>316</v>
      </c>
      <c r="E17" s="140">
        <v>0.38072289156626488</v>
      </c>
      <c r="F17" s="122">
        <f>GETPIVOTDATA("Ставка расчет",$A$3,"ФИО","Крючков Василий Леонидович ")</f>
        <v>0.38072289156626488</v>
      </c>
      <c r="G17" s="130">
        <f t="shared" si="0"/>
        <v>0.35407228915662636</v>
      </c>
      <c r="H17" s="130">
        <f>GETPIVOTDATA("ч.Итого",$A$3,"ФИО","Крючков Василий Леонидович ")</f>
        <v>316</v>
      </c>
      <c r="I17" s="141">
        <f t="shared" si="1"/>
        <v>22.120000000000118</v>
      </c>
      <c r="J17" s="142">
        <v>0.35</v>
      </c>
    </row>
    <row r="18" spans="1:10" x14ac:dyDescent="0.3">
      <c r="A18" s="139" t="s">
        <v>526</v>
      </c>
      <c r="B18" s="122">
        <v>270.67</v>
      </c>
      <c r="C18" s="122">
        <v>355.03000000000009</v>
      </c>
      <c r="D18" s="122">
        <v>625.70000000000039</v>
      </c>
      <c r="E18" s="140">
        <v>0.75385542168674735</v>
      </c>
      <c r="F18" s="122">
        <f>GETPIVOTDATA("Ставка расчет",$A$3,"ФИО","Кубрин Владимир Иванович ")</f>
        <v>0.75385542168674735</v>
      </c>
      <c r="G18" s="130">
        <f t="shared" si="0"/>
        <v>0.70108554216867502</v>
      </c>
      <c r="H18" s="130">
        <f>GETPIVOTDATA("ч.Итого",$A$3,"ФИО","Кубрин Владимир Иванович ")</f>
        <v>625.70000000000039</v>
      </c>
      <c r="I18" s="141">
        <f t="shared" si="1"/>
        <v>43.799000000000092</v>
      </c>
      <c r="J18" s="142">
        <v>0.7</v>
      </c>
    </row>
    <row r="19" spans="1:10" x14ac:dyDescent="0.3">
      <c r="A19" s="139" t="s">
        <v>523</v>
      </c>
      <c r="B19" s="122">
        <v>0</v>
      </c>
      <c r="C19" s="122">
        <v>24</v>
      </c>
      <c r="D19" s="122">
        <v>24</v>
      </c>
      <c r="E19" s="140">
        <v>2.891566265060241E-2</v>
      </c>
      <c r="F19" s="122">
        <f>GETPIVOTDATA("Ставка расчет",$A$3,"ФИО","Левашова Дарья Вячеславовна")</f>
        <v>2.891566265060241E-2</v>
      </c>
      <c r="G19" s="130">
        <f t="shared" si="0"/>
        <v>2.6891566265060243E-2</v>
      </c>
      <c r="H19" s="130">
        <f>GETPIVOTDATA("ч.Итого",$A$3,"ФИО","Левашова Дарья Вячеславовна")</f>
        <v>24</v>
      </c>
      <c r="I19" s="141">
        <f t="shared" si="1"/>
        <v>1.6799999999999997</v>
      </c>
      <c r="J19" s="142">
        <v>0</v>
      </c>
    </row>
    <row r="20" spans="1:10" x14ac:dyDescent="0.3">
      <c r="A20" s="139" t="s">
        <v>513</v>
      </c>
      <c r="B20" s="122">
        <v>103</v>
      </c>
      <c r="C20" s="122">
        <v>179</v>
      </c>
      <c r="D20" s="122">
        <v>282</v>
      </c>
      <c r="E20" s="140">
        <v>0.33975903614457831</v>
      </c>
      <c r="F20" s="122">
        <f>GETPIVOTDATA("Ставка расчет",$A$3,"ФИО","Луценко Александр Владимирович")</f>
        <v>0.33975903614457831</v>
      </c>
      <c r="G20" s="130">
        <f t="shared" si="0"/>
        <v>0.31597590361445782</v>
      </c>
      <c r="H20" s="130">
        <f>GETPIVOTDATA("ч.Итого",$A$3,"ФИО","Луценко Александр Владимирович")</f>
        <v>282</v>
      </c>
      <c r="I20" s="141">
        <f t="shared" si="1"/>
        <v>19.740000000000009</v>
      </c>
      <c r="J20" s="142">
        <v>0.25</v>
      </c>
    </row>
    <row r="21" spans="1:10" x14ac:dyDescent="0.3">
      <c r="A21" s="139" t="s">
        <v>520</v>
      </c>
      <c r="B21" s="122">
        <v>47</v>
      </c>
      <c r="C21" s="122">
        <v>89</v>
      </c>
      <c r="D21" s="122">
        <v>136</v>
      </c>
      <c r="E21" s="140">
        <v>0.16385542168674697</v>
      </c>
      <c r="F21" s="122">
        <f>GETPIVOTDATA("Ставка расчет",$A$3,"ФИО","Молостова Юлия Михайловна")</f>
        <v>0.16385542168674697</v>
      </c>
      <c r="G21" s="130">
        <f t="shared" si="0"/>
        <v>0.1523855421686747</v>
      </c>
      <c r="H21" s="130">
        <f>GETPIVOTDATA("ч.Итого",$A$3,"ФИО","Молостова Юлия Михайловна")</f>
        <v>136</v>
      </c>
      <c r="I21" s="141">
        <f t="shared" si="1"/>
        <v>9.519999999999996</v>
      </c>
      <c r="J21" s="142">
        <v>0.2</v>
      </c>
    </row>
    <row r="22" spans="1:10" x14ac:dyDescent="0.3">
      <c r="A22" s="139" t="s">
        <v>527</v>
      </c>
      <c r="B22" s="122">
        <v>332.33</v>
      </c>
      <c r="C22" s="122">
        <v>309.88</v>
      </c>
      <c r="D22" s="122">
        <v>642.20999999999947</v>
      </c>
      <c r="E22" s="140">
        <v>0.77374698795180696</v>
      </c>
      <c r="F22" s="122">
        <f>GETPIVOTDATA("Ставка расчет",$A$3,"ФИО","Садковская Наталия Евгеньевна ")</f>
        <v>0.77374698795180696</v>
      </c>
      <c r="G22" s="130">
        <f t="shared" si="0"/>
        <v>0.7195846987951805</v>
      </c>
      <c r="H22" s="130">
        <f>GETPIVOTDATA("ч.Итого",$A$3,"ФИО","Садковская Наталия Евгеньевна ")</f>
        <v>642.20999999999947</v>
      </c>
      <c r="I22" s="141">
        <f t="shared" si="1"/>
        <v>44.954699999999661</v>
      </c>
      <c r="J22" s="142">
        <v>0.75</v>
      </c>
    </row>
    <row r="23" spans="1:10" x14ac:dyDescent="0.3">
      <c r="A23" s="139" t="s">
        <v>522</v>
      </c>
      <c r="B23" s="122">
        <v>51.67</v>
      </c>
      <c r="C23" s="122">
        <v>225.03000000000003</v>
      </c>
      <c r="D23" s="122">
        <v>276.7</v>
      </c>
      <c r="E23" s="140">
        <v>0.33337349397590366</v>
      </c>
      <c r="F23" s="122">
        <f>GETPIVOTDATA("Ставка расчет",$A$3,"ФИО","Садреев Фарид Гайнутдинович")</f>
        <v>0.33337349397590366</v>
      </c>
      <c r="G23" s="130">
        <f t="shared" si="0"/>
        <v>0.31003734939759042</v>
      </c>
      <c r="H23" s="130">
        <f>GETPIVOTDATA("ч.Итого",$A$3,"ФИО","Садреев Фарид Гайнутдинович")</f>
        <v>276.7</v>
      </c>
      <c r="I23" s="141">
        <f t="shared" si="1"/>
        <v>19.368999999999915</v>
      </c>
      <c r="J23" s="142">
        <v>0.3</v>
      </c>
    </row>
    <row r="24" spans="1:10" x14ac:dyDescent="0.3">
      <c r="F24" s="122"/>
      <c r="G24" s="130"/>
      <c r="H24" s="130"/>
      <c r="I24" s="141"/>
    </row>
    <row r="25" spans="1:10" x14ac:dyDescent="0.3">
      <c r="B25">
        <f>SUM(B4:B24)</f>
        <v>3277</v>
      </c>
      <c r="C25">
        <f t="shared" ref="C25:D25" si="2">SUM(C4:C24)</f>
        <v>3833.9900000000002</v>
      </c>
      <c r="D25">
        <f t="shared" si="2"/>
        <v>7110.99</v>
      </c>
      <c r="F25" s="122"/>
      <c r="G25" s="130">
        <f>SUM(G4:G24)</f>
        <v>7.9677357831325315</v>
      </c>
      <c r="H25" s="130">
        <f t="shared" ref="H25:I25" si="3">SUM(H4:H24)</f>
        <v>7110.99</v>
      </c>
      <c r="I25" s="141">
        <f t="shared" si="3"/>
        <v>497.76929999999976</v>
      </c>
      <c r="J25" s="143">
        <f>SUM(J4:J24)</f>
        <v>7.9999999999999991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Q40"/>
  <sheetViews>
    <sheetView tabSelected="1" workbookViewId="0">
      <selection activeCell="C32" sqref="C32"/>
    </sheetView>
  </sheetViews>
  <sheetFormatPr defaultRowHeight="14.4" x14ac:dyDescent="0.3"/>
  <cols>
    <col min="1" max="1" width="37.44140625" customWidth="1"/>
    <col min="2" max="2" width="9" customWidth="1"/>
    <col min="3" max="3" width="12" customWidth="1"/>
    <col min="4" max="4" width="7.88671875" customWidth="1"/>
    <col min="5" max="5" width="12.33203125" customWidth="1"/>
    <col min="6" max="6" width="8.44140625" customWidth="1"/>
    <col min="7" max="7" width="10.6640625" hidden="1" customWidth="1"/>
    <col min="8" max="8" width="10.109375" hidden="1" customWidth="1"/>
    <col min="9" max="9" width="11.33203125" hidden="1" customWidth="1"/>
    <col min="10" max="10" width="13.109375" hidden="1" customWidth="1"/>
    <col min="11" max="11" width="9.33203125" customWidth="1"/>
    <col min="12" max="12" width="13.109375" customWidth="1"/>
    <col min="13" max="14" width="10.33203125" customWidth="1"/>
    <col min="15" max="15" width="5.44140625" customWidth="1"/>
    <col min="16" max="16" width="7.44140625" customWidth="1"/>
    <col min="17" max="17" width="8.44140625" customWidth="1"/>
  </cols>
  <sheetData>
    <row r="3" spans="1:17" x14ac:dyDescent="0.3">
      <c r="A3" t="s">
        <v>505</v>
      </c>
      <c r="B3" t="s">
        <v>536</v>
      </c>
      <c r="C3" t="s">
        <v>537</v>
      </c>
      <c r="D3" t="s">
        <v>538</v>
      </c>
      <c r="E3" t="s">
        <v>539</v>
      </c>
      <c r="F3" t="s">
        <v>540</v>
      </c>
      <c r="G3" s="144" t="s">
        <v>541</v>
      </c>
      <c r="H3" s="144" t="s">
        <v>542</v>
      </c>
      <c r="I3" s="144" t="s">
        <v>543</v>
      </c>
      <c r="J3" s="144" t="s">
        <v>544</v>
      </c>
      <c r="K3" s="145" t="s">
        <v>545</v>
      </c>
      <c r="L3" s="146" t="s">
        <v>546</v>
      </c>
      <c r="M3" s="147" t="s">
        <v>547</v>
      </c>
      <c r="N3" s="147" t="s">
        <v>548</v>
      </c>
      <c r="O3" s="147" t="s">
        <v>549</v>
      </c>
      <c r="P3" s="147" t="s">
        <v>550</v>
      </c>
      <c r="Q3" s="147" t="s">
        <v>551</v>
      </c>
    </row>
    <row r="4" spans="1:17" x14ac:dyDescent="0.3">
      <c r="A4" s="148" t="s">
        <v>510</v>
      </c>
      <c r="B4" s="149">
        <v>542</v>
      </c>
      <c r="C4" s="150">
        <v>0.65301204819277103</v>
      </c>
      <c r="D4" s="149">
        <v>108.4</v>
      </c>
      <c r="E4" s="150">
        <v>0.52240963855421685</v>
      </c>
      <c r="F4" s="149">
        <v>0.65</v>
      </c>
      <c r="G4" s="151">
        <f t="shared" ref="G4:G9" si="0">B4</f>
        <v>542</v>
      </c>
      <c r="H4" s="151">
        <f t="shared" ref="H4:H9" si="1">D4</f>
        <v>108.4</v>
      </c>
      <c r="I4" s="152">
        <f t="shared" ref="I4:I9" si="2">E4</f>
        <v>0.52240963855421685</v>
      </c>
      <c r="J4" s="152">
        <f t="shared" ref="J4:J9" si="3">F4</f>
        <v>0.65</v>
      </c>
      <c r="K4" s="153">
        <f t="shared" ref="K4:K9" si="4">H4+(I4-J4)*830</f>
        <v>2.4999999999999716</v>
      </c>
      <c r="L4" s="154">
        <f t="shared" ref="L4:L26" si="5">K4/G4</f>
        <v>4.6125461254612025E-3</v>
      </c>
      <c r="M4" s="155" t="s">
        <v>552</v>
      </c>
      <c r="N4" s="155" t="s">
        <v>552</v>
      </c>
      <c r="O4" s="149"/>
      <c r="P4" s="156">
        <v>0.65</v>
      </c>
      <c r="Q4" s="149" t="s">
        <v>553</v>
      </c>
    </row>
    <row r="5" spans="1:17" x14ac:dyDescent="0.3">
      <c r="A5" s="148" t="s">
        <v>554</v>
      </c>
      <c r="B5" s="149">
        <v>253</v>
      </c>
      <c r="C5" s="150">
        <v>0.30481927710843376</v>
      </c>
      <c r="D5" s="149">
        <v>50.6</v>
      </c>
      <c r="E5" s="150">
        <v>0.24385542168674701</v>
      </c>
      <c r="F5" s="149">
        <v>0.25</v>
      </c>
      <c r="G5" s="151">
        <f t="shared" si="0"/>
        <v>253</v>
      </c>
      <c r="H5" s="151">
        <f t="shared" si="1"/>
        <v>50.6</v>
      </c>
      <c r="I5" s="152">
        <f t="shared" si="2"/>
        <v>0.24385542168674701</v>
      </c>
      <c r="J5" s="152">
        <f t="shared" si="3"/>
        <v>0.25</v>
      </c>
      <c r="K5" s="153">
        <f t="shared" si="4"/>
        <v>45.500000000000021</v>
      </c>
      <c r="L5" s="154">
        <f t="shared" si="5"/>
        <v>0.17984189723320165</v>
      </c>
      <c r="M5" s="155" t="s">
        <v>555</v>
      </c>
      <c r="N5" s="155" t="s">
        <v>556</v>
      </c>
      <c r="O5" s="149"/>
      <c r="P5" s="157">
        <v>0.45</v>
      </c>
      <c r="Q5" s="149"/>
    </row>
    <row r="6" spans="1:17" x14ac:dyDescent="0.3">
      <c r="A6" s="148" t="s">
        <v>116</v>
      </c>
      <c r="B6" s="149">
        <v>433</v>
      </c>
      <c r="C6" s="150">
        <v>0.52168674698795181</v>
      </c>
      <c r="D6" s="149">
        <v>86.600000000000009</v>
      </c>
      <c r="E6" s="150">
        <v>0.41734939759036149</v>
      </c>
      <c r="F6" s="149">
        <v>0.5</v>
      </c>
      <c r="G6" s="151">
        <f t="shared" si="0"/>
        <v>433</v>
      </c>
      <c r="H6" s="151">
        <f t="shared" si="1"/>
        <v>86.600000000000009</v>
      </c>
      <c r="I6" s="152">
        <f t="shared" si="2"/>
        <v>0.41734939759036149</v>
      </c>
      <c r="J6" s="152">
        <f t="shared" si="3"/>
        <v>0.5</v>
      </c>
      <c r="K6" s="153">
        <f t="shared" si="4"/>
        <v>18.000000000000043</v>
      </c>
      <c r="L6" s="154">
        <f t="shared" si="5"/>
        <v>4.1570438799076313E-2</v>
      </c>
      <c r="M6" s="155" t="s">
        <v>557</v>
      </c>
      <c r="N6" s="155" t="s">
        <v>555</v>
      </c>
      <c r="O6" s="149"/>
      <c r="P6" s="157">
        <v>0.7</v>
      </c>
      <c r="Q6" s="149"/>
    </row>
    <row r="7" spans="1:17" x14ac:dyDescent="0.3">
      <c r="A7" s="148" t="s">
        <v>558</v>
      </c>
      <c r="B7" s="149">
        <v>161</v>
      </c>
      <c r="C7" s="150">
        <v>0.19397590361445782</v>
      </c>
      <c r="D7" s="149">
        <v>32.200000000000003</v>
      </c>
      <c r="E7" s="150">
        <v>0.15518072289156626</v>
      </c>
      <c r="F7" s="149">
        <v>0.15</v>
      </c>
      <c r="G7" s="151">
        <f t="shared" si="0"/>
        <v>161</v>
      </c>
      <c r="H7" s="151">
        <f t="shared" si="1"/>
        <v>32.200000000000003</v>
      </c>
      <c r="I7" s="152">
        <f t="shared" si="2"/>
        <v>0.15518072289156626</v>
      </c>
      <c r="J7" s="152">
        <f t="shared" si="3"/>
        <v>0.15</v>
      </c>
      <c r="K7" s="158">
        <f t="shared" si="4"/>
        <v>36.5</v>
      </c>
      <c r="L7" s="154">
        <f t="shared" si="5"/>
        <v>0.2267080745341615</v>
      </c>
      <c r="M7" s="159"/>
      <c r="N7" s="159"/>
      <c r="O7" s="149"/>
      <c r="P7" s="156">
        <v>0.2</v>
      </c>
      <c r="Q7" s="149"/>
    </row>
    <row r="8" spans="1:17" x14ac:dyDescent="0.3">
      <c r="A8" s="148" t="s">
        <v>497</v>
      </c>
      <c r="B8" s="149">
        <v>309</v>
      </c>
      <c r="C8" s="150">
        <v>0.37228915662650602</v>
      </c>
      <c r="D8" s="149">
        <v>61.800000000000004</v>
      </c>
      <c r="E8" s="150">
        <v>0.29783132530120482</v>
      </c>
      <c r="F8" s="149">
        <v>0.3</v>
      </c>
      <c r="G8" s="151">
        <f t="shared" si="0"/>
        <v>309</v>
      </c>
      <c r="H8" s="151">
        <f t="shared" si="1"/>
        <v>61.800000000000004</v>
      </c>
      <c r="I8" s="152">
        <f t="shared" si="2"/>
        <v>0.29783132530120482</v>
      </c>
      <c r="J8" s="152">
        <f t="shared" si="3"/>
        <v>0.3</v>
      </c>
      <c r="K8" s="153">
        <f t="shared" si="4"/>
        <v>60.000000000000014</v>
      </c>
      <c r="L8" s="154">
        <f t="shared" si="5"/>
        <v>0.19417475728155345</v>
      </c>
      <c r="M8" s="155" t="s">
        <v>552</v>
      </c>
      <c r="N8" s="155" t="s">
        <v>559</v>
      </c>
      <c r="O8" s="149"/>
      <c r="P8" s="157">
        <v>0.2</v>
      </c>
      <c r="Q8" s="160" t="s">
        <v>560</v>
      </c>
    </row>
    <row r="9" spans="1:17" x14ac:dyDescent="0.3">
      <c r="A9" s="148" t="s">
        <v>561</v>
      </c>
      <c r="B9" s="149">
        <v>711</v>
      </c>
      <c r="C9" s="150">
        <v>0.8566265060240964</v>
      </c>
      <c r="D9" s="149">
        <v>142.20000000000002</v>
      </c>
      <c r="E9" s="150">
        <v>0.68530120481927714</v>
      </c>
      <c r="F9" s="149">
        <v>0.7</v>
      </c>
      <c r="G9" s="151">
        <f t="shared" si="0"/>
        <v>711</v>
      </c>
      <c r="H9" s="151">
        <f t="shared" si="1"/>
        <v>142.20000000000002</v>
      </c>
      <c r="I9" s="152">
        <f t="shared" si="2"/>
        <v>0.68530120481927714</v>
      </c>
      <c r="J9" s="152">
        <f t="shared" si="3"/>
        <v>0.7</v>
      </c>
      <c r="K9" s="153">
        <f t="shared" si="4"/>
        <v>130.00000000000009</v>
      </c>
      <c r="L9" s="154">
        <f t="shared" si="5"/>
        <v>0.1828410689170184</v>
      </c>
      <c r="M9" s="155" t="s">
        <v>557</v>
      </c>
      <c r="N9" s="155" t="s">
        <v>557</v>
      </c>
      <c r="O9" s="149"/>
      <c r="P9" s="157">
        <v>1</v>
      </c>
      <c r="Q9" s="149" t="s">
        <v>553</v>
      </c>
    </row>
    <row r="10" spans="1:17" x14ac:dyDescent="0.3">
      <c r="A10" s="148" t="s">
        <v>562</v>
      </c>
      <c r="B10" s="149">
        <v>799</v>
      </c>
      <c r="C10" s="150">
        <v>0.96265060240963851</v>
      </c>
      <c r="D10" s="149">
        <v>159.80000000000001</v>
      </c>
      <c r="E10" s="150">
        <v>0.77012048192771088</v>
      </c>
      <c r="F10" s="149">
        <v>0.75</v>
      </c>
      <c r="G10" s="151">
        <f t="shared" ref="G10:G33" si="6">B10</f>
        <v>799</v>
      </c>
      <c r="H10" s="151">
        <f t="shared" ref="H10:H33" si="7">D10</f>
        <v>159.80000000000001</v>
      </c>
      <c r="I10" s="152">
        <f t="shared" ref="I10:I33" si="8">E10</f>
        <v>0.77012048192771088</v>
      </c>
      <c r="J10" s="152">
        <f t="shared" ref="J10:J33" si="9">F10</f>
        <v>0.75</v>
      </c>
      <c r="K10" s="153">
        <f t="shared" ref="K10:K33" si="10">H10+(I10-J10)*830</f>
        <v>176.50000000000003</v>
      </c>
      <c r="L10" s="154">
        <f t="shared" si="5"/>
        <v>0.22090112640801005</v>
      </c>
      <c r="M10" s="155" t="s">
        <v>557</v>
      </c>
      <c r="N10" s="155" t="s">
        <v>555</v>
      </c>
      <c r="O10" s="149"/>
      <c r="P10" s="157">
        <v>0.8</v>
      </c>
      <c r="Q10" s="149" t="s">
        <v>563</v>
      </c>
    </row>
    <row r="11" spans="1:17" x14ac:dyDescent="0.3">
      <c r="A11" s="148" t="s">
        <v>564</v>
      </c>
      <c r="B11" s="149">
        <v>840</v>
      </c>
      <c r="C11" s="150">
        <v>1.0120481927710843</v>
      </c>
      <c r="D11" s="149">
        <v>168</v>
      </c>
      <c r="E11" s="150">
        <v>0.80963855421686748</v>
      </c>
      <c r="F11" s="149">
        <v>0.8</v>
      </c>
      <c r="G11" s="151">
        <f t="shared" si="6"/>
        <v>840</v>
      </c>
      <c r="H11" s="151">
        <f t="shared" si="7"/>
        <v>168</v>
      </c>
      <c r="I11" s="152">
        <f t="shared" si="8"/>
        <v>0.80963855421686748</v>
      </c>
      <c r="J11" s="152">
        <f t="shared" si="9"/>
        <v>0.8</v>
      </c>
      <c r="K11" s="153">
        <f t="shared" si="10"/>
        <v>175.99999999999997</v>
      </c>
      <c r="L11" s="154">
        <f t="shared" si="5"/>
        <v>0.2095238095238095</v>
      </c>
      <c r="M11" s="155" t="s">
        <v>559</v>
      </c>
      <c r="N11" s="155" t="s">
        <v>559</v>
      </c>
      <c r="O11" s="161" t="s">
        <v>565</v>
      </c>
      <c r="P11" s="157">
        <v>1</v>
      </c>
      <c r="Q11" s="149"/>
    </row>
    <row r="12" spans="1:17" x14ac:dyDescent="0.3">
      <c r="A12" s="148" t="s">
        <v>566</v>
      </c>
      <c r="B12" s="149">
        <v>242</v>
      </c>
      <c r="C12" s="150">
        <v>0.29156626506024097</v>
      </c>
      <c r="D12" s="149">
        <v>48.400000000000006</v>
      </c>
      <c r="E12" s="150">
        <v>0.23325301204819279</v>
      </c>
      <c r="F12" s="149">
        <v>0.2</v>
      </c>
      <c r="G12" s="151">
        <f t="shared" si="6"/>
        <v>242</v>
      </c>
      <c r="H12" s="151">
        <f t="shared" si="7"/>
        <v>48.400000000000006</v>
      </c>
      <c r="I12" s="152">
        <f t="shared" si="8"/>
        <v>0.23325301204819279</v>
      </c>
      <c r="J12" s="152">
        <f t="shared" si="9"/>
        <v>0.2</v>
      </c>
      <c r="K12" s="158">
        <f t="shared" si="10"/>
        <v>76.000000000000014</v>
      </c>
      <c r="L12" s="154">
        <f t="shared" si="5"/>
        <v>0.31404958677685957</v>
      </c>
      <c r="M12" s="157" t="s">
        <v>552</v>
      </c>
      <c r="N12" s="157" t="s">
        <v>557</v>
      </c>
      <c r="O12" s="149"/>
      <c r="P12" s="157">
        <v>0.3</v>
      </c>
      <c r="Q12" s="149"/>
    </row>
    <row r="13" spans="1:17" x14ac:dyDescent="0.3">
      <c r="A13" s="148" t="s">
        <v>260</v>
      </c>
      <c r="B13" s="149">
        <v>146</v>
      </c>
      <c r="C13" s="150">
        <v>0.17590361445783131</v>
      </c>
      <c r="D13" s="149">
        <v>29.200000000000003</v>
      </c>
      <c r="E13" s="150">
        <v>0.14072289156626505</v>
      </c>
      <c r="F13" s="149">
        <v>0.15</v>
      </c>
      <c r="G13" s="151">
        <f t="shared" si="6"/>
        <v>146</v>
      </c>
      <c r="H13" s="151">
        <f t="shared" si="7"/>
        <v>29.200000000000003</v>
      </c>
      <c r="I13" s="152">
        <f t="shared" si="8"/>
        <v>0.14072289156626505</v>
      </c>
      <c r="J13" s="152">
        <f t="shared" si="9"/>
        <v>0.15</v>
      </c>
      <c r="K13" s="153">
        <f t="shared" si="10"/>
        <v>21.5</v>
      </c>
      <c r="L13" s="154">
        <f t="shared" si="5"/>
        <v>0.14726027397260275</v>
      </c>
      <c r="M13" s="159"/>
      <c r="N13" s="159"/>
      <c r="O13" s="149"/>
      <c r="P13" s="156">
        <v>0.25</v>
      </c>
      <c r="Q13" s="149"/>
    </row>
    <row r="14" spans="1:17" x14ac:dyDescent="0.3">
      <c r="A14" s="148" t="s">
        <v>567</v>
      </c>
      <c r="B14" s="149">
        <v>1</v>
      </c>
      <c r="C14" s="150">
        <v>1.2048192771084338E-3</v>
      </c>
      <c r="D14" s="149">
        <v>0.2</v>
      </c>
      <c r="E14" s="150">
        <v>9.6385542168674716E-4</v>
      </c>
      <c r="F14" s="149">
        <v>0</v>
      </c>
      <c r="G14" s="151">
        <f t="shared" si="6"/>
        <v>1</v>
      </c>
      <c r="H14" s="151">
        <f t="shared" si="7"/>
        <v>0.2</v>
      </c>
      <c r="I14" s="152">
        <f t="shared" si="8"/>
        <v>9.6385542168674716E-4</v>
      </c>
      <c r="J14" s="152">
        <f t="shared" si="9"/>
        <v>0</v>
      </c>
      <c r="K14" s="153">
        <f t="shared" si="10"/>
        <v>1.0000000000000002</v>
      </c>
      <c r="L14" s="154">
        <f t="shared" si="5"/>
        <v>1.0000000000000002</v>
      </c>
      <c r="M14" s="159"/>
      <c r="N14" s="159"/>
      <c r="O14" s="149"/>
      <c r="P14" s="156">
        <v>0.1</v>
      </c>
      <c r="Q14" s="149"/>
    </row>
    <row r="15" spans="1:17" x14ac:dyDescent="0.3">
      <c r="A15" s="148" t="s">
        <v>568</v>
      </c>
      <c r="B15" s="149">
        <v>552</v>
      </c>
      <c r="C15" s="150">
        <v>0.66506024096385541</v>
      </c>
      <c r="D15" s="149">
        <v>110.4</v>
      </c>
      <c r="E15" s="150">
        <v>0.53204819277108439</v>
      </c>
      <c r="F15" s="149">
        <v>0.55000000000000004</v>
      </c>
      <c r="G15" s="151">
        <f t="shared" si="6"/>
        <v>552</v>
      </c>
      <c r="H15" s="151">
        <f t="shared" si="7"/>
        <v>110.4</v>
      </c>
      <c r="I15" s="152">
        <f t="shared" si="8"/>
        <v>0.53204819277108439</v>
      </c>
      <c r="J15" s="152">
        <f t="shared" si="9"/>
        <v>0.55000000000000004</v>
      </c>
      <c r="K15" s="153">
        <f t="shared" si="10"/>
        <v>95.500000000000014</v>
      </c>
      <c r="L15" s="154">
        <f t="shared" si="5"/>
        <v>0.17300724637681161</v>
      </c>
      <c r="M15" s="157" t="s">
        <v>552</v>
      </c>
      <c r="N15" s="157" t="s">
        <v>552</v>
      </c>
      <c r="O15" s="149"/>
      <c r="P15" s="157">
        <v>0.9</v>
      </c>
      <c r="Q15" s="160" t="s">
        <v>560</v>
      </c>
    </row>
    <row r="16" spans="1:17" x14ac:dyDescent="0.3">
      <c r="A16" s="148" t="s">
        <v>569</v>
      </c>
      <c r="B16" s="149">
        <v>207</v>
      </c>
      <c r="C16" s="162">
        <v>0.24939759036144579</v>
      </c>
      <c r="D16" s="149">
        <v>41.400000000000006</v>
      </c>
      <c r="E16" s="150">
        <v>0.19951807228915663</v>
      </c>
      <c r="F16" s="149">
        <v>0.2</v>
      </c>
      <c r="G16" s="151">
        <f t="shared" si="6"/>
        <v>207</v>
      </c>
      <c r="H16" s="151">
        <f t="shared" si="7"/>
        <v>41.400000000000006</v>
      </c>
      <c r="I16" s="152">
        <f t="shared" si="8"/>
        <v>0.19951807228915663</v>
      </c>
      <c r="J16" s="152">
        <f t="shared" si="9"/>
        <v>0.2</v>
      </c>
      <c r="K16" s="153">
        <f t="shared" si="10"/>
        <v>41</v>
      </c>
      <c r="L16" s="154">
        <f t="shared" si="5"/>
        <v>0.19806763285024154</v>
      </c>
      <c r="M16" s="157" t="s">
        <v>552</v>
      </c>
      <c r="N16" s="157" t="s">
        <v>556</v>
      </c>
      <c r="O16" s="149"/>
      <c r="P16" s="157">
        <v>0.2</v>
      </c>
      <c r="Q16" s="149"/>
    </row>
    <row r="17" spans="1:17" x14ac:dyDescent="0.3">
      <c r="A17" s="148" t="s">
        <v>104</v>
      </c>
      <c r="B17" s="149">
        <v>482</v>
      </c>
      <c r="C17" s="150">
        <v>0.58072289156626511</v>
      </c>
      <c r="D17" s="149">
        <v>96.4</v>
      </c>
      <c r="E17" s="150">
        <v>0.46457831325301213</v>
      </c>
      <c r="F17" s="149">
        <v>0.5</v>
      </c>
      <c r="G17" s="151">
        <f t="shared" si="6"/>
        <v>482</v>
      </c>
      <c r="H17" s="151">
        <f t="shared" si="7"/>
        <v>96.4</v>
      </c>
      <c r="I17" s="152">
        <f t="shared" si="8"/>
        <v>0.46457831325301213</v>
      </c>
      <c r="J17" s="152">
        <f t="shared" si="9"/>
        <v>0.5</v>
      </c>
      <c r="K17" s="153">
        <f t="shared" si="10"/>
        <v>67.000000000000071</v>
      </c>
      <c r="L17" s="154">
        <f t="shared" si="5"/>
        <v>0.13900414937759351</v>
      </c>
      <c r="M17" s="155" t="s">
        <v>555</v>
      </c>
      <c r="N17" s="155" t="s">
        <v>555</v>
      </c>
      <c r="O17" s="149"/>
      <c r="P17" s="157">
        <v>0.7</v>
      </c>
      <c r="Q17" s="149" t="s">
        <v>563</v>
      </c>
    </row>
    <row r="18" spans="1:17" x14ac:dyDescent="0.3">
      <c r="A18" s="148" t="s">
        <v>570</v>
      </c>
      <c r="B18" s="149">
        <v>710</v>
      </c>
      <c r="C18" s="150">
        <v>0.85542168674698793</v>
      </c>
      <c r="D18" s="149">
        <v>142</v>
      </c>
      <c r="E18" s="150">
        <v>0.68433734939759039</v>
      </c>
      <c r="F18" s="149">
        <v>0.65</v>
      </c>
      <c r="G18" s="151">
        <f t="shared" si="6"/>
        <v>710</v>
      </c>
      <c r="H18" s="151">
        <f t="shared" si="7"/>
        <v>142</v>
      </c>
      <c r="I18" s="152">
        <f t="shared" si="8"/>
        <v>0.68433734939759039</v>
      </c>
      <c r="J18" s="152">
        <f t="shared" si="9"/>
        <v>0.65</v>
      </c>
      <c r="K18" s="153">
        <f t="shared" si="10"/>
        <v>170.5</v>
      </c>
      <c r="L18" s="154">
        <f t="shared" si="5"/>
        <v>0.24014084507042255</v>
      </c>
      <c r="M18" s="155" t="s">
        <v>571</v>
      </c>
      <c r="N18" s="155" t="s">
        <v>555</v>
      </c>
      <c r="O18" s="149"/>
      <c r="P18" s="157">
        <v>0.7</v>
      </c>
      <c r="Q18" s="149"/>
    </row>
    <row r="19" spans="1:17" x14ac:dyDescent="0.3">
      <c r="A19" s="148" t="s">
        <v>572</v>
      </c>
      <c r="B19" s="149">
        <v>670</v>
      </c>
      <c r="C19" s="150">
        <v>0.80722891566265065</v>
      </c>
      <c r="D19" s="149">
        <v>134</v>
      </c>
      <c r="E19" s="150">
        <v>0.64578313253012054</v>
      </c>
      <c r="F19" s="149">
        <v>0.55000000000000004</v>
      </c>
      <c r="G19" s="151">
        <f t="shared" si="6"/>
        <v>670</v>
      </c>
      <c r="H19" s="151">
        <f t="shared" si="7"/>
        <v>134</v>
      </c>
      <c r="I19" s="152">
        <f t="shared" si="8"/>
        <v>0.64578313253012054</v>
      </c>
      <c r="J19" s="152">
        <f t="shared" si="9"/>
        <v>0.55000000000000004</v>
      </c>
      <c r="K19" s="158">
        <f t="shared" si="10"/>
        <v>213.5</v>
      </c>
      <c r="L19" s="154">
        <f t="shared" si="5"/>
        <v>0.31865671641791044</v>
      </c>
      <c r="M19" s="155" t="s">
        <v>555</v>
      </c>
      <c r="N19" s="155" t="s">
        <v>556</v>
      </c>
      <c r="O19" s="149"/>
      <c r="P19" s="157">
        <v>0.55000000000000004</v>
      </c>
      <c r="Q19" s="160" t="s">
        <v>573</v>
      </c>
    </row>
    <row r="20" spans="1:17" x14ac:dyDescent="0.3">
      <c r="A20" s="148" t="s">
        <v>574</v>
      </c>
      <c r="B20" s="149">
        <v>259</v>
      </c>
      <c r="C20" s="150">
        <v>0.31204819277108437</v>
      </c>
      <c r="D20" s="149">
        <v>51.800000000000004</v>
      </c>
      <c r="E20" s="150">
        <v>0.24963855421686751</v>
      </c>
      <c r="F20" s="149">
        <v>0.25</v>
      </c>
      <c r="G20" s="151">
        <f t="shared" si="6"/>
        <v>259</v>
      </c>
      <c r="H20" s="151">
        <f t="shared" si="7"/>
        <v>51.800000000000004</v>
      </c>
      <c r="I20" s="152">
        <f t="shared" si="8"/>
        <v>0.24963855421686751</v>
      </c>
      <c r="J20" s="152">
        <f t="shared" si="9"/>
        <v>0.25</v>
      </c>
      <c r="K20" s="153">
        <f t="shared" si="10"/>
        <v>51.500000000000036</v>
      </c>
      <c r="L20" s="154">
        <f t="shared" si="5"/>
        <v>0.19884169884169897</v>
      </c>
      <c r="M20" s="155" t="s">
        <v>555</v>
      </c>
      <c r="N20" s="155" t="s">
        <v>556</v>
      </c>
      <c r="O20" s="149"/>
      <c r="P20" s="157">
        <v>0.45</v>
      </c>
      <c r="Q20" s="149"/>
    </row>
    <row r="21" spans="1:17" x14ac:dyDescent="0.3">
      <c r="A21" s="148" t="s">
        <v>575</v>
      </c>
      <c r="B21" s="149">
        <v>318.5</v>
      </c>
      <c r="C21" s="162">
        <v>0.38373493975903616</v>
      </c>
      <c r="D21" s="149">
        <v>63.7</v>
      </c>
      <c r="E21" s="150">
        <v>0.30698795180722893</v>
      </c>
      <c r="F21" s="149">
        <v>0.35</v>
      </c>
      <c r="G21" s="151">
        <f t="shared" si="6"/>
        <v>318.5</v>
      </c>
      <c r="H21" s="151">
        <f t="shared" si="7"/>
        <v>63.7</v>
      </c>
      <c r="I21" s="152">
        <f t="shared" si="8"/>
        <v>0.30698795180722893</v>
      </c>
      <c r="J21" s="152">
        <f t="shared" si="9"/>
        <v>0.35</v>
      </c>
      <c r="K21" s="153">
        <f t="shared" si="10"/>
        <v>28.000000000000036</v>
      </c>
      <c r="L21" s="154">
        <f t="shared" si="5"/>
        <v>8.791208791208803E-2</v>
      </c>
      <c r="M21" s="159"/>
      <c r="N21" s="159"/>
      <c r="O21" s="149"/>
      <c r="P21" s="156">
        <v>0.5</v>
      </c>
      <c r="Q21" s="149"/>
    </row>
    <row r="22" spans="1:17" x14ac:dyDescent="0.3">
      <c r="A22" s="148" t="s">
        <v>576</v>
      </c>
      <c r="B22" s="149">
        <v>295</v>
      </c>
      <c r="C22" s="150">
        <v>0.35542168674698793</v>
      </c>
      <c r="D22" s="149">
        <v>59</v>
      </c>
      <c r="E22" s="150">
        <v>0.28433734939759037</v>
      </c>
      <c r="F22" s="149">
        <v>0.25</v>
      </c>
      <c r="G22" s="151">
        <f t="shared" si="6"/>
        <v>295</v>
      </c>
      <c r="H22" s="151">
        <f t="shared" si="7"/>
        <v>59</v>
      </c>
      <c r="I22" s="152">
        <f t="shared" si="8"/>
        <v>0.28433734939759037</v>
      </c>
      <c r="J22" s="152">
        <f t="shared" si="9"/>
        <v>0.25</v>
      </c>
      <c r="K22" s="153">
        <f t="shared" si="10"/>
        <v>87.5</v>
      </c>
      <c r="L22" s="154">
        <f t="shared" si="5"/>
        <v>0.29661016949152541</v>
      </c>
      <c r="M22" s="155" t="s">
        <v>556</v>
      </c>
      <c r="N22" s="155" t="s">
        <v>556</v>
      </c>
      <c r="O22" s="149"/>
      <c r="P22" s="157">
        <v>0.3</v>
      </c>
      <c r="Q22" s="149"/>
    </row>
    <row r="23" spans="1:17" x14ac:dyDescent="0.3">
      <c r="A23" s="148" t="s">
        <v>577</v>
      </c>
      <c r="B23" s="149">
        <v>109</v>
      </c>
      <c r="C23" s="150">
        <v>0.13132530120481928</v>
      </c>
      <c r="D23" s="149">
        <v>21.8</v>
      </c>
      <c r="E23" s="150">
        <v>0.10506024096385543</v>
      </c>
      <c r="F23" s="149">
        <v>0</v>
      </c>
      <c r="G23" s="151">
        <f t="shared" si="6"/>
        <v>109</v>
      </c>
      <c r="H23" s="151">
        <f t="shared" si="7"/>
        <v>21.8</v>
      </c>
      <c r="I23" s="152">
        <f t="shared" si="8"/>
        <v>0.10506024096385543</v>
      </c>
      <c r="J23" s="152">
        <f t="shared" si="9"/>
        <v>0</v>
      </c>
      <c r="K23" s="153">
        <f t="shared" si="10"/>
        <v>109</v>
      </c>
      <c r="L23" s="154">
        <f t="shared" si="5"/>
        <v>1</v>
      </c>
      <c r="M23" s="159"/>
      <c r="N23" s="159"/>
      <c r="O23" s="149"/>
      <c r="P23" s="156">
        <v>0</v>
      </c>
      <c r="Q23" s="149"/>
    </row>
    <row r="24" spans="1:17" x14ac:dyDescent="0.3">
      <c r="A24" s="148" t="s">
        <v>578</v>
      </c>
      <c r="B24" s="149">
        <v>543</v>
      </c>
      <c r="C24" s="150">
        <v>0.6542168674698795</v>
      </c>
      <c r="D24" s="149">
        <v>108.60000000000001</v>
      </c>
      <c r="E24" s="150">
        <v>0.5233734939759036</v>
      </c>
      <c r="F24" s="149">
        <v>0.5</v>
      </c>
      <c r="G24" s="151">
        <f t="shared" si="6"/>
        <v>543</v>
      </c>
      <c r="H24" s="151">
        <f t="shared" si="7"/>
        <v>108.60000000000001</v>
      </c>
      <c r="I24" s="152">
        <f t="shared" si="8"/>
        <v>0.5233734939759036</v>
      </c>
      <c r="J24" s="152">
        <f t="shared" si="9"/>
        <v>0.5</v>
      </c>
      <c r="K24" s="153">
        <f t="shared" si="10"/>
        <v>128</v>
      </c>
      <c r="L24" s="154">
        <f t="shared" si="5"/>
        <v>0.23572744014732966</v>
      </c>
      <c r="M24" s="155" t="s">
        <v>555</v>
      </c>
      <c r="N24" s="155" t="s">
        <v>556</v>
      </c>
      <c r="O24" s="149"/>
      <c r="P24" s="157">
        <v>0.7</v>
      </c>
      <c r="Q24" s="149" t="s">
        <v>553</v>
      </c>
    </row>
    <row r="25" spans="1:17" x14ac:dyDescent="0.3">
      <c r="A25" s="148" t="s">
        <v>579</v>
      </c>
      <c r="B25" s="149">
        <v>607</v>
      </c>
      <c r="C25" s="150">
        <v>0.73132530120481931</v>
      </c>
      <c r="D25" s="149">
        <v>121.4</v>
      </c>
      <c r="E25" s="150">
        <v>0.58506024096385545</v>
      </c>
      <c r="F25" s="149">
        <v>0.6</v>
      </c>
      <c r="G25" s="151">
        <f t="shared" si="6"/>
        <v>607</v>
      </c>
      <c r="H25" s="151">
        <f t="shared" si="7"/>
        <v>121.4</v>
      </c>
      <c r="I25" s="152">
        <f t="shared" si="8"/>
        <v>0.58506024096385545</v>
      </c>
      <c r="J25" s="152">
        <f t="shared" si="9"/>
        <v>0.6</v>
      </c>
      <c r="K25" s="153">
        <f t="shared" si="10"/>
        <v>109.00000000000004</v>
      </c>
      <c r="L25" s="154">
        <f t="shared" si="5"/>
        <v>0.17957166392092264</v>
      </c>
      <c r="M25" s="155" t="s">
        <v>555</v>
      </c>
      <c r="N25" s="155" t="s">
        <v>555</v>
      </c>
      <c r="O25" s="149"/>
      <c r="P25" s="157">
        <v>0.95</v>
      </c>
      <c r="Q25" s="149"/>
    </row>
    <row r="26" spans="1:17" x14ac:dyDescent="0.3">
      <c r="A26" s="148" t="s">
        <v>580</v>
      </c>
      <c r="B26" s="149">
        <v>511</v>
      </c>
      <c r="C26" s="150">
        <v>0.61566265060240966</v>
      </c>
      <c r="D26" s="149">
        <v>102.2</v>
      </c>
      <c r="E26" s="162">
        <v>0.49253012048192774</v>
      </c>
      <c r="F26" s="149">
        <v>0.5</v>
      </c>
      <c r="G26" s="151">
        <f t="shared" si="6"/>
        <v>511</v>
      </c>
      <c r="H26" s="151">
        <f t="shared" si="7"/>
        <v>102.2</v>
      </c>
      <c r="I26" s="152">
        <f t="shared" si="8"/>
        <v>0.49253012048192774</v>
      </c>
      <c r="J26" s="152">
        <f t="shared" si="9"/>
        <v>0.5</v>
      </c>
      <c r="K26" s="153">
        <f t="shared" si="10"/>
        <v>96.000000000000028</v>
      </c>
      <c r="L26" s="154">
        <f t="shared" si="5"/>
        <v>0.18786692759295504</v>
      </c>
      <c r="M26" s="155" t="s">
        <v>555</v>
      </c>
      <c r="N26" s="155" t="s">
        <v>555</v>
      </c>
      <c r="O26" s="149"/>
      <c r="P26" s="157">
        <v>0.8</v>
      </c>
      <c r="Q26" s="149"/>
    </row>
    <row r="27" spans="1:17" ht="15.75" customHeight="1" x14ac:dyDescent="0.3">
      <c r="A27" s="148" t="s">
        <v>581</v>
      </c>
      <c r="B27" s="149">
        <v>599</v>
      </c>
      <c r="C27" s="150">
        <v>0.72168674698795177</v>
      </c>
      <c r="D27" s="149">
        <v>119.80000000000001</v>
      </c>
      <c r="E27" s="150">
        <v>0.57734939759036141</v>
      </c>
      <c r="F27" s="149">
        <v>0.55000000000000004</v>
      </c>
      <c r="G27" s="151">
        <f t="shared" si="6"/>
        <v>599</v>
      </c>
      <c r="H27" s="151">
        <f t="shared" si="7"/>
        <v>119.80000000000001</v>
      </c>
      <c r="I27" s="152">
        <f t="shared" si="8"/>
        <v>0.57734939759036141</v>
      </c>
      <c r="J27" s="152">
        <f t="shared" si="9"/>
        <v>0.55000000000000004</v>
      </c>
      <c r="K27" s="158">
        <f t="shared" si="10"/>
        <v>142.49999999999994</v>
      </c>
      <c r="L27" s="154">
        <f t="shared" ref="L27:L33" si="11">K27/G27</f>
        <v>0.23789649415692812</v>
      </c>
      <c r="M27" s="155" t="s">
        <v>557</v>
      </c>
      <c r="N27" s="155" t="s">
        <v>556</v>
      </c>
      <c r="O27" s="149"/>
      <c r="P27" s="157">
        <v>0.55000000000000004</v>
      </c>
      <c r="Q27" s="149"/>
    </row>
    <row r="28" spans="1:17" x14ac:dyDescent="0.3">
      <c r="A28" s="148" t="s">
        <v>109</v>
      </c>
      <c r="B28" s="149">
        <v>509</v>
      </c>
      <c r="C28" s="150">
        <v>0.61325301204819282</v>
      </c>
      <c r="D28" s="149">
        <v>101.80000000000001</v>
      </c>
      <c r="E28" s="162">
        <v>0.49060240963855428</v>
      </c>
      <c r="F28" s="149">
        <v>0.4</v>
      </c>
      <c r="G28" s="151">
        <f t="shared" si="6"/>
        <v>509</v>
      </c>
      <c r="H28" s="151">
        <f t="shared" si="7"/>
        <v>101.80000000000001</v>
      </c>
      <c r="I28" s="152">
        <f t="shared" si="8"/>
        <v>0.49060240963855428</v>
      </c>
      <c r="J28" s="152">
        <f t="shared" si="9"/>
        <v>0.4</v>
      </c>
      <c r="K28" s="158">
        <f t="shared" si="10"/>
        <v>177.00000000000006</v>
      </c>
      <c r="L28" s="154">
        <f t="shared" si="11"/>
        <v>0.3477406679764245</v>
      </c>
      <c r="M28" s="159"/>
      <c r="N28" s="159"/>
      <c r="O28" s="149"/>
      <c r="P28" s="156">
        <v>0.45</v>
      </c>
      <c r="Q28" s="149" t="s">
        <v>563</v>
      </c>
    </row>
    <row r="29" spans="1:17" x14ac:dyDescent="0.3">
      <c r="A29" s="148" t="s">
        <v>175</v>
      </c>
      <c r="B29" s="149">
        <v>228</v>
      </c>
      <c r="C29" s="150">
        <v>0.27469879518072288</v>
      </c>
      <c r="D29" s="149">
        <v>45.6</v>
      </c>
      <c r="E29" s="150">
        <v>0.21975903614457831</v>
      </c>
      <c r="F29" s="149">
        <v>0.2</v>
      </c>
      <c r="G29" s="151">
        <f t="shared" si="6"/>
        <v>228</v>
      </c>
      <c r="H29" s="151">
        <f t="shared" si="7"/>
        <v>45.6</v>
      </c>
      <c r="I29" s="152">
        <f t="shared" si="8"/>
        <v>0.21975903614457831</v>
      </c>
      <c r="J29" s="152">
        <f t="shared" si="9"/>
        <v>0.2</v>
      </c>
      <c r="K29" s="153">
        <f t="shared" si="10"/>
        <v>61.999999999999993</v>
      </c>
      <c r="L29" s="154">
        <f t="shared" si="11"/>
        <v>0.27192982456140347</v>
      </c>
      <c r="M29" s="155" t="s">
        <v>571</v>
      </c>
      <c r="N29" s="155" t="s">
        <v>556</v>
      </c>
      <c r="O29" s="149"/>
      <c r="P29" s="157">
        <v>0.3</v>
      </c>
      <c r="Q29" s="149"/>
    </row>
    <row r="30" spans="1:17" x14ac:dyDescent="0.3">
      <c r="A30" s="148" t="s">
        <v>582</v>
      </c>
      <c r="B30" s="149">
        <v>608</v>
      </c>
      <c r="C30" s="162">
        <v>0.73253012048192767</v>
      </c>
      <c r="D30" s="149">
        <v>121.60000000000001</v>
      </c>
      <c r="E30" s="150">
        <v>0.5860240963855422</v>
      </c>
      <c r="F30" s="149">
        <v>0.7</v>
      </c>
      <c r="G30" s="151">
        <f t="shared" si="6"/>
        <v>608</v>
      </c>
      <c r="H30" s="151">
        <f t="shared" si="7"/>
        <v>121.60000000000001</v>
      </c>
      <c r="I30" s="152">
        <f t="shared" si="8"/>
        <v>0.5860240963855422</v>
      </c>
      <c r="J30" s="152">
        <f t="shared" si="9"/>
        <v>0.7</v>
      </c>
      <c r="K30" s="153">
        <f t="shared" si="10"/>
        <v>27.000000000000071</v>
      </c>
      <c r="L30" s="154">
        <f t="shared" si="11"/>
        <v>4.4407894736842222E-2</v>
      </c>
      <c r="M30" s="155" t="s">
        <v>559</v>
      </c>
      <c r="N30" s="155" t="s">
        <v>559</v>
      </c>
      <c r="O30" s="149"/>
      <c r="P30" s="157">
        <v>1</v>
      </c>
      <c r="Q30" s="149"/>
    </row>
    <row r="31" spans="1:17" x14ac:dyDescent="0.3">
      <c r="A31" s="148" t="s">
        <v>358</v>
      </c>
      <c r="B31" s="149">
        <v>376</v>
      </c>
      <c r="C31" s="150">
        <v>0.45301204819277108</v>
      </c>
      <c r="D31" s="149">
        <v>75.2</v>
      </c>
      <c r="E31" s="150">
        <v>0.36240963855421687</v>
      </c>
      <c r="F31" s="149">
        <v>0.45</v>
      </c>
      <c r="G31" s="151">
        <f t="shared" si="6"/>
        <v>376</v>
      </c>
      <c r="H31" s="151">
        <f t="shared" si="7"/>
        <v>75.2</v>
      </c>
      <c r="I31" s="152">
        <f t="shared" si="8"/>
        <v>0.36240963855421687</v>
      </c>
      <c r="J31" s="152">
        <f t="shared" si="9"/>
        <v>0.45</v>
      </c>
      <c r="K31" s="153">
        <f t="shared" si="10"/>
        <v>2.5</v>
      </c>
      <c r="L31" s="154">
        <f t="shared" si="11"/>
        <v>6.648936170212766E-3</v>
      </c>
      <c r="M31" s="155" t="s">
        <v>559</v>
      </c>
      <c r="N31" s="155" t="s">
        <v>555</v>
      </c>
      <c r="O31" s="161" t="s">
        <v>565</v>
      </c>
      <c r="P31" s="157">
        <v>0.5</v>
      </c>
      <c r="Q31" s="160" t="s">
        <v>583</v>
      </c>
    </row>
    <row r="32" spans="1:17" x14ac:dyDescent="0.3">
      <c r="A32" s="148" t="s">
        <v>584</v>
      </c>
      <c r="B32" s="149">
        <v>104</v>
      </c>
      <c r="C32" s="150">
        <v>0.12530120481927712</v>
      </c>
      <c r="D32" s="149">
        <v>20.8</v>
      </c>
      <c r="E32" s="150">
        <v>0.10024096385542169</v>
      </c>
      <c r="F32" s="149">
        <v>0</v>
      </c>
      <c r="G32" s="151">
        <f t="shared" si="6"/>
        <v>104</v>
      </c>
      <c r="H32" s="151">
        <f t="shared" si="7"/>
        <v>20.8</v>
      </c>
      <c r="I32" s="152">
        <f t="shared" si="8"/>
        <v>0.10024096385542169</v>
      </c>
      <c r="J32" s="152">
        <f t="shared" si="9"/>
        <v>0</v>
      </c>
      <c r="K32" s="153">
        <f t="shared" si="10"/>
        <v>104</v>
      </c>
      <c r="L32" s="154">
        <f t="shared" si="11"/>
        <v>1</v>
      </c>
      <c r="M32" s="159"/>
      <c r="N32" s="159"/>
      <c r="O32" s="156"/>
      <c r="P32" s="163"/>
      <c r="Q32" s="149"/>
    </row>
    <row r="33" spans="1:17" x14ac:dyDescent="0.3">
      <c r="A33" s="148" t="s">
        <v>500</v>
      </c>
      <c r="B33" s="149">
        <v>92.5</v>
      </c>
      <c r="C33" s="150">
        <v>0.11144578313253012</v>
      </c>
      <c r="D33" s="149">
        <v>18.5</v>
      </c>
      <c r="E33" s="150">
        <v>8.91566265060241E-2</v>
      </c>
      <c r="F33" s="149">
        <v>0</v>
      </c>
      <c r="G33" s="151">
        <f t="shared" si="6"/>
        <v>92.5</v>
      </c>
      <c r="H33" s="151">
        <f t="shared" si="7"/>
        <v>18.5</v>
      </c>
      <c r="I33" s="152">
        <f t="shared" si="8"/>
        <v>8.91566265060241E-2</v>
      </c>
      <c r="J33" s="152">
        <f t="shared" si="9"/>
        <v>0</v>
      </c>
      <c r="K33" s="153">
        <f t="shared" si="10"/>
        <v>92.5</v>
      </c>
      <c r="L33" s="154">
        <f t="shared" si="11"/>
        <v>1</v>
      </c>
      <c r="M33" s="159"/>
      <c r="N33" s="159"/>
      <c r="O33" s="156"/>
      <c r="P33" s="163"/>
      <c r="Q33" s="149"/>
    </row>
    <row r="34" spans="1:17" hidden="1" x14ac:dyDescent="0.3">
      <c r="A34" s="97" t="s">
        <v>504</v>
      </c>
      <c r="B34">
        <v>502.34134078212281</v>
      </c>
      <c r="C34">
        <v>0.60523053106279856</v>
      </c>
      <c r="D34">
        <v>100.46826815642459</v>
      </c>
      <c r="E34">
        <v>0.48418442485023899</v>
      </c>
      <c r="F34">
        <v>0.4805027932960893</v>
      </c>
      <c r="G34" s="164"/>
      <c r="H34" s="164"/>
      <c r="I34" s="164"/>
      <c r="J34" s="164"/>
      <c r="K34" s="164"/>
      <c r="L34" s="164"/>
      <c r="Q34" s="163"/>
    </row>
    <row r="35" spans="1:17" x14ac:dyDescent="0.3">
      <c r="A35" s="165" t="s">
        <v>504</v>
      </c>
      <c r="B35" s="166">
        <f>SUM(B4:B33)</f>
        <v>12217</v>
      </c>
      <c r="C35" s="166">
        <f t="shared" ref="C35:F35" si="12">SUM(C4:C33)</f>
        <v>14.719277108433733</v>
      </c>
      <c r="D35" s="167">
        <f t="shared" si="12"/>
        <v>2443.4000000000005</v>
      </c>
      <c r="E35" s="166">
        <f t="shared" si="12"/>
        <v>11.775421686746988</v>
      </c>
      <c r="F35" s="166">
        <f t="shared" si="12"/>
        <v>11.649999999999999</v>
      </c>
      <c r="G35" s="166">
        <f>SUM(G4:G33)</f>
        <v>12217</v>
      </c>
      <c r="H35" s="166">
        <f>SUM(H4:H33)</f>
        <v>2443.4000000000005</v>
      </c>
      <c r="I35" s="166">
        <f>SUM(I4:I33)</f>
        <v>11.775421686746988</v>
      </c>
      <c r="J35" s="166">
        <f>SUM(J4:J33)</f>
        <v>11.649999999999999</v>
      </c>
      <c r="K35" s="166">
        <f>SUM(K4:K33)</f>
        <v>2547.5</v>
      </c>
      <c r="L35" s="168">
        <f>K35/B35</f>
        <v>0.20852091348121471</v>
      </c>
      <c r="M35" s="169"/>
      <c r="N35" s="169"/>
      <c r="O35" s="169"/>
      <c r="P35" s="170"/>
      <c r="Q35" s="171"/>
    </row>
    <row r="38" spans="1:17" x14ac:dyDescent="0.3">
      <c r="B38" s="172">
        <v>5854</v>
      </c>
    </row>
    <row r="39" spans="1:17" x14ac:dyDescent="0.3">
      <c r="B39" s="172">
        <v>6363</v>
      </c>
    </row>
    <row r="40" spans="1:17" x14ac:dyDescent="0.3">
      <c r="B40" s="172">
        <f>SUM(B38:B39)</f>
        <v>12217</v>
      </c>
    </row>
  </sheetData>
  <conditionalFormatting sqref="L4:L3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:M33">
    <cfRule type="containsText" dxfId="9" priority="2" operator="containsText" text="- 1.5">
      <formula>NOT(ISERROR(SEARCH("- 1.5",M4)))</formula>
    </cfRule>
    <cfRule type="containsText" dxfId="8" priority="3" operator="containsText" text="2">
      <formula>NOT(ISERROR(SEARCH("2",M4)))</formula>
    </cfRule>
    <cfRule type="containsText" dxfId="7" priority="5" operator="containsText" text="Меньше">
      <formula>NOT(ISERROR(SEARCH("Меньше",M4)))</formula>
    </cfRule>
    <cfRule type="containsText" dxfId="6" priority="13" operator="containsText" text="Больше">
      <formula>NOT(ISERROR(SEARCH("Больше",M4)))</formula>
    </cfRule>
    <cfRule type="containsText" dxfId="5" priority="17" operator="containsText" text="- 1.8">
      <formula>NOT(ISERROR(SEARCH("- 1.8",M4)))</formula>
    </cfRule>
  </conditionalFormatting>
  <conditionalFormatting sqref="N4:N33">
    <cfRule type="containsText" dxfId="4" priority="1" operator="containsText" text="- 1.8">
      <formula>NOT(ISERROR(SEARCH("- 1.8",M4)))</formula>
    </cfRule>
    <cfRule type="containsText" dxfId="3" priority="6" operator="containsText" text="Больше">
      <formula>NOT(ISERROR(SEARCH("Больше",M4)))</formula>
    </cfRule>
    <cfRule type="containsText" dxfId="2" priority="14" operator="containsText" text="Меньше">
      <formula>NOT(ISERROR(SEARCH("Меньше",M4)))</formula>
    </cfRule>
    <cfRule type="containsText" dxfId="1" priority="15" operator="containsText" text="2">
      <formula>NOT(ISERROR(SEARCH("2",M4)))</formula>
    </cfRule>
    <cfRule type="containsText" dxfId="0" priority="16" operator="containsText" text="- 1.5">
      <formula>NOT(ISERROR(SEARCH("- 1.5",M4)))</formula>
    </cfRule>
  </conditionalFormatting>
  <pageMargins left="0.7" right="0.7" top="0.75" bottom="0.75" header="0.3" footer="0.3"/>
  <pageSetup paperSize="9" orientation="portrait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AK934"/>
  <sheetViews>
    <sheetView zoomScale="110" workbookViewId="0">
      <selection activeCell="W801" sqref="W801"/>
    </sheetView>
  </sheetViews>
  <sheetFormatPr defaultColWidth="14.44140625" defaultRowHeight="15" customHeight="1" x14ac:dyDescent="0.3"/>
  <cols>
    <col min="1" max="1" width="6.88671875" customWidth="1"/>
    <col min="2" max="2" width="46.109375" customWidth="1"/>
    <col min="3" max="3" width="17.5546875" customWidth="1"/>
    <col min="4" max="4" width="22.109375" customWidth="1"/>
    <col min="5" max="5" width="11.5546875" customWidth="1"/>
    <col min="6" max="6" width="7.44140625" customWidth="1"/>
    <col min="7" max="7" width="7.88671875" customWidth="1"/>
    <col min="8" max="8" width="5.6640625" customWidth="1"/>
    <col min="9" max="9" width="30.109375" customWidth="1"/>
    <col min="10" max="10" width="10.44140625" customWidth="1"/>
    <col min="11" max="11" width="6.88671875" customWidth="1"/>
    <col min="12" max="12" width="9.88671875" customWidth="1"/>
    <col min="13" max="13" width="8.88671875" customWidth="1"/>
    <col min="14" max="14" width="6.33203125" customWidth="1"/>
    <col min="15" max="15" width="10.44140625" customWidth="1"/>
    <col min="16" max="16" width="8.5546875" customWidth="1"/>
    <col min="17" max="17" width="12.44140625" customWidth="1"/>
    <col min="18" max="18" width="11.44140625" customWidth="1"/>
    <col min="19" max="37" width="9.109375" customWidth="1"/>
  </cols>
  <sheetData>
    <row r="1" spans="1:20" ht="14.4" x14ac:dyDescent="0.3">
      <c r="A1" s="173" t="s">
        <v>46</v>
      </c>
      <c r="B1" s="174" t="s">
        <v>47</v>
      </c>
      <c r="C1" s="174" t="s">
        <v>48</v>
      </c>
      <c r="D1" s="174" t="s">
        <v>49</v>
      </c>
      <c r="E1" s="174" t="s">
        <v>50</v>
      </c>
      <c r="F1" s="174" t="s">
        <v>51</v>
      </c>
      <c r="G1" s="174" t="s">
        <v>52</v>
      </c>
      <c r="H1" s="174" t="s">
        <v>53</v>
      </c>
      <c r="I1" s="174" t="s">
        <v>54</v>
      </c>
      <c r="J1" s="174" t="s">
        <v>55</v>
      </c>
      <c r="K1" s="174" t="s">
        <v>585</v>
      </c>
      <c r="L1" s="174" t="s">
        <v>56</v>
      </c>
      <c r="M1" s="174" t="s">
        <v>57</v>
      </c>
      <c r="N1" s="7" t="s">
        <v>58</v>
      </c>
      <c r="O1" s="7" t="s">
        <v>59</v>
      </c>
      <c r="P1" s="7" t="s">
        <v>60</v>
      </c>
      <c r="Q1" s="7">
        <v>830</v>
      </c>
      <c r="R1" s="7" t="s">
        <v>586</v>
      </c>
      <c r="S1" s="7" t="s">
        <v>587</v>
      </c>
      <c r="T1" s="7" t="s">
        <v>588</v>
      </c>
    </row>
    <row r="2" spans="1:20" ht="14.4" hidden="1" x14ac:dyDescent="0.3">
      <c r="A2" s="175" t="s">
        <v>58</v>
      </c>
      <c r="B2" s="176" t="s">
        <v>69</v>
      </c>
      <c r="C2" s="176" t="s">
        <v>69</v>
      </c>
      <c r="D2" s="176"/>
      <c r="E2" s="177">
        <v>30</v>
      </c>
      <c r="F2" s="176"/>
      <c r="G2" s="178"/>
      <c r="H2" s="176" t="s">
        <v>589</v>
      </c>
      <c r="I2" s="176" t="s">
        <v>569</v>
      </c>
      <c r="J2" s="176"/>
      <c r="K2" s="176" t="s">
        <v>565</v>
      </c>
      <c r="L2" s="176"/>
      <c r="M2" s="176"/>
      <c r="N2" s="179">
        <f t="shared" ref="N2:N9" si="0">SUMIFS($E$2:$E$896,$A$2:$A$896,"осень",$I$2:$I$896,I2)</f>
        <v>105</v>
      </c>
      <c r="O2" s="179">
        <f t="shared" ref="O2:O9" si="1">SUMIFS($E$2:$E$896,$A$2:$A$896,"весна",$I$2:$I$896,I2)</f>
        <v>102</v>
      </c>
      <c r="P2" s="180">
        <f t="shared" ref="P2:P65" si="2">N2+O2</f>
        <v>207</v>
      </c>
      <c r="Q2" s="181">
        <f t="shared" ref="Q2:Q65" si="3">P2/$Q$1</f>
        <v>0.24939759036144579</v>
      </c>
      <c r="R2" s="122">
        <f t="shared" ref="R2:R65" si="4">P2*0.2</f>
        <v>41.400000000000006</v>
      </c>
      <c r="S2" s="122">
        <f t="shared" ref="S2:S65" si="5">Q2*0.8</f>
        <v>0.19951807228915663</v>
      </c>
      <c r="T2" s="133">
        <v>0.2</v>
      </c>
    </row>
    <row r="3" spans="1:20" ht="14.4" hidden="1" x14ac:dyDescent="0.3">
      <c r="A3" s="175" t="s">
        <v>58</v>
      </c>
      <c r="B3" s="176" t="s">
        <v>362</v>
      </c>
      <c r="C3" s="176" t="s">
        <v>73</v>
      </c>
      <c r="D3" s="176" t="s">
        <v>590</v>
      </c>
      <c r="E3" s="177">
        <v>16</v>
      </c>
      <c r="F3" s="176" t="s">
        <v>591</v>
      </c>
      <c r="G3" s="177">
        <v>16</v>
      </c>
      <c r="H3" s="176" t="s">
        <v>592</v>
      </c>
      <c r="I3" s="176" t="s">
        <v>561</v>
      </c>
      <c r="J3" s="176"/>
      <c r="K3" s="176" t="s">
        <v>593</v>
      </c>
      <c r="L3" s="176"/>
      <c r="M3" s="176"/>
      <c r="N3" s="179">
        <f t="shared" si="0"/>
        <v>442</v>
      </c>
      <c r="O3" s="179">
        <f t="shared" si="1"/>
        <v>269</v>
      </c>
      <c r="P3" s="180">
        <f t="shared" si="2"/>
        <v>711</v>
      </c>
      <c r="Q3" s="181">
        <f t="shared" si="3"/>
        <v>0.8566265060240964</v>
      </c>
      <c r="R3" s="122">
        <f t="shared" si="4"/>
        <v>142.20000000000002</v>
      </c>
      <c r="S3" s="122">
        <f t="shared" si="5"/>
        <v>0.68530120481927714</v>
      </c>
      <c r="T3" s="133">
        <v>0.7</v>
      </c>
    </row>
    <row r="4" spans="1:20" ht="14.4" hidden="1" x14ac:dyDescent="0.3">
      <c r="A4" s="175" t="s">
        <v>58</v>
      </c>
      <c r="B4" s="176" t="s">
        <v>362</v>
      </c>
      <c r="C4" s="176" t="s">
        <v>79</v>
      </c>
      <c r="D4" s="176" t="s">
        <v>590</v>
      </c>
      <c r="E4" s="177">
        <v>20</v>
      </c>
      <c r="F4" s="176" t="s">
        <v>591</v>
      </c>
      <c r="G4" s="177">
        <v>20</v>
      </c>
      <c r="H4" s="176" t="s">
        <v>592</v>
      </c>
      <c r="I4" s="176" t="s">
        <v>561</v>
      </c>
      <c r="J4" s="176"/>
      <c r="K4" s="176" t="s">
        <v>593</v>
      </c>
      <c r="L4" s="176"/>
      <c r="M4" s="176"/>
      <c r="N4" s="179">
        <f t="shared" si="0"/>
        <v>442</v>
      </c>
      <c r="O4" s="179">
        <f t="shared" si="1"/>
        <v>269</v>
      </c>
      <c r="P4" s="180">
        <f t="shared" si="2"/>
        <v>711</v>
      </c>
      <c r="Q4" s="181">
        <f t="shared" si="3"/>
        <v>0.8566265060240964</v>
      </c>
      <c r="R4" s="122">
        <f t="shared" si="4"/>
        <v>142.20000000000002</v>
      </c>
      <c r="S4" s="122">
        <f t="shared" si="5"/>
        <v>0.68530120481927714</v>
      </c>
      <c r="T4" s="133">
        <v>0.7</v>
      </c>
    </row>
    <row r="5" spans="1:20" ht="14.4" hidden="1" x14ac:dyDescent="0.3">
      <c r="A5" s="175" t="s">
        <v>58</v>
      </c>
      <c r="B5" s="176" t="s">
        <v>362</v>
      </c>
      <c r="C5" s="176" t="s">
        <v>100</v>
      </c>
      <c r="D5" s="176" t="s">
        <v>590</v>
      </c>
      <c r="E5" s="177">
        <v>16</v>
      </c>
      <c r="F5" s="176" t="s">
        <v>591</v>
      </c>
      <c r="G5" s="177">
        <v>16</v>
      </c>
      <c r="H5" s="176" t="s">
        <v>594</v>
      </c>
      <c r="I5" s="176" t="s">
        <v>358</v>
      </c>
      <c r="J5" s="176"/>
      <c r="K5" s="176" t="s">
        <v>593</v>
      </c>
      <c r="L5" s="176"/>
      <c r="M5" s="176"/>
      <c r="N5" s="179">
        <f t="shared" si="0"/>
        <v>111</v>
      </c>
      <c r="O5" s="179">
        <f t="shared" si="1"/>
        <v>265</v>
      </c>
      <c r="P5" s="180">
        <f t="shared" si="2"/>
        <v>376</v>
      </c>
      <c r="Q5" s="181">
        <f t="shared" si="3"/>
        <v>0.45301204819277108</v>
      </c>
      <c r="R5" s="122">
        <f t="shared" si="4"/>
        <v>75.2</v>
      </c>
      <c r="S5" s="122">
        <f t="shared" si="5"/>
        <v>0.36240963855421687</v>
      </c>
      <c r="T5" s="133">
        <v>0.45</v>
      </c>
    </row>
    <row r="6" spans="1:20" ht="14.4" hidden="1" x14ac:dyDescent="0.3">
      <c r="A6" s="175" t="s">
        <v>58</v>
      </c>
      <c r="B6" s="176" t="s">
        <v>362</v>
      </c>
      <c r="C6" s="176" t="s">
        <v>142</v>
      </c>
      <c r="D6" s="176" t="s">
        <v>590</v>
      </c>
      <c r="E6" s="177">
        <v>3</v>
      </c>
      <c r="F6" s="176" t="s">
        <v>591</v>
      </c>
      <c r="G6" s="178"/>
      <c r="H6" s="176" t="s">
        <v>592</v>
      </c>
      <c r="I6" s="176" t="s">
        <v>561</v>
      </c>
      <c r="J6" s="176"/>
      <c r="K6" s="176" t="s">
        <v>593</v>
      </c>
      <c r="L6" s="176"/>
      <c r="M6" s="176"/>
      <c r="N6" s="179">
        <f t="shared" si="0"/>
        <v>442</v>
      </c>
      <c r="O6" s="179">
        <f t="shared" si="1"/>
        <v>269</v>
      </c>
      <c r="P6" s="180">
        <f t="shared" si="2"/>
        <v>711</v>
      </c>
      <c r="Q6" s="181">
        <f t="shared" si="3"/>
        <v>0.8566265060240964</v>
      </c>
      <c r="R6" s="122">
        <f t="shared" si="4"/>
        <v>142.20000000000002</v>
      </c>
      <c r="S6" s="122">
        <f t="shared" si="5"/>
        <v>0.68530120481927714</v>
      </c>
      <c r="T6" s="133">
        <v>0.7</v>
      </c>
    </row>
    <row r="7" spans="1:20" ht="14.4" hidden="1" x14ac:dyDescent="0.3">
      <c r="A7" s="175" t="s">
        <v>58</v>
      </c>
      <c r="B7" s="176" t="s">
        <v>362</v>
      </c>
      <c r="C7" s="176" t="s">
        <v>80</v>
      </c>
      <c r="D7" s="176" t="s">
        <v>590</v>
      </c>
      <c r="E7" s="177">
        <v>1</v>
      </c>
      <c r="F7" s="176" t="s">
        <v>591</v>
      </c>
      <c r="G7" s="178"/>
      <c r="H7" s="176" t="s">
        <v>592</v>
      </c>
      <c r="I7" s="176" t="s">
        <v>561</v>
      </c>
      <c r="J7" s="176"/>
      <c r="K7" s="176" t="s">
        <v>593</v>
      </c>
      <c r="L7" s="176"/>
      <c r="M7" s="176"/>
      <c r="N7" s="179">
        <f t="shared" si="0"/>
        <v>442</v>
      </c>
      <c r="O7" s="179">
        <f t="shared" si="1"/>
        <v>269</v>
      </c>
      <c r="P7" s="180">
        <f t="shared" si="2"/>
        <v>711</v>
      </c>
      <c r="Q7" s="181">
        <f t="shared" si="3"/>
        <v>0.8566265060240964</v>
      </c>
      <c r="R7" s="122">
        <f t="shared" si="4"/>
        <v>142.20000000000002</v>
      </c>
      <c r="S7" s="122">
        <f t="shared" si="5"/>
        <v>0.68530120481927714</v>
      </c>
      <c r="T7" s="133">
        <v>0.7</v>
      </c>
    </row>
    <row r="8" spans="1:20" ht="14.4" hidden="1" x14ac:dyDescent="0.3">
      <c r="A8" s="175" t="s">
        <v>58</v>
      </c>
      <c r="B8" s="176" t="s">
        <v>101</v>
      </c>
      <c r="C8" s="176" t="s">
        <v>102</v>
      </c>
      <c r="D8" s="176" t="s">
        <v>595</v>
      </c>
      <c r="E8" s="177">
        <v>18</v>
      </c>
      <c r="F8" s="176" t="s">
        <v>596</v>
      </c>
      <c r="G8" s="178"/>
      <c r="H8" s="176" t="s">
        <v>597</v>
      </c>
      <c r="I8" s="176" t="s">
        <v>109</v>
      </c>
      <c r="J8" s="176"/>
      <c r="K8" s="176" t="s">
        <v>593</v>
      </c>
      <c r="L8" s="176"/>
      <c r="M8" s="176"/>
      <c r="N8" s="179">
        <f t="shared" si="0"/>
        <v>169</v>
      </c>
      <c r="O8" s="179">
        <f t="shared" si="1"/>
        <v>340</v>
      </c>
      <c r="P8" s="180">
        <f t="shared" si="2"/>
        <v>509</v>
      </c>
      <c r="Q8" s="181">
        <f t="shared" si="3"/>
        <v>0.61325301204819282</v>
      </c>
      <c r="R8" s="122">
        <f t="shared" si="4"/>
        <v>101.80000000000001</v>
      </c>
      <c r="S8" s="122">
        <f t="shared" si="5"/>
        <v>0.49060240963855428</v>
      </c>
      <c r="T8" s="133">
        <v>0.4</v>
      </c>
    </row>
    <row r="9" spans="1:20" ht="14.4" hidden="1" x14ac:dyDescent="0.3">
      <c r="A9" s="175" t="s">
        <v>58</v>
      </c>
      <c r="B9" s="176" t="s">
        <v>101</v>
      </c>
      <c r="C9" s="176" t="s">
        <v>102</v>
      </c>
      <c r="D9" s="176" t="s">
        <v>595</v>
      </c>
      <c r="E9" s="177">
        <v>18</v>
      </c>
      <c r="F9" s="176" t="s">
        <v>596</v>
      </c>
      <c r="G9" s="178"/>
      <c r="H9" s="176" t="s">
        <v>598</v>
      </c>
      <c r="I9" s="176" t="s">
        <v>104</v>
      </c>
      <c r="J9" s="176"/>
      <c r="K9" s="176" t="s">
        <v>565</v>
      </c>
      <c r="L9" s="176"/>
      <c r="M9" s="176"/>
      <c r="N9" s="179">
        <f t="shared" si="0"/>
        <v>188</v>
      </c>
      <c r="O9" s="179">
        <f t="shared" si="1"/>
        <v>294</v>
      </c>
      <c r="P9" s="180">
        <f t="shared" si="2"/>
        <v>482</v>
      </c>
      <c r="Q9" s="181">
        <f t="shared" si="3"/>
        <v>0.58072289156626511</v>
      </c>
      <c r="R9" s="122">
        <f t="shared" si="4"/>
        <v>96.4</v>
      </c>
      <c r="S9" s="122">
        <f t="shared" si="5"/>
        <v>0.46457831325301213</v>
      </c>
      <c r="T9" s="133">
        <v>0.5</v>
      </c>
    </row>
    <row r="10" spans="1:20" ht="14.4" hidden="1" x14ac:dyDescent="0.3">
      <c r="A10" s="175" t="s">
        <v>58</v>
      </c>
      <c r="B10" s="176" t="s">
        <v>101</v>
      </c>
      <c r="C10" s="176" t="s">
        <v>73</v>
      </c>
      <c r="D10" s="176" t="s">
        <v>595</v>
      </c>
      <c r="E10" s="177">
        <v>44</v>
      </c>
      <c r="F10" s="176" t="s">
        <v>596</v>
      </c>
      <c r="G10" s="177">
        <v>44</v>
      </c>
      <c r="H10" s="176" t="s">
        <v>597</v>
      </c>
      <c r="I10" s="176" t="s">
        <v>109</v>
      </c>
      <c r="J10" s="176"/>
      <c r="K10" s="176" t="s">
        <v>593</v>
      </c>
      <c r="L10" s="176"/>
      <c r="M10" s="176"/>
      <c r="N10" s="179">
        <f t="shared" ref="N10:N73" si="6">SUMIFS($E$2:$E$896,$A$2:$A$896,"осень",$I$2:$I$896,I10)</f>
        <v>169</v>
      </c>
      <c r="O10" s="179">
        <f t="shared" ref="O10:O73" si="7">SUMIFS($E$2:$E$896,$A$2:$A$896,"весна",$I$2:$I$896,I10)</f>
        <v>340</v>
      </c>
      <c r="P10" s="180">
        <f t="shared" si="2"/>
        <v>509</v>
      </c>
      <c r="Q10" s="181">
        <f t="shared" si="3"/>
        <v>0.61325301204819282</v>
      </c>
      <c r="R10" s="122">
        <f t="shared" si="4"/>
        <v>101.80000000000001</v>
      </c>
      <c r="S10" s="122">
        <f t="shared" si="5"/>
        <v>0.49060240963855428</v>
      </c>
      <c r="T10" s="133">
        <v>0.4</v>
      </c>
    </row>
    <row r="11" spans="1:20" ht="14.4" hidden="1" x14ac:dyDescent="0.3">
      <c r="A11" s="175" t="s">
        <v>58</v>
      </c>
      <c r="B11" s="182" t="s">
        <v>101</v>
      </c>
      <c r="C11" s="182" t="s">
        <v>79</v>
      </c>
      <c r="D11" s="182" t="s">
        <v>595</v>
      </c>
      <c r="E11" s="183">
        <v>32</v>
      </c>
      <c r="F11" s="182" t="s">
        <v>596</v>
      </c>
      <c r="G11" s="183">
        <v>64</v>
      </c>
      <c r="H11" s="182" t="s">
        <v>597</v>
      </c>
      <c r="I11" s="182" t="s">
        <v>109</v>
      </c>
      <c r="J11" s="176"/>
      <c r="K11" s="176" t="s">
        <v>593</v>
      </c>
      <c r="L11" s="176"/>
      <c r="M11" s="176"/>
      <c r="N11" s="179">
        <f t="shared" si="6"/>
        <v>169</v>
      </c>
      <c r="O11" s="179">
        <f t="shared" si="7"/>
        <v>340</v>
      </c>
      <c r="P11" s="180">
        <f>N11+O11</f>
        <v>509</v>
      </c>
      <c r="Q11" s="181">
        <f>P11/$Q$1</f>
        <v>0.61325301204819282</v>
      </c>
      <c r="R11" s="122">
        <f>P11*0.2</f>
        <v>101.80000000000001</v>
      </c>
      <c r="S11" s="122">
        <f>Q11*0.8</f>
        <v>0.49060240963855428</v>
      </c>
      <c r="T11" s="133">
        <v>0.4</v>
      </c>
    </row>
    <row r="12" spans="1:20" ht="14.4" hidden="1" x14ac:dyDescent="0.3">
      <c r="A12" s="175" t="s">
        <v>58</v>
      </c>
      <c r="B12" s="182" t="s">
        <v>101</v>
      </c>
      <c r="C12" s="182" t="s">
        <v>79</v>
      </c>
      <c r="D12" s="182" t="s">
        <v>595</v>
      </c>
      <c r="E12" s="183">
        <v>32</v>
      </c>
      <c r="F12" s="182" t="s">
        <v>596</v>
      </c>
      <c r="G12" s="183">
        <v>64</v>
      </c>
      <c r="H12" s="182" t="s">
        <v>597</v>
      </c>
      <c r="I12" s="182" t="s">
        <v>104</v>
      </c>
      <c r="J12" s="176"/>
      <c r="K12" s="176" t="s">
        <v>593</v>
      </c>
      <c r="L12" s="176"/>
      <c r="M12" s="176"/>
      <c r="N12" s="179">
        <f t="shared" si="6"/>
        <v>188</v>
      </c>
      <c r="O12" s="179">
        <f t="shared" si="7"/>
        <v>294</v>
      </c>
      <c r="P12" s="180">
        <f t="shared" si="2"/>
        <v>482</v>
      </c>
      <c r="Q12" s="181">
        <f t="shared" si="3"/>
        <v>0.58072289156626511</v>
      </c>
      <c r="R12" s="122">
        <f t="shared" si="4"/>
        <v>96.4</v>
      </c>
      <c r="S12" s="122">
        <f t="shared" si="5"/>
        <v>0.46457831325301213</v>
      </c>
      <c r="T12" s="133">
        <v>0.5</v>
      </c>
    </row>
    <row r="13" spans="1:20" ht="14.4" hidden="1" x14ac:dyDescent="0.3">
      <c r="A13" s="175" t="s">
        <v>58</v>
      </c>
      <c r="B13" s="176" t="s">
        <v>101</v>
      </c>
      <c r="C13" s="176" t="s">
        <v>100</v>
      </c>
      <c r="D13" s="176" t="s">
        <v>595</v>
      </c>
      <c r="E13" s="177">
        <v>36</v>
      </c>
      <c r="F13" s="176" t="s">
        <v>596</v>
      </c>
      <c r="G13" s="177">
        <v>36</v>
      </c>
      <c r="H13" s="176" t="s">
        <v>597</v>
      </c>
      <c r="I13" s="176" t="s">
        <v>109</v>
      </c>
      <c r="J13" s="176"/>
      <c r="K13" s="176" t="s">
        <v>593</v>
      </c>
      <c r="L13" s="176"/>
      <c r="M13" s="176"/>
      <c r="N13" s="179">
        <f t="shared" si="6"/>
        <v>169</v>
      </c>
      <c r="O13" s="179">
        <f t="shared" si="7"/>
        <v>340</v>
      </c>
      <c r="P13" s="180">
        <f t="shared" si="2"/>
        <v>509</v>
      </c>
      <c r="Q13" s="181">
        <f t="shared" si="3"/>
        <v>0.61325301204819282</v>
      </c>
      <c r="R13" s="122">
        <f t="shared" si="4"/>
        <v>101.80000000000001</v>
      </c>
      <c r="S13" s="122">
        <f t="shared" si="5"/>
        <v>0.49060240963855428</v>
      </c>
      <c r="T13" s="133">
        <v>0.4</v>
      </c>
    </row>
    <row r="14" spans="1:20" ht="14.4" hidden="1" x14ac:dyDescent="0.3">
      <c r="A14" s="175" t="s">
        <v>58</v>
      </c>
      <c r="B14" s="176" t="s">
        <v>101</v>
      </c>
      <c r="C14" s="176" t="s">
        <v>111</v>
      </c>
      <c r="D14" s="176" t="s">
        <v>595</v>
      </c>
      <c r="E14" s="177">
        <v>4</v>
      </c>
      <c r="F14" s="176" t="s">
        <v>596</v>
      </c>
      <c r="G14" s="178"/>
      <c r="H14" s="176" t="s">
        <v>597</v>
      </c>
      <c r="I14" s="176" t="s">
        <v>109</v>
      </c>
      <c r="J14" s="176"/>
      <c r="K14" s="176" t="s">
        <v>593</v>
      </c>
      <c r="L14" s="176"/>
      <c r="M14" s="176"/>
      <c r="N14" s="179">
        <f t="shared" si="6"/>
        <v>169</v>
      </c>
      <c r="O14" s="179">
        <f t="shared" si="7"/>
        <v>340</v>
      </c>
      <c r="P14" s="180">
        <f t="shared" si="2"/>
        <v>509</v>
      </c>
      <c r="Q14" s="181">
        <f t="shared" si="3"/>
        <v>0.61325301204819282</v>
      </c>
      <c r="R14" s="122">
        <f t="shared" si="4"/>
        <v>101.80000000000001</v>
      </c>
      <c r="S14" s="122">
        <f t="shared" si="5"/>
        <v>0.49060240963855428</v>
      </c>
      <c r="T14" s="133">
        <v>0.4</v>
      </c>
    </row>
    <row r="15" spans="1:20" ht="14.4" x14ac:dyDescent="0.3">
      <c r="A15" s="175" t="s">
        <v>58</v>
      </c>
      <c r="B15" s="176" t="s">
        <v>101</v>
      </c>
      <c r="C15" s="176" t="s">
        <v>111</v>
      </c>
      <c r="D15" s="176" t="s">
        <v>595</v>
      </c>
      <c r="E15" s="184">
        <f>2-3.5</f>
        <v>-1.5</v>
      </c>
      <c r="F15" s="176" t="s">
        <v>596</v>
      </c>
      <c r="G15" s="178"/>
      <c r="H15" s="176"/>
      <c r="I15" s="176" t="s">
        <v>500</v>
      </c>
      <c r="J15" s="176"/>
      <c r="K15" s="176" t="s">
        <v>593</v>
      </c>
      <c r="L15" s="176"/>
      <c r="M15" s="176"/>
      <c r="N15" s="179">
        <f t="shared" si="6"/>
        <v>14.5</v>
      </c>
      <c r="O15" s="179">
        <f t="shared" si="7"/>
        <v>78</v>
      </c>
      <c r="P15" s="180">
        <f t="shared" si="2"/>
        <v>92.5</v>
      </c>
      <c r="Q15" s="181">
        <f t="shared" si="3"/>
        <v>0.11144578313253012</v>
      </c>
      <c r="R15" s="122">
        <f t="shared" si="4"/>
        <v>18.5</v>
      </c>
      <c r="S15" s="122">
        <f t="shared" si="5"/>
        <v>8.91566265060241E-2</v>
      </c>
      <c r="T15" s="133">
        <v>0</v>
      </c>
    </row>
    <row r="16" spans="1:20" ht="14.4" hidden="1" x14ac:dyDescent="0.3">
      <c r="A16" s="175" t="s">
        <v>58</v>
      </c>
      <c r="B16" s="176" t="s">
        <v>101</v>
      </c>
      <c r="C16" s="176" t="s">
        <v>80</v>
      </c>
      <c r="D16" s="176" t="s">
        <v>595</v>
      </c>
      <c r="E16" s="177">
        <v>4</v>
      </c>
      <c r="F16" s="176" t="s">
        <v>596</v>
      </c>
      <c r="G16" s="178"/>
      <c r="H16" s="176" t="s">
        <v>597</v>
      </c>
      <c r="I16" s="176" t="s">
        <v>109</v>
      </c>
      <c r="J16" s="176"/>
      <c r="K16" s="176" t="s">
        <v>593</v>
      </c>
      <c r="L16" s="176"/>
      <c r="M16" s="176"/>
      <c r="N16" s="179">
        <f t="shared" si="6"/>
        <v>169</v>
      </c>
      <c r="O16" s="179">
        <f t="shared" si="7"/>
        <v>340</v>
      </c>
      <c r="P16" s="180">
        <f t="shared" si="2"/>
        <v>509</v>
      </c>
      <c r="Q16" s="181">
        <f t="shared" si="3"/>
        <v>0.61325301204819282</v>
      </c>
      <c r="R16" s="122">
        <f t="shared" si="4"/>
        <v>101.80000000000001</v>
      </c>
      <c r="S16" s="122">
        <f t="shared" si="5"/>
        <v>0.49060240963855428</v>
      </c>
      <c r="T16" s="133">
        <v>0.4</v>
      </c>
    </row>
    <row r="17" spans="1:20" ht="14.4" hidden="1" x14ac:dyDescent="0.3">
      <c r="A17" s="175" t="s">
        <v>58</v>
      </c>
      <c r="B17" s="176" t="s">
        <v>112</v>
      </c>
      <c r="C17" s="176" t="s">
        <v>73</v>
      </c>
      <c r="D17" s="176" t="s">
        <v>599</v>
      </c>
      <c r="E17" s="177">
        <v>24</v>
      </c>
      <c r="F17" s="176" t="s">
        <v>600</v>
      </c>
      <c r="G17" s="177">
        <v>24</v>
      </c>
      <c r="H17" s="176" t="s">
        <v>601</v>
      </c>
      <c r="I17" s="176" t="s">
        <v>116</v>
      </c>
      <c r="J17" s="176"/>
      <c r="K17" s="176" t="s">
        <v>593</v>
      </c>
      <c r="L17" s="176"/>
      <c r="M17" s="176"/>
      <c r="N17" s="179">
        <f t="shared" si="6"/>
        <v>233</v>
      </c>
      <c r="O17" s="179">
        <f t="shared" si="7"/>
        <v>200</v>
      </c>
      <c r="P17" s="180">
        <f t="shared" si="2"/>
        <v>433</v>
      </c>
      <c r="Q17" s="181">
        <f t="shared" si="3"/>
        <v>0.52168674698795181</v>
      </c>
      <c r="R17" s="122">
        <f t="shared" si="4"/>
        <v>86.600000000000009</v>
      </c>
      <c r="S17" s="122">
        <f t="shared" si="5"/>
        <v>0.41734939759036149</v>
      </c>
      <c r="T17" s="185">
        <v>0.5</v>
      </c>
    </row>
    <row r="18" spans="1:20" ht="14.4" hidden="1" x14ac:dyDescent="0.3">
      <c r="A18" s="175" t="s">
        <v>58</v>
      </c>
      <c r="B18" s="176" t="s">
        <v>112</v>
      </c>
      <c r="C18" s="176" t="s">
        <v>73</v>
      </c>
      <c r="D18" s="176" t="s">
        <v>602</v>
      </c>
      <c r="E18" s="177">
        <v>24</v>
      </c>
      <c r="F18" s="176" t="s">
        <v>603</v>
      </c>
      <c r="G18" s="177">
        <v>24</v>
      </c>
      <c r="H18" s="176" t="s">
        <v>601</v>
      </c>
      <c r="I18" s="176" t="s">
        <v>116</v>
      </c>
      <c r="J18" s="176"/>
      <c r="K18" s="176" t="s">
        <v>593</v>
      </c>
      <c r="L18" s="176"/>
      <c r="M18" s="176"/>
      <c r="N18" s="179">
        <f t="shared" si="6"/>
        <v>233</v>
      </c>
      <c r="O18" s="179">
        <f t="shared" si="7"/>
        <v>200</v>
      </c>
      <c r="P18" s="180">
        <f t="shared" si="2"/>
        <v>433</v>
      </c>
      <c r="Q18" s="181">
        <f t="shared" si="3"/>
        <v>0.52168674698795181</v>
      </c>
      <c r="R18" s="122">
        <f t="shared" si="4"/>
        <v>86.600000000000009</v>
      </c>
      <c r="S18" s="122">
        <f t="shared" si="5"/>
        <v>0.41734939759036149</v>
      </c>
      <c r="T18" s="185">
        <v>0.5</v>
      </c>
    </row>
    <row r="19" spans="1:20" ht="14.4" hidden="1" x14ac:dyDescent="0.3">
      <c r="A19" s="175" t="s">
        <v>58</v>
      </c>
      <c r="B19" s="176" t="s">
        <v>112</v>
      </c>
      <c r="C19" s="176" t="s">
        <v>87</v>
      </c>
      <c r="D19" s="176" t="s">
        <v>599</v>
      </c>
      <c r="E19" s="177">
        <v>3</v>
      </c>
      <c r="F19" s="176" t="s">
        <v>600</v>
      </c>
      <c r="G19" s="178"/>
      <c r="H19" s="176" t="s">
        <v>601</v>
      </c>
      <c r="I19" s="176" t="s">
        <v>116</v>
      </c>
      <c r="J19" s="176"/>
      <c r="K19" s="176" t="s">
        <v>593</v>
      </c>
      <c r="L19" s="176"/>
      <c r="M19" s="176"/>
      <c r="N19" s="179">
        <f t="shared" si="6"/>
        <v>233</v>
      </c>
      <c r="O19" s="179">
        <f t="shared" si="7"/>
        <v>200</v>
      </c>
      <c r="P19" s="180">
        <f t="shared" si="2"/>
        <v>433</v>
      </c>
      <c r="Q19" s="181">
        <f t="shared" si="3"/>
        <v>0.52168674698795181</v>
      </c>
      <c r="R19" s="122">
        <f t="shared" si="4"/>
        <v>86.600000000000009</v>
      </c>
      <c r="S19" s="122">
        <f t="shared" si="5"/>
        <v>0.41734939759036149</v>
      </c>
      <c r="T19" s="185">
        <v>0.5</v>
      </c>
    </row>
    <row r="20" spans="1:20" ht="14.4" hidden="1" x14ac:dyDescent="0.3">
      <c r="A20" s="175" t="s">
        <v>58</v>
      </c>
      <c r="B20" s="176" t="s">
        <v>112</v>
      </c>
      <c r="C20" s="176" t="s">
        <v>87</v>
      </c>
      <c r="D20" s="176" t="s">
        <v>602</v>
      </c>
      <c r="E20" s="177">
        <v>3</v>
      </c>
      <c r="F20" s="176" t="s">
        <v>603</v>
      </c>
      <c r="G20" s="178"/>
      <c r="H20" s="176" t="s">
        <v>601</v>
      </c>
      <c r="I20" s="176" t="s">
        <v>116</v>
      </c>
      <c r="J20" s="176"/>
      <c r="K20" s="176" t="s">
        <v>593</v>
      </c>
      <c r="L20" s="176"/>
      <c r="M20" s="176"/>
      <c r="N20" s="179">
        <f t="shared" si="6"/>
        <v>233</v>
      </c>
      <c r="O20" s="179">
        <f t="shared" si="7"/>
        <v>200</v>
      </c>
      <c r="P20" s="180">
        <f t="shared" si="2"/>
        <v>433</v>
      </c>
      <c r="Q20" s="181">
        <f t="shared" si="3"/>
        <v>0.52168674698795181</v>
      </c>
      <c r="R20" s="122">
        <f t="shared" si="4"/>
        <v>86.600000000000009</v>
      </c>
      <c r="S20" s="122">
        <f t="shared" si="5"/>
        <v>0.41734939759036149</v>
      </c>
      <c r="T20" s="185">
        <v>0.5</v>
      </c>
    </row>
    <row r="21" spans="1:20" ht="14.4" hidden="1" x14ac:dyDescent="0.3">
      <c r="A21" s="175" t="s">
        <v>58</v>
      </c>
      <c r="B21" s="176" t="s">
        <v>112</v>
      </c>
      <c r="C21" s="176" t="s">
        <v>79</v>
      </c>
      <c r="D21" s="176" t="s">
        <v>599</v>
      </c>
      <c r="E21" s="177">
        <v>28</v>
      </c>
      <c r="F21" s="176" t="s">
        <v>600</v>
      </c>
      <c r="G21" s="177">
        <v>28</v>
      </c>
      <c r="H21" s="176" t="s">
        <v>601</v>
      </c>
      <c r="I21" s="176" t="s">
        <v>116</v>
      </c>
      <c r="J21" s="176"/>
      <c r="K21" s="176" t="s">
        <v>593</v>
      </c>
      <c r="L21" s="176"/>
      <c r="M21" s="176"/>
      <c r="N21" s="179">
        <f t="shared" si="6"/>
        <v>233</v>
      </c>
      <c r="O21" s="179">
        <f t="shared" si="7"/>
        <v>200</v>
      </c>
      <c r="P21" s="180">
        <f t="shared" si="2"/>
        <v>433</v>
      </c>
      <c r="Q21" s="181">
        <f t="shared" si="3"/>
        <v>0.52168674698795181</v>
      </c>
      <c r="R21" s="122">
        <f t="shared" si="4"/>
        <v>86.600000000000009</v>
      </c>
      <c r="S21" s="122">
        <f t="shared" si="5"/>
        <v>0.41734939759036149</v>
      </c>
      <c r="T21" s="185">
        <v>0.5</v>
      </c>
    </row>
    <row r="22" spans="1:20" ht="14.4" hidden="1" x14ac:dyDescent="0.3">
      <c r="A22" s="175" t="s">
        <v>58</v>
      </c>
      <c r="B22" s="176" t="s">
        <v>112</v>
      </c>
      <c r="C22" s="176" t="s">
        <v>79</v>
      </c>
      <c r="D22" s="176" t="s">
        <v>602</v>
      </c>
      <c r="E22" s="177">
        <v>28</v>
      </c>
      <c r="F22" s="176" t="s">
        <v>603</v>
      </c>
      <c r="G22" s="177">
        <v>28</v>
      </c>
      <c r="H22" s="176" t="s">
        <v>601</v>
      </c>
      <c r="I22" s="176" t="s">
        <v>116</v>
      </c>
      <c r="J22" s="176"/>
      <c r="K22" s="176" t="s">
        <v>593</v>
      </c>
      <c r="L22" s="176"/>
      <c r="M22" s="176"/>
      <c r="N22" s="179">
        <f t="shared" si="6"/>
        <v>233</v>
      </c>
      <c r="O22" s="179">
        <f t="shared" si="7"/>
        <v>200</v>
      </c>
      <c r="P22" s="180">
        <f t="shared" si="2"/>
        <v>433</v>
      </c>
      <c r="Q22" s="181">
        <f t="shared" si="3"/>
        <v>0.52168674698795181</v>
      </c>
      <c r="R22" s="122">
        <f t="shared" si="4"/>
        <v>86.600000000000009</v>
      </c>
      <c r="S22" s="122">
        <f t="shared" si="5"/>
        <v>0.41734939759036149</v>
      </c>
      <c r="T22" s="185">
        <v>0.5</v>
      </c>
    </row>
    <row r="23" spans="1:20" ht="14.4" hidden="1" x14ac:dyDescent="0.3">
      <c r="A23" s="175" t="s">
        <v>58</v>
      </c>
      <c r="B23" s="176" t="s">
        <v>112</v>
      </c>
      <c r="C23" s="176" t="s">
        <v>100</v>
      </c>
      <c r="D23" s="176" t="s">
        <v>599</v>
      </c>
      <c r="E23" s="177">
        <v>8</v>
      </c>
      <c r="F23" s="176" t="s">
        <v>600</v>
      </c>
      <c r="G23" s="177">
        <v>8</v>
      </c>
      <c r="H23" s="176" t="s">
        <v>601</v>
      </c>
      <c r="I23" s="176" t="s">
        <v>116</v>
      </c>
      <c r="J23" s="176"/>
      <c r="K23" s="176" t="s">
        <v>593</v>
      </c>
      <c r="L23" s="176"/>
      <c r="M23" s="176"/>
      <c r="N23" s="179">
        <f t="shared" si="6"/>
        <v>233</v>
      </c>
      <c r="O23" s="179">
        <f t="shared" si="7"/>
        <v>200</v>
      </c>
      <c r="P23" s="180">
        <f t="shared" si="2"/>
        <v>433</v>
      </c>
      <c r="Q23" s="181">
        <f t="shared" si="3"/>
        <v>0.52168674698795181</v>
      </c>
      <c r="R23" s="122">
        <f t="shared" si="4"/>
        <v>86.600000000000009</v>
      </c>
      <c r="S23" s="122">
        <f t="shared" si="5"/>
        <v>0.41734939759036149</v>
      </c>
      <c r="T23" s="185">
        <v>0.5</v>
      </c>
    </row>
    <row r="24" spans="1:20" ht="14.4" hidden="1" x14ac:dyDescent="0.3">
      <c r="A24" s="175" t="s">
        <v>58</v>
      </c>
      <c r="B24" s="176" t="s">
        <v>112</v>
      </c>
      <c r="C24" s="176" t="s">
        <v>100</v>
      </c>
      <c r="D24" s="176" t="s">
        <v>602</v>
      </c>
      <c r="E24" s="177">
        <v>8</v>
      </c>
      <c r="F24" s="176" t="s">
        <v>603</v>
      </c>
      <c r="G24" s="177">
        <v>8</v>
      </c>
      <c r="H24" s="176" t="s">
        <v>601</v>
      </c>
      <c r="I24" s="176" t="s">
        <v>116</v>
      </c>
      <c r="J24" s="176"/>
      <c r="K24" s="176" t="s">
        <v>593</v>
      </c>
      <c r="L24" s="176"/>
      <c r="M24" s="176"/>
      <c r="N24" s="179">
        <f t="shared" si="6"/>
        <v>233</v>
      </c>
      <c r="O24" s="179">
        <f t="shared" si="7"/>
        <v>200</v>
      </c>
      <c r="P24" s="180">
        <f t="shared" si="2"/>
        <v>433</v>
      </c>
      <c r="Q24" s="181">
        <f t="shared" si="3"/>
        <v>0.52168674698795181</v>
      </c>
      <c r="R24" s="122">
        <f t="shared" si="4"/>
        <v>86.600000000000009</v>
      </c>
      <c r="S24" s="122">
        <f t="shared" si="5"/>
        <v>0.41734939759036149</v>
      </c>
      <c r="T24" s="185">
        <v>0.5</v>
      </c>
    </row>
    <row r="25" spans="1:20" ht="14.4" hidden="1" x14ac:dyDescent="0.3">
      <c r="A25" s="175" t="s">
        <v>58</v>
      </c>
      <c r="B25" s="176" t="s">
        <v>112</v>
      </c>
      <c r="C25" s="176" t="s">
        <v>80</v>
      </c>
      <c r="D25" s="176" t="s">
        <v>599</v>
      </c>
      <c r="E25" s="177">
        <v>1</v>
      </c>
      <c r="F25" s="176" t="s">
        <v>600</v>
      </c>
      <c r="G25" s="178"/>
      <c r="H25" s="176" t="s">
        <v>601</v>
      </c>
      <c r="I25" s="176" t="s">
        <v>116</v>
      </c>
      <c r="J25" s="176"/>
      <c r="K25" s="176" t="s">
        <v>593</v>
      </c>
      <c r="L25" s="176"/>
      <c r="M25" s="176"/>
      <c r="N25" s="179">
        <f t="shared" si="6"/>
        <v>233</v>
      </c>
      <c r="O25" s="179">
        <f t="shared" si="7"/>
        <v>200</v>
      </c>
      <c r="P25" s="180">
        <f t="shared" si="2"/>
        <v>433</v>
      </c>
      <c r="Q25" s="181">
        <f t="shared" si="3"/>
        <v>0.52168674698795181</v>
      </c>
      <c r="R25" s="122">
        <f t="shared" si="4"/>
        <v>86.600000000000009</v>
      </c>
      <c r="S25" s="122">
        <f t="shared" si="5"/>
        <v>0.41734939759036149</v>
      </c>
      <c r="T25" s="185">
        <v>0.5</v>
      </c>
    </row>
    <row r="26" spans="1:20" ht="14.4" hidden="1" x14ac:dyDescent="0.3">
      <c r="A26" s="175" t="s">
        <v>58</v>
      </c>
      <c r="B26" s="176" t="s">
        <v>112</v>
      </c>
      <c r="C26" s="176" t="s">
        <v>80</v>
      </c>
      <c r="D26" s="176" t="s">
        <v>602</v>
      </c>
      <c r="E26" s="177">
        <v>1</v>
      </c>
      <c r="F26" s="176" t="s">
        <v>603</v>
      </c>
      <c r="G26" s="178"/>
      <c r="H26" s="176" t="s">
        <v>601</v>
      </c>
      <c r="I26" s="176" t="s">
        <v>116</v>
      </c>
      <c r="J26" s="176"/>
      <c r="K26" s="176" t="s">
        <v>593</v>
      </c>
      <c r="L26" s="176"/>
      <c r="M26" s="176"/>
      <c r="N26" s="179">
        <f t="shared" si="6"/>
        <v>233</v>
      </c>
      <c r="O26" s="179">
        <f t="shared" si="7"/>
        <v>200</v>
      </c>
      <c r="P26" s="180">
        <f t="shared" si="2"/>
        <v>433</v>
      </c>
      <c r="Q26" s="181">
        <f t="shared" si="3"/>
        <v>0.52168674698795181</v>
      </c>
      <c r="R26" s="122">
        <f t="shared" si="4"/>
        <v>86.600000000000009</v>
      </c>
      <c r="S26" s="122">
        <f t="shared" si="5"/>
        <v>0.41734939759036149</v>
      </c>
      <c r="T26" s="185">
        <v>0.5</v>
      </c>
    </row>
    <row r="27" spans="1:20" ht="14.4" hidden="1" x14ac:dyDescent="0.3">
      <c r="A27" s="175" t="s">
        <v>58</v>
      </c>
      <c r="B27" s="176" t="s">
        <v>120</v>
      </c>
      <c r="C27" s="176" t="s">
        <v>73</v>
      </c>
      <c r="D27" s="176" t="s">
        <v>599</v>
      </c>
      <c r="E27" s="177">
        <v>56</v>
      </c>
      <c r="F27" s="176" t="s">
        <v>600</v>
      </c>
      <c r="G27" s="177">
        <v>56</v>
      </c>
      <c r="H27" s="176" t="s">
        <v>604</v>
      </c>
      <c r="I27" s="176" t="s">
        <v>578</v>
      </c>
      <c r="J27" s="176"/>
      <c r="K27" s="176" t="s">
        <v>565</v>
      </c>
      <c r="L27" s="176"/>
      <c r="M27" s="176"/>
      <c r="N27" s="179">
        <f t="shared" si="6"/>
        <v>381</v>
      </c>
      <c r="O27" s="179">
        <f t="shared" si="7"/>
        <v>162</v>
      </c>
      <c r="P27" s="180">
        <f t="shared" si="2"/>
        <v>543</v>
      </c>
      <c r="Q27" s="181">
        <f t="shared" si="3"/>
        <v>0.6542168674698795</v>
      </c>
      <c r="R27" s="122">
        <f t="shared" si="4"/>
        <v>108.60000000000001</v>
      </c>
      <c r="S27" s="122">
        <f t="shared" si="5"/>
        <v>0.5233734939759036</v>
      </c>
      <c r="T27" s="133">
        <v>0.5</v>
      </c>
    </row>
    <row r="28" spans="1:20" ht="14.4" hidden="1" x14ac:dyDescent="0.3">
      <c r="A28" s="175" t="s">
        <v>58</v>
      </c>
      <c r="B28" s="176" t="s">
        <v>120</v>
      </c>
      <c r="C28" s="176" t="s">
        <v>123</v>
      </c>
      <c r="D28" s="176" t="s">
        <v>599</v>
      </c>
      <c r="E28" s="177">
        <v>18</v>
      </c>
      <c r="F28" s="176" t="s">
        <v>600</v>
      </c>
      <c r="G28" s="178"/>
      <c r="H28" s="176" t="s">
        <v>604</v>
      </c>
      <c r="I28" s="176" t="s">
        <v>578</v>
      </c>
      <c r="J28" s="176"/>
      <c r="K28" s="176" t="s">
        <v>565</v>
      </c>
      <c r="L28" s="176"/>
      <c r="M28" s="176"/>
      <c r="N28" s="179">
        <f t="shared" si="6"/>
        <v>381</v>
      </c>
      <c r="O28" s="179">
        <f t="shared" si="7"/>
        <v>162</v>
      </c>
      <c r="P28" s="180">
        <f t="shared" si="2"/>
        <v>543</v>
      </c>
      <c r="Q28" s="181">
        <f t="shared" si="3"/>
        <v>0.6542168674698795</v>
      </c>
      <c r="R28" s="122">
        <f t="shared" si="4"/>
        <v>108.60000000000001</v>
      </c>
      <c r="S28" s="122">
        <f t="shared" si="5"/>
        <v>0.5233734939759036</v>
      </c>
      <c r="T28" s="133">
        <v>0.5</v>
      </c>
    </row>
    <row r="29" spans="1:20" ht="14.4" hidden="1" x14ac:dyDescent="0.3">
      <c r="A29" s="175" t="s">
        <v>58</v>
      </c>
      <c r="B29" s="176" t="s">
        <v>120</v>
      </c>
      <c r="C29" s="176" t="s">
        <v>79</v>
      </c>
      <c r="D29" s="176" t="s">
        <v>599</v>
      </c>
      <c r="E29" s="177">
        <v>20</v>
      </c>
      <c r="F29" s="176" t="s">
        <v>600</v>
      </c>
      <c r="G29" s="177">
        <v>20</v>
      </c>
      <c r="H29" s="176" t="s">
        <v>604</v>
      </c>
      <c r="I29" s="176" t="s">
        <v>578</v>
      </c>
      <c r="J29" s="176"/>
      <c r="K29" s="176" t="s">
        <v>565</v>
      </c>
      <c r="L29" s="176"/>
      <c r="M29" s="176"/>
      <c r="N29" s="179">
        <f t="shared" si="6"/>
        <v>381</v>
      </c>
      <c r="O29" s="179">
        <f t="shared" si="7"/>
        <v>162</v>
      </c>
      <c r="P29" s="180">
        <f t="shared" si="2"/>
        <v>543</v>
      </c>
      <c r="Q29" s="181">
        <f t="shared" si="3"/>
        <v>0.6542168674698795</v>
      </c>
      <c r="R29" s="122">
        <f t="shared" si="4"/>
        <v>108.60000000000001</v>
      </c>
      <c r="S29" s="122">
        <f t="shared" si="5"/>
        <v>0.5233734939759036</v>
      </c>
      <c r="T29" s="133">
        <v>0.5</v>
      </c>
    </row>
    <row r="30" spans="1:20" ht="14.4" hidden="1" x14ac:dyDescent="0.3">
      <c r="A30" s="175" t="s">
        <v>58</v>
      </c>
      <c r="B30" s="176" t="s">
        <v>120</v>
      </c>
      <c r="C30" s="176" t="s">
        <v>100</v>
      </c>
      <c r="D30" s="176" t="s">
        <v>599</v>
      </c>
      <c r="E30" s="177">
        <v>16</v>
      </c>
      <c r="F30" s="176" t="s">
        <v>600</v>
      </c>
      <c r="G30" s="177">
        <v>32</v>
      </c>
      <c r="H30" s="176" t="s">
        <v>594</v>
      </c>
      <c r="I30" s="176" t="s">
        <v>358</v>
      </c>
      <c r="J30" s="176"/>
      <c r="K30" s="176" t="s">
        <v>593</v>
      </c>
      <c r="L30" s="176"/>
      <c r="M30" s="176"/>
      <c r="N30" s="179">
        <f t="shared" si="6"/>
        <v>111</v>
      </c>
      <c r="O30" s="179">
        <f t="shared" si="7"/>
        <v>265</v>
      </c>
      <c r="P30" s="180">
        <f t="shared" si="2"/>
        <v>376</v>
      </c>
      <c r="Q30" s="181">
        <f t="shared" si="3"/>
        <v>0.45301204819277108</v>
      </c>
      <c r="R30" s="122">
        <f t="shared" si="4"/>
        <v>75.2</v>
      </c>
      <c r="S30" s="122">
        <f t="shared" si="5"/>
        <v>0.36240963855421687</v>
      </c>
      <c r="T30" s="133">
        <v>0.45</v>
      </c>
    </row>
    <row r="31" spans="1:20" ht="14.4" hidden="1" x14ac:dyDescent="0.3">
      <c r="A31" s="175" t="s">
        <v>58</v>
      </c>
      <c r="B31" s="176" t="s">
        <v>120</v>
      </c>
      <c r="C31" s="176" t="s">
        <v>100</v>
      </c>
      <c r="D31" s="176" t="s">
        <v>599</v>
      </c>
      <c r="E31" s="177">
        <v>16</v>
      </c>
      <c r="F31" s="176" t="s">
        <v>600</v>
      </c>
      <c r="G31" s="177">
        <v>32</v>
      </c>
      <c r="H31" s="176" t="s">
        <v>605</v>
      </c>
      <c r="I31" s="176" t="s">
        <v>575</v>
      </c>
      <c r="J31" s="176"/>
      <c r="K31" s="176" t="s">
        <v>593</v>
      </c>
      <c r="L31" s="176"/>
      <c r="M31" s="176"/>
      <c r="N31" s="179">
        <f t="shared" si="6"/>
        <v>78</v>
      </c>
      <c r="O31" s="179">
        <f t="shared" si="7"/>
        <v>240.5</v>
      </c>
      <c r="P31" s="180">
        <f t="shared" si="2"/>
        <v>318.5</v>
      </c>
      <c r="Q31" s="181">
        <f t="shared" si="3"/>
        <v>0.38373493975903616</v>
      </c>
      <c r="R31" s="122">
        <f t="shared" si="4"/>
        <v>63.7</v>
      </c>
      <c r="S31" s="122">
        <f t="shared" si="5"/>
        <v>0.30698795180722893</v>
      </c>
      <c r="T31" s="133">
        <v>0.35</v>
      </c>
    </row>
    <row r="32" spans="1:20" ht="14.4" hidden="1" x14ac:dyDescent="0.3">
      <c r="A32" s="175" t="s">
        <v>58</v>
      </c>
      <c r="B32" s="176" t="s">
        <v>120</v>
      </c>
      <c r="C32" s="176" t="s">
        <v>111</v>
      </c>
      <c r="D32" s="176" t="s">
        <v>599</v>
      </c>
      <c r="E32" s="177">
        <v>4</v>
      </c>
      <c r="F32" s="176" t="s">
        <v>600</v>
      </c>
      <c r="G32" s="178"/>
      <c r="H32" s="176" t="s">
        <v>604</v>
      </c>
      <c r="I32" s="176" t="s">
        <v>578</v>
      </c>
      <c r="J32" s="176"/>
      <c r="K32" s="176" t="s">
        <v>565</v>
      </c>
      <c r="L32" s="176"/>
      <c r="M32" s="176"/>
      <c r="N32" s="179">
        <f t="shared" si="6"/>
        <v>381</v>
      </c>
      <c r="O32" s="179">
        <f t="shared" si="7"/>
        <v>162</v>
      </c>
      <c r="P32" s="180">
        <f t="shared" si="2"/>
        <v>543</v>
      </c>
      <c r="Q32" s="181">
        <f t="shared" si="3"/>
        <v>0.6542168674698795</v>
      </c>
      <c r="R32" s="122">
        <f t="shared" si="4"/>
        <v>108.60000000000001</v>
      </c>
      <c r="S32" s="122">
        <f t="shared" si="5"/>
        <v>0.5233734939759036</v>
      </c>
      <c r="T32" s="133">
        <v>0.5</v>
      </c>
    </row>
    <row r="33" spans="1:20" ht="14.4" x14ac:dyDescent="0.3">
      <c r="A33" s="175" t="s">
        <v>58</v>
      </c>
      <c r="B33" s="176" t="s">
        <v>120</v>
      </c>
      <c r="C33" s="176" t="s">
        <v>111</v>
      </c>
      <c r="D33" s="176" t="s">
        <v>599</v>
      </c>
      <c r="E33" s="177">
        <v>1</v>
      </c>
      <c r="F33" s="176" t="s">
        <v>600</v>
      </c>
      <c r="G33" s="178"/>
      <c r="H33" s="176"/>
      <c r="I33" s="176" t="s">
        <v>500</v>
      </c>
      <c r="J33" s="176"/>
      <c r="K33" s="176" t="s">
        <v>593</v>
      </c>
      <c r="L33" s="176"/>
      <c r="M33" s="176"/>
      <c r="N33" s="179">
        <f t="shared" si="6"/>
        <v>14.5</v>
      </c>
      <c r="O33" s="179">
        <f t="shared" si="7"/>
        <v>78</v>
      </c>
      <c r="P33" s="180">
        <f t="shared" si="2"/>
        <v>92.5</v>
      </c>
      <c r="Q33" s="181">
        <f t="shared" si="3"/>
        <v>0.11144578313253012</v>
      </c>
      <c r="R33" s="122">
        <f t="shared" si="4"/>
        <v>18.5</v>
      </c>
      <c r="S33" s="122">
        <f t="shared" si="5"/>
        <v>8.91566265060241E-2</v>
      </c>
      <c r="T33" s="133">
        <v>0</v>
      </c>
    </row>
    <row r="34" spans="1:20" ht="14.4" hidden="1" x14ac:dyDescent="0.3">
      <c r="A34" s="175" t="s">
        <v>58</v>
      </c>
      <c r="B34" s="176" t="s">
        <v>120</v>
      </c>
      <c r="C34" s="176" t="s">
        <v>80</v>
      </c>
      <c r="D34" s="176" t="s">
        <v>599</v>
      </c>
      <c r="E34" s="177">
        <v>4</v>
      </c>
      <c r="F34" s="176" t="s">
        <v>600</v>
      </c>
      <c r="G34" s="178"/>
      <c r="H34" s="176" t="s">
        <v>604</v>
      </c>
      <c r="I34" s="176" t="s">
        <v>578</v>
      </c>
      <c r="J34" s="176"/>
      <c r="K34" s="176" t="s">
        <v>565</v>
      </c>
      <c r="L34" s="176"/>
      <c r="M34" s="176"/>
      <c r="N34" s="179">
        <f t="shared" si="6"/>
        <v>381</v>
      </c>
      <c r="O34" s="179">
        <f t="shared" si="7"/>
        <v>162</v>
      </c>
      <c r="P34" s="180">
        <f t="shared" si="2"/>
        <v>543</v>
      </c>
      <c r="Q34" s="181">
        <f t="shared" si="3"/>
        <v>0.6542168674698795</v>
      </c>
      <c r="R34" s="122">
        <f t="shared" si="4"/>
        <v>108.60000000000001</v>
      </c>
      <c r="S34" s="122">
        <f t="shared" si="5"/>
        <v>0.5233734939759036</v>
      </c>
      <c r="T34" s="133">
        <v>0.5</v>
      </c>
    </row>
    <row r="35" spans="1:20" ht="14.4" hidden="1" x14ac:dyDescent="0.3">
      <c r="A35" s="175" t="s">
        <v>58</v>
      </c>
      <c r="B35" s="176" t="s">
        <v>131</v>
      </c>
      <c r="C35" s="176" t="s">
        <v>73</v>
      </c>
      <c r="D35" s="176" t="s">
        <v>590</v>
      </c>
      <c r="E35" s="177">
        <v>18</v>
      </c>
      <c r="F35" s="176" t="s">
        <v>591</v>
      </c>
      <c r="G35" s="177">
        <v>18</v>
      </c>
      <c r="H35" s="176" t="s">
        <v>606</v>
      </c>
      <c r="I35" s="176" t="s">
        <v>510</v>
      </c>
      <c r="J35" s="176"/>
      <c r="K35" s="176" t="s">
        <v>593</v>
      </c>
      <c r="L35" s="176"/>
      <c r="M35" s="176"/>
      <c r="N35" s="179">
        <f t="shared" si="6"/>
        <v>337</v>
      </c>
      <c r="O35" s="179">
        <f t="shared" si="7"/>
        <v>205</v>
      </c>
      <c r="P35" s="180">
        <f t="shared" si="2"/>
        <v>542</v>
      </c>
      <c r="Q35" s="181">
        <f t="shared" si="3"/>
        <v>0.65301204819277103</v>
      </c>
      <c r="R35" s="122">
        <f t="shared" si="4"/>
        <v>108.4</v>
      </c>
      <c r="S35" s="122">
        <f t="shared" si="5"/>
        <v>0.52240963855421685</v>
      </c>
      <c r="T35" s="133">
        <v>0.65</v>
      </c>
    </row>
    <row r="36" spans="1:20" ht="14.4" hidden="1" x14ac:dyDescent="0.3">
      <c r="A36" s="175" t="s">
        <v>58</v>
      </c>
      <c r="B36" s="176" t="s">
        <v>131</v>
      </c>
      <c r="C36" s="176" t="s">
        <v>79</v>
      </c>
      <c r="D36" s="176" t="s">
        <v>590</v>
      </c>
      <c r="E36" s="177">
        <v>28</v>
      </c>
      <c r="F36" s="176" t="s">
        <v>591</v>
      </c>
      <c r="G36" s="177">
        <v>28</v>
      </c>
      <c r="H36" s="176" t="s">
        <v>606</v>
      </c>
      <c r="I36" s="176" t="s">
        <v>510</v>
      </c>
      <c r="J36" s="176"/>
      <c r="K36" s="176" t="s">
        <v>593</v>
      </c>
      <c r="L36" s="176"/>
      <c r="M36" s="176"/>
      <c r="N36" s="179">
        <f t="shared" si="6"/>
        <v>337</v>
      </c>
      <c r="O36" s="179">
        <f t="shared" si="7"/>
        <v>205</v>
      </c>
      <c r="P36" s="180">
        <f t="shared" si="2"/>
        <v>542</v>
      </c>
      <c r="Q36" s="181">
        <f t="shared" si="3"/>
        <v>0.65301204819277103</v>
      </c>
      <c r="R36" s="122">
        <f t="shared" si="4"/>
        <v>108.4</v>
      </c>
      <c r="S36" s="122">
        <f t="shared" si="5"/>
        <v>0.52240963855421685</v>
      </c>
      <c r="T36" s="133">
        <v>0.65</v>
      </c>
    </row>
    <row r="37" spans="1:20" ht="14.4" hidden="1" x14ac:dyDescent="0.3">
      <c r="A37" s="175" t="s">
        <v>58</v>
      </c>
      <c r="B37" s="176" t="s">
        <v>131</v>
      </c>
      <c r="C37" s="176" t="s">
        <v>142</v>
      </c>
      <c r="D37" s="176" t="s">
        <v>590</v>
      </c>
      <c r="E37" s="177">
        <v>3</v>
      </c>
      <c r="F37" s="176" t="s">
        <v>591</v>
      </c>
      <c r="G37" s="178"/>
      <c r="H37" s="176" t="s">
        <v>606</v>
      </c>
      <c r="I37" s="176" t="s">
        <v>510</v>
      </c>
      <c r="J37" s="176"/>
      <c r="K37" s="176" t="s">
        <v>593</v>
      </c>
      <c r="L37" s="176"/>
      <c r="M37" s="176"/>
      <c r="N37" s="179">
        <f t="shared" si="6"/>
        <v>337</v>
      </c>
      <c r="O37" s="179">
        <f t="shared" si="7"/>
        <v>205</v>
      </c>
      <c r="P37" s="180">
        <f t="shared" si="2"/>
        <v>542</v>
      </c>
      <c r="Q37" s="181">
        <f t="shared" si="3"/>
        <v>0.65301204819277103</v>
      </c>
      <c r="R37" s="122">
        <f t="shared" si="4"/>
        <v>108.4</v>
      </c>
      <c r="S37" s="122">
        <f t="shared" si="5"/>
        <v>0.52240963855421685</v>
      </c>
      <c r="T37" s="133">
        <v>0.65</v>
      </c>
    </row>
    <row r="38" spans="1:20" ht="14.4" hidden="1" x14ac:dyDescent="0.3">
      <c r="A38" s="175" t="s">
        <v>58</v>
      </c>
      <c r="B38" s="176" t="s">
        <v>131</v>
      </c>
      <c r="C38" s="176" t="s">
        <v>80</v>
      </c>
      <c r="D38" s="176" t="s">
        <v>590</v>
      </c>
      <c r="E38" s="177">
        <v>1</v>
      </c>
      <c r="F38" s="176" t="s">
        <v>591</v>
      </c>
      <c r="G38" s="178"/>
      <c r="H38" s="176" t="s">
        <v>606</v>
      </c>
      <c r="I38" s="176" t="s">
        <v>510</v>
      </c>
      <c r="J38" s="176"/>
      <c r="K38" s="176" t="s">
        <v>593</v>
      </c>
      <c r="L38" s="176"/>
      <c r="M38" s="176"/>
      <c r="N38" s="179">
        <f t="shared" si="6"/>
        <v>337</v>
      </c>
      <c r="O38" s="179">
        <f t="shared" si="7"/>
        <v>205</v>
      </c>
      <c r="P38" s="180">
        <f t="shared" si="2"/>
        <v>542</v>
      </c>
      <c r="Q38" s="181">
        <f t="shared" si="3"/>
        <v>0.65301204819277103</v>
      </c>
      <c r="R38" s="122">
        <f t="shared" si="4"/>
        <v>108.4</v>
      </c>
      <c r="S38" s="122">
        <f t="shared" si="5"/>
        <v>0.52240963855421685</v>
      </c>
      <c r="T38" s="133">
        <v>0.65</v>
      </c>
    </row>
    <row r="39" spans="1:20" ht="14.4" hidden="1" x14ac:dyDescent="0.3">
      <c r="A39" s="175" t="s">
        <v>58</v>
      </c>
      <c r="B39" s="176" t="s">
        <v>157</v>
      </c>
      <c r="C39" s="176" t="s">
        <v>73</v>
      </c>
      <c r="D39" s="176" t="s">
        <v>590</v>
      </c>
      <c r="E39" s="177">
        <v>24</v>
      </c>
      <c r="F39" s="176" t="s">
        <v>591</v>
      </c>
      <c r="G39" s="177">
        <v>24</v>
      </c>
      <c r="H39" s="176" t="s">
        <v>607</v>
      </c>
      <c r="I39" s="176" t="s">
        <v>554</v>
      </c>
      <c r="J39" s="176"/>
      <c r="K39" s="176" t="s">
        <v>565</v>
      </c>
      <c r="L39" s="176"/>
      <c r="M39" s="176"/>
      <c r="N39" s="179">
        <f t="shared" si="6"/>
        <v>161</v>
      </c>
      <c r="O39" s="179">
        <f t="shared" si="7"/>
        <v>92</v>
      </c>
      <c r="P39" s="180">
        <f t="shared" si="2"/>
        <v>253</v>
      </c>
      <c r="Q39" s="181">
        <f t="shared" si="3"/>
        <v>0.30481927710843376</v>
      </c>
      <c r="R39" s="122">
        <f t="shared" si="4"/>
        <v>50.6</v>
      </c>
      <c r="S39" s="122">
        <f t="shared" si="5"/>
        <v>0.24385542168674701</v>
      </c>
      <c r="T39" s="133">
        <v>0.25</v>
      </c>
    </row>
    <row r="40" spans="1:20" ht="14.4" hidden="1" x14ac:dyDescent="0.3">
      <c r="A40" s="175" t="s">
        <v>58</v>
      </c>
      <c r="B40" s="176" t="s">
        <v>157</v>
      </c>
      <c r="C40" s="176" t="s">
        <v>123</v>
      </c>
      <c r="D40" s="176" t="s">
        <v>590</v>
      </c>
      <c r="E40" s="177">
        <v>26</v>
      </c>
      <c r="F40" s="176" t="s">
        <v>591</v>
      </c>
      <c r="G40" s="178"/>
      <c r="H40" s="176" t="s">
        <v>607</v>
      </c>
      <c r="I40" s="176" t="s">
        <v>554</v>
      </c>
      <c r="J40" s="176"/>
      <c r="K40" s="176" t="s">
        <v>565</v>
      </c>
      <c r="L40" s="176"/>
      <c r="M40" s="176"/>
      <c r="N40" s="179">
        <f t="shared" si="6"/>
        <v>161</v>
      </c>
      <c r="O40" s="179">
        <f t="shared" si="7"/>
        <v>92</v>
      </c>
      <c r="P40" s="180">
        <f t="shared" si="2"/>
        <v>253</v>
      </c>
      <c r="Q40" s="181">
        <f t="shared" si="3"/>
        <v>0.30481927710843376</v>
      </c>
      <c r="R40" s="122">
        <f t="shared" si="4"/>
        <v>50.6</v>
      </c>
      <c r="S40" s="122">
        <f t="shared" si="5"/>
        <v>0.24385542168674701</v>
      </c>
      <c r="T40" s="133">
        <v>0.25</v>
      </c>
    </row>
    <row r="41" spans="1:20" ht="14.4" hidden="1" x14ac:dyDescent="0.3">
      <c r="A41" s="175" t="s">
        <v>58</v>
      </c>
      <c r="B41" s="176" t="s">
        <v>157</v>
      </c>
      <c r="C41" s="176" t="s">
        <v>87</v>
      </c>
      <c r="D41" s="176" t="s">
        <v>590</v>
      </c>
      <c r="E41" s="177">
        <v>4</v>
      </c>
      <c r="F41" s="176" t="s">
        <v>591</v>
      </c>
      <c r="G41" s="178"/>
      <c r="H41" s="176" t="s">
        <v>607</v>
      </c>
      <c r="I41" s="176" t="s">
        <v>554</v>
      </c>
      <c r="J41" s="176"/>
      <c r="K41" s="176" t="s">
        <v>565</v>
      </c>
      <c r="L41" s="176"/>
      <c r="M41" s="176"/>
      <c r="N41" s="179">
        <f t="shared" si="6"/>
        <v>161</v>
      </c>
      <c r="O41" s="179">
        <f t="shared" si="7"/>
        <v>92</v>
      </c>
      <c r="P41" s="180">
        <f t="shared" si="2"/>
        <v>253</v>
      </c>
      <c r="Q41" s="181">
        <f t="shared" si="3"/>
        <v>0.30481927710843376</v>
      </c>
      <c r="R41" s="122">
        <f t="shared" si="4"/>
        <v>50.6</v>
      </c>
      <c r="S41" s="122">
        <f t="shared" si="5"/>
        <v>0.24385542168674701</v>
      </c>
      <c r="T41" s="133">
        <v>0.25</v>
      </c>
    </row>
    <row r="42" spans="1:20" ht="14.4" hidden="1" x14ac:dyDescent="0.3">
      <c r="A42" s="175" t="s">
        <v>58</v>
      </c>
      <c r="B42" s="176" t="s">
        <v>157</v>
      </c>
      <c r="C42" s="176" t="s">
        <v>79</v>
      </c>
      <c r="D42" s="176" t="s">
        <v>590</v>
      </c>
      <c r="E42" s="177">
        <v>42</v>
      </c>
      <c r="F42" s="176" t="s">
        <v>591</v>
      </c>
      <c r="G42" s="177">
        <v>42</v>
      </c>
      <c r="H42" s="176" t="s">
        <v>607</v>
      </c>
      <c r="I42" s="176" t="s">
        <v>554</v>
      </c>
      <c r="J42" s="176"/>
      <c r="K42" s="176" t="s">
        <v>565</v>
      </c>
      <c r="L42" s="176"/>
      <c r="M42" s="176"/>
      <c r="N42" s="179">
        <f t="shared" si="6"/>
        <v>161</v>
      </c>
      <c r="O42" s="179">
        <f t="shared" si="7"/>
        <v>92</v>
      </c>
      <c r="P42" s="180">
        <f t="shared" si="2"/>
        <v>253</v>
      </c>
      <c r="Q42" s="181">
        <f t="shared" si="3"/>
        <v>0.30481927710843376</v>
      </c>
      <c r="R42" s="122">
        <f t="shared" si="4"/>
        <v>50.6</v>
      </c>
      <c r="S42" s="122">
        <f t="shared" si="5"/>
        <v>0.24385542168674701</v>
      </c>
      <c r="T42" s="133">
        <v>0.25</v>
      </c>
    </row>
    <row r="43" spans="1:20" ht="14.4" hidden="1" x14ac:dyDescent="0.3">
      <c r="A43" s="175" t="s">
        <v>58</v>
      </c>
      <c r="B43" s="176" t="s">
        <v>157</v>
      </c>
      <c r="C43" s="176" t="s">
        <v>80</v>
      </c>
      <c r="D43" s="176" t="s">
        <v>590</v>
      </c>
      <c r="E43" s="177">
        <v>1</v>
      </c>
      <c r="F43" s="176" t="s">
        <v>591</v>
      </c>
      <c r="G43" s="178"/>
      <c r="H43" s="176" t="s">
        <v>607</v>
      </c>
      <c r="I43" s="176" t="s">
        <v>554</v>
      </c>
      <c r="J43" s="176"/>
      <c r="K43" s="176" t="s">
        <v>565</v>
      </c>
      <c r="L43" s="176"/>
      <c r="M43" s="176"/>
      <c r="N43" s="179">
        <f t="shared" si="6"/>
        <v>161</v>
      </c>
      <c r="O43" s="179">
        <f t="shared" si="7"/>
        <v>92</v>
      </c>
      <c r="P43" s="180">
        <f t="shared" si="2"/>
        <v>253</v>
      </c>
      <c r="Q43" s="181">
        <f t="shared" si="3"/>
        <v>0.30481927710843376</v>
      </c>
      <c r="R43" s="122">
        <f t="shared" si="4"/>
        <v>50.6</v>
      </c>
      <c r="S43" s="122">
        <f t="shared" si="5"/>
        <v>0.24385542168674701</v>
      </c>
      <c r="T43" s="133">
        <v>0.25</v>
      </c>
    </row>
    <row r="44" spans="1:20" ht="14.4" hidden="1" x14ac:dyDescent="0.3">
      <c r="A44" s="175" t="s">
        <v>58</v>
      </c>
      <c r="B44" s="176" t="s">
        <v>164</v>
      </c>
      <c r="C44" s="176" t="s">
        <v>73</v>
      </c>
      <c r="D44" s="176" t="s">
        <v>608</v>
      </c>
      <c r="E44" s="177">
        <v>18</v>
      </c>
      <c r="F44" s="176" t="s">
        <v>166</v>
      </c>
      <c r="G44" s="177">
        <v>18</v>
      </c>
      <c r="H44" s="176" t="s">
        <v>609</v>
      </c>
      <c r="I44" s="176" t="s">
        <v>582</v>
      </c>
      <c r="J44" s="176"/>
      <c r="K44" s="176" t="s">
        <v>593</v>
      </c>
      <c r="L44" s="176"/>
      <c r="M44" s="176"/>
      <c r="N44" s="179">
        <f t="shared" si="6"/>
        <v>298</v>
      </c>
      <c r="O44" s="179">
        <f t="shared" si="7"/>
        <v>310</v>
      </c>
      <c r="P44" s="180">
        <f t="shared" si="2"/>
        <v>608</v>
      </c>
      <c r="Q44" s="181">
        <f t="shared" si="3"/>
        <v>0.73253012048192767</v>
      </c>
      <c r="R44" s="122">
        <f t="shared" si="4"/>
        <v>121.60000000000001</v>
      </c>
      <c r="S44" s="122">
        <f t="shared" si="5"/>
        <v>0.5860240963855422</v>
      </c>
      <c r="T44" s="133">
        <v>0.7</v>
      </c>
    </row>
    <row r="45" spans="1:20" ht="14.4" hidden="1" x14ac:dyDescent="0.3">
      <c r="A45" s="175" t="s">
        <v>58</v>
      </c>
      <c r="B45" s="176" t="s">
        <v>164</v>
      </c>
      <c r="C45" s="176" t="s">
        <v>123</v>
      </c>
      <c r="D45" s="176" t="s">
        <v>608</v>
      </c>
      <c r="E45" s="177">
        <v>24</v>
      </c>
      <c r="F45" s="176" t="s">
        <v>166</v>
      </c>
      <c r="G45" s="178"/>
      <c r="H45" s="176" t="s">
        <v>609</v>
      </c>
      <c r="I45" s="176" t="s">
        <v>582</v>
      </c>
      <c r="J45" s="176"/>
      <c r="K45" s="176" t="s">
        <v>593</v>
      </c>
      <c r="L45" s="176"/>
      <c r="M45" s="176"/>
      <c r="N45" s="179">
        <f t="shared" si="6"/>
        <v>298</v>
      </c>
      <c r="O45" s="179">
        <f t="shared" si="7"/>
        <v>310</v>
      </c>
      <c r="P45" s="180">
        <f t="shared" si="2"/>
        <v>608</v>
      </c>
      <c r="Q45" s="181">
        <f t="shared" si="3"/>
        <v>0.73253012048192767</v>
      </c>
      <c r="R45" s="122">
        <f t="shared" si="4"/>
        <v>121.60000000000001</v>
      </c>
      <c r="S45" s="122">
        <f t="shared" si="5"/>
        <v>0.5860240963855422</v>
      </c>
      <c r="T45" s="133">
        <v>0.7</v>
      </c>
    </row>
    <row r="46" spans="1:20" ht="14.4" hidden="1" x14ac:dyDescent="0.3">
      <c r="A46" s="175" t="s">
        <v>58</v>
      </c>
      <c r="B46" s="176" t="s">
        <v>164</v>
      </c>
      <c r="C46" s="176" t="s">
        <v>87</v>
      </c>
      <c r="D46" s="176" t="s">
        <v>608</v>
      </c>
      <c r="E46" s="177">
        <v>4</v>
      </c>
      <c r="F46" s="176" t="s">
        <v>166</v>
      </c>
      <c r="G46" s="178"/>
      <c r="H46" s="176" t="s">
        <v>609</v>
      </c>
      <c r="I46" s="176" t="s">
        <v>582</v>
      </c>
      <c r="J46" s="176"/>
      <c r="K46" s="176" t="s">
        <v>593</v>
      </c>
      <c r="L46" s="176"/>
      <c r="M46" s="176"/>
      <c r="N46" s="179">
        <f t="shared" si="6"/>
        <v>298</v>
      </c>
      <c r="O46" s="179">
        <f t="shared" si="7"/>
        <v>310</v>
      </c>
      <c r="P46" s="180">
        <f t="shared" si="2"/>
        <v>608</v>
      </c>
      <c r="Q46" s="181">
        <f t="shared" si="3"/>
        <v>0.73253012048192767</v>
      </c>
      <c r="R46" s="122">
        <f t="shared" si="4"/>
        <v>121.60000000000001</v>
      </c>
      <c r="S46" s="122">
        <f t="shared" si="5"/>
        <v>0.5860240963855422</v>
      </c>
      <c r="T46" s="133">
        <v>0.7</v>
      </c>
    </row>
    <row r="47" spans="1:20" ht="14.4" hidden="1" x14ac:dyDescent="0.3">
      <c r="A47" s="175" t="s">
        <v>58</v>
      </c>
      <c r="B47" s="176" t="s">
        <v>164</v>
      </c>
      <c r="C47" s="176" t="s">
        <v>79</v>
      </c>
      <c r="D47" s="176" t="s">
        <v>608</v>
      </c>
      <c r="E47" s="177">
        <v>62</v>
      </c>
      <c r="F47" s="176" t="s">
        <v>166</v>
      </c>
      <c r="G47" s="177">
        <v>62</v>
      </c>
      <c r="H47" s="176" t="s">
        <v>609</v>
      </c>
      <c r="I47" s="176" t="s">
        <v>582</v>
      </c>
      <c r="J47" s="176"/>
      <c r="K47" s="176" t="s">
        <v>593</v>
      </c>
      <c r="L47" s="176"/>
      <c r="M47" s="176"/>
      <c r="N47" s="179">
        <f t="shared" si="6"/>
        <v>298</v>
      </c>
      <c r="O47" s="179">
        <f t="shared" si="7"/>
        <v>310</v>
      </c>
      <c r="P47" s="180">
        <f t="shared" si="2"/>
        <v>608</v>
      </c>
      <c r="Q47" s="181">
        <f t="shared" si="3"/>
        <v>0.73253012048192767</v>
      </c>
      <c r="R47" s="122">
        <f t="shared" si="4"/>
        <v>121.60000000000001</v>
      </c>
      <c r="S47" s="122">
        <f t="shared" si="5"/>
        <v>0.5860240963855422</v>
      </c>
      <c r="T47" s="133">
        <v>0.7</v>
      </c>
    </row>
    <row r="48" spans="1:20" ht="14.4" hidden="1" x14ac:dyDescent="0.3">
      <c r="A48" s="175" t="s">
        <v>58</v>
      </c>
      <c r="B48" s="176" t="s">
        <v>164</v>
      </c>
      <c r="C48" s="176" t="s">
        <v>80</v>
      </c>
      <c r="D48" s="176" t="s">
        <v>608</v>
      </c>
      <c r="E48" s="177">
        <v>1</v>
      </c>
      <c r="F48" s="176" t="s">
        <v>166</v>
      </c>
      <c r="G48" s="178"/>
      <c r="H48" s="176" t="s">
        <v>609</v>
      </c>
      <c r="I48" s="176" t="s">
        <v>582</v>
      </c>
      <c r="J48" s="176"/>
      <c r="K48" s="176" t="s">
        <v>593</v>
      </c>
      <c r="L48" s="176"/>
      <c r="M48" s="176"/>
      <c r="N48" s="179">
        <f t="shared" si="6"/>
        <v>298</v>
      </c>
      <c r="O48" s="179">
        <f t="shared" si="7"/>
        <v>310</v>
      </c>
      <c r="P48" s="180">
        <f t="shared" si="2"/>
        <v>608</v>
      </c>
      <c r="Q48" s="181">
        <f t="shared" si="3"/>
        <v>0.73253012048192767</v>
      </c>
      <c r="R48" s="122">
        <f t="shared" si="4"/>
        <v>121.60000000000001</v>
      </c>
      <c r="S48" s="122">
        <f t="shared" si="5"/>
        <v>0.5860240963855422</v>
      </c>
      <c r="T48" s="133">
        <v>0.7</v>
      </c>
    </row>
    <row r="49" spans="1:20" ht="14.4" hidden="1" x14ac:dyDescent="0.3">
      <c r="A49" s="175" t="s">
        <v>58</v>
      </c>
      <c r="B49" s="186" t="s">
        <v>170</v>
      </c>
      <c r="C49" s="176" t="s">
        <v>73</v>
      </c>
      <c r="D49" s="176" t="s">
        <v>608</v>
      </c>
      <c r="E49" s="177">
        <v>12</v>
      </c>
      <c r="F49" s="176" t="s">
        <v>166</v>
      </c>
      <c r="G49" s="177">
        <v>12</v>
      </c>
      <c r="H49" s="176" t="s">
        <v>610</v>
      </c>
      <c r="I49" s="176" t="s">
        <v>574</v>
      </c>
      <c r="J49" s="176"/>
      <c r="K49" s="176" t="s">
        <v>565</v>
      </c>
      <c r="L49" s="176"/>
      <c r="M49" s="176"/>
      <c r="N49" s="179">
        <f t="shared" si="6"/>
        <v>171</v>
      </c>
      <c r="O49" s="179">
        <f t="shared" si="7"/>
        <v>88</v>
      </c>
      <c r="P49" s="180">
        <f t="shared" si="2"/>
        <v>259</v>
      </c>
      <c r="Q49" s="181">
        <f t="shared" si="3"/>
        <v>0.31204819277108437</v>
      </c>
      <c r="R49" s="122">
        <f t="shared" si="4"/>
        <v>51.800000000000004</v>
      </c>
      <c r="S49" s="122">
        <f t="shared" si="5"/>
        <v>0.24963855421686751</v>
      </c>
      <c r="T49" s="133">
        <v>0.25</v>
      </c>
    </row>
    <row r="50" spans="1:20" ht="14.4" hidden="1" x14ac:dyDescent="0.3">
      <c r="A50" s="175" t="s">
        <v>58</v>
      </c>
      <c r="B50" s="186" t="s">
        <v>170</v>
      </c>
      <c r="C50" s="176" t="s">
        <v>79</v>
      </c>
      <c r="D50" s="176" t="s">
        <v>608</v>
      </c>
      <c r="E50" s="177">
        <v>42</v>
      </c>
      <c r="F50" s="176" t="s">
        <v>166</v>
      </c>
      <c r="G50" s="177">
        <v>42</v>
      </c>
      <c r="H50" s="176" t="s">
        <v>610</v>
      </c>
      <c r="I50" s="176" t="s">
        <v>574</v>
      </c>
      <c r="J50" s="176"/>
      <c r="K50" s="176" t="s">
        <v>565</v>
      </c>
      <c r="L50" s="176"/>
      <c r="M50" s="176"/>
      <c r="N50" s="179">
        <f t="shared" si="6"/>
        <v>171</v>
      </c>
      <c r="O50" s="179">
        <f t="shared" si="7"/>
        <v>88</v>
      </c>
      <c r="P50" s="180">
        <f t="shared" si="2"/>
        <v>259</v>
      </c>
      <c r="Q50" s="181">
        <f t="shared" si="3"/>
        <v>0.31204819277108437</v>
      </c>
      <c r="R50" s="122">
        <f t="shared" si="4"/>
        <v>51.800000000000004</v>
      </c>
      <c r="S50" s="122">
        <f t="shared" si="5"/>
        <v>0.24963855421686751</v>
      </c>
      <c r="T50" s="133">
        <v>0.25</v>
      </c>
    </row>
    <row r="51" spans="1:20" ht="14.4" hidden="1" x14ac:dyDescent="0.3">
      <c r="A51" s="175" t="s">
        <v>58</v>
      </c>
      <c r="B51" s="186" t="s">
        <v>170</v>
      </c>
      <c r="C51" s="176" t="s">
        <v>111</v>
      </c>
      <c r="D51" s="176" t="s">
        <v>608</v>
      </c>
      <c r="E51" s="177">
        <v>4</v>
      </c>
      <c r="F51" s="176" t="s">
        <v>166</v>
      </c>
      <c r="G51" s="178"/>
      <c r="H51" s="176" t="s">
        <v>610</v>
      </c>
      <c r="I51" s="176" t="s">
        <v>574</v>
      </c>
      <c r="J51" s="176"/>
      <c r="K51" s="176" t="s">
        <v>565</v>
      </c>
      <c r="L51" s="176"/>
      <c r="M51" s="176"/>
      <c r="N51" s="179">
        <f t="shared" si="6"/>
        <v>171</v>
      </c>
      <c r="O51" s="179">
        <f t="shared" si="7"/>
        <v>88</v>
      </c>
      <c r="P51" s="180">
        <f t="shared" si="2"/>
        <v>259</v>
      </c>
      <c r="Q51" s="181">
        <f t="shared" si="3"/>
        <v>0.31204819277108437</v>
      </c>
      <c r="R51" s="122">
        <f t="shared" si="4"/>
        <v>51.800000000000004</v>
      </c>
      <c r="S51" s="122">
        <f t="shared" si="5"/>
        <v>0.24963855421686751</v>
      </c>
      <c r="T51" s="133">
        <v>0.25</v>
      </c>
    </row>
    <row r="52" spans="1:20" ht="14.4" x14ac:dyDescent="0.3">
      <c r="A52" s="175" t="s">
        <v>58</v>
      </c>
      <c r="B52" s="186" t="s">
        <v>170</v>
      </c>
      <c r="C52" s="176" t="s">
        <v>111</v>
      </c>
      <c r="D52" s="176" t="s">
        <v>608</v>
      </c>
      <c r="E52" s="177">
        <v>2</v>
      </c>
      <c r="F52" s="176" t="s">
        <v>166</v>
      </c>
      <c r="G52" s="178"/>
      <c r="H52" s="176" t="s">
        <v>611</v>
      </c>
      <c r="I52" s="176" t="s">
        <v>500</v>
      </c>
      <c r="J52" s="176"/>
      <c r="K52" s="176" t="s">
        <v>565</v>
      </c>
      <c r="L52" s="176"/>
      <c r="M52" s="176"/>
      <c r="N52" s="179">
        <f t="shared" si="6"/>
        <v>14.5</v>
      </c>
      <c r="O52" s="179">
        <f t="shared" si="7"/>
        <v>78</v>
      </c>
      <c r="P52" s="180">
        <f t="shared" si="2"/>
        <v>92.5</v>
      </c>
      <c r="Q52" s="181">
        <f t="shared" si="3"/>
        <v>0.11144578313253012</v>
      </c>
      <c r="R52" s="122">
        <f t="shared" si="4"/>
        <v>18.5</v>
      </c>
      <c r="S52" s="122">
        <f t="shared" si="5"/>
        <v>8.91566265060241E-2</v>
      </c>
      <c r="T52" s="133">
        <v>0</v>
      </c>
    </row>
    <row r="53" spans="1:20" ht="14.4" hidden="1" x14ac:dyDescent="0.3">
      <c r="A53" s="175" t="s">
        <v>58</v>
      </c>
      <c r="B53" s="186" t="s">
        <v>170</v>
      </c>
      <c r="C53" s="176" t="s">
        <v>80</v>
      </c>
      <c r="D53" s="176" t="s">
        <v>608</v>
      </c>
      <c r="E53" s="177">
        <v>1</v>
      </c>
      <c r="F53" s="176" t="s">
        <v>166</v>
      </c>
      <c r="G53" s="178"/>
      <c r="H53" s="176" t="s">
        <v>610</v>
      </c>
      <c r="I53" s="176" t="s">
        <v>574</v>
      </c>
      <c r="J53" s="176"/>
      <c r="K53" s="176" t="s">
        <v>565</v>
      </c>
      <c r="L53" s="176"/>
      <c r="M53" s="176"/>
      <c r="N53" s="179">
        <f t="shared" si="6"/>
        <v>171</v>
      </c>
      <c r="O53" s="179">
        <f t="shared" si="7"/>
        <v>88</v>
      </c>
      <c r="P53" s="180">
        <f t="shared" si="2"/>
        <v>259</v>
      </c>
      <c r="Q53" s="181">
        <f t="shared" si="3"/>
        <v>0.31204819277108437</v>
      </c>
      <c r="R53" s="122">
        <f t="shared" si="4"/>
        <v>51.800000000000004</v>
      </c>
      <c r="S53" s="122">
        <f t="shared" si="5"/>
        <v>0.24963855421686751</v>
      </c>
      <c r="T53" s="133">
        <v>0.25</v>
      </c>
    </row>
    <row r="54" spans="1:20" ht="14.4" x14ac:dyDescent="0.3">
      <c r="A54" s="175" t="s">
        <v>58</v>
      </c>
      <c r="B54" s="186" t="s">
        <v>170</v>
      </c>
      <c r="C54" s="176" t="s">
        <v>80</v>
      </c>
      <c r="D54" s="176" t="s">
        <v>608</v>
      </c>
      <c r="E54" s="177">
        <v>1</v>
      </c>
      <c r="F54" s="176" t="s">
        <v>166</v>
      </c>
      <c r="G54" s="178"/>
      <c r="H54" s="176" t="s">
        <v>611</v>
      </c>
      <c r="I54" s="176" t="s">
        <v>500</v>
      </c>
      <c r="J54" s="176"/>
      <c r="K54" s="176" t="s">
        <v>565</v>
      </c>
      <c r="L54" s="176"/>
      <c r="M54" s="176"/>
      <c r="N54" s="179">
        <f t="shared" si="6"/>
        <v>14.5</v>
      </c>
      <c r="O54" s="179">
        <f t="shared" si="7"/>
        <v>78</v>
      </c>
      <c r="P54" s="180">
        <f t="shared" si="2"/>
        <v>92.5</v>
      </c>
      <c r="Q54" s="181">
        <f t="shared" si="3"/>
        <v>0.11144578313253012</v>
      </c>
      <c r="R54" s="122">
        <f t="shared" si="4"/>
        <v>18.5</v>
      </c>
      <c r="S54" s="122">
        <f t="shared" si="5"/>
        <v>8.91566265060241E-2</v>
      </c>
      <c r="T54" s="133">
        <v>0</v>
      </c>
    </row>
    <row r="55" spans="1:20" ht="14.4" hidden="1" x14ac:dyDescent="0.3">
      <c r="A55" s="175" t="s">
        <v>58</v>
      </c>
      <c r="B55" s="186" t="s">
        <v>173</v>
      </c>
      <c r="C55" s="176" t="s">
        <v>73</v>
      </c>
      <c r="D55" s="176" t="s">
        <v>608</v>
      </c>
      <c r="E55" s="177">
        <v>18</v>
      </c>
      <c r="F55" s="176" t="s">
        <v>166</v>
      </c>
      <c r="G55" s="177">
        <v>18</v>
      </c>
      <c r="H55" s="176" t="s">
        <v>612</v>
      </c>
      <c r="I55" s="176" t="s">
        <v>175</v>
      </c>
      <c r="J55" s="176"/>
      <c r="K55" s="176" t="s">
        <v>565</v>
      </c>
      <c r="L55" s="176"/>
      <c r="M55" s="176"/>
      <c r="N55" s="179">
        <f t="shared" si="6"/>
        <v>186</v>
      </c>
      <c r="O55" s="179">
        <f t="shared" si="7"/>
        <v>42</v>
      </c>
      <c r="P55" s="180">
        <f t="shared" si="2"/>
        <v>228</v>
      </c>
      <c r="Q55" s="181">
        <f t="shared" si="3"/>
        <v>0.27469879518072288</v>
      </c>
      <c r="R55" s="122">
        <f t="shared" si="4"/>
        <v>45.6</v>
      </c>
      <c r="S55" s="122">
        <f t="shared" si="5"/>
        <v>0.21975903614457831</v>
      </c>
      <c r="T55" s="133">
        <v>0.2</v>
      </c>
    </row>
    <row r="56" spans="1:20" ht="14.4" hidden="1" x14ac:dyDescent="0.3">
      <c r="A56" s="175" t="s">
        <v>58</v>
      </c>
      <c r="B56" s="186" t="s">
        <v>173</v>
      </c>
      <c r="C56" s="176" t="s">
        <v>79</v>
      </c>
      <c r="D56" s="176" t="s">
        <v>608</v>
      </c>
      <c r="E56" s="177">
        <v>36</v>
      </c>
      <c r="F56" s="176" t="s">
        <v>166</v>
      </c>
      <c r="G56" s="177">
        <v>36</v>
      </c>
      <c r="H56" s="176" t="s">
        <v>612</v>
      </c>
      <c r="I56" s="176" t="s">
        <v>175</v>
      </c>
      <c r="J56" s="176"/>
      <c r="K56" s="176" t="s">
        <v>565</v>
      </c>
      <c r="L56" s="176"/>
      <c r="M56" s="176"/>
      <c r="N56" s="179">
        <f t="shared" si="6"/>
        <v>186</v>
      </c>
      <c r="O56" s="179">
        <f t="shared" si="7"/>
        <v>42</v>
      </c>
      <c r="P56" s="180">
        <f t="shared" si="2"/>
        <v>228</v>
      </c>
      <c r="Q56" s="181">
        <f t="shared" si="3"/>
        <v>0.27469879518072288</v>
      </c>
      <c r="R56" s="122">
        <f t="shared" si="4"/>
        <v>45.6</v>
      </c>
      <c r="S56" s="122">
        <f t="shared" si="5"/>
        <v>0.21975903614457831</v>
      </c>
      <c r="T56" s="133">
        <v>0.2</v>
      </c>
    </row>
    <row r="57" spans="1:20" ht="14.4" hidden="1" x14ac:dyDescent="0.3">
      <c r="A57" s="175" t="s">
        <v>58</v>
      </c>
      <c r="B57" s="186" t="s">
        <v>173</v>
      </c>
      <c r="C57" s="176" t="s">
        <v>111</v>
      </c>
      <c r="D57" s="176" t="s">
        <v>608</v>
      </c>
      <c r="E57" s="177">
        <v>4</v>
      </c>
      <c r="F57" s="176" t="s">
        <v>166</v>
      </c>
      <c r="G57" s="178"/>
      <c r="H57" s="176" t="s">
        <v>612</v>
      </c>
      <c r="I57" s="176" t="s">
        <v>175</v>
      </c>
      <c r="J57" s="176"/>
      <c r="K57" s="176" t="s">
        <v>565</v>
      </c>
      <c r="L57" s="176"/>
      <c r="M57" s="176"/>
      <c r="N57" s="179">
        <f t="shared" si="6"/>
        <v>186</v>
      </c>
      <c r="O57" s="179">
        <f t="shared" si="7"/>
        <v>42</v>
      </c>
      <c r="P57" s="180">
        <f t="shared" si="2"/>
        <v>228</v>
      </c>
      <c r="Q57" s="181">
        <f t="shared" si="3"/>
        <v>0.27469879518072288</v>
      </c>
      <c r="R57" s="122">
        <f t="shared" si="4"/>
        <v>45.6</v>
      </c>
      <c r="S57" s="122">
        <f t="shared" si="5"/>
        <v>0.21975903614457831</v>
      </c>
      <c r="T57" s="133">
        <v>0.2</v>
      </c>
    </row>
    <row r="58" spans="1:20" ht="14.4" x14ac:dyDescent="0.3">
      <c r="A58" s="175" t="s">
        <v>58</v>
      </c>
      <c r="B58" s="186" t="s">
        <v>173</v>
      </c>
      <c r="C58" s="176" t="s">
        <v>111</v>
      </c>
      <c r="D58" s="176" t="s">
        <v>608</v>
      </c>
      <c r="E58" s="177">
        <v>2</v>
      </c>
      <c r="F58" s="176" t="s">
        <v>166</v>
      </c>
      <c r="G58" s="178"/>
      <c r="H58" s="176" t="s">
        <v>611</v>
      </c>
      <c r="I58" s="176" t="s">
        <v>500</v>
      </c>
      <c r="J58" s="176"/>
      <c r="K58" s="176" t="s">
        <v>565</v>
      </c>
      <c r="L58" s="176"/>
      <c r="M58" s="176"/>
      <c r="N58" s="179">
        <f t="shared" si="6"/>
        <v>14.5</v>
      </c>
      <c r="O58" s="179">
        <f t="shared" si="7"/>
        <v>78</v>
      </c>
      <c r="P58" s="180">
        <f t="shared" si="2"/>
        <v>92.5</v>
      </c>
      <c r="Q58" s="181">
        <f t="shared" si="3"/>
        <v>0.11144578313253012</v>
      </c>
      <c r="R58" s="122">
        <f t="shared" si="4"/>
        <v>18.5</v>
      </c>
      <c r="S58" s="122">
        <f t="shared" si="5"/>
        <v>8.91566265060241E-2</v>
      </c>
      <c r="T58" s="133">
        <v>0</v>
      </c>
    </row>
    <row r="59" spans="1:20" ht="14.4" hidden="1" x14ac:dyDescent="0.3">
      <c r="A59" s="175" t="s">
        <v>58</v>
      </c>
      <c r="B59" s="186" t="s">
        <v>173</v>
      </c>
      <c r="C59" s="176" t="s">
        <v>80</v>
      </c>
      <c r="D59" s="176" t="s">
        <v>608</v>
      </c>
      <c r="E59" s="177">
        <v>1</v>
      </c>
      <c r="F59" s="176" t="s">
        <v>166</v>
      </c>
      <c r="G59" s="178"/>
      <c r="H59" s="176" t="s">
        <v>612</v>
      </c>
      <c r="I59" s="176" t="s">
        <v>175</v>
      </c>
      <c r="J59" s="176"/>
      <c r="K59" s="176" t="s">
        <v>565</v>
      </c>
      <c r="L59" s="176"/>
      <c r="M59" s="176"/>
      <c r="N59" s="179">
        <f t="shared" si="6"/>
        <v>186</v>
      </c>
      <c r="O59" s="179">
        <f t="shared" si="7"/>
        <v>42</v>
      </c>
      <c r="P59" s="180">
        <f t="shared" si="2"/>
        <v>228</v>
      </c>
      <c r="Q59" s="181">
        <f t="shared" si="3"/>
        <v>0.27469879518072288</v>
      </c>
      <c r="R59" s="122">
        <f t="shared" si="4"/>
        <v>45.6</v>
      </c>
      <c r="S59" s="122">
        <f t="shared" si="5"/>
        <v>0.21975903614457831</v>
      </c>
      <c r="T59" s="133">
        <v>0.2</v>
      </c>
    </row>
    <row r="60" spans="1:20" ht="14.4" x14ac:dyDescent="0.3">
      <c r="A60" s="175" t="s">
        <v>58</v>
      </c>
      <c r="B60" s="186" t="s">
        <v>173</v>
      </c>
      <c r="C60" s="176" t="s">
        <v>80</v>
      </c>
      <c r="D60" s="176" t="s">
        <v>608</v>
      </c>
      <c r="E60" s="177">
        <v>1</v>
      </c>
      <c r="F60" s="176" t="s">
        <v>166</v>
      </c>
      <c r="G60" s="178"/>
      <c r="H60" s="176" t="s">
        <v>611</v>
      </c>
      <c r="I60" s="176" t="s">
        <v>500</v>
      </c>
      <c r="J60" s="176"/>
      <c r="K60" s="176" t="s">
        <v>565</v>
      </c>
      <c r="L60" s="176"/>
      <c r="M60" s="176"/>
      <c r="N60" s="179">
        <f t="shared" si="6"/>
        <v>14.5</v>
      </c>
      <c r="O60" s="179">
        <f t="shared" si="7"/>
        <v>78</v>
      </c>
      <c r="P60" s="180">
        <f t="shared" si="2"/>
        <v>92.5</v>
      </c>
      <c r="Q60" s="181">
        <f t="shared" si="3"/>
        <v>0.11144578313253012</v>
      </c>
      <c r="R60" s="122">
        <f t="shared" si="4"/>
        <v>18.5</v>
      </c>
      <c r="S60" s="122">
        <f t="shared" si="5"/>
        <v>8.91566265060241E-2</v>
      </c>
      <c r="T60" s="133">
        <v>0</v>
      </c>
    </row>
    <row r="61" spans="1:20" ht="14.4" hidden="1" x14ac:dyDescent="0.3">
      <c r="A61" s="175" t="s">
        <v>58</v>
      </c>
      <c r="B61" s="186" t="s">
        <v>176</v>
      </c>
      <c r="C61" s="176" t="s">
        <v>73</v>
      </c>
      <c r="D61" s="176" t="s">
        <v>613</v>
      </c>
      <c r="E61" s="177">
        <v>24</v>
      </c>
      <c r="F61" s="176" t="s">
        <v>614</v>
      </c>
      <c r="G61" s="177">
        <v>24</v>
      </c>
      <c r="H61" s="176" t="s">
        <v>615</v>
      </c>
      <c r="I61" s="176" t="s">
        <v>570</v>
      </c>
      <c r="J61" s="176"/>
      <c r="K61" s="176" t="s">
        <v>593</v>
      </c>
      <c r="L61" s="176"/>
      <c r="M61" s="176"/>
      <c r="N61" s="179">
        <f t="shared" si="6"/>
        <v>279</v>
      </c>
      <c r="O61" s="179">
        <f t="shared" si="7"/>
        <v>431</v>
      </c>
      <c r="P61" s="180">
        <f t="shared" si="2"/>
        <v>710</v>
      </c>
      <c r="Q61" s="181">
        <f t="shared" si="3"/>
        <v>0.85542168674698793</v>
      </c>
      <c r="R61" s="122">
        <f t="shared" si="4"/>
        <v>142</v>
      </c>
      <c r="S61" s="122">
        <f t="shared" si="5"/>
        <v>0.68433734939759039</v>
      </c>
      <c r="T61" s="133">
        <v>0.65</v>
      </c>
    </row>
    <row r="62" spans="1:20" ht="14.4" hidden="1" x14ac:dyDescent="0.3">
      <c r="A62" s="175" t="s">
        <v>58</v>
      </c>
      <c r="B62" s="176" t="s">
        <v>176</v>
      </c>
      <c r="C62" s="176" t="s">
        <v>87</v>
      </c>
      <c r="D62" s="176" t="s">
        <v>602</v>
      </c>
      <c r="E62" s="177">
        <v>3</v>
      </c>
      <c r="F62" s="176" t="s">
        <v>614</v>
      </c>
      <c r="G62" s="178"/>
      <c r="H62" s="176" t="s">
        <v>615</v>
      </c>
      <c r="I62" s="176" t="s">
        <v>570</v>
      </c>
      <c r="J62" s="176"/>
      <c r="K62" s="176" t="s">
        <v>593</v>
      </c>
      <c r="L62" s="176"/>
      <c r="M62" s="176"/>
      <c r="N62" s="179">
        <f t="shared" si="6"/>
        <v>279</v>
      </c>
      <c r="O62" s="179">
        <f t="shared" si="7"/>
        <v>431</v>
      </c>
      <c r="P62" s="180">
        <f t="shared" si="2"/>
        <v>710</v>
      </c>
      <c r="Q62" s="181">
        <f t="shared" si="3"/>
        <v>0.85542168674698793</v>
      </c>
      <c r="R62" s="122">
        <f t="shared" si="4"/>
        <v>142</v>
      </c>
      <c r="S62" s="122">
        <f t="shared" si="5"/>
        <v>0.68433734939759039</v>
      </c>
      <c r="T62" s="133">
        <v>0.65</v>
      </c>
    </row>
    <row r="63" spans="1:20" ht="14.4" hidden="1" x14ac:dyDescent="0.3">
      <c r="A63" s="175" t="s">
        <v>58</v>
      </c>
      <c r="B63" s="176" t="s">
        <v>176</v>
      </c>
      <c r="C63" s="176" t="s">
        <v>87</v>
      </c>
      <c r="D63" s="176" t="s">
        <v>616</v>
      </c>
      <c r="E63" s="177">
        <v>5</v>
      </c>
      <c r="F63" s="176" t="s">
        <v>614</v>
      </c>
      <c r="G63" s="178"/>
      <c r="H63" s="176" t="s">
        <v>615</v>
      </c>
      <c r="I63" s="176" t="s">
        <v>570</v>
      </c>
      <c r="J63" s="176"/>
      <c r="K63" s="176" t="s">
        <v>593</v>
      </c>
      <c r="L63" s="176"/>
      <c r="M63" s="176"/>
      <c r="N63" s="179">
        <f t="shared" si="6"/>
        <v>279</v>
      </c>
      <c r="O63" s="179">
        <f t="shared" si="7"/>
        <v>431</v>
      </c>
      <c r="P63" s="180">
        <f t="shared" si="2"/>
        <v>710</v>
      </c>
      <c r="Q63" s="181">
        <f t="shared" si="3"/>
        <v>0.85542168674698793</v>
      </c>
      <c r="R63" s="122">
        <f t="shared" si="4"/>
        <v>142</v>
      </c>
      <c r="S63" s="122">
        <f t="shared" si="5"/>
        <v>0.68433734939759039</v>
      </c>
      <c r="T63" s="133">
        <v>0.65</v>
      </c>
    </row>
    <row r="64" spans="1:20" ht="14.4" hidden="1" x14ac:dyDescent="0.3">
      <c r="A64" s="175" t="s">
        <v>58</v>
      </c>
      <c r="B64" s="176" t="s">
        <v>176</v>
      </c>
      <c r="C64" s="176" t="s">
        <v>87</v>
      </c>
      <c r="D64" s="176" t="s">
        <v>617</v>
      </c>
      <c r="E64" s="177">
        <v>5</v>
      </c>
      <c r="F64" s="176" t="s">
        <v>614</v>
      </c>
      <c r="G64" s="178"/>
      <c r="H64" s="176" t="s">
        <v>615</v>
      </c>
      <c r="I64" s="176" t="s">
        <v>570</v>
      </c>
      <c r="J64" s="176"/>
      <c r="K64" s="176" t="s">
        <v>593</v>
      </c>
      <c r="L64" s="176"/>
      <c r="M64" s="176"/>
      <c r="N64" s="179">
        <f t="shared" si="6"/>
        <v>279</v>
      </c>
      <c r="O64" s="179">
        <f t="shared" si="7"/>
        <v>431</v>
      </c>
      <c r="P64" s="180">
        <f t="shared" si="2"/>
        <v>710</v>
      </c>
      <c r="Q64" s="181">
        <f t="shared" si="3"/>
        <v>0.85542168674698793</v>
      </c>
      <c r="R64" s="122">
        <f t="shared" si="4"/>
        <v>142</v>
      </c>
      <c r="S64" s="122">
        <f t="shared" si="5"/>
        <v>0.68433734939759039</v>
      </c>
      <c r="T64" s="133">
        <v>0.65</v>
      </c>
    </row>
    <row r="65" spans="1:20" ht="14.4" hidden="1" x14ac:dyDescent="0.3">
      <c r="A65" s="175" t="s">
        <v>58</v>
      </c>
      <c r="B65" s="176" t="s">
        <v>176</v>
      </c>
      <c r="C65" s="176" t="s">
        <v>79</v>
      </c>
      <c r="D65" s="176" t="s">
        <v>602</v>
      </c>
      <c r="E65" s="177">
        <v>8</v>
      </c>
      <c r="F65" s="176" t="s">
        <v>614</v>
      </c>
      <c r="G65" s="177">
        <v>8</v>
      </c>
      <c r="H65" s="176" t="s">
        <v>615</v>
      </c>
      <c r="I65" s="176" t="s">
        <v>570</v>
      </c>
      <c r="J65" s="176"/>
      <c r="K65" s="176" t="s">
        <v>593</v>
      </c>
      <c r="L65" s="176"/>
      <c r="M65" s="176"/>
      <c r="N65" s="179">
        <f t="shared" si="6"/>
        <v>279</v>
      </c>
      <c r="O65" s="179">
        <f t="shared" si="7"/>
        <v>431</v>
      </c>
      <c r="P65" s="180">
        <f t="shared" si="2"/>
        <v>710</v>
      </c>
      <c r="Q65" s="181">
        <f t="shared" si="3"/>
        <v>0.85542168674698793</v>
      </c>
      <c r="R65" s="122">
        <f t="shared" si="4"/>
        <v>142</v>
      </c>
      <c r="S65" s="122">
        <f t="shared" si="5"/>
        <v>0.68433734939759039</v>
      </c>
      <c r="T65" s="133">
        <v>0.65</v>
      </c>
    </row>
    <row r="66" spans="1:20" ht="14.4" hidden="1" x14ac:dyDescent="0.3">
      <c r="A66" s="175" t="s">
        <v>58</v>
      </c>
      <c r="B66" s="176" t="s">
        <v>176</v>
      </c>
      <c r="C66" s="176" t="s">
        <v>79</v>
      </c>
      <c r="D66" s="176" t="s">
        <v>616</v>
      </c>
      <c r="E66" s="177">
        <v>8</v>
      </c>
      <c r="F66" s="176" t="s">
        <v>614</v>
      </c>
      <c r="G66" s="177">
        <v>8</v>
      </c>
      <c r="H66" s="176" t="s">
        <v>609</v>
      </c>
      <c r="I66" s="176" t="s">
        <v>582</v>
      </c>
      <c r="J66" s="176"/>
      <c r="K66" s="176" t="s">
        <v>593</v>
      </c>
      <c r="L66" s="176"/>
      <c r="M66" s="176"/>
      <c r="N66" s="179">
        <f t="shared" si="6"/>
        <v>298</v>
      </c>
      <c r="O66" s="179">
        <f t="shared" si="7"/>
        <v>310</v>
      </c>
      <c r="P66" s="180">
        <f t="shared" ref="P66:P129" si="8">N66+O66</f>
        <v>608</v>
      </c>
      <c r="Q66" s="181">
        <f t="shared" ref="Q66:Q129" si="9">P66/$Q$1</f>
        <v>0.73253012048192767</v>
      </c>
      <c r="R66" s="122">
        <f t="shared" ref="R66:R129" si="10">P66*0.2</f>
        <v>121.60000000000001</v>
      </c>
      <c r="S66" s="122">
        <f t="shared" ref="S66:S129" si="11">Q66*0.8</f>
        <v>0.5860240963855422</v>
      </c>
      <c r="T66" s="133">
        <v>0.7</v>
      </c>
    </row>
    <row r="67" spans="1:20" ht="14.4" hidden="1" x14ac:dyDescent="0.3">
      <c r="A67" s="175" t="s">
        <v>58</v>
      </c>
      <c r="B67" s="176" t="s">
        <v>176</v>
      </c>
      <c r="C67" s="176" t="s">
        <v>79</v>
      </c>
      <c r="D67" s="176" t="s">
        <v>618</v>
      </c>
      <c r="E67" s="177">
        <v>8</v>
      </c>
      <c r="F67" s="176" t="s">
        <v>614</v>
      </c>
      <c r="G67" s="177">
        <v>8</v>
      </c>
      <c r="H67" s="176" t="s">
        <v>619</v>
      </c>
      <c r="I67" s="176" t="s">
        <v>581</v>
      </c>
      <c r="J67" s="176"/>
      <c r="K67" s="176" t="s">
        <v>593</v>
      </c>
      <c r="L67" s="176"/>
      <c r="M67" s="176"/>
      <c r="N67" s="179">
        <f t="shared" si="6"/>
        <v>276</v>
      </c>
      <c r="O67" s="179">
        <f t="shared" si="7"/>
        <v>323</v>
      </c>
      <c r="P67" s="180">
        <f t="shared" si="8"/>
        <v>599</v>
      </c>
      <c r="Q67" s="181">
        <f t="shared" si="9"/>
        <v>0.72168674698795177</v>
      </c>
      <c r="R67" s="122">
        <f t="shared" si="10"/>
        <v>119.80000000000001</v>
      </c>
      <c r="S67" s="122">
        <f t="shared" si="11"/>
        <v>0.57734939759036141</v>
      </c>
      <c r="T67" s="133">
        <v>0.55000000000000004</v>
      </c>
    </row>
    <row r="68" spans="1:20" ht="14.4" hidden="1" x14ac:dyDescent="0.3">
      <c r="A68" s="175" t="s">
        <v>58</v>
      </c>
      <c r="B68" s="176" t="s">
        <v>176</v>
      </c>
      <c r="C68" s="176" t="s">
        <v>79</v>
      </c>
      <c r="D68" s="176" t="s">
        <v>617</v>
      </c>
      <c r="E68" s="177">
        <v>8</v>
      </c>
      <c r="F68" s="176" t="s">
        <v>614</v>
      </c>
      <c r="G68" s="177">
        <v>8</v>
      </c>
      <c r="H68" s="176" t="s">
        <v>615</v>
      </c>
      <c r="I68" s="176" t="s">
        <v>570</v>
      </c>
      <c r="J68" s="176"/>
      <c r="K68" s="176" t="s">
        <v>593</v>
      </c>
      <c r="L68" s="176"/>
      <c r="M68" s="176"/>
      <c r="N68" s="179">
        <f t="shared" si="6"/>
        <v>279</v>
      </c>
      <c r="O68" s="179">
        <f t="shared" si="7"/>
        <v>431</v>
      </c>
      <c r="P68" s="180">
        <f t="shared" si="8"/>
        <v>710</v>
      </c>
      <c r="Q68" s="181">
        <f t="shared" si="9"/>
        <v>0.85542168674698793</v>
      </c>
      <c r="R68" s="122">
        <f t="shared" si="10"/>
        <v>142</v>
      </c>
      <c r="S68" s="122">
        <f t="shared" si="11"/>
        <v>0.68433734939759039</v>
      </c>
      <c r="T68" s="133">
        <v>0.65</v>
      </c>
    </row>
    <row r="69" spans="1:20" ht="14.4" hidden="1" x14ac:dyDescent="0.3">
      <c r="A69" s="175" t="s">
        <v>58</v>
      </c>
      <c r="B69" s="176" t="s">
        <v>176</v>
      </c>
      <c r="C69" s="176" t="s">
        <v>100</v>
      </c>
      <c r="D69" s="176" t="s">
        <v>602</v>
      </c>
      <c r="E69" s="177">
        <v>24</v>
      </c>
      <c r="F69" s="176" t="s">
        <v>614</v>
      </c>
      <c r="G69" s="177">
        <v>24</v>
      </c>
      <c r="H69" s="176" t="s">
        <v>615</v>
      </c>
      <c r="I69" s="176" t="s">
        <v>570</v>
      </c>
      <c r="J69" s="176"/>
      <c r="K69" s="176" t="s">
        <v>593</v>
      </c>
      <c r="L69" s="176"/>
      <c r="M69" s="176"/>
      <c r="N69" s="179">
        <f t="shared" si="6"/>
        <v>279</v>
      </c>
      <c r="O69" s="179">
        <f t="shared" si="7"/>
        <v>431</v>
      </c>
      <c r="P69" s="180">
        <f t="shared" si="8"/>
        <v>710</v>
      </c>
      <c r="Q69" s="181">
        <f t="shared" si="9"/>
        <v>0.85542168674698793</v>
      </c>
      <c r="R69" s="122">
        <f t="shared" si="10"/>
        <v>142</v>
      </c>
      <c r="S69" s="122">
        <f t="shared" si="11"/>
        <v>0.68433734939759039</v>
      </c>
      <c r="T69" s="133">
        <v>0.65</v>
      </c>
    </row>
    <row r="70" spans="1:20" ht="14.4" hidden="1" x14ac:dyDescent="0.3">
      <c r="A70" s="175" t="s">
        <v>58</v>
      </c>
      <c r="B70" s="176" t="s">
        <v>176</v>
      </c>
      <c r="C70" s="176" t="s">
        <v>100</v>
      </c>
      <c r="D70" s="176" t="s">
        <v>616</v>
      </c>
      <c r="E70" s="177">
        <v>48</v>
      </c>
      <c r="F70" s="176" t="s">
        <v>614</v>
      </c>
      <c r="G70" s="177">
        <v>24</v>
      </c>
      <c r="H70" s="176" t="s">
        <v>609</v>
      </c>
      <c r="I70" s="176" t="s">
        <v>582</v>
      </c>
      <c r="J70" s="176"/>
      <c r="K70" s="176" t="s">
        <v>593</v>
      </c>
      <c r="L70" s="176"/>
      <c r="M70" s="176"/>
      <c r="N70" s="179">
        <f t="shared" si="6"/>
        <v>298</v>
      </c>
      <c r="O70" s="179">
        <f t="shared" si="7"/>
        <v>310</v>
      </c>
      <c r="P70" s="180">
        <f t="shared" si="8"/>
        <v>608</v>
      </c>
      <c r="Q70" s="181">
        <f t="shared" si="9"/>
        <v>0.73253012048192767</v>
      </c>
      <c r="R70" s="122">
        <f t="shared" si="10"/>
        <v>121.60000000000001</v>
      </c>
      <c r="S70" s="122">
        <f t="shared" si="11"/>
        <v>0.5860240963855422</v>
      </c>
      <c r="T70" s="133">
        <v>0.7</v>
      </c>
    </row>
    <row r="71" spans="1:20" ht="14.4" hidden="1" x14ac:dyDescent="0.3">
      <c r="A71" s="175" t="s">
        <v>58</v>
      </c>
      <c r="B71" s="176" t="s">
        <v>176</v>
      </c>
      <c r="C71" s="176" t="s">
        <v>100</v>
      </c>
      <c r="D71" s="176" t="s">
        <v>618</v>
      </c>
      <c r="E71" s="177">
        <v>24</v>
      </c>
      <c r="F71" s="176" t="s">
        <v>614</v>
      </c>
      <c r="G71" s="177">
        <v>24</v>
      </c>
      <c r="H71" s="176" t="s">
        <v>619</v>
      </c>
      <c r="I71" s="176" t="s">
        <v>581</v>
      </c>
      <c r="J71" s="176"/>
      <c r="K71" s="176" t="s">
        <v>593</v>
      </c>
      <c r="L71" s="176"/>
      <c r="M71" s="176"/>
      <c r="N71" s="179">
        <f t="shared" si="6"/>
        <v>276</v>
      </c>
      <c r="O71" s="179">
        <f t="shared" si="7"/>
        <v>323</v>
      </c>
      <c r="P71" s="180">
        <f t="shared" si="8"/>
        <v>599</v>
      </c>
      <c r="Q71" s="181">
        <f t="shared" si="9"/>
        <v>0.72168674698795177</v>
      </c>
      <c r="R71" s="122">
        <f t="shared" si="10"/>
        <v>119.80000000000001</v>
      </c>
      <c r="S71" s="122">
        <f t="shared" si="11"/>
        <v>0.57734939759036141</v>
      </c>
      <c r="T71" s="133">
        <v>0.55000000000000004</v>
      </c>
    </row>
    <row r="72" spans="1:20" ht="14.4" hidden="1" x14ac:dyDescent="0.3">
      <c r="A72" s="175" t="s">
        <v>58</v>
      </c>
      <c r="B72" s="176" t="s">
        <v>176</v>
      </c>
      <c r="C72" s="176" t="s">
        <v>100</v>
      </c>
      <c r="D72" s="176" t="s">
        <v>617</v>
      </c>
      <c r="E72" s="177">
        <v>48</v>
      </c>
      <c r="F72" s="176" t="s">
        <v>614</v>
      </c>
      <c r="G72" s="177">
        <v>24</v>
      </c>
      <c r="H72" s="176" t="s">
        <v>615</v>
      </c>
      <c r="I72" s="176" t="s">
        <v>570</v>
      </c>
      <c r="J72" s="176"/>
      <c r="K72" s="176" t="s">
        <v>593</v>
      </c>
      <c r="L72" s="176"/>
      <c r="M72" s="176"/>
      <c r="N72" s="179">
        <f t="shared" si="6"/>
        <v>279</v>
      </c>
      <c r="O72" s="179">
        <f t="shared" si="7"/>
        <v>431</v>
      </c>
      <c r="P72" s="180">
        <f t="shared" si="8"/>
        <v>710</v>
      </c>
      <c r="Q72" s="181">
        <f t="shared" si="9"/>
        <v>0.85542168674698793</v>
      </c>
      <c r="R72" s="122">
        <f t="shared" si="10"/>
        <v>142</v>
      </c>
      <c r="S72" s="122">
        <f t="shared" si="11"/>
        <v>0.68433734939759039</v>
      </c>
      <c r="T72" s="133">
        <v>0.65</v>
      </c>
    </row>
    <row r="73" spans="1:20" ht="14.4" hidden="1" x14ac:dyDescent="0.3">
      <c r="A73" s="175" t="s">
        <v>58</v>
      </c>
      <c r="B73" s="176" t="s">
        <v>176</v>
      </c>
      <c r="C73" s="176" t="s">
        <v>111</v>
      </c>
      <c r="D73" s="176" t="s">
        <v>618</v>
      </c>
      <c r="E73" s="177">
        <v>7</v>
      </c>
      <c r="F73" s="176" t="s">
        <v>614</v>
      </c>
      <c r="G73" s="178"/>
      <c r="H73" s="176" t="s">
        <v>615</v>
      </c>
      <c r="I73" s="176" t="s">
        <v>570</v>
      </c>
      <c r="J73" s="176"/>
      <c r="K73" s="176" t="s">
        <v>593</v>
      </c>
      <c r="L73" s="176"/>
      <c r="M73" s="176"/>
      <c r="N73" s="179">
        <f t="shared" si="6"/>
        <v>279</v>
      </c>
      <c r="O73" s="179">
        <f t="shared" si="7"/>
        <v>431</v>
      </c>
      <c r="P73" s="180">
        <f t="shared" si="8"/>
        <v>710</v>
      </c>
      <c r="Q73" s="181">
        <f t="shared" si="9"/>
        <v>0.85542168674698793</v>
      </c>
      <c r="R73" s="122">
        <f t="shared" si="10"/>
        <v>142</v>
      </c>
      <c r="S73" s="122">
        <f t="shared" si="11"/>
        <v>0.68433734939759039</v>
      </c>
      <c r="T73" s="133">
        <v>0.65</v>
      </c>
    </row>
    <row r="74" spans="1:20" ht="14.4" hidden="1" x14ac:dyDescent="0.3">
      <c r="A74" s="175" t="s">
        <v>58</v>
      </c>
      <c r="B74" s="176" t="s">
        <v>176</v>
      </c>
      <c r="C74" s="176" t="s">
        <v>80</v>
      </c>
      <c r="D74" s="176" t="s">
        <v>602</v>
      </c>
      <c r="E74" s="177">
        <v>1</v>
      </c>
      <c r="F74" s="176" t="s">
        <v>614</v>
      </c>
      <c r="G74" s="178"/>
      <c r="H74" s="176" t="s">
        <v>615</v>
      </c>
      <c r="I74" s="176" t="s">
        <v>570</v>
      </c>
      <c r="J74" s="176"/>
      <c r="K74" s="176" t="s">
        <v>593</v>
      </c>
      <c r="L74" s="176"/>
      <c r="M74" s="176"/>
      <c r="N74" s="179">
        <f t="shared" ref="N74:N99" si="12">SUMIFS($E$2:$E$896,$A$2:$A$896,"осень",$I$2:$I$896,I74)</f>
        <v>279</v>
      </c>
      <c r="O74" s="179">
        <f t="shared" ref="O74:O99" si="13">SUMIFS($E$2:$E$896,$A$2:$A$896,"весна",$I$2:$I$896,I74)</f>
        <v>431</v>
      </c>
      <c r="P74" s="180">
        <f t="shared" si="8"/>
        <v>710</v>
      </c>
      <c r="Q74" s="181">
        <f t="shared" si="9"/>
        <v>0.85542168674698793</v>
      </c>
      <c r="R74" s="122">
        <f t="shared" si="10"/>
        <v>142</v>
      </c>
      <c r="S74" s="122">
        <f t="shared" si="11"/>
        <v>0.68433734939759039</v>
      </c>
      <c r="T74" s="133">
        <v>0.65</v>
      </c>
    </row>
    <row r="75" spans="1:20" ht="14.4" hidden="1" x14ac:dyDescent="0.3">
      <c r="A75" s="175" t="s">
        <v>58</v>
      </c>
      <c r="B75" s="176" t="s">
        <v>176</v>
      </c>
      <c r="C75" s="176" t="s">
        <v>80</v>
      </c>
      <c r="D75" s="176" t="s">
        <v>616</v>
      </c>
      <c r="E75" s="177">
        <v>1</v>
      </c>
      <c r="F75" s="176" t="s">
        <v>614</v>
      </c>
      <c r="G75" s="178"/>
      <c r="H75" s="176" t="s">
        <v>615</v>
      </c>
      <c r="I75" s="176" t="s">
        <v>570</v>
      </c>
      <c r="J75" s="176"/>
      <c r="K75" s="176" t="s">
        <v>593</v>
      </c>
      <c r="L75" s="176"/>
      <c r="M75" s="176"/>
      <c r="N75" s="179">
        <f t="shared" si="12"/>
        <v>279</v>
      </c>
      <c r="O75" s="179">
        <f t="shared" si="13"/>
        <v>431</v>
      </c>
      <c r="P75" s="180">
        <f t="shared" si="8"/>
        <v>710</v>
      </c>
      <c r="Q75" s="181">
        <f t="shared" si="9"/>
        <v>0.85542168674698793</v>
      </c>
      <c r="R75" s="122">
        <f t="shared" si="10"/>
        <v>142</v>
      </c>
      <c r="S75" s="122">
        <f t="shared" si="11"/>
        <v>0.68433734939759039</v>
      </c>
      <c r="T75" s="133">
        <v>0.65</v>
      </c>
    </row>
    <row r="76" spans="1:20" ht="14.4" hidden="1" x14ac:dyDescent="0.3">
      <c r="A76" s="175" t="s">
        <v>58</v>
      </c>
      <c r="B76" s="176" t="s">
        <v>176</v>
      </c>
      <c r="C76" s="176" t="s">
        <v>80</v>
      </c>
      <c r="D76" s="176" t="s">
        <v>618</v>
      </c>
      <c r="E76" s="177">
        <v>3</v>
      </c>
      <c r="F76" s="176" t="s">
        <v>614</v>
      </c>
      <c r="G76" s="178"/>
      <c r="H76" s="176" t="s">
        <v>615</v>
      </c>
      <c r="I76" s="176" t="s">
        <v>570</v>
      </c>
      <c r="J76" s="176"/>
      <c r="K76" s="176" t="s">
        <v>593</v>
      </c>
      <c r="L76" s="176"/>
      <c r="M76" s="176"/>
      <c r="N76" s="179">
        <f t="shared" si="12"/>
        <v>279</v>
      </c>
      <c r="O76" s="179">
        <f t="shared" si="13"/>
        <v>431</v>
      </c>
      <c r="P76" s="180">
        <f t="shared" si="8"/>
        <v>710</v>
      </c>
      <c r="Q76" s="181">
        <f t="shared" si="9"/>
        <v>0.85542168674698793</v>
      </c>
      <c r="R76" s="122">
        <f t="shared" si="10"/>
        <v>142</v>
      </c>
      <c r="S76" s="122">
        <f t="shared" si="11"/>
        <v>0.68433734939759039</v>
      </c>
      <c r="T76" s="133">
        <v>0.65</v>
      </c>
    </row>
    <row r="77" spans="1:20" ht="14.4" hidden="1" x14ac:dyDescent="0.3">
      <c r="A77" s="175" t="s">
        <v>58</v>
      </c>
      <c r="B77" s="176" t="s">
        <v>176</v>
      </c>
      <c r="C77" s="176" t="s">
        <v>80</v>
      </c>
      <c r="D77" s="176" t="s">
        <v>617</v>
      </c>
      <c r="E77" s="177">
        <v>1</v>
      </c>
      <c r="F77" s="176" t="s">
        <v>614</v>
      </c>
      <c r="G77" s="178"/>
      <c r="H77" s="176" t="s">
        <v>615</v>
      </c>
      <c r="I77" s="176" t="s">
        <v>570</v>
      </c>
      <c r="J77" s="176"/>
      <c r="K77" s="176" t="s">
        <v>593</v>
      </c>
      <c r="L77" s="176"/>
      <c r="M77" s="176"/>
      <c r="N77" s="179">
        <f t="shared" si="12"/>
        <v>279</v>
      </c>
      <c r="O77" s="179">
        <f t="shared" si="13"/>
        <v>431</v>
      </c>
      <c r="P77" s="180">
        <f t="shared" si="8"/>
        <v>710</v>
      </c>
      <c r="Q77" s="181">
        <f t="shared" si="9"/>
        <v>0.85542168674698793</v>
      </c>
      <c r="R77" s="122">
        <f t="shared" si="10"/>
        <v>142</v>
      </c>
      <c r="S77" s="122">
        <f t="shared" si="11"/>
        <v>0.68433734939759039</v>
      </c>
      <c r="T77" s="133">
        <v>0.65</v>
      </c>
    </row>
    <row r="78" spans="1:20" ht="14.4" hidden="1" x14ac:dyDescent="0.3">
      <c r="A78" s="175" t="s">
        <v>58</v>
      </c>
      <c r="B78" s="176" t="s">
        <v>193</v>
      </c>
      <c r="C78" s="176" t="s">
        <v>73</v>
      </c>
      <c r="D78" s="176" t="s">
        <v>620</v>
      </c>
      <c r="E78" s="177">
        <v>16</v>
      </c>
      <c r="F78" s="176" t="s">
        <v>621</v>
      </c>
      <c r="G78" s="177">
        <v>16</v>
      </c>
      <c r="H78" s="176" t="s">
        <v>622</v>
      </c>
      <c r="I78" s="176" t="s">
        <v>562</v>
      </c>
      <c r="J78" s="176"/>
      <c r="K78" s="176" t="s">
        <v>565</v>
      </c>
      <c r="L78" s="176"/>
      <c r="M78" s="176"/>
      <c r="N78" s="179">
        <f t="shared" si="12"/>
        <v>438</v>
      </c>
      <c r="O78" s="179">
        <f t="shared" si="13"/>
        <v>361</v>
      </c>
      <c r="P78" s="180">
        <f t="shared" si="8"/>
        <v>799</v>
      </c>
      <c r="Q78" s="181">
        <f t="shared" si="9"/>
        <v>0.96265060240963851</v>
      </c>
      <c r="R78" s="122">
        <f t="shared" si="10"/>
        <v>159.80000000000001</v>
      </c>
      <c r="S78" s="122">
        <f t="shared" si="11"/>
        <v>0.77012048192771088</v>
      </c>
      <c r="T78" s="133">
        <v>0.75</v>
      </c>
    </row>
    <row r="79" spans="1:20" ht="14.4" hidden="1" x14ac:dyDescent="0.3">
      <c r="A79" s="175" t="s">
        <v>58</v>
      </c>
      <c r="B79" s="176" t="s">
        <v>193</v>
      </c>
      <c r="C79" s="176" t="s">
        <v>79</v>
      </c>
      <c r="D79" s="176" t="s">
        <v>620</v>
      </c>
      <c r="E79" s="177">
        <v>24</v>
      </c>
      <c r="F79" s="176" t="s">
        <v>621</v>
      </c>
      <c r="G79" s="177">
        <v>24</v>
      </c>
      <c r="H79" s="176" t="s">
        <v>622</v>
      </c>
      <c r="I79" s="176" t="s">
        <v>562</v>
      </c>
      <c r="J79" s="176"/>
      <c r="K79" s="176" t="s">
        <v>565</v>
      </c>
      <c r="L79" s="176"/>
      <c r="M79" s="176"/>
      <c r="N79" s="179">
        <f t="shared" si="12"/>
        <v>438</v>
      </c>
      <c r="O79" s="179">
        <f t="shared" si="13"/>
        <v>361</v>
      </c>
      <c r="P79" s="180">
        <f t="shared" si="8"/>
        <v>799</v>
      </c>
      <c r="Q79" s="181">
        <f t="shared" si="9"/>
        <v>0.96265060240963851</v>
      </c>
      <c r="R79" s="122">
        <f t="shared" si="10"/>
        <v>159.80000000000001</v>
      </c>
      <c r="S79" s="122">
        <f t="shared" si="11"/>
        <v>0.77012048192771088</v>
      </c>
      <c r="T79" s="133">
        <v>0.75</v>
      </c>
    </row>
    <row r="80" spans="1:20" ht="14.4" hidden="1" x14ac:dyDescent="0.3">
      <c r="A80" s="175" t="s">
        <v>58</v>
      </c>
      <c r="B80" s="176" t="s">
        <v>193</v>
      </c>
      <c r="C80" s="176" t="s">
        <v>142</v>
      </c>
      <c r="D80" s="176" t="s">
        <v>620</v>
      </c>
      <c r="E80" s="177">
        <v>4</v>
      </c>
      <c r="F80" s="176" t="s">
        <v>621</v>
      </c>
      <c r="G80" s="178"/>
      <c r="H80" s="176" t="s">
        <v>622</v>
      </c>
      <c r="I80" s="176" t="s">
        <v>562</v>
      </c>
      <c r="J80" s="176"/>
      <c r="K80" s="176" t="s">
        <v>565</v>
      </c>
      <c r="L80" s="176"/>
      <c r="M80" s="176"/>
      <c r="N80" s="179">
        <f t="shared" si="12"/>
        <v>438</v>
      </c>
      <c r="O80" s="179">
        <f t="shared" si="13"/>
        <v>361</v>
      </c>
      <c r="P80" s="180">
        <f t="shared" si="8"/>
        <v>799</v>
      </c>
      <c r="Q80" s="181">
        <f t="shared" si="9"/>
        <v>0.96265060240963851</v>
      </c>
      <c r="R80" s="122">
        <f t="shared" si="10"/>
        <v>159.80000000000001</v>
      </c>
      <c r="S80" s="122">
        <f t="shared" si="11"/>
        <v>0.77012048192771088</v>
      </c>
      <c r="T80" s="133">
        <v>0.75</v>
      </c>
    </row>
    <row r="81" spans="1:20" ht="14.4" hidden="1" x14ac:dyDescent="0.3">
      <c r="A81" s="175" t="s">
        <v>58</v>
      </c>
      <c r="B81" s="176" t="s">
        <v>193</v>
      </c>
      <c r="C81" s="176" t="s">
        <v>80</v>
      </c>
      <c r="D81" s="176" t="s">
        <v>620</v>
      </c>
      <c r="E81" s="177">
        <v>1</v>
      </c>
      <c r="F81" s="176" t="s">
        <v>621</v>
      </c>
      <c r="G81" s="178"/>
      <c r="H81" s="176" t="s">
        <v>622</v>
      </c>
      <c r="I81" s="176" t="s">
        <v>562</v>
      </c>
      <c r="J81" s="176"/>
      <c r="K81" s="176" t="s">
        <v>565</v>
      </c>
      <c r="L81" s="176"/>
      <c r="M81" s="176"/>
      <c r="N81" s="179">
        <f t="shared" si="12"/>
        <v>438</v>
      </c>
      <c r="O81" s="179">
        <f t="shared" si="13"/>
        <v>361</v>
      </c>
      <c r="P81" s="180">
        <f t="shared" si="8"/>
        <v>799</v>
      </c>
      <c r="Q81" s="181">
        <f t="shared" si="9"/>
        <v>0.96265060240963851</v>
      </c>
      <c r="R81" s="122">
        <f t="shared" si="10"/>
        <v>159.80000000000001</v>
      </c>
      <c r="S81" s="122">
        <f t="shared" si="11"/>
        <v>0.77012048192771088</v>
      </c>
      <c r="T81" s="133">
        <v>0.75</v>
      </c>
    </row>
    <row r="82" spans="1:20" ht="14.4" hidden="1" x14ac:dyDescent="0.3">
      <c r="A82" s="175" t="s">
        <v>58</v>
      </c>
      <c r="B82" s="176" t="s">
        <v>379</v>
      </c>
      <c r="C82" s="176" t="s">
        <v>73</v>
      </c>
      <c r="D82" s="176" t="s">
        <v>620</v>
      </c>
      <c r="E82" s="177">
        <v>12</v>
      </c>
      <c r="F82" s="176" t="s">
        <v>621</v>
      </c>
      <c r="G82" s="177">
        <v>12</v>
      </c>
      <c r="H82" s="176" t="s">
        <v>623</v>
      </c>
      <c r="I82" s="176" t="s">
        <v>564</v>
      </c>
      <c r="J82" s="176"/>
      <c r="K82" s="176" t="s">
        <v>593</v>
      </c>
      <c r="L82" s="176"/>
      <c r="M82" s="176"/>
      <c r="N82" s="179">
        <f t="shared" si="12"/>
        <v>456</v>
      </c>
      <c r="O82" s="179">
        <f t="shared" si="13"/>
        <v>384</v>
      </c>
      <c r="P82" s="180">
        <f t="shared" si="8"/>
        <v>840</v>
      </c>
      <c r="Q82" s="181">
        <f t="shared" si="9"/>
        <v>1.0120481927710843</v>
      </c>
      <c r="R82" s="122">
        <f t="shared" si="10"/>
        <v>168</v>
      </c>
      <c r="S82" s="122">
        <f t="shared" si="11"/>
        <v>0.80963855421686748</v>
      </c>
      <c r="T82" s="133">
        <v>0.8</v>
      </c>
    </row>
    <row r="83" spans="1:20" ht="14.4" hidden="1" x14ac:dyDescent="0.3">
      <c r="A83" s="175" t="s">
        <v>58</v>
      </c>
      <c r="B83" s="176" t="s">
        <v>379</v>
      </c>
      <c r="C83" s="176" t="s">
        <v>79</v>
      </c>
      <c r="D83" s="176" t="s">
        <v>620</v>
      </c>
      <c r="E83" s="177">
        <v>14</v>
      </c>
      <c r="F83" s="176" t="s">
        <v>621</v>
      </c>
      <c r="G83" s="177">
        <v>14</v>
      </c>
      <c r="H83" s="176" t="s">
        <v>623</v>
      </c>
      <c r="I83" s="176" t="s">
        <v>564</v>
      </c>
      <c r="J83" s="176"/>
      <c r="K83" s="176" t="s">
        <v>593</v>
      </c>
      <c r="L83" s="176"/>
      <c r="M83" s="176"/>
      <c r="N83" s="179">
        <f t="shared" si="12"/>
        <v>456</v>
      </c>
      <c r="O83" s="179">
        <f t="shared" si="13"/>
        <v>384</v>
      </c>
      <c r="P83" s="180">
        <f t="shared" si="8"/>
        <v>840</v>
      </c>
      <c r="Q83" s="181">
        <f t="shared" si="9"/>
        <v>1.0120481927710843</v>
      </c>
      <c r="R83" s="122">
        <f t="shared" si="10"/>
        <v>168</v>
      </c>
      <c r="S83" s="122">
        <f t="shared" si="11"/>
        <v>0.80963855421686748</v>
      </c>
      <c r="T83" s="133">
        <v>0.8</v>
      </c>
    </row>
    <row r="84" spans="1:20" ht="14.4" hidden="1" x14ac:dyDescent="0.3">
      <c r="A84" s="175" t="s">
        <v>58</v>
      </c>
      <c r="B84" s="176" t="s">
        <v>379</v>
      </c>
      <c r="C84" s="176" t="s">
        <v>100</v>
      </c>
      <c r="D84" s="176" t="s">
        <v>620</v>
      </c>
      <c r="E84" s="177">
        <v>16</v>
      </c>
      <c r="F84" s="176" t="s">
        <v>621</v>
      </c>
      <c r="G84" s="177">
        <v>8</v>
      </c>
      <c r="H84" s="176" t="s">
        <v>623</v>
      </c>
      <c r="I84" s="176" t="s">
        <v>564</v>
      </c>
      <c r="J84" s="176"/>
      <c r="K84" s="176" t="s">
        <v>593</v>
      </c>
      <c r="L84" s="176"/>
      <c r="M84" s="176"/>
      <c r="N84" s="179">
        <f t="shared" si="12"/>
        <v>456</v>
      </c>
      <c r="O84" s="179">
        <f t="shared" si="13"/>
        <v>384</v>
      </c>
      <c r="P84" s="180">
        <f t="shared" si="8"/>
        <v>840</v>
      </c>
      <c r="Q84" s="181">
        <f t="shared" si="9"/>
        <v>1.0120481927710843</v>
      </c>
      <c r="R84" s="122">
        <f t="shared" si="10"/>
        <v>168</v>
      </c>
      <c r="S84" s="122">
        <f t="shared" si="11"/>
        <v>0.80963855421686748</v>
      </c>
      <c r="T84" s="133">
        <v>0.8</v>
      </c>
    </row>
    <row r="85" spans="1:20" ht="14.4" hidden="1" x14ac:dyDescent="0.3">
      <c r="A85" s="175" t="s">
        <v>58</v>
      </c>
      <c r="B85" s="176" t="s">
        <v>379</v>
      </c>
      <c r="C85" s="176" t="s">
        <v>142</v>
      </c>
      <c r="D85" s="176" t="s">
        <v>620</v>
      </c>
      <c r="E85" s="177">
        <v>4</v>
      </c>
      <c r="F85" s="176" t="s">
        <v>621</v>
      </c>
      <c r="G85" s="178"/>
      <c r="H85" s="176" t="s">
        <v>623</v>
      </c>
      <c r="I85" s="176" t="s">
        <v>564</v>
      </c>
      <c r="J85" s="176"/>
      <c r="K85" s="176" t="s">
        <v>593</v>
      </c>
      <c r="L85" s="176"/>
      <c r="M85" s="176"/>
      <c r="N85" s="179">
        <f t="shared" si="12"/>
        <v>456</v>
      </c>
      <c r="O85" s="179">
        <f t="shared" si="13"/>
        <v>384</v>
      </c>
      <c r="P85" s="180">
        <f t="shared" si="8"/>
        <v>840</v>
      </c>
      <c r="Q85" s="181">
        <f t="shared" si="9"/>
        <v>1.0120481927710843</v>
      </c>
      <c r="R85" s="122">
        <f t="shared" si="10"/>
        <v>168</v>
      </c>
      <c r="S85" s="122">
        <f t="shared" si="11"/>
        <v>0.80963855421686748</v>
      </c>
      <c r="T85" s="133">
        <v>0.8</v>
      </c>
    </row>
    <row r="86" spans="1:20" ht="14.4" hidden="1" x14ac:dyDescent="0.3">
      <c r="A86" s="175" t="s">
        <v>58</v>
      </c>
      <c r="B86" s="176" t="s">
        <v>379</v>
      </c>
      <c r="C86" s="176" t="s">
        <v>80</v>
      </c>
      <c r="D86" s="176" t="s">
        <v>620</v>
      </c>
      <c r="E86" s="177">
        <v>1</v>
      </c>
      <c r="F86" s="176" t="s">
        <v>621</v>
      </c>
      <c r="G86" s="178"/>
      <c r="H86" s="176" t="s">
        <v>623</v>
      </c>
      <c r="I86" s="176" t="s">
        <v>564</v>
      </c>
      <c r="J86" s="176"/>
      <c r="K86" s="176" t="s">
        <v>593</v>
      </c>
      <c r="L86" s="176"/>
      <c r="M86" s="176"/>
      <c r="N86" s="179">
        <f t="shared" si="12"/>
        <v>456</v>
      </c>
      <c r="O86" s="179">
        <f t="shared" si="13"/>
        <v>384</v>
      </c>
      <c r="P86" s="180">
        <f t="shared" si="8"/>
        <v>840</v>
      </c>
      <c r="Q86" s="181">
        <f t="shared" si="9"/>
        <v>1.0120481927710843</v>
      </c>
      <c r="R86" s="122">
        <f t="shared" si="10"/>
        <v>168</v>
      </c>
      <c r="S86" s="122">
        <f t="shared" si="11"/>
        <v>0.80963855421686748</v>
      </c>
      <c r="T86" s="133">
        <v>0.8</v>
      </c>
    </row>
    <row r="87" spans="1:20" ht="14.4" hidden="1" x14ac:dyDescent="0.3">
      <c r="A87" s="175" t="s">
        <v>58</v>
      </c>
      <c r="B87" s="176" t="s">
        <v>198</v>
      </c>
      <c r="C87" s="176" t="s">
        <v>73</v>
      </c>
      <c r="D87" s="176" t="s">
        <v>624</v>
      </c>
      <c r="E87" s="177">
        <v>24</v>
      </c>
      <c r="F87" s="176" t="s">
        <v>127</v>
      </c>
      <c r="G87" s="177">
        <v>24</v>
      </c>
      <c r="H87" s="176" t="s">
        <v>623</v>
      </c>
      <c r="I87" s="176" t="s">
        <v>564</v>
      </c>
      <c r="J87" s="176"/>
      <c r="K87" s="176" t="s">
        <v>593</v>
      </c>
      <c r="L87" s="176"/>
      <c r="M87" s="176"/>
      <c r="N87" s="179">
        <f t="shared" si="12"/>
        <v>456</v>
      </c>
      <c r="O87" s="179">
        <f t="shared" si="13"/>
        <v>384</v>
      </c>
      <c r="P87" s="180">
        <f t="shared" si="8"/>
        <v>840</v>
      </c>
      <c r="Q87" s="181">
        <f t="shared" si="9"/>
        <v>1.0120481927710843</v>
      </c>
      <c r="R87" s="122">
        <f t="shared" si="10"/>
        <v>168</v>
      </c>
      <c r="S87" s="122">
        <f t="shared" si="11"/>
        <v>0.80963855421686748</v>
      </c>
      <c r="T87" s="133">
        <v>0.8</v>
      </c>
    </row>
    <row r="88" spans="1:20" ht="14.4" hidden="1" x14ac:dyDescent="0.3">
      <c r="A88" s="175" t="s">
        <v>58</v>
      </c>
      <c r="B88" s="176" t="s">
        <v>198</v>
      </c>
      <c r="C88" s="176" t="s">
        <v>79</v>
      </c>
      <c r="D88" s="176" t="s">
        <v>624</v>
      </c>
      <c r="E88" s="177">
        <v>40</v>
      </c>
      <c r="F88" s="176" t="s">
        <v>127</v>
      </c>
      <c r="G88" s="177">
        <v>40</v>
      </c>
      <c r="H88" s="176" t="s">
        <v>623</v>
      </c>
      <c r="I88" s="176" t="s">
        <v>564</v>
      </c>
      <c r="J88" s="176"/>
      <c r="K88" s="176" t="s">
        <v>593</v>
      </c>
      <c r="L88" s="176"/>
      <c r="M88" s="176"/>
      <c r="N88" s="179">
        <f t="shared" si="12"/>
        <v>456</v>
      </c>
      <c r="O88" s="179">
        <f t="shared" si="13"/>
        <v>384</v>
      </c>
      <c r="P88" s="180">
        <f t="shared" si="8"/>
        <v>840</v>
      </c>
      <c r="Q88" s="181">
        <f t="shared" si="9"/>
        <v>1.0120481927710843</v>
      </c>
      <c r="R88" s="122">
        <f t="shared" si="10"/>
        <v>168</v>
      </c>
      <c r="S88" s="122">
        <f t="shared" si="11"/>
        <v>0.80963855421686748</v>
      </c>
      <c r="T88" s="133">
        <v>0.8</v>
      </c>
    </row>
    <row r="89" spans="1:20" ht="14.4" hidden="1" x14ac:dyDescent="0.3">
      <c r="A89" s="175" t="s">
        <v>58</v>
      </c>
      <c r="B89" s="176" t="s">
        <v>198</v>
      </c>
      <c r="C89" s="176" t="s">
        <v>111</v>
      </c>
      <c r="D89" s="176" t="s">
        <v>624</v>
      </c>
      <c r="E89" s="177">
        <v>6</v>
      </c>
      <c r="F89" s="176" t="s">
        <v>127</v>
      </c>
      <c r="G89" s="178"/>
      <c r="H89" s="176" t="s">
        <v>623</v>
      </c>
      <c r="I89" s="176" t="s">
        <v>564</v>
      </c>
      <c r="J89" s="176"/>
      <c r="K89" s="176" t="s">
        <v>593</v>
      </c>
      <c r="L89" s="176"/>
      <c r="M89" s="176"/>
      <c r="N89" s="179">
        <f t="shared" si="12"/>
        <v>456</v>
      </c>
      <c r="O89" s="179">
        <f t="shared" si="13"/>
        <v>384</v>
      </c>
      <c r="P89" s="180">
        <f t="shared" si="8"/>
        <v>840</v>
      </c>
      <c r="Q89" s="181">
        <f t="shared" si="9"/>
        <v>1.0120481927710843</v>
      </c>
      <c r="R89" s="122">
        <f t="shared" si="10"/>
        <v>168</v>
      </c>
      <c r="S89" s="122">
        <f t="shared" si="11"/>
        <v>0.80963855421686748</v>
      </c>
      <c r="T89" s="133">
        <v>0.8</v>
      </c>
    </row>
    <row r="90" spans="1:20" ht="14.4" hidden="1" x14ac:dyDescent="0.3">
      <c r="A90" s="175" t="s">
        <v>58</v>
      </c>
      <c r="B90" s="176" t="s">
        <v>198</v>
      </c>
      <c r="C90" s="176" t="s">
        <v>80</v>
      </c>
      <c r="D90" s="176" t="s">
        <v>624</v>
      </c>
      <c r="E90" s="177">
        <v>3</v>
      </c>
      <c r="F90" s="176" t="s">
        <v>127</v>
      </c>
      <c r="G90" s="178"/>
      <c r="H90" s="176" t="s">
        <v>623</v>
      </c>
      <c r="I90" s="176" t="s">
        <v>564</v>
      </c>
      <c r="J90" s="176"/>
      <c r="K90" s="176" t="s">
        <v>593</v>
      </c>
      <c r="L90" s="176"/>
      <c r="M90" s="176"/>
      <c r="N90" s="179">
        <f t="shared" si="12"/>
        <v>456</v>
      </c>
      <c r="O90" s="179">
        <f t="shared" si="13"/>
        <v>384</v>
      </c>
      <c r="P90" s="180">
        <f t="shared" si="8"/>
        <v>840</v>
      </c>
      <c r="Q90" s="181">
        <f t="shared" si="9"/>
        <v>1.0120481927710843</v>
      </c>
      <c r="R90" s="122">
        <f t="shared" si="10"/>
        <v>168</v>
      </c>
      <c r="S90" s="122">
        <f t="shared" si="11"/>
        <v>0.80963855421686748</v>
      </c>
      <c r="T90" s="133">
        <v>0.8</v>
      </c>
    </row>
    <row r="91" spans="1:20" ht="14.4" hidden="1" x14ac:dyDescent="0.3">
      <c r="A91" s="175" t="s">
        <v>58</v>
      </c>
      <c r="B91" s="176" t="s">
        <v>203</v>
      </c>
      <c r="C91" s="176" t="s">
        <v>73</v>
      </c>
      <c r="D91" s="176" t="s">
        <v>590</v>
      </c>
      <c r="E91" s="177">
        <v>24</v>
      </c>
      <c r="F91" s="176" t="s">
        <v>591</v>
      </c>
      <c r="G91" s="177">
        <v>24</v>
      </c>
      <c r="H91" s="176" t="s">
        <v>623</v>
      </c>
      <c r="I91" s="176" t="s">
        <v>564</v>
      </c>
      <c r="J91" s="176"/>
      <c r="K91" s="176" t="s">
        <v>593</v>
      </c>
      <c r="L91" s="176"/>
      <c r="M91" s="176"/>
      <c r="N91" s="179">
        <f t="shared" si="12"/>
        <v>456</v>
      </c>
      <c r="O91" s="179">
        <f t="shared" si="13"/>
        <v>384</v>
      </c>
      <c r="P91" s="180">
        <f t="shared" si="8"/>
        <v>840</v>
      </c>
      <c r="Q91" s="181">
        <f t="shared" si="9"/>
        <v>1.0120481927710843</v>
      </c>
      <c r="R91" s="122">
        <f t="shared" si="10"/>
        <v>168</v>
      </c>
      <c r="S91" s="122">
        <f t="shared" si="11"/>
        <v>0.80963855421686748</v>
      </c>
      <c r="T91" s="133">
        <v>0.8</v>
      </c>
    </row>
    <row r="92" spans="1:20" ht="14.4" hidden="1" x14ac:dyDescent="0.3">
      <c r="A92" s="175" t="s">
        <v>58</v>
      </c>
      <c r="B92" s="176" t="s">
        <v>203</v>
      </c>
      <c r="C92" s="176" t="s">
        <v>87</v>
      </c>
      <c r="D92" s="176" t="s">
        <v>590</v>
      </c>
      <c r="E92" s="177">
        <v>4</v>
      </c>
      <c r="F92" s="176" t="s">
        <v>591</v>
      </c>
      <c r="G92" s="178"/>
      <c r="H92" s="176" t="s">
        <v>623</v>
      </c>
      <c r="I92" s="176" t="s">
        <v>564</v>
      </c>
      <c r="J92" s="176"/>
      <c r="K92" s="176" t="s">
        <v>593</v>
      </c>
      <c r="L92" s="176"/>
      <c r="M92" s="176"/>
      <c r="N92" s="179">
        <f t="shared" si="12"/>
        <v>456</v>
      </c>
      <c r="O92" s="179">
        <f t="shared" si="13"/>
        <v>384</v>
      </c>
      <c r="P92" s="180">
        <f t="shared" si="8"/>
        <v>840</v>
      </c>
      <c r="Q92" s="181">
        <f t="shared" si="9"/>
        <v>1.0120481927710843</v>
      </c>
      <c r="R92" s="122">
        <f t="shared" si="10"/>
        <v>168</v>
      </c>
      <c r="S92" s="122">
        <f t="shared" si="11"/>
        <v>0.80963855421686748</v>
      </c>
      <c r="T92" s="133">
        <v>0.8</v>
      </c>
    </row>
    <row r="93" spans="1:20" ht="14.4" hidden="1" x14ac:dyDescent="0.3">
      <c r="A93" s="175" t="s">
        <v>58</v>
      </c>
      <c r="B93" s="176" t="s">
        <v>203</v>
      </c>
      <c r="C93" s="176" t="s">
        <v>79</v>
      </c>
      <c r="D93" s="176" t="s">
        <v>590</v>
      </c>
      <c r="E93" s="177">
        <v>48</v>
      </c>
      <c r="F93" s="176" t="s">
        <v>591</v>
      </c>
      <c r="G93" s="177">
        <v>48</v>
      </c>
      <c r="H93" s="176" t="s">
        <v>623</v>
      </c>
      <c r="I93" s="176" t="s">
        <v>564</v>
      </c>
      <c r="J93" s="176"/>
      <c r="K93" s="176" t="s">
        <v>593</v>
      </c>
      <c r="L93" s="176"/>
      <c r="M93" s="176"/>
      <c r="N93" s="179">
        <f t="shared" si="12"/>
        <v>456</v>
      </c>
      <c r="O93" s="179">
        <f t="shared" si="13"/>
        <v>384</v>
      </c>
      <c r="P93" s="180">
        <f t="shared" si="8"/>
        <v>840</v>
      </c>
      <c r="Q93" s="181">
        <f t="shared" si="9"/>
        <v>1.0120481927710843</v>
      </c>
      <c r="R93" s="122">
        <f t="shared" si="10"/>
        <v>168</v>
      </c>
      <c r="S93" s="122">
        <f t="shared" si="11"/>
        <v>0.80963855421686748</v>
      </c>
      <c r="T93" s="133">
        <v>0.8</v>
      </c>
    </row>
    <row r="94" spans="1:20" ht="14.4" hidden="1" x14ac:dyDescent="0.3">
      <c r="A94" s="175" t="s">
        <v>58</v>
      </c>
      <c r="B94" s="176" t="s">
        <v>203</v>
      </c>
      <c r="C94" s="176" t="s">
        <v>80</v>
      </c>
      <c r="D94" s="176" t="s">
        <v>590</v>
      </c>
      <c r="E94" s="177">
        <v>1</v>
      </c>
      <c r="F94" s="176" t="s">
        <v>591</v>
      </c>
      <c r="G94" s="178"/>
      <c r="H94" s="176" t="s">
        <v>623</v>
      </c>
      <c r="I94" s="176" t="s">
        <v>564</v>
      </c>
      <c r="J94" s="176"/>
      <c r="K94" s="176" t="s">
        <v>593</v>
      </c>
      <c r="L94" s="176"/>
      <c r="M94" s="176"/>
      <c r="N94" s="179">
        <f t="shared" si="12"/>
        <v>456</v>
      </c>
      <c r="O94" s="179">
        <f t="shared" si="13"/>
        <v>384</v>
      </c>
      <c r="P94" s="180">
        <f t="shared" si="8"/>
        <v>840</v>
      </c>
      <c r="Q94" s="181">
        <f t="shared" si="9"/>
        <v>1.0120481927710843</v>
      </c>
      <c r="R94" s="122">
        <f t="shared" si="10"/>
        <v>168</v>
      </c>
      <c r="S94" s="122">
        <f t="shared" si="11"/>
        <v>0.80963855421686748</v>
      </c>
      <c r="T94" s="133">
        <v>0.8</v>
      </c>
    </row>
    <row r="95" spans="1:20" ht="14.4" hidden="1" x14ac:dyDescent="0.3">
      <c r="A95" s="175" t="s">
        <v>58</v>
      </c>
      <c r="B95" s="176" t="s">
        <v>204</v>
      </c>
      <c r="C95" s="176" t="s">
        <v>73</v>
      </c>
      <c r="D95" s="176" t="s">
        <v>595</v>
      </c>
      <c r="E95" s="177">
        <v>40</v>
      </c>
      <c r="F95" s="176" t="s">
        <v>596</v>
      </c>
      <c r="G95" s="177">
        <v>40</v>
      </c>
      <c r="H95" s="176" t="s">
        <v>609</v>
      </c>
      <c r="I95" s="176" t="s">
        <v>582</v>
      </c>
      <c r="J95" s="176"/>
      <c r="K95" s="176" t="s">
        <v>593</v>
      </c>
      <c r="L95" s="176"/>
      <c r="M95" s="176"/>
      <c r="N95" s="179">
        <f t="shared" si="12"/>
        <v>298</v>
      </c>
      <c r="O95" s="179">
        <f t="shared" si="13"/>
        <v>310</v>
      </c>
      <c r="P95" s="180">
        <f t="shared" si="8"/>
        <v>608</v>
      </c>
      <c r="Q95" s="181">
        <f t="shared" si="9"/>
        <v>0.73253012048192767</v>
      </c>
      <c r="R95" s="122">
        <f t="shared" si="10"/>
        <v>121.60000000000001</v>
      </c>
      <c r="S95" s="122">
        <f t="shared" si="11"/>
        <v>0.5860240963855422</v>
      </c>
      <c r="T95" s="133">
        <v>0.7</v>
      </c>
    </row>
    <row r="96" spans="1:20" ht="14.4" hidden="1" x14ac:dyDescent="0.3">
      <c r="A96" s="175" t="s">
        <v>58</v>
      </c>
      <c r="B96" s="176" t="s">
        <v>204</v>
      </c>
      <c r="C96" s="176" t="s">
        <v>79</v>
      </c>
      <c r="D96" s="176" t="s">
        <v>595</v>
      </c>
      <c r="E96" s="177">
        <v>68</v>
      </c>
      <c r="F96" s="176" t="s">
        <v>596</v>
      </c>
      <c r="G96" s="177">
        <v>68</v>
      </c>
      <c r="H96" s="176" t="s">
        <v>609</v>
      </c>
      <c r="I96" s="176" t="s">
        <v>582</v>
      </c>
      <c r="J96" s="176"/>
      <c r="K96" s="176" t="s">
        <v>593</v>
      </c>
      <c r="L96" s="176"/>
      <c r="M96" s="176"/>
      <c r="N96" s="179">
        <f t="shared" si="12"/>
        <v>298</v>
      </c>
      <c r="O96" s="179">
        <f t="shared" si="13"/>
        <v>310</v>
      </c>
      <c r="P96" s="180">
        <f t="shared" si="8"/>
        <v>608</v>
      </c>
      <c r="Q96" s="181">
        <f t="shared" si="9"/>
        <v>0.73253012048192767</v>
      </c>
      <c r="R96" s="122">
        <f t="shared" si="10"/>
        <v>121.60000000000001</v>
      </c>
      <c r="S96" s="122">
        <f t="shared" si="11"/>
        <v>0.5860240963855422</v>
      </c>
      <c r="T96" s="133">
        <v>0.7</v>
      </c>
    </row>
    <row r="97" spans="1:20" ht="14.4" hidden="1" x14ac:dyDescent="0.3">
      <c r="A97" s="175" t="s">
        <v>58</v>
      </c>
      <c r="B97" s="176" t="s">
        <v>204</v>
      </c>
      <c r="C97" s="176" t="s">
        <v>111</v>
      </c>
      <c r="D97" s="176" t="s">
        <v>595</v>
      </c>
      <c r="E97" s="177">
        <v>6</v>
      </c>
      <c r="F97" s="176" t="s">
        <v>596</v>
      </c>
      <c r="G97" s="178"/>
      <c r="H97" s="176" t="s">
        <v>609</v>
      </c>
      <c r="I97" s="176" t="s">
        <v>582</v>
      </c>
      <c r="J97" s="176"/>
      <c r="K97" s="176" t="s">
        <v>593</v>
      </c>
      <c r="L97" s="176"/>
      <c r="M97" s="176"/>
      <c r="N97" s="179">
        <f t="shared" si="12"/>
        <v>298</v>
      </c>
      <c r="O97" s="179">
        <f t="shared" si="13"/>
        <v>310</v>
      </c>
      <c r="P97" s="180">
        <f t="shared" si="8"/>
        <v>608</v>
      </c>
      <c r="Q97" s="181">
        <f t="shared" si="9"/>
        <v>0.73253012048192767</v>
      </c>
      <c r="R97" s="122">
        <f t="shared" si="10"/>
        <v>121.60000000000001</v>
      </c>
      <c r="S97" s="122">
        <f t="shared" si="11"/>
        <v>0.5860240963855422</v>
      </c>
      <c r="T97" s="133">
        <v>0.7</v>
      </c>
    </row>
    <row r="98" spans="1:20" ht="14.4" hidden="1" x14ac:dyDescent="0.3">
      <c r="A98" s="175" t="s">
        <v>58</v>
      </c>
      <c r="B98" s="176" t="s">
        <v>204</v>
      </c>
      <c r="C98" s="176" t="s">
        <v>80</v>
      </c>
      <c r="D98" s="176" t="s">
        <v>595</v>
      </c>
      <c r="E98" s="177">
        <v>4</v>
      </c>
      <c r="F98" s="176" t="s">
        <v>596</v>
      </c>
      <c r="G98" s="178"/>
      <c r="H98" s="176" t="s">
        <v>609</v>
      </c>
      <c r="I98" s="176" t="s">
        <v>582</v>
      </c>
      <c r="J98" s="176"/>
      <c r="K98" s="176" t="s">
        <v>593</v>
      </c>
      <c r="L98" s="176"/>
      <c r="M98" s="176"/>
      <c r="N98" s="179">
        <f t="shared" si="12"/>
        <v>298</v>
      </c>
      <c r="O98" s="179">
        <f t="shared" si="13"/>
        <v>310</v>
      </c>
      <c r="P98" s="180">
        <f t="shared" si="8"/>
        <v>608</v>
      </c>
      <c r="Q98" s="181">
        <f t="shared" si="9"/>
        <v>0.73253012048192767</v>
      </c>
      <c r="R98" s="122">
        <f t="shared" si="10"/>
        <v>121.60000000000001</v>
      </c>
      <c r="S98" s="122">
        <f t="shared" si="11"/>
        <v>0.5860240963855422</v>
      </c>
      <c r="T98" s="133">
        <v>0.7</v>
      </c>
    </row>
    <row r="99" spans="1:20" ht="14.4" hidden="1" x14ac:dyDescent="0.3">
      <c r="A99" s="175" t="s">
        <v>58</v>
      </c>
      <c r="B99" s="176" t="s">
        <v>208</v>
      </c>
      <c r="C99" s="176" t="s">
        <v>73</v>
      </c>
      <c r="D99" s="176" t="s">
        <v>620</v>
      </c>
      <c r="E99" s="177">
        <v>28</v>
      </c>
      <c r="F99" s="176" t="s">
        <v>621</v>
      </c>
      <c r="G99" s="177">
        <v>28</v>
      </c>
      <c r="H99" s="176" t="s">
        <v>623</v>
      </c>
      <c r="I99" s="176" t="s">
        <v>564</v>
      </c>
      <c r="J99" s="176"/>
      <c r="K99" s="176" t="s">
        <v>593</v>
      </c>
      <c r="L99" s="176"/>
      <c r="M99" s="176"/>
      <c r="N99" s="179">
        <f t="shared" si="12"/>
        <v>456</v>
      </c>
      <c r="O99" s="179">
        <f t="shared" si="13"/>
        <v>384</v>
      </c>
      <c r="P99" s="180">
        <f t="shared" si="8"/>
        <v>840</v>
      </c>
      <c r="Q99" s="181">
        <f t="shared" si="9"/>
        <v>1.0120481927710843</v>
      </c>
      <c r="R99" s="122">
        <f t="shared" si="10"/>
        <v>168</v>
      </c>
      <c r="S99" s="122">
        <f t="shared" si="11"/>
        <v>0.80963855421686748</v>
      </c>
      <c r="T99" s="133">
        <v>0.8</v>
      </c>
    </row>
    <row r="100" spans="1:20" ht="14.4" hidden="1" x14ac:dyDescent="0.3">
      <c r="A100" s="175" t="s">
        <v>58</v>
      </c>
      <c r="B100" s="176" t="s">
        <v>208</v>
      </c>
      <c r="C100" s="176" t="s">
        <v>123</v>
      </c>
      <c r="D100" s="176" t="s">
        <v>620</v>
      </c>
      <c r="E100" s="177">
        <v>36</v>
      </c>
      <c r="F100" s="176" t="s">
        <v>621</v>
      </c>
      <c r="G100" s="178"/>
      <c r="H100" s="176" t="s">
        <v>623</v>
      </c>
      <c r="I100" s="176" t="s">
        <v>564</v>
      </c>
      <c r="J100" s="176"/>
      <c r="K100" s="176" t="s">
        <v>593</v>
      </c>
      <c r="L100" s="176"/>
      <c r="M100" s="176"/>
      <c r="N100" s="179">
        <f t="shared" ref="N100:N163" si="14">SUMIFS($E$2:$E$896,$A$2:$A$896,"осень",$I$2:$I$896,I100)</f>
        <v>456</v>
      </c>
      <c r="O100" s="179">
        <f t="shared" ref="O100:O163" si="15">SUMIFS($E$2:$E$896,$A$2:$A$896,"весна",$I$2:$I$896,I100)</f>
        <v>384</v>
      </c>
      <c r="P100" s="180">
        <f t="shared" si="8"/>
        <v>840</v>
      </c>
      <c r="Q100" s="181">
        <f t="shared" si="9"/>
        <v>1.0120481927710843</v>
      </c>
      <c r="R100" s="122">
        <f t="shared" si="10"/>
        <v>168</v>
      </c>
      <c r="S100" s="122">
        <f t="shared" si="11"/>
        <v>0.80963855421686748</v>
      </c>
      <c r="T100" s="133">
        <v>0.8</v>
      </c>
    </row>
    <row r="101" spans="1:20" ht="14.4" hidden="1" x14ac:dyDescent="0.3">
      <c r="A101" s="175" t="s">
        <v>58</v>
      </c>
      <c r="B101" s="176" t="s">
        <v>208</v>
      </c>
      <c r="C101" s="176" t="s">
        <v>87</v>
      </c>
      <c r="D101" s="176" t="s">
        <v>620</v>
      </c>
      <c r="E101" s="177">
        <v>5</v>
      </c>
      <c r="F101" s="176" t="s">
        <v>621</v>
      </c>
      <c r="G101" s="178"/>
      <c r="H101" s="176" t="s">
        <v>623</v>
      </c>
      <c r="I101" s="176" t="s">
        <v>564</v>
      </c>
      <c r="J101" s="176"/>
      <c r="K101" s="176" t="s">
        <v>593</v>
      </c>
      <c r="L101" s="176"/>
      <c r="M101" s="176"/>
      <c r="N101" s="179">
        <f t="shared" si="14"/>
        <v>456</v>
      </c>
      <c r="O101" s="179">
        <f t="shared" si="15"/>
        <v>384</v>
      </c>
      <c r="P101" s="180">
        <f t="shared" si="8"/>
        <v>840</v>
      </c>
      <c r="Q101" s="181">
        <f t="shared" si="9"/>
        <v>1.0120481927710843</v>
      </c>
      <c r="R101" s="122">
        <f t="shared" si="10"/>
        <v>168</v>
      </c>
      <c r="S101" s="122">
        <f t="shared" si="11"/>
        <v>0.80963855421686748</v>
      </c>
      <c r="T101" s="133">
        <v>0.8</v>
      </c>
    </row>
    <row r="102" spans="1:20" ht="14.4" hidden="1" x14ac:dyDescent="0.3">
      <c r="A102" s="175" t="s">
        <v>58</v>
      </c>
      <c r="B102" s="176" t="s">
        <v>208</v>
      </c>
      <c r="C102" s="176" t="s">
        <v>79</v>
      </c>
      <c r="D102" s="176" t="s">
        <v>620</v>
      </c>
      <c r="E102" s="177">
        <v>40</v>
      </c>
      <c r="F102" s="176" t="s">
        <v>621</v>
      </c>
      <c r="G102" s="177">
        <v>40</v>
      </c>
      <c r="H102" s="176" t="s">
        <v>623</v>
      </c>
      <c r="I102" s="176" t="s">
        <v>564</v>
      </c>
      <c r="J102" s="176"/>
      <c r="K102" s="176" t="s">
        <v>593</v>
      </c>
      <c r="L102" s="176"/>
      <c r="M102" s="176"/>
      <c r="N102" s="179">
        <f t="shared" si="14"/>
        <v>456</v>
      </c>
      <c r="O102" s="179">
        <f t="shared" si="15"/>
        <v>384</v>
      </c>
      <c r="P102" s="180">
        <f t="shared" si="8"/>
        <v>840</v>
      </c>
      <c r="Q102" s="181">
        <f t="shared" si="9"/>
        <v>1.0120481927710843</v>
      </c>
      <c r="R102" s="122">
        <f t="shared" si="10"/>
        <v>168</v>
      </c>
      <c r="S102" s="122">
        <f t="shared" si="11"/>
        <v>0.80963855421686748</v>
      </c>
      <c r="T102" s="133">
        <v>0.8</v>
      </c>
    </row>
    <row r="103" spans="1:20" ht="14.4" hidden="1" x14ac:dyDescent="0.3">
      <c r="A103" s="175" t="s">
        <v>58</v>
      </c>
      <c r="B103" s="176" t="s">
        <v>208</v>
      </c>
      <c r="C103" s="176" t="s">
        <v>80</v>
      </c>
      <c r="D103" s="176" t="s">
        <v>620</v>
      </c>
      <c r="E103" s="177">
        <v>1</v>
      </c>
      <c r="F103" s="176" t="s">
        <v>621</v>
      </c>
      <c r="G103" s="178"/>
      <c r="H103" s="176" t="s">
        <v>623</v>
      </c>
      <c r="I103" s="176" t="s">
        <v>564</v>
      </c>
      <c r="J103" s="176"/>
      <c r="K103" s="176" t="s">
        <v>593</v>
      </c>
      <c r="L103" s="176"/>
      <c r="M103" s="176"/>
      <c r="N103" s="179">
        <f t="shared" si="14"/>
        <v>456</v>
      </c>
      <c r="O103" s="179">
        <f t="shared" si="15"/>
        <v>384</v>
      </c>
      <c r="P103" s="180">
        <f t="shared" si="8"/>
        <v>840</v>
      </c>
      <c r="Q103" s="181">
        <f t="shared" si="9"/>
        <v>1.0120481927710843</v>
      </c>
      <c r="R103" s="122">
        <f t="shared" si="10"/>
        <v>168</v>
      </c>
      <c r="S103" s="122">
        <f t="shared" si="11"/>
        <v>0.80963855421686748</v>
      </c>
      <c r="T103" s="133">
        <v>0.8</v>
      </c>
    </row>
    <row r="104" spans="1:20" ht="14.4" hidden="1" x14ac:dyDescent="0.3">
      <c r="A104" s="175" t="s">
        <v>58</v>
      </c>
      <c r="B104" s="176" t="s">
        <v>382</v>
      </c>
      <c r="C104" s="176" t="s">
        <v>73</v>
      </c>
      <c r="D104" s="176" t="s">
        <v>625</v>
      </c>
      <c r="E104" s="177">
        <v>12</v>
      </c>
      <c r="F104" s="176" t="s">
        <v>626</v>
      </c>
      <c r="G104" s="177">
        <v>12</v>
      </c>
      <c r="H104" s="176" t="s">
        <v>627</v>
      </c>
      <c r="I104" s="176" t="s">
        <v>576</v>
      </c>
      <c r="J104" s="176"/>
      <c r="K104" s="176" t="s">
        <v>593</v>
      </c>
      <c r="L104" s="176"/>
      <c r="M104" s="176"/>
      <c r="N104" s="179">
        <f t="shared" si="14"/>
        <v>175</v>
      </c>
      <c r="O104" s="179">
        <f t="shared" si="15"/>
        <v>120</v>
      </c>
      <c r="P104" s="180">
        <f t="shared" si="8"/>
        <v>295</v>
      </c>
      <c r="Q104" s="181">
        <f t="shared" si="9"/>
        <v>0.35542168674698793</v>
      </c>
      <c r="R104" s="122">
        <f t="shared" si="10"/>
        <v>59</v>
      </c>
      <c r="S104" s="122">
        <f t="shared" si="11"/>
        <v>0.28433734939759037</v>
      </c>
      <c r="T104" s="133">
        <v>0.25</v>
      </c>
    </row>
    <row r="105" spans="1:20" ht="14.4" hidden="1" x14ac:dyDescent="0.3">
      <c r="A105" s="175" t="s">
        <v>58</v>
      </c>
      <c r="B105" s="176" t="s">
        <v>382</v>
      </c>
      <c r="C105" s="176" t="s">
        <v>87</v>
      </c>
      <c r="D105" s="176" t="s">
        <v>625</v>
      </c>
      <c r="E105" s="177">
        <v>5</v>
      </c>
      <c r="F105" s="176" t="s">
        <v>626</v>
      </c>
      <c r="G105" s="178"/>
      <c r="H105" s="176" t="s">
        <v>627</v>
      </c>
      <c r="I105" s="176" t="s">
        <v>576</v>
      </c>
      <c r="J105" s="176"/>
      <c r="K105" s="176" t="s">
        <v>593</v>
      </c>
      <c r="L105" s="176"/>
      <c r="M105" s="176"/>
      <c r="N105" s="179">
        <f t="shared" si="14"/>
        <v>175</v>
      </c>
      <c r="O105" s="179">
        <f t="shared" si="15"/>
        <v>120</v>
      </c>
      <c r="P105" s="180">
        <f t="shared" si="8"/>
        <v>295</v>
      </c>
      <c r="Q105" s="181">
        <f t="shared" si="9"/>
        <v>0.35542168674698793</v>
      </c>
      <c r="R105" s="122">
        <f t="shared" si="10"/>
        <v>59</v>
      </c>
      <c r="S105" s="122">
        <f t="shared" si="11"/>
        <v>0.28433734939759037</v>
      </c>
      <c r="T105" s="133">
        <v>0.25</v>
      </c>
    </row>
    <row r="106" spans="1:20" ht="14.4" hidden="1" x14ac:dyDescent="0.3">
      <c r="A106" s="175" t="s">
        <v>58</v>
      </c>
      <c r="B106" s="176" t="s">
        <v>382</v>
      </c>
      <c r="C106" s="176" t="s">
        <v>79</v>
      </c>
      <c r="D106" s="176" t="s">
        <v>625</v>
      </c>
      <c r="E106" s="177">
        <v>24</v>
      </c>
      <c r="F106" s="176" t="s">
        <v>626</v>
      </c>
      <c r="G106" s="177">
        <v>24</v>
      </c>
      <c r="H106" s="176" t="s">
        <v>627</v>
      </c>
      <c r="I106" s="176" t="s">
        <v>576</v>
      </c>
      <c r="J106" s="176"/>
      <c r="K106" s="176" t="s">
        <v>593</v>
      </c>
      <c r="L106" s="176"/>
      <c r="M106" s="176"/>
      <c r="N106" s="179">
        <f t="shared" si="14"/>
        <v>175</v>
      </c>
      <c r="O106" s="179">
        <f t="shared" si="15"/>
        <v>120</v>
      </c>
      <c r="P106" s="180">
        <f t="shared" si="8"/>
        <v>295</v>
      </c>
      <c r="Q106" s="181">
        <f t="shared" si="9"/>
        <v>0.35542168674698793</v>
      </c>
      <c r="R106" s="122">
        <f t="shared" si="10"/>
        <v>59</v>
      </c>
      <c r="S106" s="122">
        <f t="shared" si="11"/>
        <v>0.28433734939759037</v>
      </c>
      <c r="T106" s="133">
        <v>0.25</v>
      </c>
    </row>
    <row r="107" spans="1:20" ht="14.4" hidden="1" x14ac:dyDescent="0.3">
      <c r="A107" s="175" t="s">
        <v>58</v>
      </c>
      <c r="B107" s="176" t="s">
        <v>382</v>
      </c>
      <c r="C107" s="176" t="s">
        <v>80</v>
      </c>
      <c r="D107" s="176" t="s">
        <v>625</v>
      </c>
      <c r="E107" s="177">
        <v>1</v>
      </c>
      <c r="F107" s="176" t="s">
        <v>626</v>
      </c>
      <c r="G107" s="178"/>
      <c r="H107" s="176" t="s">
        <v>627</v>
      </c>
      <c r="I107" s="176" t="s">
        <v>576</v>
      </c>
      <c r="J107" s="176"/>
      <c r="K107" s="176" t="s">
        <v>593</v>
      </c>
      <c r="L107" s="176"/>
      <c r="M107" s="176"/>
      <c r="N107" s="179">
        <f t="shared" si="14"/>
        <v>175</v>
      </c>
      <c r="O107" s="179">
        <f t="shared" si="15"/>
        <v>120</v>
      </c>
      <c r="P107" s="180">
        <f t="shared" si="8"/>
        <v>295</v>
      </c>
      <c r="Q107" s="181">
        <f t="shared" si="9"/>
        <v>0.35542168674698793</v>
      </c>
      <c r="R107" s="122">
        <f t="shared" si="10"/>
        <v>59</v>
      </c>
      <c r="S107" s="122">
        <f t="shared" si="11"/>
        <v>0.28433734939759037</v>
      </c>
      <c r="T107" s="133">
        <v>0.25</v>
      </c>
    </row>
    <row r="108" spans="1:20" ht="14.4" hidden="1" x14ac:dyDescent="0.3">
      <c r="A108" s="175" t="s">
        <v>58</v>
      </c>
      <c r="B108" s="176" t="s">
        <v>209</v>
      </c>
      <c r="C108" s="176" t="s">
        <v>73</v>
      </c>
      <c r="D108" s="176" t="s">
        <v>624</v>
      </c>
      <c r="E108" s="177">
        <v>16</v>
      </c>
      <c r="F108" s="176" t="s">
        <v>127</v>
      </c>
      <c r="G108" s="177">
        <v>16</v>
      </c>
      <c r="H108" s="176" t="s">
        <v>627</v>
      </c>
      <c r="I108" s="176" t="s">
        <v>576</v>
      </c>
      <c r="J108" s="176"/>
      <c r="K108" s="176" t="s">
        <v>593</v>
      </c>
      <c r="L108" s="176"/>
      <c r="M108" s="176"/>
      <c r="N108" s="179">
        <f t="shared" si="14"/>
        <v>175</v>
      </c>
      <c r="O108" s="179">
        <f t="shared" si="15"/>
        <v>120</v>
      </c>
      <c r="P108" s="180">
        <f t="shared" si="8"/>
        <v>295</v>
      </c>
      <c r="Q108" s="181">
        <f t="shared" si="9"/>
        <v>0.35542168674698793</v>
      </c>
      <c r="R108" s="122">
        <f t="shared" si="10"/>
        <v>59</v>
      </c>
      <c r="S108" s="122">
        <f t="shared" si="11"/>
        <v>0.28433734939759037</v>
      </c>
      <c r="T108" s="133">
        <v>0.25</v>
      </c>
    </row>
    <row r="109" spans="1:20" ht="14.4" hidden="1" x14ac:dyDescent="0.3">
      <c r="A109" s="175" t="s">
        <v>58</v>
      </c>
      <c r="B109" s="176" t="s">
        <v>209</v>
      </c>
      <c r="C109" s="176" t="s">
        <v>79</v>
      </c>
      <c r="D109" s="176" t="s">
        <v>624</v>
      </c>
      <c r="E109" s="177">
        <v>16</v>
      </c>
      <c r="F109" s="176" t="s">
        <v>127</v>
      </c>
      <c r="G109" s="177">
        <v>16</v>
      </c>
      <c r="H109" s="176" t="s">
        <v>627</v>
      </c>
      <c r="I109" s="176" t="s">
        <v>576</v>
      </c>
      <c r="J109" s="176"/>
      <c r="K109" s="176" t="s">
        <v>593</v>
      </c>
      <c r="L109" s="176"/>
      <c r="M109" s="176"/>
      <c r="N109" s="179">
        <f t="shared" si="14"/>
        <v>175</v>
      </c>
      <c r="O109" s="179">
        <f t="shared" si="15"/>
        <v>120</v>
      </c>
      <c r="P109" s="180">
        <f t="shared" si="8"/>
        <v>295</v>
      </c>
      <c r="Q109" s="181">
        <f t="shared" si="9"/>
        <v>0.35542168674698793</v>
      </c>
      <c r="R109" s="122">
        <f t="shared" si="10"/>
        <v>59</v>
      </c>
      <c r="S109" s="122">
        <f t="shared" si="11"/>
        <v>0.28433734939759037</v>
      </c>
      <c r="T109" s="133">
        <v>0.25</v>
      </c>
    </row>
    <row r="110" spans="1:20" ht="14.4" hidden="1" x14ac:dyDescent="0.3">
      <c r="A110" s="175" t="s">
        <v>58</v>
      </c>
      <c r="B110" s="176" t="s">
        <v>209</v>
      </c>
      <c r="C110" s="176" t="s">
        <v>100</v>
      </c>
      <c r="D110" s="176" t="s">
        <v>624</v>
      </c>
      <c r="E110" s="177">
        <v>8</v>
      </c>
      <c r="F110" s="176" t="s">
        <v>127</v>
      </c>
      <c r="G110" s="177">
        <v>8</v>
      </c>
      <c r="H110" s="176" t="s">
        <v>627</v>
      </c>
      <c r="I110" s="176" t="s">
        <v>576</v>
      </c>
      <c r="J110" s="176"/>
      <c r="K110" s="176" t="s">
        <v>593</v>
      </c>
      <c r="L110" s="176"/>
      <c r="M110" s="176"/>
      <c r="N110" s="179">
        <f t="shared" si="14"/>
        <v>175</v>
      </c>
      <c r="O110" s="179">
        <f t="shared" si="15"/>
        <v>120</v>
      </c>
      <c r="P110" s="180">
        <f t="shared" si="8"/>
        <v>295</v>
      </c>
      <c r="Q110" s="181">
        <f t="shared" si="9"/>
        <v>0.35542168674698793</v>
      </c>
      <c r="R110" s="122">
        <f t="shared" si="10"/>
        <v>59</v>
      </c>
      <c r="S110" s="122">
        <f t="shared" si="11"/>
        <v>0.28433734939759037</v>
      </c>
      <c r="T110" s="133">
        <v>0.25</v>
      </c>
    </row>
    <row r="111" spans="1:20" ht="14.4" hidden="1" x14ac:dyDescent="0.3">
      <c r="A111" s="175" t="s">
        <v>58</v>
      </c>
      <c r="B111" s="176" t="s">
        <v>209</v>
      </c>
      <c r="C111" s="176" t="s">
        <v>142</v>
      </c>
      <c r="D111" s="176" t="s">
        <v>624</v>
      </c>
      <c r="E111" s="177">
        <v>2</v>
      </c>
      <c r="F111" s="176" t="s">
        <v>127</v>
      </c>
      <c r="G111" s="178"/>
      <c r="H111" s="176" t="s">
        <v>627</v>
      </c>
      <c r="I111" s="176" t="s">
        <v>576</v>
      </c>
      <c r="J111" s="176"/>
      <c r="K111" s="176" t="s">
        <v>593</v>
      </c>
      <c r="L111" s="176"/>
      <c r="M111" s="176"/>
      <c r="N111" s="179">
        <f t="shared" si="14"/>
        <v>175</v>
      </c>
      <c r="O111" s="179">
        <f t="shared" si="15"/>
        <v>120</v>
      </c>
      <c r="P111" s="180">
        <f t="shared" si="8"/>
        <v>295</v>
      </c>
      <c r="Q111" s="181">
        <f t="shared" si="9"/>
        <v>0.35542168674698793</v>
      </c>
      <c r="R111" s="122">
        <f t="shared" si="10"/>
        <v>59</v>
      </c>
      <c r="S111" s="122">
        <f t="shared" si="11"/>
        <v>0.28433734939759037</v>
      </c>
      <c r="T111" s="133">
        <v>0.25</v>
      </c>
    </row>
    <row r="112" spans="1:20" ht="14.4" hidden="1" x14ac:dyDescent="0.3">
      <c r="A112" s="175" t="s">
        <v>58</v>
      </c>
      <c r="B112" s="176" t="s">
        <v>209</v>
      </c>
      <c r="C112" s="176" t="s">
        <v>80</v>
      </c>
      <c r="D112" s="176" t="s">
        <v>624</v>
      </c>
      <c r="E112" s="177">
        <v>1</v>
      </c>
      <c r="F112" s="176" t="s">
        <v>127</v>
      </c>
      <c r="G112" s="178"/>
      <c r="H112" s="176" t="s">
        <v>627</v>
      </c>
      <c r="I112" s="176" t="s">
        <v>576</v>
      </c>
      <c r="J112" s="176"/>
      <c r="K112" s="176" t="s">
        <v>593</v>
      </c>
      <c r="L112" s="176"/>
      <c r="M112" s="176"/>
      <c r="N112" s="179">
        <f t="shared" si="14"/>
        <v>175</v>
      </c>
      <c r="O112" s="179">
        <f t="shared" si="15"/>
        <v>120</v>
      </c>
      <c r="P112" s="180">
        <f t="shared" si="8"/>
        <v>295</v>
      </c>
      <c r="Q112" s="181">
        <f t="shared" si="9"/>
        <v>0.35542168674698793</v>
      </c>
      <c r="R112" s="122">
        <f t="shared" si="10"/>
        <v>59</v>
      </c>
      <c r="S112" s="122">
        <f t="shared" si="11"/>
        <v>0.28433734939759037</v>
      </c>
      <c r="T112" s="133">
        <v>0.25</v>
      </c>
    </row>
    <row r="113" spans="1:20" ht="14.4" hidden="1" x14ac:dyDescent="0.3">
      <c r="A113" s="175" t="s">
        <v>58</v>
      </c>
      <c r="B113" s="182" t="s">
        <v>212</v>
      </c>
      <c r="C113" s="182" t="s">
        <v>73</v>
      </c>
      <c r="D113" s="182" t="s">
        <v>624</v>
      </c>
      <c r="E113" s="183">
        <v>16</v>
      </c>
      <c r="F113" s="182" t="s">
        <v>127</v>
      </c>
      <c r="G113" s="183">
        <v>16</v>
      </c>
      <c r="H113" s="182" t="s">
        <v>627</v>
      </c>
      <c r="I113" s="182" t="s">
        <v>116</v>
      </c>
      <c r="J113" s="176"/>
      <c r="K113" s="176" t="s">
        <v>593</v>
      </c>
      <c r="L113" s="176"/>
      <c r="M113" s="176"/>
      <c r="N113" s="179">
        <f t="shared" si="14"/>
        <v>233</v>
      </c>
      <c r="O113" s="179">
        <f t="shared" si="15"/>
        <v>200</v>
      </c>
      <c r="P113" s="180">
        <f t="shared" si="8"/>
        <v>433</v>
      </c>
      <c r="Q113" s="181">
        <f t="shared" si="9"/>
        <v>0.52168674698795181</v>
      </c>
      <c r="R113" s="122">
        <f t="shared" si="10"/>
        <v>86.600000000000009</v>
      </c>
      <c r="S113" s="122">
        <f t="shared" si="11"/>
        <v>0.41734939759036149</v>
      </c>
      <c r="T113" s="185">
        <v>0.5</v>
      </c>
    </row>
    <row r="114" spans="1:20" ht="14.4" hidden="1" x14ac:dyDescent="0.3">
      <c r="A114" s="175" t="s">
        <v>58</v>
      </c>
      <c r="B114" s="182" t="s">
        <v>212</v>
      </c>
      <c r="C114" s="182" t="s">
        <v>87</v>
      </c>
      <c r="D114" s="182" t="s">
        <v>624</v>
      </c>
      <c r="E114" s="183">
        <v>4</v>
      </c>
      <c r="F114" s="182" t="s">
        <v>127</v>
      </c>
      <c r="G114" s="187"/>
      <c r="H114" s="182" t="s">
        <v>627</v>
      </c>
      <c r="I114" s="182" t="s">
        <v>116</v>
      </c>
      <c r="J114" s="176"/>
      <c r="K114" s="176" t="s">
        <v>593</v>
      </c>
      <c r="L114" s="176"/>
      <c r="M114" s="176"/>
      <c r="N114" s="179">
        <f t="shared" si="14"/>
        <v>233</v>
      </c>
      <c r="O114" s="179">
        <f t="shared" si="15"/>
        <v>200</v>
      </c>
      <c r="P114" s="180">
        <f t="shared" si="8"/>
        <v>433</v>
      </c>
      <c r="Q114" s="181">
        <f t="shared" si="9"/>
        <v>0.52168674698795181</v>
      </c>
      <c r="R114" s="122">
        <f t="shared" si="10"/>
        <v>86.600000000000009</v>
      </c>
      <c r="S114" s="122">
        <f t="shared" si="11"/>
        <v>0.41734939759036149</v>
      </c>
      <c r="T114" s="185">
        <v>0.5</v>
      </c>
    </row>
    <row r="115" spans="1:20" ht="14.4" hidden="1" x14ac:dyDescent="0.3">
      <c r="A115" s="175" t="s">
        <v>58</v>
      </c>
      <c r="B115" s="182" t="s">
        <v>212</v>
      </c>
      <c r="C115" s="182" t="s">
        <v>79</v>
      </c>
      <c r="D115" s="182" t="s">
        <v>624</v>
      </c>
      <c r="E115" s="183">
        <v>32</v>
      </c>
      <c r="F115" s="182" t="s">
        <v>127</v>
      </c>
      <c r="G115" s="183">
        <v>32</v>
      </c>
      <c r="H115" s="182" t="s">
        <v>627</v>
      </c>
      <c r="I115" s="182" t="s">
        <v>116</v>
      </c>
      <c r="J115" s="176"/>
      <c r="K115" s="176" t="s">
        <v>593</v>
      </c>
      <c r="L115" s="176"/>
      <c r="M115" s="176"/>
      <c r="N115" s="179">
        <f t="shared" si="14"/>
        <v>233</v>
      </c>
      <c r="O115" s="179">
        <f t="shared" si="15"/>
        <v>200</v>
      </c>
      <c r="P115" s="180">
        <f t="shared" si="8"/>
        <v>433</v>
      </c>
      <c r="Q115" s="181">
        <f t="shared" si="9"/>
        <v>0.52168674698795181</v>
      </c>
      <c r="R115" s="122">
        <f t="shared" si="10"/>
        <v>86.600000000000009</v>
      </c>
      <c r="S115" s="122">
        <f t="shared" si="11"/>
        <v>0.41734939759036149</v>
      </c>
      <c r="T115" s="185">
        <v>0.5</v>
      </c>
    </row>
    <row r="116" spans="1:20" ht="14.4" hidden="1" x14ac:dyDescent="0.3">
      <c r="A116" s="175" t="s">
        <v>58</v>
      </c>
      <c r="B116" s="182" t="s">
        <v>212</v>
      </c>
      <c r="C116" s="182" t="s">
        <v>100</v>
      </c>
      <c r="D116" s="182" t="s">
        <v>624</v>
      </c>
      <c r="E116" s="183">
        <v>8</v>
      </c>
      <c r="F116" s="182" t="s">
        <v>127</v>
      </c>
      <c r="G116" s="183">
        <v>8</v>
      </c>
      <c r="H116" s="182" t="s">
        <v>627</v>
      </c>
      <c r="I116" s="182" t="s">
        <v>116</v>
      </c>
      <c r="J116" s="176"/>
      <c r="K116" s="176" t="s">
        <v>593</v>
      </c>
      <c r="L116" s="176"/>
      <c r="M116" s="176"/>
      <c r="N116" s="179">
        <f t="shared" si="14"/>
        <v>233</v>
      </c>
      <c r="O116" s="179">
        <f t="shared" si="15"/>
        <v>200</v>
      </c>
      <c r="P116" s="180">
        <f t="shared" si="8"/>
        <v>433</v>
      </c>
      <c r="Q116" s="181">
        <f t="shared" si="9"/>
        <v>0.52168674698795181</v>
      </c>
      <c r="R116" s="122">
        <f t="shared" si="10"/>
        <v>86.600000000000009</v>
      </c>
      <c r="S116" s="122">
        <f t="shared" si="11"/>
        <v>0.41734939759036149</v>
      </c>
      <c r="T116" s="185">
        <v>0.5</v>
      </c>
    </row>
    <row r="117" spans="1:20" ht="14.4" hidden="1" x14ac:dyDescent="0.3">
      <c r="A117" s="175" t="s">
        <v>58</v>
      </c>
      <c r="B117" s="182" t="s">
        <v>212</v>
      </c>
      <c r="C117" s="182" t="s">
        <v>80</v>
      </c>
      <c r="D117" s="182" t="s">
        <v>624</v>
      </c>
      <c r="E117" s="183">
        <v>1</v>
      </c>
      <c r="F117" s="182" t="s">
        <v>127</v>
      </c>
      <c r="G117" s="187"/>
      <c r="H117" s="182" t="s">
        <v>627</v>
      </c>
      <c r="I117" s="182" t="s">
        <v>116</v>
      </c>
      <c r="J117" s="176"/>
      <c r="K117" s="176" t="s">
        <v>593</v>
      </c>
      <c r="L117" s="176"/>
      <c r="M117" s="176"/>
      <c r="N117" s="179">
        <f t="shared" si="14"/>
        <v>233</v>
      </c>
      <c r="O117" s="179">
        <f t="shared" si="15"/>
        <v>200</v>
      </c>
      <c r="P117" s="180">
        <f t="shared" si="8"/>
        <v>433</v>
      </c>
      <c r="Q117" s="181">
        <f t="shared" si="9"/>
        <v>0.52168674698795181</v>
      </c>
      <c r="R117" s="122">
        <f t="shared" si="10"/>
        <v>86.600000000000009</v>
      </c>
      <c r="S117" s="122">
        <f t="shared" si="11"/>
        <v>0.41734939759036149</v>
      </c>
      <c r="T117" s="185">
        <v>0.5</v>
      </c>
    </row>
    <row r="118" spans="1:20" ht="14.4" hidden="1" x14ac:dyDescent="0.3">
      <c r="A118" s="175" t="s">
        <v>58</v>
      </c>
      <c r="B118" s="176" t="s">
        <v>213</v>
      </c>
      <c r="C118" s="176" t="s">
        <v>73</v>
      </c>
      <c r="D118" s="176" t="s">
        <v>624</v>
      </c>
      <c r="E118" s="177">
        <v>24</v>
      </c>
      <c r="F118" s="176" t="s">
        <v>127</v>
      </c>
      <c r="G118" s="177">
        <v>24</v>
      </c>
      <c r="H118" s="176" t="s">
        <v>619</v>
      </c>
      <c r="I118" s="176" t="s">
        <v>581</v>
      </c>
      <c r="J118" s="176"/>
      <c r="K118" s="176" t="s">
        <v>593</v>
      </c>
      <c r="L118" s="176"/>
      <c r="M118" s="176"/>
      <c r="N118" s="179">
        <f t="shared" si="14"/>
        <v>276</v>
      </c>
      <c r="O118" s="179">
        <f t="shared" si="15"/>
        <v>323</v>
      </c>
      <c r="P118" s="180">
        <f t="shared" si="8"/>
        <v>599</v>
      </c>
      <c r="Q118" s="181">
        <f t="shared" si="9"/>
        <v>0.72168674698795177</v>
      </c>
      <c r="R118" s="122">
        <f t="shared" si="10"/>
        <v>119.80000000000001</v>
      </c>
      <c r="S118" s="122">
        <f t="shared" si="11"/>
        <v>0.57734939759036141</v>
      </c>
      <c r="T118" s="133">
        <v>0.55000000000000004</v>
      </c>
    </row>
    <row r="119" spans="1:20" ht="14.4" hidden="1" x14ac:dyDescent="0.3">
      <c r="A119" s="175" t="s">
        <v>58</v>
      </c>
      <c r="B119" s="176" t="s">
        <v>213</v>
      </c>
      <c r="C119" s="176" t="s">
        <v>87</v>
      </c>
      <c r="D119" s="176" t="s">
        <v>624</v>
      </c>
      <c r="E119" s="177">
        <v>4</v>
      </c>
      <c r="F119" s="176" t="s">
        <v>127</v>
      </c>
      <c r="G119" s="178"/>
      <c r="H119" s="176" t="s">
        <v>619</v>
      </c>
      <c r="I119" s="176" t="s">
        <v>581</v>
      </c>
      <c r="J119" s="176"/>
      <c r="K119" s="176" t="s">
        <v>593</v>
      </c>
      <c r="L119" s="176"/>
      <c r="M119" s="176"/>
      <c r="N119" s="179">
        <f t="shared" si="14"/>
        <v>276</v>
      </c>
      <c r="O119" s="179">
        <f t="shared" si="15"/>
        <v>323</v>
      </c>
      <c r="P119" s="180">
        <f t="shared" si="8"/>
        <v>599</v>
      </c>
      <c r="Q119" s="181">
        <f t="shared" si="9"/>
        <v>0.72168674698795177</v>
      </c>
      <c r="R119" s="122">
        <f t="shared" si="10"/>
        <v>119.80000000000001</v>
      </c>
      <c r="S119" s="122">
        <f t="shared" si="11"/>
        <v>0.57734939759036141</v>
      </c>
      <c r="T119" s="133">
        <v>0.55000000000000004</v>
      </c>
    </row>
    <row r="120" spans="1:20" ht="14.4" hidden="1" x14ac:dyDescent="0.3">
      <c r="A120" s="175" t="s">
        <v>58</v>
      </c>
      <c r="B120" s="176" t="s">
        <v>213</v>
      </c>
      <c r="C120" s="176" t="s">
        <v>79</v>
      </c>
      <c r="D120" s="176" t="s">
        <v>624</v>
      </c>
      <c r="E120" s="177">
        <v>40</v>
      </c>
      <c r="F120" s="176" t="s">
        <v>127</v>
      </c>
      <c r="G120" s="177">
        <v>40</v>
      </c>
      <c r="H120" s="176" t="s">
        <v>619</v>
      </c>
      <c r="I120" s="176" t="s">
        <v>581</v>
      </c>
      <c r="J120" s="176"/>
      <c r="K120" s="176" t="s">
        <v>593</v>
      </c>
      <c r="L120" s="176"/>
      <c r="M120" s="176"/>
      <c r="N120" s="179">
        <f t="shared" si="14"/>
        <v>276</v>
      </c>
      <c r="O120" s="179">
        <f t="shared" si="15"/>
        <v>323</v>
      </c>
      <c r="P120" s="180">
        <f t="shared" si="8"/>
        <v>599</v>
      </c>
      <c r="Q120" s="181">
        <f t="shared" si="9"/>
        <v>0.72168674698795177</v>
      </c>
      <c r="R120" s="122">
        <f t="shared" si="10"/>
        <v>119.80000000000001</v>
      </c>
      <c r="S120" s="122">
        <f t="shared" si="11"/>
        <v>0.57734939759036141</v>
      </c>
      <c r="T120" s="133">
        <v>0.55000000000000004</v>
      </c>
    </row>
    <row r="121" spans="1:20" ht="14.4" hidden="1" x14ac:dyDescent="0.3">
      <c r="A121" s="175" t="s">
        <v>58</v>
      </c>
      <c r="B121" s="176" t="s">
        <v>213</v>
      </c>
      <c r="C121" s="176" t="s">
        <v>80</v>
      </c>
      <c r="D121" s="176" t="s">
        <v>624</v>
      </c>
      <c r="E121" s="177">
        <v>1</v>
      </c>
      <c r="F121" s="176" t="s">
        <v>127</v>
      </c>
      <c r="G121" s="178"/>
      <c r="H121" s="176" t="s">
        <v>619</v>
      </c>
      <c r="I121" s="176" t="s">
        <v>581</v>
      </c>
      <c r="J121" s="176"/>
      <c r="K121" s="176" t="s">
        <v>593</v>
      </c>
      <c r="L121" s="176"/>
      <c r="M121" s="176"/>
      <c r="N121" s="179">
        <f t="shared" si="14"/>
        <v>276</v>
      </c>
      <c r="O121" s="179">
        <f t="shared" si="15"/>
        <v>323</v>
      </c>
      <c r="P121" s="180">
        <f t="shared" si="8"/>
        <v>599</v>
      </c>
      <c r="Q121" s="181">
        <f t="shared" si="9"/>
        <v>0.72168674698795177</v>
      </c>
      <c r="R121" s="122">
        <f t="shared" si="10"/>
        <v>119.80000000000001</v>
      </c>
      <c r="S121" s="122">
        <f t="shared" si="11"/>
        <v>0.57734939759036141</v>
      </c>
      <c r="T121" s="133">
        <v>0.55000000000000004</v>
      </c>
    </row>
    <row r="122" spans="1:20" ht="14.4" hidden="1" x14ac:dyDescent="0.3">
      <c r="A122" s="175" t="s">
        <v>58</v>
      </c>
      <c r="B122" s="176" t="s">
        <v>216</v>
      </c>
      <c r="C122" s="176" t="s">
        <v>73</v>
      </c>
      <c r="D122" s="176" t="s">
        <v>624</v>
      </c>
      <c r="E122" s="177">
        <v>32</v>
      </c>
      <c r="F122" s="176" t="s">
        <v>127</v>
      </c>
      <c r="G122" s="177">
        <v>32</v>
      </c>
      <c r="H122" s="176" t="s">
        <v>628</v>
      </c>
      <c r="I122" s="176" t="s">
        <v>566</v>
      </c>
      <c r="J122" s="176"/>
      <c r="K122" s="176" t="s">
        <v>593</v>
      </c>
      <c r="L122" s="176"/>
      <c r="M122" s="176"/>
      <c r="N122" s="179">
        <f t="shared" si="14"/>
        <v>242</v>
      </c>
      <c r="O122" s="179">
        <f t="shared" si="15"/>
        <v>0</v>
      </c>
      <c r="P122" s="180">
        <f t="shared" si="8"/>
        <v>242</v>
      </c>
      <c r="Q122" s="181">
        <f t="shared" si="9"/>
        <v>0.29156626506024097</v>
      </c>
      <c r="R122" s="122">
        <f t="shared" si="10"/>
        <v>48.400000000000006</v>
      </c>
      <c r="S122" s="122">
        <f t="shared" si="11"/>
        <v>0.23325301204819279</v>
      </c>
      <c r="T122" s="133">
        <v>0.2</v>
      </c>
    </row>
    <row r="123" spans="1:20" ht="14.4" hidden="1" x14ac:dyDescent="0.3">
      <c r="A123" s="175" t="s">
        <v>58</v>
      </c>
      <c r="B123" s="176" t="s">
        <v>216</v>
      </c>
      <c r="C123" s="176" t="s">
        <v>79</v>
      </c>
      <c r="D123" s="176" t="s">
        <v>624</v>
      </c>
      <c r="E123" s="177">
        <v>32</v>
      </c>
      <c r="F123" s="176" t="s">
        <v>127</v>
      </c>
      <c r="G123" s="177">
        <v>32</v>
      </c>
      <c r="H123" s="176" t="s">
        <v>628</v>
      </c>
      <c r="I123" s="176" t="s">
        <v>566</v>
      </c>
      <c r="J123" s="176"/>
      <c r="K123" s="176" t="s">
        <v>593</v>
      </c>
      <c r="L123" s="176"/>
      <c r="M123" s="176"/>
      <c r="N123" s="179">
        <f t="shared" si="14"/>
        <v>242</v>
      </c>
      <c r="O123" s="179">
        <f t="shared" si="15"/>
        <v>0</v>
      </c>
      <c r="P123" s="180">
        <f t="shared" si="8"/>
        <v>242</v>
      </c>
      <c r="Q123" s="181">
        <f t="shared" si="9"/>
        <v>0.29156626506024097</v>
      </c>
      <c r="R123" s="122">
        <f t="shared" si="10"/>
        <v>48.400000000000006</v>
      </c>
      <c r="S123" s="122">
        <f t="shared" si="11"/>
        <v>0.23325301204819279</v>
      </c>
      <c r="T123" s="133">
        <v>0.2</v>
      </c>
    </row>
    <row r="124" spans="1:20" ht="14.4" hidden="1" x14ac:dyDescent="0.3">
      <c r="A124" s="175" t="s">
        <v>58</v>
      </c>
      <c r="B124" s="176" t="s">
        <v>216</v>
      </c>
      <c r="C124" s="176" t="s">
        <v>111</v>
      </c>
      <c r="D124" s="176" t="s">
        <v>624</v>
      </c>
      <c r="E124" s="177">
        <v>6</v>
      </c>
      <c r="F124" s="176" t="s">
        <v>127</v>
      </c>
      <c r="G124" s="178"/>
      <c r="H124" s="176" t="s">
        <v>628</v>
      </c>
      <c r="I124" s="176" t="s">
        <v>566</v>
      </c>
      <c r="J124" s="176"/>
      <c r="K124" s="176" t="s">
        <v>593</v>
      </c>
      <c r="L124" s="176"/>
      <c r="M124" s="176"/>
      <c r="N124" s="179">
        <f t="shared" si="14"/>
        <v>242</v>
      </c>
      <c r="O124" s="179">
        <f t="shared" si="15"/>
        <v>0</v>
      </c>
      <c r="P124" s="180">
        <f t="shared" si="8"/>
        <v>242</v>
      </c>
      <c r="Q124" s="181">
        <f t="shared" si="9"/>
        <v>0.29156626506024097</v>
      </c>
      <c r="R124" s="122">
        <f t="shared" si="10"/>
        <v>48.400000000000006</v>
      </c>
      <c r="S124" s="122">
        <f t="shared" si="11"/>
        <v>0.23325301204819279</v>
      </c>
      <c r="T124" s="133">
        <v>0.2</v>
      </c>
    </row>
    <row r="125" spans="1:20" ht="14.4" hidden="1" x14ac:dyDescent="0.3">
      <c r="A125" s="175" t="s">
        <v>58</v>
      </c>
      <c r="B125" s="176" t="s">
        <v>216</v>
      </c>
      <c r="C125" s="176" t="s">
        <v>80</v>
      </c>
      <c r="D125" s="176" t="s">
        <v>624</v>
      </c>
      <c r="E125" s="177">
        <v>3</v>
      </c>
      <c r="F125" s="176" t="s">
        <v>127</v>
      </c>
      <c r="G125" s="178"/>
      <c r="H125" s="176" t="s">
        <v>628</v>
      </c>
      <c r="I125" s="176" t="s">
        <v>566</v>
      </c>
      <c r="J125" s="176"/>
      <c r="K125" s="176" t="s">
        <v>593</v>
      </c>
      <c r="L125" s="176"/>
      <c r="M125" s="176"/>
      <c r="N125" s="179">
        <f t="shared" si="14"/>
        <v>242</v>
      </c>
      <c r="O125" s="179">
        <f t="shared" si="15"/>
        <v>0</v>
      </c>
      <c r="P125" s="180">
        <f t="shared" si="8"/>
        <v>242</v>
      </c>
      <c r="Q125" s="181">
        <f t="shared" si="9"/>
        <v>0.29156626506024097</v>
      </c>
      <c r="R125" s="122">
        <f t="shared" si="10"/>
        <v>48.400000000000006</v>
      </c>
      <c r="S125" s="122">
        <f t="shared" si="11"/>
        <v>0.23325301204819279</v>
      </c>
      <c r="T125" s="133">
        <v>0.2</v>
      </c>
    </row>
    <row r="126" spans="1:20" ht="14.4" hidden="1" x14ac:dyDescent="0.3">
      <c r="A126" s="175" t="s">
        <v>58</v>
      </c>
      <c r="B126" s="176" t="s">
        <v>629</v>
      </c>
      <c r="C126" s="176" t="s">
        <v>73</v>
      </c>
      <c r="D126" s="176" t="s">
        <v>625</v>
      </c>
      <c r="E126" s="177">
        <v>12</v>
      </c>
      <c r="F126" s="176" t="s">
        <v>626</v>
      </c>
      <c r="G126" s="177">
        <v>12</v>
      </c>
      <c r="H126" s="176" t="s">
        <v>623</v>
      </c>
      <c r="I126" s="176" t="s">
        <v>564</v>
      </c>
      <c r="J126" s="176"/>
      <c r="K126" s="176" t="s">
        <v>593</v>
      </c>
      <c r="L126" s="176"/>
      <c r="M126" s="176"/>
      <c r="N126" s="179">
        <f t="shared" si="14"/>
        <v>456</v>
      </c>
      <c r="O126" s="179">
        <f t="shared" si="15"/>
        <v>384</v>
      </c>
      <c r="P126" s="180">
        <f t="shared" si="8"/>
        <v>840</v>
      </c>
      <c r="Q126" s="181">
        <f t="shared" si="9"/>
        <v>1.0120481927710843</v>
      </c>
      <c r="R126" s="122">
        <f t="shared" si="10"/>
        <v>168</v>
      </c>
      <c r="S126" s="122">
        <f t="shared" si="11"/>
        <v>0.80963855421686748</v>
      </c>
      <c r="T126" s="133">
        <v>0.8</v>
      </c>
    </row>
    <row r="127" spans="1:20" ht="14.4" hidden="1" x14ac:dyDescent="0.3">
      <c r="A127" s="175" t="s">
        <v>58</v>
      </c>
      <c r="B127" s="176" t="s">
        <v>629</v>
      </c>
      <c r="C127" s="176" t="s">
        <v>79</v>
      </c>
      <c r="D127" s="176" t="s">
        <v>625</v>
      </c>
      <c r="E127" s="177">
        <v>24</v>
      </c>
      <c r="F127" s="176" t="s">
        <v>626</v>
      </c>
      <c r="G127" s="177">
        <v>24</v>
      </c>
      <c r="H127" s="176" t="s">
        <v>623</v>
      </c>
      <c r="I127" s="176" t="s">
        <v>564</v>
      </c>
      <c r="J127" s="176"/>
      <c r="K127" s="176" t="s">
        <v>593</v>
      </c>
      <c r="L127" s="176"/>
      <c r="M127" s="176"/>
      <c r="N127" s="179">
        <f t="shared" si="14"/>
        <v>456</v>
      </c>
      <c r="O127" s="179">
        <f t="shared" si="15"/>
        <v>384</v>
      </c>
      <c r="P127" s="180">
        <f t="shared" si="8"/>
        <v>840</v>
      </c>
      <c r="Q127" s="181">
        <f t="shared" si="9"/>
        <v>1.0120481927710843</v>
      </c>
      <c r="R127" s="122">
        <f t="shared" si="10"/>
        <v>168</v>
      </c>
      <c r="S127" s="122">
        <f t="shared" si="11"/>
        <v>0.80963855421686748</v>
      </c>
      <c r="T127" s="133">
        <v>0.8</v>
      </c>
    </row>
    <row r="128" spans="1:20" ht="14.4" hidden="1" x14ac:dyDescent="0.3">
      <c r="A128" s="175" t="s">
        <v>58</v>
      </c>
      <c r="B128" s="176" t="s">
        <v>629</v>
      </c>
      <c r="C128" s="176" t="s">
        <v>142</v>
      </c>
      <c r="D128" s="176" t="s">
        <v>625</v>
      </c>
      <c r="E128" s="177">
        <v>4</v>
      </c>
      <c r="F128" s="176" t="s">
        <v>626</v>
      </c>
      <c r="G128" s="178"/>
      <c r="H128" s="176" t="s">
        <v>623</v>
      </c>
      <c r="I128" s="176" t="s">
        <v>564</v>
      </c>
      <c r="J128" s="176"/>
      <c r="K128" s="176" t="s">
        <v>593</v>
      </c>
      <c r="L128" s="176"/>
      <c r="M128" s="176"/>
      <c r="N128" s="179">
        <f t="shared" si="14"/>
        <v>456</v>
      </c>
      <c r="O128" s="179">
        <f t="shared" si="15"/>
        <v>384</v>
      </c>
      <c r="P128" s="180">
        <f t="shared" si="8"/>
        <v>840</v>
      </c>
      <c r="Q128" s="181">
        <f t="shared" si="9"/>
        <v>1.0120481927710843</v>
      </c>
      <c r="R128" s="122">
        <f t="shared" si="10"/>
        <v>168</v>
      </c>
      <c r="S128" s="122">
        <f t="shared" si="11"/>
        <v>0.80963855421686748</v>
      </c>
      <c r="T128" s="133">
        <v>0.8</v>
      </c>
    </row>
    <row r="129" spans="1:20" ht="14.4" hidden="1" x14ac:dyDescent="0.3">
      <c r="A129" s="175" t="s">
        <v>58</v>
      </c>
      <c r="B129" s="176" t="s">
        <v>629</v>
      </c>
      <c r="C129" s="176" t="s">
        <v>80</v>
      </c>
      <c r="D129" s="176" t="s">
        <v>625</v>
      </c>
      <c r="E129" s="177">
        <v>1</v>
      </c>
      <c r="F129" s="176" t="s">
        <v>626</v>
      </c>
      <c r="G129" s="178"/>
      <c r="H129" s="176" t="s">
        <v>623</v>
      </c>
      <c r="I129" s="176" t="s">
        <v>564</v>
      </c>
      <c r="J129" s="176"/>
      <c r="K129" s="176" t="s">
        <v>593</v>
      </c>
      <c r="L129" s="176"/>
      <c r="M129" s="176"/>
      <c r="N129" s="179">
        <f t="shared" si="14"/>
        <v>456</v>
      </c>
      <c r="O129" s="179">
        <f t="shared" si="15"/>
        <v>384</v>
      </c>
      <c r="P129" s="180">
        <f t="shared" si="8"/>
        <v>840</v>
      </c>
      <c r="Q129" s="181">
        <f t="shared" si="9"/>
        <v>1.0120481927710843</v>
      </c>
      <c r="R129" s="122">
        <f t="shared" si="10"/>
        <v>168</v>
      </c>
      <c r="S129" s="122">
        <f t="shared" si="11"/>
        <v>0.80963855421686748</v>
      </c>
      <c r="T129" s="133">
        <v>0.8</v>
      </c>
    </row>
    <row r="130" spans="1:20" ht="14.4" hidden="1" x14ac:dyDescent="0.3">
      <c r="A130" s="175" t="s">
        <v>58</v>
      </c>
      <c r="B130" s="176" t="s">
        <v>217</v>
      </c>
      <c r="C130" s="176" t="s">
        <v>73</v>
      </c>
      <c r="D130" s="176" t="s">
        <v>624</v>
      </c>
      <c r="E130" s="177">
        <v>24</v>
      </c>
      <c r="F130" s="176" t="s">
        <v>127</v>
      </c>
      <c r="G130" s="177">
        <v>24</v>
      </c>
      <c r="H130" s="176" t="s">
        <v>622</v>
      </c>
      <c r="I130" s="176" t="s">
        <v>562</v>
      </c>
      <c r="J130" s="176"/>
      <c r="K130" s="176" t="s">
        <v>565</v>
      </c>
      <c r="L130" s="176"/>
      <c r="M130" s="176"/>
      <c r="N130" s="179">
        <f t="shared" si="14"/>
        <v>438</v>
      </c>
      <c r="O130" s="179">
        <f t="shared" si="15"/>
        <v>361</v>
      </c>
      <c r="P130" s="180">
        <f t="shared" ref="P130:P137" si="16">N130+O130</f>
        <v>799</v>
      </c>
      <c r="Q130" s="181">
        <f t="shared" ref="Q130:Q137" si="17">P130/$Q$1</f>
        <v>0.96265060240963851</v>
      </c>
      <c r="R130" s="122">
        <f t="shared" ref="R130:R137" si="18">P130*0.2</f>
        <v>159.80000000000001</v>
      </c>
      <c r="S130" s="122">
        <f t="shared" ref="S130:S137" si="19">Q130*0.8</f>
        <v>0.77012048192771088</v>
      </c>
      <c r="T130" s="133">
        <v>0.75</v>
      </c>
    </row>
    <row r="131" spans="1:20" ht="14.4" hidden="1" x14ac:dyDescent="0.3">
      <c r="A131" s="175" t="s">
        <v>58</v>
      </c>
      <c r="B131" s="176" t="s">
        <v>217</v>
      </c>
      <c r="C131" s="176" t="s">
        <v>79</v>
      </c>
      <c r="D131" s="176" t="s">
        <v>624</v>
      </c>
      <c r="E131" s="177">
        <v>40</v>
      </c>
      <c r="F131" s="176" t="s">
        <v>127</v>
      </c>
      <c r="G131" s="177">
        <v>40</v>
      </c>
      <c r="H131" s="176" t="s">
        <v>622</v>
      </c>
      <c r="I131" s="176" t="s">
        <v>562</v>
      </c>
      <c r="J131" s="176"/>
      <c r="K131" s="176" t="s">
        <v>565</v>
      </c>
      <c r="L131" s="176"/>
      <c r="M131" s="176"/>
      <c r="N131" s="179">
        <f t="shared" si="14"/>
        <v>438</v>
      </c>
      <c r="O131" s="179">
        <f t="shared" si="15"/>
        <v>361</v>
      </c>
      <c r="P131" s="180">
        <f t="shared" si="16"/>
        <v>799</v>
      </c>
      <c r="Q131" s="181">
        <f t="shared" si="17"/>
        <v>0.96265060240963851</v>
      </c>
      <c r="R131" s="122">
        <f t="shared" si="18"/>
        <v>159.80000000000001</v>
      </c>
      <c r="S131" s="122">
        <f t="shared" si="19"/>
        <v>0.77012048192771088</v>
      </c>
      <c r="T131" s="133">
        <v>0.75</v>
      </c>
    </row>
    <row r="132" spans="1:20" ht="14.4" hidden="1" x14ac:dyDescent="0.3">
      <c r="A132" s="175" t="s">
        <v>58</v>
      </c>
      <c r="B132" s="176" t="s">
        <v>217</v>
      </c>
      <c r="C132" s="176" t="s">
        <v>100</v>
      </c>
      <c r="D132" s="176" t="s">
        <v>624</v>
      </c>
      <c r="E132" s="177">
        <v>8</v>
      </c>
      <c r="F132" s="176" t="s">
        <v>127</v>
      </c>
      <c r="G132" s="177">
        <v>8</v>
      </c>
      <c r="H132" s="176" t="s">
        <v>622</v>
      </c>
      <c r="I132" s="176" t="s">
        <v>562</v>
      </c>
      <c r="J132" s="176"/>
      <c r="K132" s="176" t="s">
        <v>565</v>
      </c>
      <c r="L132" s="176"/>
      <c r="M132" s="176"/>
      <c r="N132" s="179">
        <f t="shared" si="14"/>
        <v>438</v>
      </c>
      <c r="O132" s="179">
        <f t="shared" si="15"/>
        <v>361</v>
      </c>
      <c r="P132" s="180">
        <f t="shared" si="16"/>
        <v>799</v>
      </c>
      <c r="Q132" s="181">
        <f t="shared" si="17"/>
        <v>0.96265060240963851</v>
      </c>
      <c r="R132" s="122">
        <f t="shared" si="18"/>
        <v>159.80000000000001</v>
      </c>
      <c r="S132" s="122">
        <f t="shared" si="19"/>
        <v>0.77012048192771088</v>
      </c>
      <c r="T132" s="133">
        <v>0.75</v>
      </c>
    </row>
    <row r="133" spans="1:20" ht="14.4" hidden="1" x14ac:dyDescent="0.3">
      <c r="A133" s="175" t="s">
        <v>58</v>
      </c>
      <c r="B133" s="176" t="s">
        <v>217</v>
      </c>
      <c r="C133" s="176" t="s">
        <v>111</v>
      </c>
      <c r="D133" s="176" t="s">
        <v>624</v>
      </c>
      <c r="E133" s="177">
        <v>6</v>
      </c>
      <c r="F133" s="176" t="s">
        <v>127</v>
      </c>
      <c r="G133" s="178"/>
      <c r="H133" s="176" t="s">
        <v>622</v>
      </c>
      <c r="I133" s="176" t="s">
        <v>562</v>
      </c>
      <c r="J133" s="176"/>
      <c r="K133" s="176" t="s">
        <v>565</v>
      </c>
      <c r="L133" s="176"/>
      <c r="M133" s="176"/>
      <c r="N133" s="179">
        <f t="shared" si="14"/>
        <v>438</v>
      </c>
      <c r="O133" s="179">
        <f t="shared" si="15"/>
        <v>361</v>
      </c>
      <c r="P133" s="180">
        <f t="shared" si="16"/>
        <v>799</v>
      </c>
      <c r="Q133" s="181">
        <f t="shared" si="17"/>
        <v>0.96265060240963851</v>
      </c>
      <c r="R133" s="122">
        <f t="shared" si="18"/>
        <v>159.80000000000001</v>
      </c>
      <c r="S133" s="122">
        <f t="shared" si="19"/>
        <v>0.77012048192771088</v>
      </c>
      <c r="T133" s="133">
        <v>0.75</v>
      </c>
    </row>
    <row r="134" spans="1:20" ht="14.4" hidden="1" x14ac:dyDescent="0.3">
      <c r="A134" s="175" t="s">
        <v>58</v>
      </c>
      <c r="B134" s="176" t="s">
        <v>217</v>
      </c>
      <c r="C134" s="176" t="s">
        <v>80</v>
      </c>
      <c r="D134" s="176" t="s">
        <v>624</v>
      </c>
      <c r="E134" s="177">
        <v>3</v>
      </c>
      <c r="F134" s="176" t="s">
        <v>127</v>
      </c>
      <c r="G134" s="178"/>
      <c r="H134" s="176" t="s">
        <v>622</v>
      </c>
      <c r="I134" s="176" t="s">
        <v>562</v>
      </c>
      <c r="J134" s="176"/>
      <c r="K134" s="176" t="s">
        <v>565</v>
      </c>
      <c r="L134" s="176"/>
      <c r="M134" s="176"/>
      <c r="N134" s="179">
        <f t="shared" si="14"/>
        <v>438</v>
      </c>
      <c r="O134" s="179">
        <f t="shared" si="15"/>
        <v>361</v>
      </c>
      <c r="P134" s="180">
        <f t="shared" si="16"/>
        <v>799</v>
      </c>
      <c r="Q134" s="181">
        <f t="shared" si="17"/>
        <v>0.96265060240963851</v>
      </c>
      <c r="R134" s="122">
        <f t="shared" si="18"/>
        <v>159.80000000000001</v>
      </c>
      <c r="S134" s="122">
        <f t="shared" si="19"/>
        <v>0.77012048192771088</v>
      </c>
      <c r="T134" s="133">
        <v>0.75</v>
      </c>
    </row>
    <row r="135" spans="1:20" ht="14.4" hidden="1" x14ac:dyDescent="0.3">
      <c r="A135" s="175" t="s">
        <v>58</v>
      </c>
      <c r="B135" s="176" t="s">
        <v>218</v>
      </c>
      <c r="C135" s="176" t="s">
        <v>73</v>
      </c>
      <c r="D135" s="176" t="s">
        <v>595</v>
      </c>
      <c r="E135" s="177">
        <v>18</v>
      </c>
      <c r="F135" s="176" t="s">
        <v>596</v>
      </c>
      <c r="G135" s="177">
        <v>18</v>
      </c>
      <c r="H135" s="176" t="s">
        <v>623</v>
      </c>
      <c r="I135" s="176" t="s">
        <v>564</v>
      </c>
      <c r="J135" s="176"/>
      <c r="K135" s="176" t="s">
        <v>593</v>
      </c>
      <c r="L135" s="176"/>
      <c r="M135" s="176"/>
      <c r="N135" s="179">
        <f t="shared" si="14"/>
        <v>456</v>
      </c>
      <c r="O135" s="179">
        <f t="shared" si="15"/>
        <v>384</v>
      </c>
      <c r="P135" s="180">
        <f t="shared" si="16"/>
        <v>840</v>
      </c>
      <c r="Q135" s="181">
        <f t="shared" si="17"/>
        <v>1.0120481927710843</v>
      </c>
      <c r="R135" s="122">
        <f t="shared" si="18"/>
        <v>168</v>
      </c>
      <c r="S135" s="122">
        <f t="shared" si="19"/>
        <v>0.80963855421686748</v>
      </c>
      <c r="T135" s="133">
        <v>0.8</v>
      </c>
    </row>
    <row r="136" spans="1:20" ht="14.4" hidden="1" x14ac:dyDescent="0.3">
      <c r="A136" s="175" t="s">
        <v>58</v>
      </c>
      <c r="B136" s="176" t="s">
        <v>218</v>
      </c>
      <c r="C136" s="176" t="s">
        <v>100</v>
      </c>
      <c r="D136" s="176" t="s">
        <v>595</v>
      </c>
      <c r="E136" s="177">
        <v>32</v>
      </c>
      <c r="F136" s="176" t="s">
        <v>596</v>
      </c>
      <c r="G136" s="177">
        <v>32</v>
      </c>
      <c r="H136" s="176" t="s">
        <v>623</v>
      </c>
      <c r="I136" s="176" t="s">
        <v>564</v>
      </c>
      <c r="J136" s="176"/>
      <c r="K136" s="176" t="s">
        <v>593</v>
      </c>
      <c r="L136" s="176"/>
      <c r="M136" s="176"/>
      <c r="N136" s="179">
        <f t="shared" si="14"/>
        <v>456</v>
      </c>
      <c r="O136" s="179">
        <f t="shared" si="15"/>
        <v>384</v>
      </c>
      <c r="P136" s="180">
        <f t="shared" si="16"/>
        <v>840</v>
      </c>
      <c r="Q136" s="181">
        <f t="shared" si="17"/>
        <v>1.0120481927710843</v>
      </c>
      <c r="R136" s="122">
        <f t="shared" si="18"/>
        <v>168</v>
      </c>
      <c r="S136" s="122">
        <f t="shared" si="19"/>
        <v>0.80963855421686748</v>
      </c>
      <c r="T136" s="133">
        <v>0.8</v>
      </c>
    </row>
    <row r="137" spans="1:20" ht="14.4" hidden="1" x14ac:dyDescent="0.3">
      <c r="A137" s="175" t="s">
        <v>58</v>
      </c>
      <c r="B137" s="176" t="s">
        <v>218</v>
      </c>
      <c r="C137" s="176" t="s">
        <v>142</v>
      </c>
      <c r="D137" s="176" t="s">
        <v>595</v>
      </c>
      <c r="E137" s="177">
        <v>2</v>
      </c>
      <c r="F137" s="176" t="s">
        <v>596</v>
      </c>
      <c r="G137" s="178"/>
      <c r="H137" s="176" t="s">
        <v>623</v>
      </c>
      <c r="I137" s="176" t="s">
        <v>564</v>
      </c>
      <c r="J137" s="176"/>
      <c r="K137" s="176" t="s">
        <v>593</v>
      </c>
      <c r="L137" s="176"/>
      <c r="M137" s="176"/>
      <c r="N137" s="179">
        <f t="shared" si="14"/>
        <v>456</v>
      </c>
      <c r="O137" s="179">
        <f t="shared" si="15"/>
        <v>384</v>
      </c>
      <c r="P137" s="180">
        <f t="shared" si="16"/>
        <v>840</v>
      </c>
      <c r="Q137" s="181">
        <f t="shared" si="17"/>
        <v>1.0120481927710843</v>
      </c>
      <c r="R137" s="122">
        <f t="shared" si="18"/>
        <v>168</v>
      </c>
      <c r="S137" s="122">
        <f t="shared" si="19"/>
        <v>0.80963855421686748</v>
      </c>
      <c r="T137" s="133">
        <v>0.8</v>
      </c>
    </row>
    <row r="138" spans="1:20" ht="14.4" hidden="1" x14ac:dyDescent="0.3">
      <c r="A138" s="175" t="s">
        <v>58</v>
      </c>
      <c r="B138" s="176" t="s">
        <v>218</v>
      </c>
      <c r="C138" s="176" t="s">
        <v>80</v>
      </c>
      <c r="D138" s="176" t="s">
        <v>595</v>
      </c>
      <c r="E138" s="177">
        <v>1</v>
      </c>
      <c r="F138" s="176" t="s">
        <v>596</v>
      </c>
      <c r="G138" s="178"/>
      <c r="H138" s="176" t="s">
        <v>623</v>
      </c>
      <c r="I138" s="176" t="s">
        <v>564</v>
      </c>
      <c r="J138" s="176"/>
      <c r="K138" s="176" t="s">
        <v>593</v>
      </c>
      <c r="L138" s="176"/>
      <c r="M138" s="176"/>
      <c r="N138" s="179">
        <f t="shared" si="14"/>
        <v>456</v>
      </c>
      <c r="O138" s="179">
        <f t="shared" si="15"/>
        <v>384</v>
      </c>
      <c r="P138" s="180">
        <f t="shared" ref="P138:P201" si="20">N138+O138</f>
        <v>840</v>
      </c>
      <c r="Q138" s="181">
        <f t="shared" ref="Q138:Q201" si="21">P138/$Q$1</f>
        <v>1.0120481927710843</v>
      </c>
      <c r="R138" s="122">
        <f t="shared" ref="R138:R201" si="22">P138*0.2</f>
        <v>168</v>
      </c>
      <c r="S138" s="122">
        <f t="shared" ref="S138:S201" si="23">Q138*0.8</f>
        <v>0.80963855421686748</v>
      </c>
      <c r="T138" s="133">
        <v>0.8</v>
      </c>
    </row>
    <row r="139" spans="1:20" ht="14.4" hidden="1" x14ac:dyDescent="0.3">
      <c r="A139" s="175" t="s">
        <v>58</v>
      </c>
      <c r="B139" s="176" t="s">
        <v>224</v>
      </c>
      <c r="C139" s="176" t="s">
        <v>73</v>
      </c>
      <c r="D139" s="176" t="s">
        <v>595</v>
      </c>
      <c r="E139" s="177">
        <v>20</v>
      </c>
      <c r="F139" s="176" t="s">
        <v>596</v>
      </c>
      <c r="G139" s="177">
        <v>20</v>
      </c>
      <c r="H139" s="176" t="s">
        <v>619</v>
      </c>
      <c r="I139" s="176" t="s">
        <v>581</v>
      </c>
      <c r="J139" s="176"/>
      <c r="K139" s="176" t="s">
        <v>593</v>
      </c>
      <c r="L139" s="176"/>
      <c r="M139" s="176"/>
      <c r="N139" s="179">
        <f t="shared" si="14"/>
        <v>276</v>
      </c>
      <c r="O139" s="179">
        <f t="shared" si="15"/>
        <v>323</v>
      </c>
      <c r="P139" s="180">
        <f t="shared" si="20"/>
        <v>599</v>
      </c>
      <c r="Q139" s="181">
        <f t="shared" si="21"/>
        <v>0.72168674698795177</v>
      </c>
      <c r="R139" s="122">
        <f t="shared" si="22"/>
        <v>119.80000000000001</v>
      </c>
      <c r="S139" s="122">
        <f t="shared" si="23"/>
        <v>0.57734939759036141</v>
      </c>
      <c r="T139" s="133">
        <v>0.55000000000000004</v>
      </c>
    </row>
    <row r="140" spans="1:20" ht="14.4" hidden="1" x14ac:dyDescent="0.3">
      <c r="A140" s="175" t="s">
        <v>58</v>
      </c>
      <c r="B140" s="176" t="s">
        <v>224</v>
      </c>
      <c r="C140" s="176" t="s">
        <v>79</v>
      </c>
      <c r="D140" s="176" t="s">
        <v>595</v>
      </c>
      <c r="E140" s="177">
        <v>30</v>
      </c>
      <c r="F140" s="176" t="s">
        <v>596</v>
      </c>
      <c r="G140" s="177">
        <v>30</v>
      </c>
      <c r="H140" s="176" t="s">
        <v>619</v>
      </c>
      <c r="I140" s="176" t="s">
        <v>581</v>
      </c>
      <c r="J140" s="176"/>
      <c r="K140" s="176" t="s">
        <v>593</v>
      </c>
      <c r="L140" s="176"/>
      <c r="M140" s="176"/>
      <c r="N140" s="179">
        <f t="shared" si="14"/>
        <v>276</v>
      </c>
      <c r="O140" s="179">
        <f t="shared" si="15"/>
        <v>323</v>
      </c>
      <c r="P140" s="180">
        <f t="shared" si="20"/>
        <v>599</v>
      </c>
      <c r="Q140" s="181">
        <f t="shared" si="21"/>
        <v>0.72168674698795177</v>
      </c>
      <c r="R140" s="122">
        <f t="shared" si="22"/>
        <v>119.80000000000001</v>
      </c>
      <c r="S140" s="122">
        <f t="shared" si="23"/>
        <v>0.57734939759036141</v>
      </c>
      <c r="T140" s="133">
        <v>0.55000000000000004</v>
      </c>
    </row>
    <row r="141" spans="1:20" ht="14.4" hidden="1" x14ac:dyDescent="0.3">
      <c r="A141" s="175" t="s">
        <v>58</v>
      </c>
      <c r="B141" s="176" t="s">
        <v>224</v>
      </c>
      <c r="C141" s="176" t="s">
        <v>142</v>
      </c>
      <c r="D141" s="176" t="s">
        <v>595</v>
      </c>
      <c r="E141" s="177">
        <v>2</v>
      </c>
      <c r="F141" s="176" t="s">
        <v>596</v>
      </c>
      <c r="G141" s="178"/>
      <c r="H141" s="176" t="s">
        <v>619</v>
      </c>
      <c r="I141" s="176" t="s">
        <v>581</v>
      </c>
      <c r="J141" s="176"/>
      <c r="K141" s="176" t="s">
        <v>593</v>
      </c>
      <c r="L141" s="176"/>
      <c r="M141" s="176"/>
      <c r="N141" s="179">
        <f t="shared" si="14"/>
        <v>276</v>
      </c>
      <c r="O141" s="179">
        <f t="shared" si="15"/>
        <v>323</v>
      </c>
      <c r="P141" s="180">
        <f t="shared" si="20"/>
        <v>599</v>
      </c>
      <c r="Q141" s="181">
        <f t="shared" si="21"/>
        <v>0.72168674698795177</v>
      </c>
      <c r="R141" s="122">
        <f t="shared" si="22"/>
        <v>119.80000000000001</v>
      </c>
      <c r="S141" s="122">
        <f t="shared" si="23"/>
        <v>0.57734939759036141</v>
      </c>
      <c r="T141" s="133">
        <v>0.55000000000000004</v>
      </c>
    </row>
    <row r="142" spans="1:20" ht="14.4" hidden="1" x14ac:dyDescent="0.3">
      <c r="A142" s="175" t="s">
        <v>58</v>
      </c>
      <c r="B142" s="176" t="s">
        <v>224</v>
      </c>
      <c r="C142" s="176" t="s">
        <v>80</v>
      </c>
      <c r="D142" s="176" t="s">
        <v>595</v>
      </c>
      <c r="E142" s="177">
        <v>1</v>
      </c>
      <c r="F142" s="176" t="s">
        <v>596</v>
      </c>
      <c r="G142" s="178"/>
      <c r="H142" s="176" t="s">
        <v>619</v>
      </c>
      <c r="I142" s="176" t="s">
        <v>581</v>
      </c>
      <c r="J142" s="176"/>
      <c r="K142" s="176" t="s">
        <v>593</v>
      </c>
      <c r="L142" s="176"/>
      <c r="M142" s="176"/>
      <c r="N142" s="179">
        <f t="shared" si="14"/>
        <v>276</v>
      </c>
      <c r="O142" s="179">
        <f t="shared" si="15"/>
        <v>323</v>
      </c>
      <c r="P142" s="180">
        <f t="shared" si="20"/>
        <v>599</v>
      </c>
      <c r="Q142" s="181">
        <f t="shared" si="21"/>
        <v>0.72168674698795177</v>
      </c>
      <c r="R142" s="122">
        <f t="shared" si="22"/>
        <v>119.80000000000001</v>
      </c>
      <c r="S142" s="122">
        <f t="shared" si="23"/>
        <v>0.57734939759036141</v>
      </c>
      <c r="T142" s="133">
        <v>0.55000000000000004</v>
      </c>
    </row>
    <row r="143" spans="1:20" ht="14.4" hidden="1" x14ac:dyDescent="0.3">
      <c r="A143" s="175" t="s">
        <v>58</v>
      </c>
      <c r="B143" s="176" t="s">
        <v>630</v>
      </c>
      <c r="C143" s="176" t="s">
        <v>73</v>
      </c>
      <c r="D143" s="176" t="s">
        <v>631</v>
      </c>
      <c r="E143" s="177">
        <v>18</v>
      </c>
      <c r="F143" s="176" t="s">
        <v>632</v>
      </c>
      <c r="G143" s="177">
        <v>18</v>
      </c>
      <c r="H143" s="176" t="s">
        <v>592</v>
      </c>
      <c r="I143" s="176" t="s">
        <v>561</v>
      </c>
      <c r="J143" s="176"/>
      <c r="K143" s="176" t="s">
        <v>593</v>
      </c>
      <c r="L143" s="176"/>
      <c r="M143" s="176"/>
      <c r="N143" s="179">
        <f t="shared" si="14"/>
        <v>442</v>
      </c>
      <c r="O143" s="179">
        <f t="shared" si="15"/>
        <v>269</v>
      </c>
      <c r="P143" s="180">
        <f t="shared" si="20"/>
        <v>711</v>
      </c>
      <c r="Q143" s="181">
        <f t="shared" si="21"/>
        <v>0.8566265060240964</v>
      </c>
      <c r="R143" s="122">
        <f t="shared" si="22"/>
        <v>142.20000000000002</v>
      </c>
      <c r="S143" s="122">
        <f t="shared" si="23"/>
        <v>0.68530120481927714</v>
      </c>
      <c r="T143" s="133">
        <v>0.7</v>
      </c>
    </row>
    <row r="144" spans="1:20" ht="14.4" hidden="1" x14ac:dyDescent="0.3">
      <c r="A144" s="175" t="s">
        <v>58</v>
      </c>
      <c r="B144" s="176" t="s">
        <v>630</v>
      </c>
      <c r="C144" s="176" t="s">
        <v>79</v>
      </c>
      <c r="D144" s="176" t="s">
        <v>633</v>
      </c>
      <c r="E144" s="177">
        <v>18</v>
      </c>
      <c r="F144" s="176" t="s">
        <v>632</v>
      </c>
      <c r="G144" s="177">
        <v>18</v>
      </c>
      <c r="H144" s="176" t="s">
        <v>592</v>
      </c>
      <c r="I144" s="176" t="s">
        <v>561</v>
      </c>
      <c r="J144" s="176"/>
      <c r="K144" s="176" t="s">
        <v>593</v>
      </c>
      <c r="L144" s="176"/>
      <c r="M144" s="176"/>
      <c r="N144" s="179">
        <f t="shared" si="14"/>
        <v>442</v>
      </c>
      <c r="O144" s="179">
        <f t="shared" si="15"/>
        <v>269</v>
      </c>
      <c r="P144" s="180">
        <f t="shared" si="20"/>
        <v>711</v>
      </c>
      <c r="Q144" s="181">
        <f t="shared" si="21"/>
        <v>0.8566265060240964</v>
      </c>
      <c r="R144" s="122">
        <f t="shared" si="22"/>
        <v>142.20000000000002</v>
      </c>
      <c r="S144" s="122">
        <f t="shared" si="23"/>
        <v>0.68530120481927714</v>
      </c>
      <c r="T144" s="133">
        <v>0.7</v>
      </c>
    </row>
    <row r="145" spans="1:20" ht="14.4" hidden="1" x14ac:dyDescent="0.3">
      <c r="A145" s="175" t="s">
        <v>58</v>
      </c>
      <c r="B145" s="176" t="s">
        <v>630</v>
      </c>
      <c r="C145" s="176" t="s">
        <v>79</v>
      </c>
      <c r="D145" s="176" t="s">
        <v>634</v>
      </c>
      <c r="E145" s="177">
        <v>18</v>
      </c>
      <c r="F145" s="176" t="s">
        <v>632</v>
      </c>
      <c r="G145" s="177">
        <v>18</v>
      </c>
      <c r="H145" s="176" t="s">
        <v>592</v>
      </c>
      <c r="I145" s="176" t="s">
        <v>561</v>
      </c>
      <c r="J145" s="176"/>
      <c r="K145" s="176" t="s">
        <v>593</v>
      </c>
      <c r="L145" s="176"/>
      <c r="M145" s="176"/>
      <c r="N145" s="179">
        <f t="shared" si="14"/>
        <v>442</v>
      </c>
      <c r="O145" s="179">
        <f t="shared" si="15"/>
        <v>269</v>
      </c>
      <c r="P145" s="180">
        <f t="shared" si="20"/>
        <v>711</v>
      </c>
      <c r="Q145" s="181">
        <f t="shared" si="21"/>
        <v>0.8566265060240964</v>
      </c>
      <c r="R145" s="122">
        <f t="shared" si="22"/>
        <v>142.20000000000002</v>
      </c>
      <c r="S145" s="122">
        <f t="shared" si="23"/>
        <v>0.68530120481927714</v>
      </c>
      <c r="T145" s="133">
        <v>0.7</v>
      </c>
    </row>
    <row r="146" spans="1:20" ht="14.4" hidden="1" x14ac:dyDescent="0.3">
      <c r="A146" s="175" t="s">
        <v>58</v>
      </c>
      <c r="B146" s="176" t="s">
        <v>630</v>
      </c>
      <c r="C146" s="176" t="s">
        <v>79</v>
      </c>
      <c r="D146" s="176" t="s">
        <v>635</v>
      </c>
      <c r="E146" s="177">
        <v>18</v>
      </c>
      <c r="F146" s="176" t="s">
        <v>632</v>
      </c>
      <c r="G146" s="177">
        <v>18</v>
      </c>
      <c r="H146" s="176" t="s">
        <v>592</v>
      </c>
      <c r="I146" s="176" t="s">
        <v>561</v>
      </c>
      <c r="J146" s="176"/>
      <c r="K146" s="176" t="s">
        <v>593</v>
      </c>
      <c r="L146" s="176"/>
      <c r="M146" s="176"/>
      <c r="N146" s="179">
        <f t="shared" si="14"/>
        <v>442</v>
      </c>
      <c r="O146" s="179">
        <f t="shared" si="15"/>
        <v>269</v>
      </c>
      <c r="P146" s="180">
        <f t="shared" si="20"/>
        <v>711</v>
      </c>
      <c r="Q146" s="181">
        <f t="shared" si="21"/>
        <v>0.8566265060240964</v>
      </c>
      <c r="R146" s="122">
        <f t="shared" si="22"/>
        <v>142.20000000000002</v>
      </c>
      <c r="S146" s="122">
        <f t="shared" si="23"/>
        <v>0.68530120481927714</v>
      </c>
      <c r="T146" s="133">
        <v>0.7</v>
      </c>
    </row>
    <row r="147" spans="1:20" ht="14.4" hidden="1" x14ac:dyDescent="0.3">
      <c r="A147" s="175" t="s">
        <v>58</v>
      </c>
      <c r="B147" s="176" t="s">
        <v>630</v>
      </c>
      <c r="C147" s="176" t="s">
        <v>142</v>
      </c>
      <c r="D147" s="176" t="s">
        <v>633</v>
      </c>
      <c r="E147" s="177">
        <v>2</v>
      </c>
      <c r="F147" s="176" t="s">
        <v>632</v>
      </c>
      <c r="G147" s="178"/>
      <c r="H147" s="176" t="s">
        <v>592</v>
      </c>
      <c r="I147" s="176" t="s">
        <v>561</v>
      </c>
      <c r="J147" s="176"/>
      <c r="K147" s="176" t="s">
        <v>593</v>
      </c>
      <c r="L147" s="176"/>
      <c r="M147" s="176"/>
      <c r="N147" s="179">
        <f t="shared" si="14"/>
        <v>442</v>
      </c>
      <c r="O147" s="179">
        <f t="shared" si="15"/>
        <v>269</v>
      </c>
      <c r="P147" s="180">
        <f t="shared" si="20"/>
        <v>711</v>
      </c>
      <c r="Q147" s="181">
        <f t="shared" si="21"/>
        <v>0.8566265060240964</v>
      </c>
      <c r="R147" s="122">
        <f t="shared" si="22"/>
        <v>142.20000000000002</v>
      </c>
      <c r="S147" s="122">
        <f t="shared" si="23"/>
        <v>0.68530120481927714</v>
      </c>
      <c r="T147" s="133">
        <v>0.7</v>
      </c>
    </row>
    <row r="148" spans="1:20" ht="14.4" x14ac:dyDescent="0.3">
      <c r="A148" s="175" t="s">
        <v>58</v>
      </c>
      <c r="B148" s="176" t="s">
        <v>630</v>
      </c>
      <c r="C148" s="176" t="s">
        <v>142</v>
      </c>
      <c r="D148" s="176" t="s">
        <v>633</v>
      </c>
      <c r="E148" s="177">
        <v>1</v>
      </c>
      <c r="F148" s="176" t="s">
        <v>632</v>
      </c>
      <c r="G148" s="178"/>
      <c r="H148" s="176"/>
      <c r="I148" s="176" t="s">
        <v>500</v>
      </c>
      <c r="J148" s="176"/>
      <c r="K148" s="176" t="s">
        <v>593</v>
      </c>
      <c r="L148" s="176"/>
      <c r="M148" s="176"/>
      <c r="N148" s="179">
        <f t="shared" si="14"/>
        <v>14.5</v>
      </c>
      <c r="O148" s="179">
        <f t="shared" si="15"/>
        <v>78</v>
      </c>
      <c r="P148" s="180">
        <f t="shared" si="20"/>
        <v>92.5</v>
      </c>
      <c r="Q148" s="181">
        <f t="shared" si="21"/>
        <v>0.11144578313253012</v>
      </c>
      <c r="R148" s="122">
        <f t="shared" si="22"/>
        <v>18.5</v>
      </c>
      <c r="S148" s="122">
        <f t="shared" si="23"/>
        <v>8.91566265060241E-2</v>
      </c>
      <c r="T148" s="133">
        <v>0</v>
      </c>
    </row>
    <row r="149" spans="1:20" ht="14.4" hidden="1" x14ac:dyDescent="0.3">
      <c r="A149" s="175" t="s">
        <v>58</v>
      </c>
      <c r="B149" s="176" t="s">
        <v>630</v>
      </c>
      <c r="C149" s="176" t="s">
        <v>142</v>
      </c>
      <c r="D149" s="176" t="s">
        <v>634</v>
      </c>
      <c r="E149" s="177">
        <v>3</v>
      </c>
      <c r="F149" s="176" t="s">
        <v>632</v>
      </c>
      <c r="G149" s="178"/>
      <c r="H149" s="176" t="s">
        <v>592</v>
      </c>
      <c r="I149" s="176" t="s">
        <v>561</v>
      </c>
      <c r="J149" s="176"/>
      <c r="K149" s="176" t="s">
        <v>593</v>
      </c>
      <c r="L149" s="176"/>
      <c r="M149" s="176"/>
      <c r="N149" s="179">
        <f t="shared" si="14"/>
        <v>442</v>
      </c>
      <c r="O149" s="179">
        <f t="shared" si="15"/>
        <v>269</v>
      </c>
      <c r="P149" s="180">
        <f t="shared" si="20"/>
        <v>711</v>
      </c>
      <c r="Q149" s="181">
        <f t="shared" si="21"/>
        <v>0.8566265060240964</v>
      </c>
      <c r="R149" s="122">
        <f t="shared" si="22"/>
        <v>142.20000000000002</v>
      </c>
      <c r="S149" s="122">
        <f t="shared" si="23"/>
        <v>0.68530120481927714</v>
      </c>
      <c r="T149" s="133">
        <v>0.7</v>
      </c>
    </row>
    <row r="150" spans="1:20" ht="14.4" x14ac:dyDescent="0.3">
      <c r="A150" s="175" t="s">
        <v>58</v>
      </c>
      <c r="B150" s="176" t="s">
        <v>630</v>
      </c>
      <c r="C150" s="176" t="s">
        <v>142</v>
      </c>
      <c r="D150" s="176" t="s">
        <v>634</v>
      </c>
      <c r="E150" s="177">
        <v>1</v>
      </c>
      <c r="F150" s="176" t="s">
        <v>632</v>
      </c>
      <c r="G150" s="178"/>
      <c r="H150" s="176"/>
      <c r="I150" s="176" t="s">
        <v>500</v>
      </c>
      <c r="J150" s="176"/>
      <c r="K150" s="176" t="s">
        <v>593</v>
      </c>
      <c r="L150" s="176"/>
      <c r="M150" s="176"/>
      <c r="N150" s="179">
        <f t="shared" si="14"/>
        <v>14.5</v>
      </c>
      <c r="O150" s="179">
        <f t="shared" si="15"/>
        <v>78</v>
      </c>
      <c r="P150" s="180">
        <f t="shared" si="20"/>
        <v>92.5</v>
      </c>
      <c r="Q150" s="181">
        <f t="shared" si="21"/>
        <v>0.11144578313253012</v>
      </c>
      <c r="R150" s="122">
        <f t="shared" si="22"/>
        <v>18.5</v>
      </c>
      <c r="S150" s="122">
        <f t="shared" si="23"/>
        <v>8.91566265060241E-2</v>
      </c>
      <c r="T150" s="133">
        <v>0</v>
      </c>
    </row>
    <row r="151" spans="1:20" ht="14.4" hidden="1" x14ac:dyDescent="0.3">
      <c r="A151" s="175" t="s">
        <v>58</v>
      </c>
      <c r="B151" s="176" t="s">
        <v>630</v>
      </c>
      <c r="C151" s="176" t="s">
        <v>142</v>
      </c>
      <c r="D151" s="176" t="s">
        <v>635</v>
      </c>
      <c r="E151" s="177">
        <v>3</v>
      </c>
      <c r="F151" s="176" t="s">
        <v>632</v>
      </c>
      <c r="G151" s="178"/>
      <c r="H151" s="176" t="s">
        <v>592</v>
      </c>
      <c r="I151" s="176" t="s">
        <v>561</v>
      </c>
      <c r="J151" s="176"/>
      <c r="K151" s="176" t="s">
        <v>593</v>
      </c>
      <c r="L151" s="176"/>
      <c r="M151" s="176"/>
      <c r="N151" s="179">
        <f t="shared" si="14"/>
        <v>442</v>
      </c>
      <c r="O151" s="179">
        <f t="shared" si="15"/>
        <v>269</v>
      </c>
      <c r="P151" s="180">
        <f t="shared" si="20"/>
        <v>711</v>
      </c>
      <c r="Q151" s="181">
        <f t="shared" si="21"/>
        <v>0.8566265060240964</v>
      </c>
      <c r="R151" s="122">
        <f t="shared" si="22"/>
        <v>142.20000000000002</v>
      </c>
      <c r="S151" s="122">
        <f t="shared" si="23"/>
        <v>0.68530120481927714</v>
      </c>
      <c r="T151" s="133">
        <v>0.7</v>
      </c>
    </row>
    <row r="152" spans="1:20" ht="14.4" x14ac:dyDescent="0.3">
      <c r="A152" s="175" t="s">
        <v>58</v>
      </c>
      <c r="B152" s="176" t="s">
        <v>630</v>
      </c>
      <c r="C152" s="176" t="s">
        <v>142</v>
      </c>
      <c r="D152" s="176" t="s">
        <v>635</v>
      </c>
      <c r="E152" s="177">
        <v>1</v>
      </c>
      <c r="F152" s="176" t="s">
        <v>632</v>
      </c>
      <c r="G152" s="178"/>
      <c r="H152" s="176"/>
      <c r="I152" s="176" t="s">
        <v>500</v>
      </c>
      <c r="J152" s="176"/>
      <c r="K152" s="176" t="s">
        <v>593</v>
      </c>
      <c r="L152" s="176"/>
      <c r="M152" s="176"/>
      <c r="N152" s="179">
        <f t="shared" si="14"/>
        <v>14.5</v>
      </c>
      <c r="O152" s="179">
        <f t="shared" si="15"/>
        <v>78</v>
      </c>
      <c r="P152" s="180">
        <f t="shared" si="20"/>
        <v>92.5</v>
      </c>
      <c r="Q152" s="181">
        <f t="shared" si="21"/>
        <v>0.11144578313253012</v>
      </c>
      <c r="R152" s="122">
        <f t="shared" si="22"/>
        <v>18.5</v>
      </c>
      <c r="S152" s="122">
        <f t="shared" si="23"/>
        <v>8.91566265060241E-2</v>
      </c>
      <c r="T152" s="133">
        <v>0</v>
      </c>
    </row>
    <row r="153" spans="1:20" ht="14.4" hidden="1" x14ac:dyDescent="0.3">
      <c r="A153" s="175" t="s">
        <v>58</v>
      </c>
      <c r="B153" s="176" t="s">
        <v>630</v>
      </c>
      <c r="C153" s="176" t="s">
        <v>80</v>
      </c>
      <c r="D153" s="176" t="s">
        <v>633</v>
      </c>
      <c r="E153" s="177">
        <v>1</v>
      </c>
      <c r="F153" s="176" t="s">
        <v>632</v>
      </c>
      <c r="G153" s="178"/>
      <c r="H153" s="176" t="s">
        <v>592</v>
      </c>
      <c r="I153" s="176" t="s">
        <v>561</v>
      </c>
      <c r="J153" s="176"/>
      <c r="K153" s="176" t="s">
        <v>593</v>
      </c>
      <c r="L153" s="176"/>
      <c r="M153" s="176"/>
      <c r="N153" s="179">
        <f t="shared" si="14"/>
        <v>442</v>
      </c>
      <c r="O153" s="179">
        <f t="shared" si="15"/>
        <v>269</v>
      </c>
      <c r="P153" s="180">
        <f t="shared" si="20"/>
        <v>711</v>
      </c>
      <c r="Q153" s="181">
        <f t="shared" si="21"/>
        <v>0.8566265060240964</v>
      </c>
      <c r="R153" s="122">
        <f t="shared" si="22"/>
        <v>142.20000000000002</v>
      </c>
      <c r="S153" s="122">
        <f t="shared" si="23"/>
        <v>0.68530120481927714</v>
      </c>
      <c r="T153" s="133">
        <v>0.7</v>
      </c>
    </row>
    <row r="154" spans="1:20" ht="14.4" hidden="1" x14ac:dyDescent="0.3">
      <c r="A154" s="175" t="s">
        <v>58</v>
      </c>
      <c r="B154" s="176" t="s">
        <v>630</v>
      </c>
      <c r="C154" s="176" t="s">
        <v>80</v>
      </c>
      <c r="D154" s="176" t="s">
        <v>634</v>
      </c>
      <c r="E154" s="177">
        <v>1</v>
      </c>
      <c r="F154" s="176" t="s">
        <v>632</v>
      </c>
      <c r="G154" s="178"/>
      <c r="H154" s="176" t="s">
        <v>592</v>
      </c>
      <c r="I154" s="176" t="s">
        <v>561</v>
      </c>
      <c r="J154" s="176"/>
      <c r="K154" s="176" t="s">
        <v>593</v>
      </c>
      <c r="L154" s="176"/>
      <c r="M154" s="176"/>
      <c r="N154" s="179">
        <f t="shared" si="14"/>
        <v>442</v>
      </c>
      <c r="O154" s="179">
        <f t="shared" si="15"/>
        <v>269</v>
      </c>
      <c r="P154" s="180">
        <f t="shared" si="20"/>
        <v>711</v>
      </c>
      <c r="Q154" s="181">
        <f t="shared" si="21"/>
        <v>0.8566265060240964</v>
      </c>
      <c r="R154" s="122">
        <f t="shared" si="22"/>
        <v>142.20000000000002</v>
      </c>
      <c r="S154" s="122">
        <f t="shared" si="23"/>
        <v>0.68530120481927714</v>
      </c>
      <c r="T154" s="133">
        <v>0.7</v>
      </c>
    </row>
    <row r="155" spans="1:20" ht="14.4" hidden="1" x14ac:dyDescent="0.3">
      <c r="A155" s="175" t="s">
        <v>58</v>
      </c>
      <c r="B155" s="176" t="s">
        <v>630</v>
      </c>
      <c r="C155" s="176" t="s">
        <v>80</v>
      </c>
      <c r="D155" s="176" t="s">
        <v>635</v>
      </c>
      <c r="E155" s="177">
        <v>1</v>
      </c>
      <c r="F155" s="176" t="s">
        <v>632</v>
      </c>
      <c r="G155" s="178"/>
      <c r="H155" s="176" t="s">
        <v>592</v>
      </c>
      <c r="I155" s="176" t="s">
        <v>561</v>
      </c>
      <c r="J155" s="176"/>
      <c r="K155" s="176" t="s">
        <v>593</v>
      </c>
      <c r="L155" s="176"/>
      <c r="M155" s="176"/>
      <c r="N155" s="179">
        <f t="shared" si="14"/>
        <v>442</v>
      </c>
      <c r="O155" s="179">
        <f t="shared" si="15"/>
        <v>269</v>
      </c>
      <c r="P155" s="180">
        <f t="shared" si="20"/>
        <v>711</v>
      </c>
      <c r="Q155" s="181">
        <f t="shared" si="21"/>
        <v>0.8566265060240964</v>
      </c>
      <c r="R155" s="122">
        <f t="shared" si="22"/>
        <v>142.20000000000002</v>
      </c>
      <c r="S155" s="122">
        <f t="shared" si="23"/>
        <v>0.68530120481927714</v>
      </c>
      <c r="T155" s="133">
        <v>0.7</v>
      </c>
    </row>
    <row r="156" spans="1:20" ht="14.4" hidden="1" x14ac:dyDescent="0.3">
      <c r="A156" s="175" t="s">
        <v>58</v>
      </c>
      <c r="B156" s="176" t="s">
        <v>236</v>
      </c>
      <c r="C156" s="176" t="s">
        <v>73</v>
      </c>
      <c r="D156" s="176" t="s">
        <v>636</v>
      </c>
      <c r="E156" s="177">
        <v>20</v>
      </c>
      <c r="F156" s="176" t="s">
        <v>637</v>
      </c>
      <c r="G156" s="177">
        <v>20</v>
      </c>
      <c r="H156" s="176" t="s">
        <v>592</v>
      </c>
      <c r="I156" s="176" t="s">
        <v>561</v>
      </c>
      <c r="J156" s="176"/>
      <c r="K156" s="176" t="s">
        <v>593</v>
      </c>
      <c r="L156" s="176"/>
      <c r="M156" s="176"/>
      <c r="N156" s="179">
        <f t="shared" si="14"/>
        <v>442</v>
      </c>
      <c r="O156" s="179">
        <f t="shared" si="15"/>
        <v>269</v>
      </c>
      <c r="P156" s="180">
        <f t="shared" si="20"/>
        <v>711</v>
      </c>
      <c r="Q156" s="181">
        <f t="shared" si="21"/>
        <v>0.8566265060240964</v>
      </c>
      <c r="R156" s="122">
        <f t="shared" si="22"/>
        <v>142.20000000000002</v>
      </c>
      <c r="S156" s="122">
        <f t="shared" si="23"/>
        <v>0.68530120481927714</v>
      </c>
      <c r="T156" s="133">
        <v>0.7</v>
      </c>
    </row>
    <row r="157" spans="1:20" ht="14.4" hidden="1" x14ac:dyDescent="0.3">
      <c r="A157" s="175" t="s">
        <v>58</v>
      </c>
      <c r="B157" s="176" t="s">
        <v>236</v>
      </c>
      <c r="C157" s="176" t="s">
        <v>123</v>
      </c>
      <c r="D157" s="176" t="s">
        <v>636</v>
      </c>
      <c r="E157" s="177">
        <v>14</v>
      </c>
      <c r="F157" s="176" t="s">
        <v>637</v>
      </c>
      <c r="G157" s="178"/>
      <c r="H157" s="176" t="s">
        <v>592</v>
      </c>
      <c r="I157" s="176" t="s">
        <v>561</v>
      </c>
      <c r="J157" s="176"/>
      <c r="K157" s="176" t="s">
        <v>593</v>
      </c>
      <c r="L157" s="176"/>
      <c r="M157" s="176"/>
      <c r="N157" s="179">
        <f t="shared" si="14"/>
        <v>442</v>
      </c>
      <c r="O157" s="179">
        <f t="shared" si="15"/>
        <v>269</v>
      </c>
      <c r="P157" s="180">
        <f t="shared" si="20"/>
        <v>711</v>
      </c>
      <c r="Q157" s="181">
        <f t="shared" si="21"/>
        <v>0.8566265060240964</v>
      </c>
      <c r="R157" s="122">
        <f t="shared" si="22"/>
        <v>142.20000000000002</v>
      </c>
      <c r="S157" s="122">
        <f t="shared" si="23"/>
        <v>0.68530120481927714</v>
      </c>
      <c r="T157" s="133">
        <v>0.7</v>
      </c>
    </row>
    <row r="158" spans="1:20" ht="14.4" hidden="1" x14ac:dyDescent="0.3">
      <c r="A158" s="175" t="s">
        <v>58</v>
      </c>
      <c r="B158" s="176" t="s">
        <v>236</v>
      </c>
      <c r="C158" s="176" t="s">
        <v>87</v>
      </c>
      <c r="D158" s="176" t="s">
        <v>636</v>
      </c>
      <c r="E158" s="177">
        <v>2</v>
      </c>
      <c r="F158" s="176" t="s">
        <v>637</v>
      </c>
      <c r="G158" s="178"/>
      <c r="H158" s="176" t="s">
        <v>592</v>
      </c>
      <c r="I158" s="176" t="s">
        <v>561</v>
      </c>
      <c r="J158" s="176"/>
      <c r="K158" s="176" t="s">
        <v>593</v>
      </c>
      <c r="L158" s="176"/>
      <c r="M158" s="176"/>
      <c r="N158" s="179">
        <f t="shared" si="14"/>
        <v>442</v>
      </c>
      <c r="O158" s="179">
        <f t="shared" si="15"/>
        <v>269</v>
      </c>
      <c r="P158" s="180">
        <f t="shared" si="20"/>
        <v>711</v>
      </c>
      <c r="Q158" s="181">
        <f t="shared" si="21"/>
        <v>0.8566265060240964</v>
      </c>
      <c r="R158" s="122">
        <f t="shared" si="22"/>
        <v>142.20000000000002</v>
      </c>
      <c r="S158" s="122">
        <f t="shared" si="23"/>
        <v>0.68530120481927714</v>
      </c>
      <c r="T158" s="133">
        <v>0.7</v>
      </c>
    </row>
    <row r="159" spans="1:20" ht="14.4" hidden="1" x14ac:dyDescent="0.3">
      <c r="A159" s="175" t="s">
        <v>58</v>
      </c>
      <c r="B159" s="176" t="s">
        <v>236</v>
      </c>
      <c r="C159" s="176" t="s">
        <v>79</v>
      </c>
      <c r="D159" s="176" t="s">
        <v>636</v>
      </c>
      <c r="E159" s="177">
        <v>12</v>
      </c>
      <c r="F159" s="176" t="s">
        <v>637</v>
      </c>
      <c r="G159" s="177">
        <v>12</v>
      </c>
      <c r="H159" s="176" t="s">
        <v>592</v>
      </c>
      <c r="I159" s="176" t="s">
        <v>561</v>
      </c>
      <c r="J159" s="176"/>
      <c r="K159" s="176" t="s">
        <v>593</v>
      </c>
      <c r="L159" s="176"/>
      <c r="M159" s="176"/>
      <c r="N159" s="179">
        <f t="shared" si="14"/>
        <v>442</v>
      </c>
      <c r="O159" s="179">
        <f t="shared" si="15"/>
        <v>269</v>
      </c>
      <c r="P159" s="180">
        <f t="shared" si="20"/>
        <v>711</v>
      </c>
      <c r="Q159" s="181">
        <f t="shared" si="21"/>
        <v>0.8566265060240964</v>
      </c>
      <c r="R159" s="122">
        <f t="shared" si="22"/>
        <v>142.20000000000002</v>
      </c>
      <c r="S159" s="122">
        <f t="shared" si="23"/>
        <v>0.68530120481927714</v>
      </c>
      <c r="T159" s="133">
        <v>0.7</v>
      </c>
    </row>
    <row r="160" spans="1:20" ht="14.4" hidden="1" x14ac:dyDescent="0.3">
      <c r="A160" s="175" t="s">
        <v>58</v>
      </c>
      <c r="B160" s="176" t="s">
        <v>236</v>
      </c>
      <c r="C160" s="176" t="s">
        <v>100</v>
      </c>
      <c r="D160" s="176" t="s">
        <v>636</v>
      </c>
      <c r="E160" s="177">
        <v>24</v>
      </c>
      <c r="F160" s="176" t="s">
        <v>637</v>
      </c>
      <c r="G160" s="177">
        <v>24</v>
      </c>
      <c r="H160" s="176" t="s">
        <v>592</v>
      </c>
      <c r="I160" s="176" t="s">
        <v>561</v>
      </c>
      <c r="J160" s="176"/>
      <c r="K160" s="176" t="s">
        <v>593</v>
      </c>
      <c r="L160" s="176"/>
      <c r="M160" s="176"/>
      <c r="N160" s="179">
        <f t="shared" si="14"/>
        <v>442</v>
      </c>
      <c r="O160" s="179">
        <f t="shared" si="15"/>
        <v>269</v>
      </c>
      <c r="P160" s="180">
        <f t="shared" si="20"/>
        <v>711</v>
      </c>
      <c r="Q160" s="181">
        <f t="shared" si="21"/>
        <v>0.8566265060240964</v>
      </c>
      <c r="R160" s="122">
        <f t="shared" si="22"/>
        <v>142.20000000000002</v>
      </c>
      <c r="S160" s="122">
        <f t="shared" si="23"/>
        <v>0.68530120481927714</v>
      </c>
      <c r="T160" s="133">
        <v>0.7</v>
      </c>
    </row>
    <row r="161" spans="1:20" ht="14.4" hidden="1" x14ac:dyDescent="0.3">
      <c r="A161" s="175" t="s">
        <v>58</v>
      </c>
      <c r="B161" s="176" t="s">
        <v>236</v>
      </c>
      <c r="C161" s="176" t="s">
        <v>80</v>
      </c>
      <c r="D161" s="176" t="s">
        <v>636</v>
      </c>
      <c r="E161" s="177">
        <v>1</v>
      </c>
      <c r="F161" s="176" t="s">
        <v>637</v>
      </c>
      <c r="G161" s="178"/>
      <c r="H161" s="176" t="s">
        <v>592</v>
      </c>
      <c r="I161" s="176" t="s">
        <v>561</v>
      </c>
      <c r="J161" s="176"/>
      <c r="K161" s="176" t="s">
        <v>593</v>
      </c>
      <c r="L161" s="176"/>
      <c r="M161" s="176"/>
      <c r="N161" s="179">
        <f t="shared" si="14"/>
        <v>442</v>
      </c>
      <c r="O161" s="179">
        <f t="shared" si="15"/>
        <v>269</v>
      </c>
      <c r="P161" s="180">
        <f t="shared" si="20"/>
        <v>711</v>
      </c>
      <c r="Q161" s="181">
        <f t="shared" si="21"/>
        <v>0.8566265060240964</v>
      </c>
      <c r="R161" s="122">
        <f t="shared" si="22"/>
        <v>142.20000000000002</v>
      </c>
      <c r="S161" s="122">
        <f t="shared" si="23"/>
        <v>0.68530120481927714</v>
      </c>
      <c r="T161" s="133">
        <v>0.7</v>
      </c>
    </row>
    <row r="162" spans="1:20" ht="14.4" hidden="1" x14ac:dyDescent="0.3">
      <c r="A162" s="175" t="s">
        <v>58</v>
      </c>
      <c r="B162" s="176" t="s">
        <v>240</v>
      </c>
      <c r="C162" s="176" t="s">
        <v>73</v>
      </c>
      <c r="D162" s="176" t="s">
        <v>636</v>
      </c>
      <c r="E162" s="177">
        <v>14</v>
      </c>
      <c r="F162" s="176" t="s">
        <v>637</v>
      </c>
      <c r="G162" s="177">
        <v>14</v>
      </c>
      <c r="H162" s="176" t="s">
        <v>589</v>
      </c>
      <c r="I162" s="176" t="s">
        <v>569</v>
      </c>
      <c r="J162" s="176"/>
      <c r="K162" s="176" t="s">
        <v>565</v>
      </c>
      <c r="L162" s="176"/>
      <c r="M162" s="176"/>
      <c r="N162" s="179">
        <f t="shared" si="14"/>
        <v>105</v>
      </c>
      <c r="O162" s="179">
        <f t="shared" si="15"/>
        <v>102</v>
      </c>
      <c r="P162" s="180">
        <f t="shared" si="20"/>
        <v>207</v>
      </c>
      <c r="Q162" s="181">
        <f t="shared" si="21"/>
        <v>0.24939759036144579</v>
      </c>
      <c r="R162" s="122">
        <f t="shared" si="22"/>
        <v>41.400000000000006</v>
      </c>
      <c r="S162" s="122">
        <f t="shared" si="23"/>
        <v>0.19951807228915663</v>
      </c>
      <c r="T162" s="133">
        <v>0.2</v>
      </c>
    </row>
    <row r="163" spans="1:20" ht="14.4" hidden="1" x14ac:dyDescent="0.3">
      <c r="A163" s="175" t="s">
        <v>58</v>
      </c>
      <c r="B163" s="182" t="s">
        <v>240</v>
      </c>
      <c r="C163" s="182" t="s">
        <v>123</v>
      </c>
      <c r="D163" s="182" t="s">
        <v>636</v>
      </c>
      <c r="E163" s="183">
        <v>14</v>
      </c>
      <c r="F163" s="182" t="s">
        <v>637</v>
      </c>
      <c r="G163" s="187"/>
      <c r="H163" s="182" t="s">
        <v>589</v>
      </c>
      <c r="I163" s="182" t="s">
        <v>116</v>
      </c>
      <c r="J163" s="176"/>
      <c r="K163" s="176" t="s">
        <v>565</v>
      </c>
      <c r="L163" s="176"/>
      <c r="M163" s="176"/>
      <c r="N163" s="179">
        <f t="shared" si="14"/>
        <v>233</v>
      </c>
      <c r="O163" s="179">
        <f t="shared" si="15"/>
        <v>200</v>
      </c>
      <c r="P163" s="180">
        <f t="shared" si="20"/>
        <v>433</v>
      </c>
      <c r="Q163" s="181">
        <f t="shared" si="21"/>
        <v>0.52168674698795181</v>
      </c>
      <c r="R163" s="122">
        <f t="shared" si="22"/>
        <v>86.600000000000009</v>
      </c>
      <c r="S163" s="122">
        <f t="shared" si="23"/>
        <v>0.41734939759036149</v>
      </c>
      <c r="T163" s="133">
        <v>0.5</v>
      </c>
    </row>
    <row r="164" spans="1:20" ht="14.4" hidden="1" x14ac:dyDescent="0.3">
      <c r="A164" s="175" t="s">
        <v>58</v>
      </c>
      <c r="B164" s="176" t="s">
        <v>240</v>
      </c>
      <c r="C164" s="176" t="s">
        <v>79</v>
      </c>
      <c r="D164" s="176" t="s">
        <v>636</v>
      </c>
      <c r="E164" s="177">
        <v>40</v>
      </c>
      <c r="F164" s="176" t="s">
        <v>637</v>
      </c>
      <c r="G164" s="177">
        <v>40</v>
      </c>
      <c r="H164" s="176" t="s">
        <v>589</v>
      </c>
      <c r="I164" s="176" t="s">
        <v>569</v>
      </c>
      <c r="J164" s="176"/>
      <c r="K164" s="176" t="s">
        <v>565</v>
      </c>
      <c r="L164" s="176"/>
      <c r="M164" s="176"/>
      <c r="N164" s="179">
        <f t="shared" ref="N164:N227" si="24">SUMIFS($E$2:$E$896,$A$2:$A$896,"осень",$I$2:$I$896,I164)</f>
        <v>105</v>
      </c>
      <c r="O164" s="179">
        <f t="shared" ref="O164:O227" si="25">SUMIFS($E$2:$E$896,$A$2:$A$896,"весна",$I$2:$I$896,I164)</f>
        <v>102</v>
      </c>
      <c r="P164" s="180">
        <f t="shared" si="20"/>
        <v>207</v>
      </c>
      <c r="Q164" s="181">
        <f t="shared" si="21"/>
        <v>0.24939759036144579</v>
      </c>
      <c r="R164" s="122">
        <f t="shared" si="22"/>
        <v>41.400000000000006</v>
      </c>
      <c r="S164" s="122">
        <f t="shared" si="23"/>
        <v>0.19951807228915663</v>
      </c>
      <c r="T164" s="133">
        <v>0.2</v>
      </c>
    </row>
    <row r="165" spans="1:20" ht="14.4" hidden="1" x14ac:dyDescent="0.3">
      <c r="A165" s="175" t="s">
        <v>58</v>
      </c>
      <c r="B165" s="176" t="s">
        <v>240</v>
      </c>
      <c r="C165" s="176" t="s">
        <v>111</v>
      </c>
      <c r="D165" s="176" t="s">
        <v>636</v>
      </c>
      <c r="E165" s="177">
        <v>4</v>
      </c>
      <c r="F165" s="176" t="s">
        <v>637</v>
      </c>
      <c r="G165" s="178"/>
      <c r="H165" s="176" t="s">
        <v>589</v>
      </c>
      <c r="I165" s="176" t="s">
        <v>569</v>
      </c>
      <c r="J165" s="176"/>
      <c r="K165" s="176" t="s">
        <v>565</v>
      </c>
      <c r="L165" s="176"/>
      <c r="M165" s="176"/>
      <c r="N165" s="179">
        <f t="shared" si="24"/>
        <v>105</v>
      </c>
      <c r="O165" s="179">
        <f t="shared" si="25"/>
        <v>102</v>
      </c>
      <c r="P165" s="180">
        <f t="shared" si="20"/>
        <v>207</v>
      </c>
      <c r="Q165" s="181">
        <f t="shared" si="21"/>
        <v>0.24939759036144579</v>
      </c>
      <c r="R165" s="122">
        <f t="shared" si="22"/>
        <v>41.400000000000006</v>
      </c>
      <c r="S165" s="122">
        <f t="shared" si="23"/>
        <v>0.19951807228915663</v>
      </c>
      <c r="T165" s="133">
        <v>0.2</v>
      </c>
    </row>
    <row r="166" spans="1:20" ht="14.4" hidden="1" x14ac:dyDescent="0.3">
      <c r="A166" s="175" t="s">
        <v>58</v>
      </c>
      <c r="B166" s="176" t="s">
        <v>240</v>
      </c>
      <c r="C166" s="176" t="s">
        <v>80</v>
      </c>
      <c r="D166" s="176" t="s">
        <v>636</v>
      </c>
      <c r="E166" s="177">
        <v>2</v>
      </c>
      <c r="F166" s="176" t="s">
        <v>637</v>
      </c>
      <c r="G166" s="178"/>
      <c r="H166" s="176" t="s">
        <v>589</v>
      </c>
      <c r="I166" s="176" t="s">
        <v>569</v>
      </c>
      <c r="J166" s="176"/>
      <c r="K166" s="176" t="s">
        <v>565</v>
      </c>
      <c r="L166" s="176"/>
      <c r="M166" s="176"/>
      <c r="N166" s="179">
        <f t="shared" si="24"/>
        <v>105</v>
      </c>
      <c r="O166" s="179">
        <f t="shared" si="25"/>
        <v>102</v>
      </c>
      <c r="P166" s="180">
        <f t="shared" si="20"/>
        <v>207</v>
      </c>
      <c r="Q166" s="181">
        <f t="shared" si="21"/>
        <v>0.24939759036144579</v>
      </c>
      <c r="R166" s="122">
        <f t="shared" si="22"/>
        <v>41.400000000000006</v>
      </c>
      <c r="S166" s="122">
        <f t="shared" si="23"/>
        <v>0.19951807228915663</v>
      </c>
      <c r="T166" s="133">
        <v>0.2</v>
      </c>
    </row>
    <row r="167" spans="1:20" ht="14.4" hidden="1" x14ac:dyDescent="0.3">
      <c r="A167" s="175" t="s">
        <v>58</v>
      </c>
      <c r="B167" s="176" t="s">
        <v>241</v>
      </c>
      <c r="C167" s="176" t="s">
        <v>73</v>
      </c>
      <c r="D167" s="176" t="s">
        <v>590</v>
      </c>
      <c r="E167" s="177">
        <v>24</v>
      </c>
      <c r="F167" s="176" t="s">
        <v>591</v>
      </c>
      <c r="G167" s="177">
        <v>24</v>
      </c>
      <c r="H167" s="176" t="s">
        <v>592</v>
      </c>
      <c r="I167" s="176" t="s">
        <v>561</v>
      </c>
      <c r="J167" s="176"/>
      <c r="K167" s="176" t="s">
        <v>593</v>
      </c>
      <c r="L167" s="176"/>
      <c r="M167" s="176"/>
      <c r="N167" s="179">
        <f t="shared" si="24"/>
        <v>442</v>
      </c>
      <c r="O167" s="179">
        <f t="shared" si="25"/>
        <v>269</v>
      </c>
      <c r="P167" s="180">
        <f t="shared" si="20"/>
        <v>711</v>
      </c>
      <c r="Q167" s="181">
        <f t="shared" si="21"/>
        <v>0.8566265060240964</v>
      </c>
      <c r="R167" s="122">
        <f t="shared" si="22"/>
        <v>142.20000000000002</v>
      </c>
      <c r="S167" s="122">
        <f t="shared" si="23"/>
        <v>0.68530120481927714</v>
      </c>
      <c r="T167" s="133">
        <v>0.7</v>
      </c>
    </row>
    <row r="168" spans="1:20" ht="14.4" hidden="1" x14ac:dyDescent="0.3">
      <c r="A168" s="175" t="s">
        <v>58</v>
      </c>
      <c r="B168" s="176" t="s">
        <v>241</v>
      </c>
      <c r="C168" s="176" t="s">
        <v>123</v>
      </c>
      <c r="D168" s="176" t="s">
        <v>590</v>
      </c>
      <c r="E168" s="177">
        <v>26</v>
      </c>
      <c r="F168" s="176" t="s">
        <v>591</v>
      </c>
      <c r="G168" s="178"/>
      <c r="H168" s="176" t="s">
        <v>592</v>
      </c>
      <c r="I168" s="176" t="s">
        <v>561</v>
      </c>
      <c r="J168" s="176"/>
      <c r="K168" s="176" t="s">
        <v>593</v>
      </c>
      <c r="L168" s="176"/>
      <c r="M168" s="176"/>
      <c r="N168" s="179">
        <f t="shared" si="24"/>
        <v>442</v>
      </c>
      <c r="O168" s="179">
        <f t="shared" si="25"/>
        <v>269</v>
      </c>
      <c r="P168" s="180">
        <f t="shared" si="20"/>
        <v>711</v>
      </c>
      <c r="Q168" s="181">
        <f t="shared" si="21"/>
        <v>0.8566265060240964</v>
      </c>
      <c r="R168" s="122">
        <f t="shared" si="22"/>
        <v>142.20000000000002</v>
      </c>
      <c r="S168" s="122">
        <f t="shared" si="23"/>
        <v>0.68530120481927714</v>
      </c>
      <c r="T168" s="133">
        <v>0.7</v>
      </c>
    </row>
    <row r="169" spans="1:20" ht="14.4" hidden="1" x14ac:dyDescent="0.3">
      <c r="A169" s="175" t="s">
        <v>58</v>
      </c>
      <c r="B169" s="176" t="s">
        <v>241</v>
      </c>
      <c r="C169" s="176" t="s">
        <v>79</v>
      </c>
      <c r="D169" s="176" t="s">
        <v>590</v>
      </c>
      <c r="E169" s="177">
        <v>26</v>
      </c>
      <c r="F169" s="176" t="s">
        <v>591</v>
      </c>
      <c r="G169" s="177">
        <v>26</v>
      </c>
      <c r="H169" s="176" t="s">
        <v>592</v>
      </c>
      <c r="I169" s="176" t="s">
        <v>561</v>
      </c>
      <c r="J169" s="176"/>
      <c r="K169" s="176" t="s">
        <v>593</v>
      </c>
      <c r="L169" s="176"/>
      <c r="M169" s="176"/>
      <c r="N169" s="179">
        <f t="shared" si="24"/>
        <v>442</v>
      </c>
      <c r="O169" s="179">
        <f t="shared" si="25"/>
        <v>269</v>
      </c>
      <c r="P169" s="180">
        <f t="shared" si="20"/>
        <v>711</v>
      </c>
      <c r="Q169" s="181">
        <f t="shared" si="21"/>
        <v>0.8566265060240964</v>
      </c>
      <c r="R169" s="122">
        <f t="shared" si="22"/>
        <v>142.20000000000002</v>
      </c>
      <c r="S169" s="122">
        <f t="shared" si="23"/>
        <v>0.68530120481927714</v>
      </c>
      <c r="T169" s="133">
        <v>0.7</v>
      </c>
    </row>
    <row r="170" spans="1:20" ht="14.4" hidden="1" x14ac:dyDescent="0.3">
      <c r="A170" s="175" t="s">
        <v>58</v>
      </c>
      <c r="B170" s="176" t="s">
        <v>241</v>
      </c>
      <c r="C170" s="176" t="s">
        <v>100</v>
      </c>
      <c r="D170" s="176" t="s">
        <v>590</v>
      </c>
      <c r="E170" s="177">
        <v>16</v>
      </c>
      <c r="F170" s="176" t="s">
        <v>591</v>
      </c>
      <c r="G170" s="177">
        <v>16</v>
      </c>
      <c r="H170" s="176" t="s">
        <v>592</v>
      </c>
      <c r="I170" s="176" t="s">
        <v>561</v>
      </c>
      <c r="J170" s="176"/>
      <c r="K170" s="176" t="s">
        <v>593</v>
      </c>
      <c r="L170" s="176"/>
      <c r="M170" s="176"/>
      <c r="N170" s="179">
        <f t="shared" si="24"/>
        <v>442</v>
      </c>
      <c r="O170" s="179">
        <f t="shared" si="25"/>
        <v>269</v>
      </c>
      <c r="P170" s="180">
        <f t="shared" si="20"/>
        <v>711</v>
      </c>
      <c r="Q170" s="181">
        <f t="shared" si="21"/>
        <v>0.8566265060240964</v>
      </c>
      <c r="R170" s="122">
        <f t="shared" si="22"/>
        <v>142.20000000000002</v>
      </c>
      <c r="S170" s="122">
        <f t="shared" si="23"/>
        <v>0.68530120481927714</v>
      </c>
      <c r="T170" s="133">
        <v>0.7</v>
      </c>
    </row>
    <row r="171" spans="1:20" ht="14.4" hidden="1" x14ac:dyDescent="0.3">
      <c r="A171" s="175" t="s">
        <v>58</v>
      </c>
      <c r="B171" s="176" t="s">
        <v>241</v>
      </c>
      <c r="C171" s="176" t="s">
        <v>111</v>
      </c>
      <c r="D171" s="176" t="s">
        <v>590</v>
      </c>
      <c r="E171" s="177">
        <v>7</v>
      </c>
      <c r="F171" s="176" t="s">
        <v>591</v>
      </c>
      <c r="G171" s="178"/>
      <c r="H171" s="176" t="s">
        <v>592</v>
      </c>
      <c r="I171" s="176" t="s">
        <v>561</v>
      </c>
      <c r="J171" s="176"/>
      <c r="K171" s="176" t="s">
        <v>593</v>
      </c>
      <c r="L171" s="176"/>
      <c r="M171" s="176"/>
      <c r="N171" s="179">
        <f t="shared" si="24"/>
        <v>442</v>
      </c>
      <c r="O171" s="179">
        <f t="shared" si="25"/>
        <v>269</v>
      </c>
      <c r="P171" s="180">
        <f t="shared" si="20"/>
        <v>711</v>
      </c>
      <c r="Q171" s="181">
        <f t="shared" si="21"/>
        <v>0.8566265060240964</v>
      </c>
      <c r="R171" s="122">
        <f t="shared" si="22"/>
        <v>142.20000000000002</v>
      </c>
      <c r="S171" s="122">
        <f t="shared" si="23"/>
        <v>0.68530120481927714</v>
      </c>
      <c r="T171" s="133">
        <v>0.7</v>
      </c>
    </row>
    <row r="172" spans="1:20" ht="14.4" hidden="1" x14ac:dyDescent="0.3">
      <c r="A172" s="175" t="s">
        <v>58</v>
      </c>
      <c r="B172" s="176" t="s">
        <v>241</v>
      </c>
      <c r="C172" s="176" t="s">
        <v>80</v>
      </c>
      <c r="D172" s="176" t="s">
        <v>590</v>
      </c>
      <c r="E172" s="177">
        <v>3</v>
      </c>
      <c r="F172" s="176" t="s">
        <v>591</v>
      </c>
      <c r="G172" s="178"/>
      <c r="H172" s="176" t="s">
        <v>592</v>
      </c>
      <c r="I172" s="176" t="s">
        <v>561</v>
      </c>
      <c r="J172" s="176"/>
      <c r="K172" s="176" t="s">
        <v>593</v>
      </c>
      <c r="L172" s="176"/>
      <c r="M172" s="176"/>
      <c r="N172" s="179">
        <f t="shared" si="24"/>
        <v>442</v>
      </c>
      <c r="O172" s="179">
        <f t="shared" si="25"/>
        <v>269</v>
      </c>
      <c r="P172" s="180">
        <f t="shared" si="20"/>
        <v>711</v>
      </c>
      <c r="Q172" s="181">
        <f t="shared" si="21"/>
        <v>0.8566265060240964</v>
      </c>
      <c r="R172" s="122">
        <f t="shared" si="22"/>
        <v>142.20000000000002</v>
      </c>
      <c r="S172" s="122">
        <f t="shared" si="23"/>
        <v>0.68530120481927714</v>
      </c>
      <c r="T172" s="133">
        <v>0.7</v>
      </c>
    </row>
    <row r="173" spans="1:20" ht="14.4" hidden="1" x14ac:dyDescent="0.3">
      <c r="A173" s="175" t="s">
        <v>58</v>
      </c>
      <c r="B173" s="176" t="s">
        <v>269</v>
      </c>
      <c r="C173" s="176" t="s">
        <v>73</v>
      </c>
      <c r="D173" s="176" t="s">
        <v>599</v>
      </c>
      <c r="E173" s="177">
        <v>24</v>
      </c>
      <c r="F173" s="176" t="s">
        <v>600</v>
      </c>
      <c r="G173" s="177">
        <v>24</v>
      </c>
      <c r="H173" s="176" t="s">
        <v>607</v>
      </c>
      <c r="I173" s="176" t="s">
        <v>554</v>
      </c>
      <c r="J173" s="176"/>
      <c r="K173" s="176" t="s">
        <v>565</v>
      </c>
      <c r="L173" s="176"/>
      <c r="M173" s="176"/>
      <c r="N173" s="179">
        <f t="shared" si="24"/>
        <v>161</v>
      </c>
      <c r="O173" s="179">
        <f t="shared" si="25"/>
        <v>92</v>
      </c>
      <c r="P173" s="180">
        <f t="shared" si="20"/>
        <v>253</v>
      </c>
      <c r="Q173" s="181">
        <f t="shared" si="21"/>
        <v>0.30481927710843376</v>
      </c>
      <c r="R173" s="122">
        <f t="shared" si="22"/>
        <v>50.6</v>
      </c>
      <c r="S173" s="122">
        <f t="shared" si="23"/>
        <v>0.24385542168674701</v>
      </c>
      <c r="T173" s="133">
        <v>0.25</v>
      </c>
    </row>
    <row r="174" spans="1:20" ht="14.4" hidden="1" x14ac:dyDescent="0.3">
      <c r="A174" s="175" t="s">
        <v>58</v>
      </c>
      <c r="B174" s="176" t="s">
        <v>269</v>
      </c>
      <c r="C174" s="176" t="s">
        <v>87</v>
      </c>
      <c r="D174" s="176" t="s">
        <v>599</v>
      </c>
      <c r="E174" s="177">
        <v>3</v>
      </c>
      <c r="F174" s="176" t="s">
        <v>600</v>
      </c>
      <c r="G174" s="178"/>
      <c r="H174" s="176" t="s">
        <v>607</v>
      </c>
      <c r="I174" s="176" t="s">
        <v>554</v>
      </c>
      <c r="J174" s="176"/>
      <c r="K174" s="176" t="s">
        <v>565</v>
      </c>
      <c r="L174" s="176"/>
      <c r="M174" s="176"/>
      <c r="N174" s="179">
        <f t="shared" si="24"/>
        <v>161</v>
      </c>
      <c r="O174" s="179">
        <f t="shared" si="25"/>
        <v>92</v>
      </c>
      <c r="P174" s="180">
        <f t="shared" si="20"/>
        <v>253</v>
      </c>
      <c r="Q174" s="181">
        <f t="shared" si="21"/>
        <v>0.30481927710843376</v>
      </c>
      <c r="R174" s="122">
        <f t="shared" si="22"/>
        <v>50.6</v>
      </c>
      <c r="S174" s="122">
        <f t="shared" si="23"/>
        <v>0.24385542168674701</v>
      </c>
      <c r="T174" s="133">
        <v>0.25</v>
      </c>
    </row>
    <row r="175" spans="1:20" ht="14.4" hidden="1" x14ac:dyDescent="0.3">
      <c r="A175" s="175" t="s">
        <v>58</v>
      </c>
      <c r="B175" s="176" t="s">
        <v>269</v>
      </c>
      <c r="C175" s="176" t="s">
        <v>79</v>
      </c>
      <c r="D175" s="176" t="s">
        <v>599</v>
      </c>
      <c r="E175" s="177">
        <v>28</v>
      </c>
      <c r="F175" s="176" t="s">
        <v>600</v>
      </c>
      <c r="G175" s="177">
        <v>28</v>
      </c>
      <c r="H175" s="176" t="s">
        <v>607</v>
      </c>
      <c r="I175" s="176" t="s">
        <v>554</v>
      </c>
      <c r="J175" s="176"/>
      <c r="K175" s="176" t="s">
        <v>565</v>
      </c>
      <c r="L175" s="176"/>
      <c r="M175" s="176"/>
      <c r="N175" s="179">
        <f t="shared" si="24"/>
        <v>161</v>
      </c>
      <c r="O175" s="179">
        <f t="shared" si="25"/>
        <v>92</v>
      </c>
      <c r="P175" s="180">
        <f t="shared" si="20"/>
        <v>253</v>
      </c>
      <c r="Q175" s="181">
        <f t="shared" si="21"/>
        <v>0.30481927710843376</v>
      </c>
      <c r="R175" s="122">
        <f t="shared" si="22"/>
        <v>50.6</v>
      </c>
      <c r="S175" s="122">
        <f t="shared" si="23"/>
        <v>0.24385542168674701</v>
      </c>
      <c r="T175" s="133">
        <v>0.25</v>
      </c>
    </row>
    <row r="176" spans="1:20" ht="14.4" hidden="1" x14ac:dyDescent="0.3">
      <c r="A176" s="175" t="s">
        <v>58</v>
      </c>
      <c r="B176" s="176" t="s">
        <v>269</v>
      </c>
      <c r="C176" s="176" t="s">
        <v>100</v>
      </c>
      <c r="D176" s="176" t="s">
        <v>599</v>
      </c>
      <c r="E176" s="177">
        <v>8</v>
      </c>
      <c r="F176" s="176" t="s">
        <v>600</v>
      </c>
      <c r="G176" s="177">
        <v>8</v>
      </c>
      <c r="H176" s="176" t="s">
        <v>607</v>
      </c>
      <c r="I176" s="176" t="s">
        <v>554</v>
      </c>
      <c r="J176" s="176"/>
      <c r="K176" s="176" t="s">
        <v>565</v>
      </c>
      <c r="L176" s="176"/>
      <c r="M176" s="176"/>
      <c r="N176" s="179">
        <f t="shared" si="24"/>
        <v>161</v>
      </c>
      <c r="O176" s="179">
        <f t="shared" si="25"/>
        <v>92</v>
      </c>
      <c r="P176" s="180">
        <f t="shared" si="20"/>
        <v>253</v>
      </c>
      <c r="Q176" s="181">
        <f t="shared" si="21"/>
        <v>0.30481927710843376</v>
      </c>
      <c r="R176" s="122">
        <f t="shared" si="22"/>
        <v>50.6</v>
      </c>
      <c r="S176" s="122">
        <f t="shared" si="23"/>
        <v>0.24385542168674701</v>
      </c>
      <c r="T176" s="133">
        <v>0.25</v>
      </c>
    </row>
    <row r="177" spans="1:20" ht="14.4" hidden="1" x14ac:dyDescent="0.3">
      <c r="A177" s="175" t="s">
        <v>58</v>
      </c>
      <c r="B177" s="176" t="s">
        <v>269</v>
      </c>
      <c r="C177" s="176" t="s">
        <v>80</v>
      </c>
      <c r="D177" s="176" t="s">
        <v>599</v>
      </c>
      <c r="E177" s="177">
        <v>1</v>
      </c>
      <c r="F177" s="176" t="s">
        <v>600</v>
      </c>
      <c r="G177" s="178"/>
      <c r="H177" s="176" t="s">
        <v>607</v>
      </c>
      <c r="I177" s="176" t="s">
        <v>554</v>
      </c>
      <c r="J177" s="176"/>
      <c r="K177" s="176" t="s">
        <v>565</v>
      </c>
      <c r="L177" s="176"/>
      <c r="M177" s="176"/>
      <c r="N177" s="179">
        <f t="shared" si="24"/>
        <v>161</v>
      </c>
      <c r="O177" s="179">
        <f t="shared" si="25"/>
        <v>92</v>
      </c>
      <c r="P177" s="180">
        <f t="shared" si="20"/>
        <v>253</v>
      </c>
      <c r="Q177" s="181">
        <f t="shared" si="21"/>
        <v>0.30481927710843376</v>
      </c>
      <c r="R177" s="122">
        <f t="shared" si="22"/>
        <v>50.6</v>
      </c>
      <c r="S177" s="122">
        <f t="shared" si="23"/>
        <v>0.24385542168674701</v>
      </c>
      <c r="T177" s="133">
        <v>0.25</v>
      </c>
    </row>
    <row r="178" spans="1:20" ht="14.4" hidden="1" x14ac:dyDescent="0.3">
      <c r="A178" s="175" t="s">
        <v>58</v>
      </c>
      <c r="B178" s="176" t="s">
        <v>271</v>
      </c>
      <c r="C178" s="176" t="s">
        <v>73</v>
      </c>
      <c r="D178" s="176" t="s">
        <v>599</v>
      </c>
      <c r="E178" s="177">
        <v>24</v>
      </c>
      <c r="F178" s="176" t="s">
        <v>600</v>
      </c>
      <c r="G178" s="177">
        <v>24</v>
      </c>
      <c r="H178" s="176" t="s">
        <v>604</v>
      </c>
      <c r="I178" s="176" t="s">
        <v>578</v>
      </c>
      <c r="J178" s="176"/>
      <c r="K178" s="176" t="s">
        <v>565</v>
      </c>
      <c r="L178" s="176"/>
      <c r="M178" s="176"/>
      <c r="N178" s="179">
        <f t="shared" si="24"/>
        <v>381</v>
      </c>
      <c r="O178" s="179">
        <f t="shared" si="25"/>
        <v>162</v>
      </c>
      <c r="P178" s="180">
        <f t="shared" si="20"/>
        <v>543</v>
      </c>
      <c r="Q178" s="181">
        <f t="shared" si="21"/>
        <v>0.6542168674698795</v>
      </c>
      <c r="R178" s="122">
        <f t="shared" si="22"/>
        <v>108.60000000000001</v>
      </c>
      <c r="S178" s="122">
        <f t="shared" si="23"/>
        <v>0.5233734939759036</v>
      </c>
      <c r="T178" s="133">
        <v>0.5</v>
      </c>
    </row>
    <row r="179" spans="1:20" ht="14.4" hidden="1" x14ac:dyDescent="0.3">
      <c r="A179" s="175" t="s">
        <v>58</v>
      </c>
      <c r="B179" s="176" t="s">
        <v>271</v>
      </c>
      <c r="C179" s="176" t="s">
        <v>87</v>
      </c>
      <c r="D179" s="176" t="s">
        <v>599</v>
      </c>
      <c r="E179" s="177">
        <v>3</v>
      </c>
      <c r="F179" s="176" t="s">
        <v>600</v>
      </c>
      <c r="G179" s="178"/>
      <c r="H179" s="176" t="s">
        <v>604</v>
      </c>
      <c r="I179" s="176" t="s">
        <v>578</v>
      </c>
      <c r="J179" s="176"/>
      <c r="K179" s="176" t="s">
        <v>565</v>
      </c>
      <c r="L179" s="176"/>
      <c r="M179" s="176"/>
      <c r="N179" s="179">
        <f t="shared" si="24"/>
        <v>381</v>
      </c>
      <c r="O179" s="179">
        <f t="shared" si="25"/>
        <v>162</v>
      </c>
      <c r="P179" s="180">
        <f t="shared" si="20"/>
        <v>543</v>
      </c>
      <c r="Q179" s="181">
        <f t="shared" si="21"/>
        <v>0.6542168674698795</v>
      </c>
      <c r="R179" s="122">
        <f t="shared" si="22"/>
        <v>108.60000000000001</v>
      </c>
      <c r="S179" s="122">
        <f t="shared" si="23"/>
        <v>0.5233734939759036</v>
      </c>
      <c r="T179" s="133">
        <v>0.5</v>
      </c>
    </row>
    <row r="180" spans="1:20" ht="14.4" hidden="1" x14ac:dyDescent="0.3">
      <c r="A180" s="175" t="s">
        <v>58</v>
      </c>
      <c r="B180" s="176" t="s">
        <v>271</v>
      </c>
      <c r="C180" s="176" t="s">
        <v>79</v>
      </c>
      <c r="D180" s="176" t="s">
        <v>599</v>
      </c>
      <c r="E180" s="177">
        <v>12</v>
      </c>
      <c r="F180" s="176" t="s">
        <v>600</v>
      </c>
      <c r="G180" s="177">
        <v>12</v>
      </c>
      <c r="H180" s="176" t="s">
        <v>604</v>
      </c>
      <c r="I180" s="176" t="s">
        <v>578</v>
      </c>
      <c r="J180" s="176"/>
      <c r="K180" s="176" t="s">
        <v>565</v>
      </c>
      <c r="L180" s="176"/>
      <c r="M180" s="176"/>
      <c r="N180" s="179">
        <f t="shared" si="24"/>
        <v>381</v>
      </c>
      <c r="O180" s="179">
        <f t="shared" si="25"/>
        <v>162</v>
      </c>
      <c r="P180" s="180">
        <f t="shared" si="20"/>
        <v>543</v>
      </c>
      <c r="Q180" s="181">
        <f t="shared" si="21"/>
        <v>0.6542168674698795</v>
      </c>
      <c r="R180" s="122">
        <f t="shared" si="22"/>
        <v>108.60000000000001</v>
      </c>
      <c r="S180" s="122">
        <f t="shared" si="23"/>
        <v>0.5233734939759036</v>
      </c>
      <c r="T180" s="133">
        <v>0.5</v>
      </c>
    </row>
    <row r="181" spans="1:20" ht="14.4" hidden="1" x14ac:dyDescent="0.3">
      <c r="A181" s="175" t="s">
        <v>58</v>
      </c>
      <c r="B181" s="176" t="s">
        <v>271</v>
      </c>
      <c r="C181" s="176" t="s">
        <v>100</v>
      </c>
      <c r="D181" s="176" t="s">
        <v>599</v>
      </c>
      <c r="E181" s="177">
        <v>24</v>
      </c>
      <c r="F181" s="176" t="s">
        <v>600</v>
      </c>
      <c r="G181" s="177">
        <v>24</v>
      </c>
      <c r="H181" s="176" t="s">
        <v>604</v>
      </c>
      <c r="I181" s="176" t="s">
        <v>578</v>
      </c>
      <c r="J181" s="176"/>
      <c r="K181" s="176" t="s">
        <v>565</v>
      </c>
      <c r="L181" s="176"/>
      <c r="M181" s="176"/>
      <c r="N181" s="179">
        <f t="shared" si="24"/>
        <v>381</v>
      </c>
      <c r="O181" s="179">
        <f t="shared" si="25"/>
        <v>162</v>
      </c>
      <c r="P181" s="180">
        <f t="shared" si="20"/>
        <v>543</v>
      </c>
      <c r="Q181" s="181">
        <f t="shared" si="21"/>
        <v>0.6542168674698795</v>
      </c>
      <c r="R181" s="122">
        <f t="shared" si="22"/>
        <v>108.60000000000001</v>
      </c>
      <c r="S181" s="122">
        <f t="shared" si="23"/>
        <v>0.5233734939759036</v>
      </c>
      <c r="T181" s="133">
        <v>0.5</v>
      </c>
    </row>
    <row r="182" spans="1:20" ht="14.4" hidden="1" x14ac:dyDescent="0.3">
      <c r="A182" s="175" t="s">
        <v>58</v>
      </c>
      <c r="B182" s="176" t="s">
        <v>271</v>
      </c>
      <c r="C182" s="176" t="s">
        <v>80</v>
      </c>
      <c r="D182" s="176" t="s">
        <v>599</v>
      </c>
      <c r="E182" s="177">
        <v>1</v>
      </c>
      <c r="F182" s="176" t="s">
        <v>600</v>
      </c>
      <c r="G182" s="178"/>
      <c r="H182" s="176" t="s">
        <v>604</v>
      </c>
      <c r="I182" s="176" t="s">
        <v>578</v>
      </c>
      <c r="J182" s="176"/>
      <c r="K182" s="176" t="s">
        <v>565</v>
      </c>
      <c r="L182" s="176"/>
      <c r="M182" s="176"/>
      <c r="N182" s="179">
        <f t="shared" si="24"/>
        <v>381</v>
      </c>
      <c r="O182" s="179">
        <f t="shared" si="25"/>
        <v>162</v>
      </c>
      <c r="P182" s="180">
        <f t="shared" si="20"/>
        <v>543</v>
      </c>
      <c r="Q182" s="181">
        <f t="shared" si="21"/>
        <v>0.6542168674698795</v>
      </c>
      <c r="R182" s="122">
        <f t="shared" si="22"/>
        <v>108.60000000000001</v>
      </c>
      <c r="S182" s="122">
        <f t="shared" si="23"/>
        <v>0.5233734939759036</v>
      </c>
      <c r="T182" s="133">
        <v>0.5</v>
      </c>
    </row>
    <row r="183" spans="1:20" ht="15.75" hidden="1" customHeight="1" x14ac:dyDescent="0.3">
      <c r="A183" s="175" t="s">
        <v>58</v>
      </c>
      <c r="B183" s="176" t="s">
        <v>274</v>
      </c>
      <c r="C183" s="176" t="s">
        <v>73</v>
      </c>
      <c r="D183" s="176" t="s">
        <v>599</v>
      </c>
      <c r="E183" s="177">
        <v>28</v>
      </c>
      <c r="F183" s="176" t="s">
        <v>600</v>
      </c>
      <c r="G183" s="177">
        <v>28</v>
      </c>
      <c r="H183" s="176" t="s">
        <v>594</v>
      </c>
      <c r="I183" s="176" t="s">
        <v>358</v>
      </c>
      <c r="J183" s="176"/>
      <c r="K183" s="176" t="s">
        <v>593</v>
      </c>
      <c r="L183" s="176"/>
      <c r="M183" s="176"/>
      <c r="N183" s="179">
        <f t="shared" si="24"/>
        <v>111</v>
      </c>
      <c r="O183" s="179">
        <f t="shared" si="25"/>
        <v>265</v>
      </c>
      <c r="P183" s="180">
        <f t="shared" si="20"/>
        <v>376</v>
      </c>
      <c r="Q183" s="181">
        <f t="shared" si="21"/>
        <v>0.45301204819277108</v>
      </c>
      <c r="R183" s="122">
        <f t="shared" si="22"/>
        <v>75.2</v>
      </c>
      <c r="S183" s="122">
        <f t="shared" si="23"/>
        <v>0.36240963855421687</v>
      </c>
      <c r="T183" s="133">
        <v>0.45</v>
      </c>
    </row>
    <row r="184" spans="1:20" ht="15.75" hidden="1" customHeight="1" x14ac:dyDescent="0.3">
      <c r="A184" s="175" t="s">
        <v>58</v>
      </c>
      <c r="B184" s="176" t="s">
        <v>274</v>
      </c>
      <c r="C184" s="176" t="s">
        <v>87</v>
      </c>
      <c r="D184" s="176" t="s">
        <v>599</v>
      </c>
      <c r="E184" s="177">
        <v>3</v>
      </c>
      <c r="F184" s="176" t="s">
        <v>600</v>
      </c>
      <c r="G184" s="178"/>
      <c r="H184" s="176" t="s">
        <v>594</v>
      </c>
      <c r="I184" s="176" t="s">
        <v>358</v>
      </c>
      <c r="J184" s="176"/>
      <c r="K184" s="176" t="s">
        <v>593</v>
      </c>
      <c r="L184" s="176"/>
      <c r="M184" s="176"/>
      <c r="N184" s="179">
        <f t="shared" si="24"/>
        <v>111</v>
      </c>
      <c r="O184" s="179">
        <f t="shared" si="25"/>
        <v>265</v>
      </c>
      <c r="P184" s="180">
        <f t="shared" si="20"/>
        <v>376</v>
      </c>
      <c r="Q184" s="181">
        <f t="shared" si="21"/>
        <v>0.45301204819277108</v>
      </c>
      <c r="R184" s="122">
        <f t="shared" si="22"/>
        <v>75.2</v>
      </c>
      <c r="S184" s="122">
        <f t="shared" si="23"/>
        <v>0.36240963855421687</v>
      </c>
      <c r="T184" s="133">
        <v>0.45</v>
      </c>
    </row>
    <row r="185" spans="1:20" ht="15.75" hidden="1" customHeight="1" x14ac:dyDescent="0.3">
      <c r="A185" s="175" t="s">
        <v>58</v>
      </c>
      <c r="B185" s="176" t="s">
        <v>274</v>
      </c>
      <c r="C185" s="176" t="s">
        <v>79</v>
      </c>
      <c r="D185" s="176" t="s">
        <v>599</v>
      </c>
      <c r="E185" s="177">
        <v>32</v>
      </c>
      <c r="F185" s="176" t="s">
        <v>600</v>
      </c>
      <c r="G185" s="177">
        <v>32</v>
      </c>
      <c r="H185" s="176" t="s">
        <v>594</v>
      </c>
      <c r="I185" s="176" t="s">
        <v>358</v>
      </c>
      <c r="J185" s="176"/>
      <c r="K185" s="176" t="s">
        <v>593</v>
      </c>
      <c r="L185" s="176"/>
      <c r="M185" s="176"/>
      <c r="N185" s="179">
        <f t="shared" si="24"/>
        <v>111</v>
      </c>
      <c r="O185" s="179">
        <f t="shared" si="25"/>
        <v>265</v>
      </c>
      <c r="P185" s="180">
        <f t="shared" si="20"/>
        <v>376</v>
      </c>
      <c r="Q185" s="181">
        <f t="shared" si="21"/>
        <v>0.45301204819277108</v>
      </c>
      <c r="R185" s="122">
        <f t="shared" si="22"/>
        <v>75.2</v>
      </c>
      <c r="S185" s="122">
        <f t="shared" si="23"/>
        <v>0.36240963855421687</v>
      </c>
      <c r="T185" s="133">
        <v>0.45</v>
      </c>
    </row>
    <row r="186" spans="1:20" ht="15.75" hidden="1" customHeight="1" x14ac:dyDescent="0.3">
      <c r="A186" s="175" t="s">
        <v>58</v>
      </c>
      <c r="B186" s="176" t="s">
        <v>274</v>
      </c>
      <c r="C186" s="176" t="s">
        <v>80</v>
      </c>
      <c r="D186" s="176" t="s">
        <v>599</v>
      </c>
      <c r="E186" s="177">
        <v>1</v>
      </c>
      <c r="F186" s="176" t="s">
        <v>600</v>
      </c>
      <c r="G186" s="178"/>
      <c r="H186" s="176" t="s">
        <v>594</v>
      </c>
      <c r="I186" s="176" t="s">
        <v>358</v>
      </c>
      <c r="J186" s="176"/>
      <c r="K186" s="176" t="s">
        <v>593</v>
      </c>
      <c r="L186" s="176"/>
      <c r="M186" s="176"/>
      <c r="N186" s="179">
        <f t="shared" si="24"/>
        <v>111</v>
      </c>
      <c r="O186" s="179">
        <f t="shared" si="25"/>
        <v>265</v>
      </c>
      <c r="P186" s="180">
        <f t="shared" si="20"/>
        <v>376</v>
      </c>
      <c r="Q186" s="181">
        <f t="shared" si="21"/>
        <v>0.45301204819277108</v>
      </c>
      <c r="R186" s="122">
        <f t="shared" si="22"/>
        <v>75.2</v>
      </c>
      <c r="S186" s="122">
        <f t="shared" si="23"/>
        <v>0.36240963855421687</v>
      </c>
      <c r="T186" s="133">
        <v>0.45</v>
      </c>
    </row>
    <row r="187" spans="1:20" ht="15.75" hidden="1" customHeight="1" x14ac:dyDescent="0.3">
      <c r="A187" s="175" t="s">
        <v>58</v>
      </c>
      <c r="B187" s="176" t="s">
        <v>638</v>
      </c>
      <c r="C187" s="176" t="s">
        <v>73</v>
      </c>
      <c r="D187" s="176" t="s">
        <v>639</v>
      </c>
      <c r="E187" s="177">
        <v>30</v>
      </c>
      <c r="F187" s="176" t="s">
        <v>640</v>
      </c>
      <c r="G187" s="177">
        <v>30</v>
      </c>
      <c r="H187" s="176" t="s">
        <v>622</v>
      </c>
      <c r="I187" s="176" t="s">
        <v>562</v>
      </c>
      <c r="J187" s="176"/>
      <c r="K187" s="176" t="s">
        <v>565</v>
      </c>
      <c r="L187" s="176"/>
      <c r="M187" s="176"/>
      <c r="N187" s="179">
        <f t="shared" si="24"/>
        <v>438</v>
      </c>
      <c r="O187" s="179">
        <f t="shared" si="25"/>
        <v>361</v>
      </c>
      <c r="P187" s="180">
        <f t="shared" si="20"/>
        <v>799</v>
      </c>
      <c r="Q187" s="181">
        <f t="shared" si="21"/>
        <v>0.96265060240963851</v>
      </c>
      <c r="R187" s="122">
        <f t="shared" si="22"/>
        <v>159.80000000000001</v>
      </c>
      <c r="S187" s="122">
        <f t="shared" si="23"/>
        <v>0.77012048192771088</v>
      </c>
      <c r="T187" s="133">
        <v>0.75</v>
      </c>
    </row>
    <row r="188" spans="1:20" ht="15.75" hidden="1" customHeight="1" x14ac:dyDescent="0.3">
      <c r="A188" s="175" t="s">
        <v>58</v>
      </c>
      <c r="B188" s="176" t="s">
        <v>638</v>
      </c>
      <c r="C188" s="176" t="s">
        <v>87</v>
      </c>
      <c r="D188" s="176" t="s">
        <v>639</v>
      </c>
      <c r="E188" s="177">
        <v>4</v>
      </c>
      <c r="F188" s="176" t="s">
        <v>640</v>
      </c>
      <c r="G188" s="178"/>
      <c r="H188" s="176" t="s">
        <v>622</v>
      </c>
      <c r="I188" s="176" t="s">
        <v>562</v>
      </c>
      <c r="J188" s="176"/>
      <c r="K188" s="176" t="s">
        <v>565</v>
      </c>
      <c r="L188" s="176"/>
      <c r="M188" s="176"/>
      <c r="N188" s="179">
        <f t="shared" si="24"/>
        <v>438</v>
      </c>
      <c r="O188" s="179">
        <f t="shared" si="25"/>
        <v>361</v>
      </c>
      <c r="P188" s="180">
        <f t="shared" si="20"/>
        <v>799</v>
      </c>
      <c r="Q188" s="181">
        <f t="shared" si="21"/>
        <v>0.96265060240963851</v>
      </c>
      <c r="R188" s="122">
        <f t="shared" si="22"/>
        <v>159.80000000000001</v>
      </c>
      <c r="S188" s="122">
        <f t="shared" si="23"/>
        <v>0.77012048192771088</v>
      </c>
      <c r="T188" s="133">
        <v>0.75</v>
      </c>
    </row>
    <row r="189" spans="1:20" ht="15.75" customHeight="1" x14ac:dyDescent="0.3">
      <c r="A189" s="175" t="s">
        <v>58</v>
      </c>
      <c r="B189" s="176" t="s">
        <v>638</v>
      </c>
      <c r="C189" s="176" t="s">
        <v>87</v>
      </c>
      <c r="D189" s="176" t="s">
        <v>639</v>
      </c>
      <c r="E189" s="177">
        <v>1</v>
      </c>
      <c r="F189" s="176" t="s">
        <v>640</v>
      </c>
      <c r="G189" s="178"/>
      <c r="H189" s="176"/>
      <c r="I189" s="176" t="s">
        <v>500</v>
      </c>
      <c r="J189" s="176"/>
      <c r="K189" s="176" t="s">
        <v>593</v>
      </c>
      <c r="L189" s="176"/>
      <c r="M189" s="176"/>
      <c r="N189" s="179">
        <f t="shared" si="24"/>
        <v>14.5</v>
      </c>
      <c r="O189" s="179">
        <f t="shared" si="25"/>
        <v>78</v>
      </c>
      <c r="P189" s="180">
        <f t="shared" si="20"/>
        <v>92.5</v>
      </c>
      <c r="Q189" s="181">
        <f t="shared" si="21"/>
        <v>0.11144578313253012</v>
      </c>
      <c r="R189" s="122">
        <f t="shared" si="22"/>
        <v>18.5</v>
      </c>
      <c r="S189" s="122">
        <f t="shared" si="23"/>
        <v>8.91566265060241E-2</v>
      </c>
      <c r="T189" s="133">
        <v>0</v>
      </c>
    </row>
    <row r="190" spans="1:20" ht="15.75" hidden="1" customHeight="1" x14ac:dyDescent="0.3">
      <c r="A190" s="175" t="s">
        <v>58</v>
      </c>
      <c r="B190" s="182" t="s">
        <v>638</v>
      </c>
      <c r="C190" s="182" t="s">
        <v>79</v>
      </c>
      <c r="D190" s="182" t="s">
        <v>639</v>
      </c>
      <c r="E190" s="183">
        <v>4</v>
      </c>
      <c r="F190" s="182" t="s">
        <v>640</v>
      </c>
      <c r="G190" s="183">
        <v>8</v>
      </c>
      <c r="H190" s="182" t="s">
        <v>641</v>
      </c>
      <c r="I190" s="182" t="s">
        <v>575</v>
      </c>
      <c r="J190" s="176"/>
      <c r="K190" s="176" t="s">
        <v>593</v>
      </c>
      <c r="L190" s="176"/>
      <c r="M190" s="176"/>
      <c r="N190" s="179">
        <f t="shared" si="24"/>
        <v>78</v>
      </c>
      <c r="O190" s="179">
        <f t="shared" si="25"/>
        <v>240.5</v>
      </c>
      <c r="P190" s="180">
        <f t="shared" si="20"/>
        <v>318.5</v>
      </c>
      <c r="Q190" s="181">
        <f t="shared" si="21"/>
        <v>0.38373493975903616</v>
      </c>
      <c r="R190" s="122">
        <f t="shared" si="22"/>
        <v>63.7</v>
      </c>
      <c r="S190" s="122">
        <f t="shared" si="23"/>
        <v>0.30698795180722893</v>
      </c>
      <c r="T190" s="133">
        <v>0.35</v>
      </c>
    </row>
    <row r="191" spans="1:20" ht="15.75" hidden="1" customHeight="1" x14ac:dyDescent="0.3">
      <c r="A191" s="175" t="s">
        <v>58</v>
      </c>
      <c r="B191" s="176" t="s">
        <v>638</v>
      </c>
      <c r="C191" s="176" t="s">
        <v>79</v>
      </c>
      <c r="D191" s="176" t="s">
        <v>639</v>
      </c>
      <c r="E191" s="177">
        <v>4</v>
      </c>
      <c r="F191" s="176" t="s">
        <v>640</v>
      </c>
      <c r="G191" s="177">
        <v>8</v>
      </c>
      <c r="H191" s="176" t="s">
        <v>642</v>
      </c>
      <c r="I191" s="176" t="s">
        <v>572</v>
      </c>
      <c r="J191" s="176"/>
      <c r="K191" s="176" t="s">
        <v>593</v>
      </c>
      <c r="L191" s="176"/>
      <c r="M191" s="176"/>
      <c r="N191" s="179">
        <f t="shared" si="24"/>
        <v>410</v>
      </c>
      <c r="O191" s="179">
        <f t="shared" si="25"/>
        <v>260</v>
      </c>
      <c r="P191" s="180">
        <f t="shared" si="20"/>
        <v>670</v>
      </c>
      <c r="Q191" s="181">
        <f t="shared" si="21"/>
        <v>0.80722891566265065</v>
      </c>
      <c r="R191" s="122">
        <f t="shared" si="22"/>
        <v>134</v>
      </c>
      <c r="S191" s="122">
        <f t="shared" si="23"/>
        <v>0.64578313253012054</v>
      </c>
      <c r="T191" s="133">
        <v>0.55000000000000004</v>
      </c>
    </row>
    <row r="192" spans="1:20" ht="15.75" hidden="1" customHeight="1" x14ac:dyDescent="0.3">
      <c r="A192" s="175" t="s">
        <v>58</v>
      </c>
      <c r="B192" s="176" t="s">
        <v>638</v>
      </c>
      <c r="C192" s="176" t="s">
        <v>100</v>
      </c>
      <c r="D192" s="176" t="s">
        <v>639</v>
      </c>
      <c r="E192" s="177">
        <v>4</v>
      </c>
      <c r="F192" s="176" t="s">
        <v>640</v>
      </c>
      <c r="G192" s="177">
        <v>12</v>
      </c>
      <c r="H192" s="176" t="s">
        <v>622</v>
      </c>
      <c r="I192" s="176" t="s">
        <v>562</v>
      </c>
      <c r="J192" s="176"/>
      <c r="K192" s="176" t="s">
        <v>565</v>
      </c>
      <c r="L192" s="176"/>
      <c r="M192" s="176"/>
      <c r="N192" s="179">
        <f t="shared" si="24"/>
        <v>438</v>
      </c>
      <c r="O192" s="179">
        <f t="shared" si="25"/>
        <v>361</v>
      </c>
      <c r="P192" s="180">
        <f t="shared" si="20"/>
        <v>799</v>
      </c>
      <c r="Q192" s="181">
        <f t="shared" si="21"/>
        <v>0.96265060240963851</v>
      </c>
      <c r="R192" s="122">
        <f t="shared" si="22"/>
        <v>159.80000000000001</v>
      </c>
      <c r="S192" s="122">
        <f t="shared" si="23"/>
        <v>0.77012048192771088</v>
      </c>
      <c r="T192" s="133">
        <v>0.75</v>
      </c>
    </row>
    <row r="193" spans="1:37" ht="15.75" hidden="1" customHeight="1" x14ac:dyDescent="0.3">
      <c r="A193" s="175" t="s">
        <v>58</v>
      </c>
      <c r="B193" s="176" t="s">
        <v>638</v>
      </c>
      <c r="C193" s="176" t="s">
        <v>100</v>
      </c>
      <c r="D193" s="176" t="s">
        <v>639</v>
      </c>
      <c r="E193" s="177">
        <v>4</v>
      </c>
      <c r="F193" s="176" t="s">
        <v>640</v>
      </c>
      <c r="G193" s="177">
        <v>12</v>
      </c>
      <c r="H193" s="176" t="s">
        <v>627</v>
      </c>
      <c r="I193" s="176" t="s">
        <v>576</v>
      </c>
      <c r="J193" s="176"/>
      <c r="K193" s="176" t="s">
        <v>593</v>
      </c>
      <c r="L193" s="176"/>
      <c r="M193" s="176"/>
      <c r="N193" s="179">
        <f t="shared" si="24"/>
        <v>175</v>
      </c>
      <c r="O193" s="179">
        <f t="shared" si="25"/>
        <v>120</v>
      </c>
      <c r="P193" s="180">
        <f t="shared" si="20"/>
        <v>295</v>
      </c>
      <c r="Q193" s="181">
        <f t="shared" si="21"/>
        <v>0.35542168674698793</v>
      </c>
      <c r="R193" s="122">
        <f t="shared" si="22"/>
        <v>59</v>
      </c>
      <c r="S193" s="122">
        <f t="shared" si="23"/>
        <v>0.28433734939759037</v>
      </c>
      <c r="T193" s="133">
        <v>0.25</v>
      </c>
    </row>
    <row r="194" spans="1:37" ht="15.75" hidden="1" customHeight="1" x14ac:dyDescent="0.3">
      <c r="A194" s="175" t="s">
        <v>58</v>
      </c>
      <c r="B194" s="176" t="s">
        <v>638</v>
      </c>
      <c r="C194" s="176" t="s">
        <v>100</v>
      </c>
      <c r="D194" s="176" t="s">
        <v>639</v>
      </c>
      <c r="E194" s="177">
        <v>4</v>
      </c>
      <c r="F194" s="176" t="s">
        <v>640</v>
      </c>
      <c r="G194" s="177">
        <v>12</v>
      </c>
      <c r="H194" s="176" t="s">
        <v>643</v>
      </c>
      <c r="I194" s="176" t="s">
        <v>579</v>
      </c>
      <c r="J194" s="176"/>
      <c r="K194" s="176" t="s">
        <v>565</v>
      </c>
      <c r="L194" s="176"/>
      <c r="M194" s="176"/>
      <c r="N194" s="179">
        <f t="shared" si="24"/>
        <v>297</v>
      </c>
      <c r="O194" s="179">
        <f t="shared" si="25"/>
        <v>310</v>
      </c>
      <c r="P194" s="180">
        <f t="shared" si="20"/>
        <v>607</v>
      </c>
      <c r="Q194" s="181">
        <f t="shared" si="21"/>
        <v>0.73132530120481931</v>
      </c>
      <c r="R194" s="122">
        <f t="shared" si="22"/>
        <v>121.4</v>
      </c>
      <c r="S194" s="122">
        <f t="shared" si="23"/>
        <v>0.58506024096385545</v>
      </c>
      <c r="T194" s="133">
        <v>0.6</v>
      </c>
    </row>
    <row r="195" spans="1:37" ht="15.75" hidden="1" customHeight="1" x14ac:dyDescent="0.3">
      <c r="A195" s="175" t="s">
        <v>58</v>
      </c>
      <c r="B195" s="176" t="s">
        <v>638</v>
      </c>
      <c r="C195" s="176" t="s">
        <v>80</v>
      </c>
      <c r="D195" s="176" t="s">
        <v>639</v>
      </c>
      <c r="E195" s="177">
        <v>2</v>
      </c>
      <c r="F195" s="176" t="s">
        <v>640</v>
      </c>
      <c r="G195" s="178"/>
      <c r="H195" s="176" t="s">
        <v>622</v>
      </c>
      <c r="I195" s="176" t="s">
        <v>562</v>
      </c>
      <c r="J195" s="176"/>
      <c r="K195" s="176" t="s">
        <v>565</v>
      </c>
      <c r="L195" s="176"/>
      <c r="M195" s="176"/>
      <c r="N195" s="179">
        <f t="shared" si="24"/>
        <v>438</v>
      </c>
      <c r="O195" s="179">
        <f t="shared" si="25"/>
        <v>361</v>
      </c>
      <c r="P195" s="180">
        <f t="shared" si="20"/>
        <v>799</v>
      </c>
      <c r="Q195" s="181">
        <f t="shared" si="21"/>
        <v>0.96265060240963851</v>
      </c>
      <c r="R195" s="122">
        <f t="shared" si="22"/>
        <v>159.80000000000001</v>
      </c>
      <c r="S195" s="122">
        <f t="shared" si="23"/>
        <v>0.77012048192771088</v>
      </c>
      <c r="T195" s="133">
        <v>0.75</v>
      </c>
    </row>
    <row r="196" spans="1:37" ht="15.75" hidden="1" customHeight="1" x14ac:dyDescent="0.3">
      <c r="A196" s="175" t="s">
        <v>58</v>
      </c>
      <c r="B196" s="176" t="s">
        <v>278</v>
      </c>
      <c r="C196" s="176" t="s">
        <v>73</v>
      </c>
      <c r="D196" s="176" t="s">
        <v>636</v>
      </c>
      <c r="E196" s="177">
        <v>14</v>
      </c>
      <c r="F196" s="176" t="s">
        <v>637</v>
      </c>
      <c r="G196" s="177">
        <v>14</v>
      </c>
      <c r="H196" s="176" t="s">
        <v>604</v>
      </c>
      <c r="I196" s="176" t="s">
        <v>578</v>
      </c>
      <c r="J196" s="176"/>
      <c r="K196" s="176" t="s">
        <v>565</v>
      </c>
      <c r="L196" s="176"/>
      <c r="M196" s="176"/>
      <c r="N196" s="179">
        <f t="shared" si="24"/>
        <v>381</v>
      </c>
      <c r="O196" s="179">
        <f t="shared" si="25"/>
        <v>162</v>
      </c>
      <c r="P196" s="180">
        <f t="shared" si="20"/>
        <v>543</v>
      </c>
      <c r="Q196" s="181">
        <f t="shared" si="21"/>
        <v>0.6542168674698795</v>
      </c>
      <c r="R196" s="122">
        <f t="shared" si="22"/>
        <v>108.60000000000001</v>
      </c>
      <c r="S196" s="122">
        <f t="shared" si="23"/>
        <v>0.5233734939759036</v>
      </c>
      <c r="T196" s="133">
        <v>0.5</v>
      </c>
    </row>
    <row r="197" spans="1:37" ht="15.75" hidden="1" customHeight="1" x14ac:dyDescent="0.3">
      <c r="A197" s="175" t="s">
        <v>58</v>
      </c>
      <c r="B197" s="176" t="s">
        <v>278</v>
      </c>
      <c r="C197" s="176" t="s">
        <v>87</v>
      </c>
      <c r="D197" s="176" t="s">
        <v>636</v>
      </c>
      <c r="E197" s="177">
        <v>2</v>
      </c>
      <c r="F197" s="176" t="s">
        <v>637</v>
      </c>
      <c r="G197" s="178"/>
      <c r="H197" s="176" t="s">
        <v>604</v>
      </c>
      <c r="I197" s="176" t="s">
        <v>578</v>
      </c>
      <c r="J197" s="176"/>
      <c r="K197" s="176" t="s">
        <v>565</v>
      </c>
      <c r="L197" s="176"/>
      <c r="M197" s="176"/>
      <c r="N197" s="179">
        <f t="shared" si="24"/>
        <v>381</v>
      </c>
      <c r="O197" s="179">
        <f t="shared" si="25"/>
        <v>162</v>
      </c>
      <c r="P197" s="180">
        <f t="shared" si="20"/>
        <v>543</v>
      </c>
      <c r="Q197" s="181">
        <f t="shared" si="21"/>
        <v>0.6542168674698795</v>
      </c>
      <c r="R197" s="122">
        <f t="shared" si="22"/>
        <v>108.60000000000001</v>
      </c>
      <c r="S197" s="122">
        <f t="shared" si="23"/>
        <v>0.5233734939759036</v>
      </c>
      <c r="T197" s="133">
        <v>0.5</v>
      </c>
    </row>
    <row r="198" spans="1:37" ht="15.75" hidden="1" customHeight="1" x14ac:dyDescent="0.3">
      <c r="A198" s="175" t="s">
        <v>58</v>
      </c>
      <c r="B198" s="176" t="s">
        <v>278</v>
      </c>
      <c r="C198" s="176" t="s">
        <v>79</v>
      </c>
      <c r="D198" s="176" t="s">
        <v>636</v>
      </c>
      <c r="E198" s="177">
        <v>36</v>
      </c>
      <c r="F198" s="176" t="s">
        <v>637</v>
      </c>
      <c r="G198" s="177">
        <v>36</v>
      </c>
      <c r="H198" s="176" t="s">
        <v>604</v>
      </c>
      <c r="I198" s="176" t="s">
        <v>578</v>
      </c>
      <c r="J198" s="176"/>
      <c r="K198" s="176" t="s">
        <v>565</v>
      </c>
      <c r="L198" s="176"/>
      <c r="M198" s="176"/>
      <c r="N198" s="179">
        <f t="shared" si="24"/>
        <v>381</v>
      </c>
      <c r="O198" s="179">
        <f t="shared" si="25"/>
        <v>162</v>
      </c>
      <c r="P198" s="180">
        <f t="shared" si="20"/>
        <v>543</v>
      </c>
      <c r="Q198" s="181">
        <f t="shared" si="21"/>
        <v>0.6542168674698795</v>
      </c>
      <c r="R198" s="122">
        <f t="shared" si="22"/>
        <v>108.60000000000001</v>
      </c>
      <c r="S198" s="122">
        <f t="shared" si="23"/>
        <v>0.5233734939759036</v>
      </c>
      <c r="T198" s="133">
        <v>0.5</v>
      </c>
    </row>
    <row r="199" spans="1:37" ht="15.75" hidden="1" customHeight="1" x14ac:dyDescent="0.3">
      <c r="A199" s="175" t="s">
        <v>58</v>
      </c>
      <c r="B199" s="176" t="s">
        <v>278</v>
      </c>
      <c r="C199" s="176" t="s">
        <v>80</v>
      </c>
      <c r="D199" s="176" t="s">
        <v>636</v>
      </c>
      <c r="E199" s="177">
        <v>1</v>
      </c>
      <c r="F199" s="176" t="s">
        <v>637</v>
      </c>
      <c r="G199" s="178"/>
      <c r="H199" s="176" t="s">
        <v>604</v>
      </c>
      <c r="I199" s="176" t="s">
        <v>578</v>
      </c>
      <c r="J199" s="176"/>
      <c r="K199" s="176" t="s">
        <v>565</v>
      </c>
      <c r="L199" s="176"/>
      <c r="M199" s="176"/>
      <c r="N199" s="179">
        <f t="shared" si="24"/>
        <v>381</v>
      </c>
      <c r="O199" s="179">
        <f t="shared" si="25"/>
        <v>162</v>
      </c>
      <c r="P199" s="180">
        <f t="shared" si="20"/>
        <v>543</v>
      </c>
      <c r="Q199" s="181">
        <f t="shared" si="21"/>
        <v>0.6542168674698795</v>
      </c>
      <c r="R199" s="122">
        <f t="shared" si="22"/>
        <v>108.60000000000001</v>
      </c>
      <c r="S199" s="122">
        <f t="shared" si="23"/>
        <v>0.5233734939759036</v>
      </c>
      <c r="T199" s="133">
        <v>0.5</v>
      </c>
    </row>
    <row r="200" spans="1:37" ht="15.75" hidden="1" customHeight="1" x14ac:dyDescent="0.3">
      <c r="A200" s="175" t="s">
        <v>58</v>
      </c>
      <c r="B200" s="176" t="s">
        <v>280</v>
      </c>
      <c r="C200" s="176" t="s">
        <v>102</v>
      </c>
      <c r="D200" s="176" t="s">
        <v>595</v>
      </c>
      <c r="E200" s="177">
        <v>33</v>
      </c>
      <c r="F200" s="176" t="s">
        <v>596</v>
      </c>
      <c r="G200" s="178"/>
      <c r="H200" s="176" t="s">
        <v>628</v>
      </c>
      <c r="I200" s="176" t="s">
        <v>566</v>
      </c>
      <c r="J200" s="176"/>
      <c r="K200" s="176" t="s">
        <v>593</v>
      </c>
      <c r="L200" s="176"/>
      <c r="M200" s="176"/>
      <c r="N200" s="179">
        <f t="shared" si="24"/>
        <v>242</v>
      </c>
      <c r="O200" s="179">
        <f t="shared" si="25"/>
        <v>0</v>
      </c>
      <c r="P200" s="180">
        <f t="shared" si="20"/>
        <v>242</v>
      </c>
      <c r="Q200" s="181">
        <f t="shared" si="21"/>
        <v>0.29156626506024097</v>
      </c>
      <c r="R200" s="122">
        <f t="shared" si="22"/>
        <v>48.400000000000006</v>
      </c>
      <c r="S200" s="122">
        <f t="shared" si="23"/>
        <v>0.23325301204819279</v>
      </c>
      <c r="T200" s="133">
        <v>0.2</v>
      </c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</row>
    <row r="201" spans="1:37" ht="15.75" hidden="1" customHeight="1" x14ac:dyDescent="0.3">
      <c r="A201" s="175" t="s">
        <v>58</v>
      </c>
      <c r="B201" s="176" t="s">
        <v>280</v>
      </c>
      <c r="C201" s="176" t="s">
        <v>73</v>
      </c>
      <c r="D201" s="176" t="s">
        <v>595</v>
      </c>
      <c r="E201" s="177">
        <v>46</v>
      </c>
      <c r="F201" s="176" t="s">
        <v>596</v>
      </c>
      <c r="G201" s="177">
        <v>46</v>
      </c>
      <c r="H201" s="176" t="s">
        <v>628</v>
      </c>
      <c r="I201" s="176" t="s">
        <v>566</v>
      </c>
      <c r="J201" s="176"/>
      <c r="K201" s="176" t="s">
        <v>593</v>
      </c>
      <c r="L201" s="176"/>
      <c r="M201" s="176"/>
      <c r="N201" s="179">
        <f t="shared" si="24"/>
        <v>242</v>
      </c>
      <c r="O201" s="179">
        <f t="shared" si="25"/>
        <v>0</v>
      </c>
      <c r="P201" s="180">
        <f t="shared" si="20"/>
        <v>242</v>
      </c>
      <c r="Q201" s="181">
        <f t="shared" si="21"/>
        <v>0.29156626506024097</v>
      </c>
      <c r="R201" s="122">
        <f t="shared" si="22"/>
        <v>48.400000000000006</v>
      </c>
      <c r="S201" s="122">
        <f t="shared" si="23"/>
        <v>0.23325301204819279</v>
      </c>
      <c r="T201" s="133">
        <v>0.2</v>
      </c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ht="15.75" hidden="1" customHeight="1" x14ac:dyDescent="0.3">
      <c r="A202" s="175" t="s">
        <v>58</v>
      </c>
      <c r="B202" s="176" t="s">
        <v>280</v>
      </c>
      <c r="C202" s="176" t="s">
        <v>79</v>
      </c>
      <c r="D202" s="176" t="s">
        <v>595</v>
      </c>
      <c r="E202" s="177">
        <v>80</v>
      </c>
      <c r="F202" s="176" t="s">
        <v>596</v>
      </c>
      <c r="G202" s="177">
        <v>80</v>
      </c>
      <c r="H202" s="176" t="s">
        <v>628</v>
      </c>
      <c r="I202" s="176" t="s">
        <v>566</v>
      </c>
      <c r="J202" s="176"/>
      <c r="K202" s="176" t="s">
        <v>593</v>
      </c>
      <c r="L202" s="176"/>
      <c r="M202" s="176"/>
      <c r="N202" s="179">
        <f t="shared" si="24"/>
        <v>242</v>
      </c>
      <c r="O202" s="179">
        <f t="shared" si="25"/>
        <v>0</v>
      </c>
      <c r="P202" s="180">
        <f t="shared" ref="P202:P265" si="26">N202+O202</f>
        <v>242</v>
      </c>
      <c r="Q202" s="181">
        <f t="shared" ref="Q202:Q265" si="27">P202/$Q$1</f>
        <v>0.29156626506024097</v>
      </c>
      <c r="R202" s="122">
        <f t="shared" ref="R202:R265" si="28">P202*0.2</f>
        <v>48.400000000000006</v>
      </c>
      <c r="S202" s="122">
        <f t="shared" ref="S202:S265" si="29">Q202*0.8</f>
        <v>0.23325301204819279</v>
      </c>
      <c r="T202" s="133">
        <v>0.2</v>
      </c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</row>
    <row r="203" spans="1:37" ht="15.75" hidden="1" customHeight="1" x14ac:dyDescent="0.3">
      <c r="A203" s="175" t="s">
        <v>58</v>
      </c>
      <c r="B203" s="176" t="s">
        <v>280</v>
      </c>
      <c r="C203" s="176" t="s">
        <v>111</v>
      </c>
      <c r="D203" s="176" t="s">
        <v>595</v>
      </c>
      <c r="E203" s="177">
        <v>6</v>
      </c>
      <c r="F203" s="176" t="s">
        <v>596</v>
      </c>
      <c r="G203" s="178"/>
      <c r="H203" s="176" t="s">
        <v>628</v>
      </c>
      <c r="I203" s="176" t="s">
        <v>566</v>
      </c>
      <c r="J203" s="176"/>
      <c r="K203" s="176" t="s">
        <v>593</v>
      </c>
      <c r="L203" s="176"/>
      <c r="M203" s="176"/>
      <c r="N203" s="179">
        <f t="shared" si="24"/>
        <v>242</v>
      </c>
      <c r="O203" s="179">
        <f t="shared" si="25"/>
        <v>0</v>
      </c>
      <c r="P203" s="180">
        <f t="shared" si="26"/>
        <v>242</v>
      </c>
      <c r="Q203" s="181">
        <f t="shared" si="27"/>
        <v>0.29156626506024097</v>
      </c>
      <c r="R203" s="122">
        <f t="shared" si="28"/>
        <v>48.400000000000006</v>
      </c>
      <c r="S203" s="122">
        <f t="shared" si="29"/>
        <v>0.23325301204819279</v>
      </c>
      <c r="T203" s="133">
        <v>0.2</v>
      </c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</row>
    <row r="204" spans="1:37" ht="15.75" hidden="1" customHeight="1" x14ac:dyDescent="0.3">
      <c r="A204" s="175" t="s">
        <v>58</v>
      </c>
      <c r="B204" s="176" t="s">
        <v>280</v>
      </c>
      <c r="C204" s="176" t="s">
        <v>80</v>
      </c>
      <c r="D204" s="176" t="s">
        <v>595</v>
      </c>
      <c r="E204" s="177">
        <v>4</v>
      </c>
      <c r="F204" s="176" t="s">
        <v>596</v>
      </c>
      <c r="G204" s="178"/>
      <c r="H204" s="176" t="s">
        <v>628</v>
      </c>
      <c r="I204" s="176" t="s">
        <v>566</v>
      </c>
      <c r="J204" s="176"/>
      <c r="K204" s="176" t="s">
        <v>593</v>
      </c>
      <c r="L204" s="176"/>
      <c r="M204" s="176"/>
      <c r="N204" s="179">
        <f t="shared" si="24"/>
        <v>242</v>
      </c>
      <c r="O204" s="179">
        <f t="shared" si="25"/>
        <v>0</v>
      </c>
      <c r="P204" s="180">
        <f t="shared" si="26"/>
        <v>242</v>
      </c>
      <c r="Q204" s="181">
        <f t="shared" si="27"/>
        <v>0.29156626506024097</v>
      </c>
      <c r="R204" s="122">
        <f t="shared" si="28"/>
        <v>48.400000000000006</v>
      </c>
      <c r="S204" s="122">
        <f t="shared" si="29"/>
        <v>0.23325301204819279</v>
      </c>
      <c r="T204" s="133">
        <v>0.2</v>
      </c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</row>
    <row r="205" spans="1:37" ht="15.75" hidden="1" customHeight="1" x14ac:dyDescent="0.3">
      <c r="A205" s="175" t="s">
        <v>58</v>
      </c>
      <c r="B205" s="176" t="s">
        <v>281</v>
      </c>
      <c r="C205" s="176" t="s">
        <v>73</v>
      </c>
      <c r="D205" s="176" t="s">
        <v>595</v>
      </c>
      <c r="E205" s="177">
        <v>18</v>
      </c>
      <c r="F205" s="176" t="s">
        <v>596</v>
      </c>
      <c r="G205" s="177">
        <v>18</v>
      </c>
      <c r="H205" s="176" t="s">
        <v>619</v>
      </c>
      <c r="I205" s="176" t="s">
        <v>581</v>
      </c>
      <c r="J205" s="176"/>
      <c r="K205" s="176" t="s">
        <v>593</v>
      </c>
      <c r="L205" s="176"/>
      <c r="M205" s="176"/>
      <c r="N205" s="179">
        <f t="shared" si="24"/>
        <v>276</v>
      </c>
      <c r="O205" s="179">
        <f t="shared" si="25"/>
        <v>323</v>
      </c>
      <c r="P205" s="180">
        <f t="shared" si="26"/>
        <v>599</v>
      </c>
      <c r="Q205" s="181">
        <f t="shared" si="27"/>
        <v>0.72168674698795177</v>
      </c>
      <c r="R205" s="122">
        <f t="shared" si="28"/>
        <v>119.80000000000001</v>
      </c>
      <c r="S205" s="122">
        <f t="shared" si="29"/>
        <v>0.57734939759036141</v>
      </c>
      <c r="T205" s="133">
        <v>0.55000000000000004</v>
      </c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</row>
    <row r="206" spans="1:37" ht="15.75" hidden="1" customHeight="1" x14ac:dyDescent="0.3">
      <c r="A206" s="175" t="s">
        <v>58</v>
      </c>
      <c r="B206" s="176" t="s">
        <v>281</v>
      </c>
      <c r="C206" s="176" t="s">
        <v>79</v>
      </c>
      <c r="D206" s="176" t="s">
        <v>595</v>
      </c>
      <c r="E206" s="177">
        <v>32</v>
      </c>
      <c r="F206" s="176" t="s">
        <v>596</v>
      </c>
      <c r="G206" s="177">
        <v>32</v>
      </c>
      <c r="H206" s="176" t="s">
        <v>644</v>
      </c>
      <c r="I206" s="176" t="s">
        <v>581</v>
      </c>
      <c r="J206" s="176"/>
      <c r="K206" s="176" t="s">
        <v>593</v>
      </c>
      <c r="L206" s="176"/>
      <c r="M206" s="176"/>
      <c r="N206" s="179">
        <f t="shared" si="24"/>
        <v>276</v>
      </c>
      <c r="O206" s="179">
        <f t="shared" si="25"/>
        <v>323</v>
      </c>
      <c r="P206" s="180">
        <f t="shared" si="26"/>
        <v>599</v>
      </c>
      <c r="Q206" s="181">
        <f t="shared" si="27"/>
        <v>0.72168674698795177</v>
      </c>
      <c r="R206" s="122">
        <f t="shared" si="28"/>
        <v>119.80000000000001</v>
      </c>
      <c r="S206" s="122">
        <f t="shared" si="29"/>
        <v>0.57734939759036141</v>
      </c>
      <c r="T206" s="133">
        <v>0.55000000000000004</v>
      </c>
    </row>
    <row r="207" spans="1:37" ht="15.75" hidden="1" customHeight="1" x14ac:dyDescent="0.3">
      <c r="A207" s="175" t="s">
        <v>58</v>
      </c>
      <c r="B207" s="176" t="s">
        <v>281</v>
      </c>
      <c r="C207" s="176" t="s">
        <v>142</v>
      </c>
      <c r="D207" s="176" t="s">
        <v>595</v>
      </c>
      <c r="E207" s="177">
        <v>2</v>
      </c>
      <c r="F207" s="176" t="s">
        <v>596</v>
      </c>
      <c r="G207" s="178"/>
      <c r="H207" s="176" t="s">
        <v>619</v>
      </c>
      <c r="I207" s="176" t="s">
        <v>581</v>
      </c>
      <c r="J207" s="176"/>
      <c r="K207" s="176" t="s">
        <v>593</v>
      </c>
      <c r="L207" s="176"/>
      <c r="M207" s="176"/>
      <c r="N207" s="179">
        <f t="shared" si="24"/>
        <v>276</v>
      </c>
      <c r="O207" s="179">
        <f t="shared" si="25"/>
        <v>323</v>
      </c>
      <c r="P207" s="180">
        <f t="shared" si="26"/>
        <v>599</v>
      </c>
      <c r="Q207" s="181">
        <f t="shared" si="27"/>
        <v>0.72168674698795177</v>
      </c>
      <c r="R207" s="122">
        <f t="shared" si="28"/>
        <v>119.80000000000001</v>
      </c>
      <c r="S207" s="122">
        <f t="shared" si="29"/>
        <v>0.57734939759036141</v>
      </c>
      <c r="T207" s="133">
        <v>0.55000000000000004</v>
      </c>
    </row>
    <row r="208" spans="1:37" ht="15.75" hidden="1" customHeight="1" x14ac:dyDescent="0.3">
      <c r="A208" s="175" t="s">
        <v>58</v>
      </c>
      <c r="B208" s="176" t="s">
        <v>281</v>
      </c>
      <c r="C208" s="176" t="s">
        <v>80</v>
      </c>
      <c r="D208" s="176" t="s">
        <v>595</v>
      </c>
      <c r="E208" s="177">
        <v>1</v>
      </c>
      <c r="F208" s="176" t="s">
        <v>596</v>
      </c>
      <c r="G208" s="178"/>
      <c r="H208" s="176" t="s">
        <v>619</v>
      </c>
      <c r="I208" s="176" t="s">
        <v>581</v>
      </c>
      <c r="J208" s="176"/>
      <c r="K208" s="176" t="s">
        <v>593</v>
      </c>
      <c r="L208" s="176"/>
      <c r="M208" s="176"/>
      <c r="N208" s="179">
        <f t="shared" si="24"/>
        <v>276</v>
      </c>
      <c r="O208" s="179">
        <f t="shared" si="25"/>
        <v>323</v>
      </c>
      <c r="P208" s="180">
        <f t="shared" si="26"/>
        <v>599</v>
      </c>
      <c r="Q208" s="181">
        <f t="shared" si="27"/>
        <v>0.72168674698795177</v>
      </c>
      <c r="R208" s="122">
        <f t="shared" si="28"/>
        <v>119.80000000000001</v>
      </c>
      <c r="S208" s="122">
        <f t="shared" si="29"/>
        <v>0.57734939759036141</v>
      </c>
      <c r="T208" s="133">
        <v>0.55000000000000004</v>
      </c>
    </row>
    <row r="209" spans="1:20" ht="15.75" hidden="1" customHeight="1" x14ac:dyDescent="0.3">
      <c r="A209" s="175" t="s">
        <v>58</v>
      </c>
      <c r="B209" s="176" t="s">
        <v>282</v>
      </c>
      <c r="C209" s="176" t="s">
        <v>73</v>
      </c>
      <c r="D209" s="176" t="s">
        <v>599</v>
      </c>
      <c r="E209" s="177">
        <v>44</v>
      </c>
      <c r="F209" s="176" t="s">
        <v>600</v>
      </c>
      <c r="G209" s="177">
        <v>44</v>
      </c>
      <c r="H209" s="176" t="s">
        <v>643</v>
      </c>
      <c r="I209" s="176" t="s">
        <v>579</v>
      </c>
      <c r="J209" s="176"/>
      <c r="K209" s="176" t="s">
        <v>565</v>
      </c>
      <c r="L209" s="176"/>
      <c r="M209" s="176"/>
      <c r="N209" s="179">
        <f t="shared" si="24"/>
        <v>297</v>
      </c>
      <c r="O209" s="179">
        <f t="shared" si="25"/>
        <v>310</v>
      </c>
      <c r="P209" s="180">
        <f t="shared" si="26"/>
        <v>607</v>
      </c>
      <c r="Q209" s="181">
        <f t="shared" si="27"/>
        <v>0.73132530120481931</v>
      </c>
      <c r="R209" s="122">
        <f t="shared" si="28"/>
        <v>121.4</v>
      </c>
      <c r="S209" s="122">
        <f t="shared" si="29"/>
        <v>0.58506024096385545</v>
      </c>
      <c r="T209" s="133">
        <v>0.6</v>
      </c>
    </row>
    <row r="210" spans="1:20" ht="15.75" hidden="1" customHeight="1" x14ac:dyDescent="0.3">
      <c r="A210" s="175" t="s">
        <v>58</v>
      </c>
      <c r="B210" s="176" t="s">
        <v>282</v>
      </c>
      <c r="C210" s="176" t="s">
        <v>123</v>
      </c>
      <c r="D210" s="176" t="s">
        <v>599</v>
      </c>
      <c r="E210" s="177">
        <v>18</v>
      </c>
      <c r="F210" s="176" t="s">
        <v>600</v>
      </c>
      <c r="G210" s="178"/>
      <c r="H210" s="176" t="s">
        <v>643</v>
      </c>
      <c r="I210" s="176" t="s">
        <v>579</v>
      </c>
      <c r="J210" s="176"/>
      <c r="K210" s="176" t="s">
        <v>565</v>
      </c>
      <c r="L210" s="176"/>
      <c r="M210" s="176"/>
      <c r="N210" s="179">
        <f t="shared" si="24"/>
        <v>297</v>
      </c>
      <c r="O210" s="179">
        <f t="shared" si="25"/>
        <v>310</v>
      </c>
      <c r="P210" s="180">
        <f t="shared" si="26"/>
        <v>607</v>
      </c>
      <c r="Q210" s="181">
        <f t="shared" si="27"/>
        <v>0.73132530120481931</v>
      </c>
      <c r="R210" s="122">
        <f t="shared" si="28"/>
        <v>121.4</v>
      </c>
      <c r="S210" s="122">
        <f t="shared" si="29"/>
        <v>0.58506024096385545</v>
      </c>
      <c r="T210" s="133">
        <v>0.6</v>
      </c>
    </row>
    <row r="211" spans="1:20" ht="15.75" hidden="1" customHeight="1" x14ac:dyDescent="0.3">
      <c r="A211" s="175" t="s">
        <v>58</v>
      </c>
      <c r="B211" s="176" t="s">
        <v>282</v>
      </c>
      <c r="C211" s="176" t="s">
        <v>79</v>
      </c>
      <c r="D211" s="176" t="s">
        <v>599</v>
      </c>
      <c r="E211" s="177">
        <v>30</v>
      </c>
      <c r="F211" s="176" t="s">
        <v>600</v>
      </c>
      <c r="G211" s="177">
        <v>30</v>
      </c>
      <c r="H211" s="176" t="s">
        <v>643</v>
      </c>
      <c r="I211" s="176" t="s">
        <v>579</v>
      </c>
      <c r="J211" s="176"/>
      <c r="K211" s="176" t="s">
        <v>565</v>
      </c>
      <c r="L211" s="176"/>
      <c r="M211" s="176"/>
      <c r="N211" s="179">
        <f t="shared" si="24"/>
        <v>297</v>
      </c>
      <c r="O211" s="179">
        <f t="shared" si="25"/>
        <v>310</v>
      </c>
      <c r="P211" s="180">
        <f t="shared" si="26"/>
        <v>607</v>
      </c>
      <c r="Q211" s="181">
        <f t="shared" si="27"/>
        <v>0.73132530120481931</v>
      </c>
      <c r="R211" s="122">
        <f t="shared" si="28"/>
        <v>121.4</v>
      </c>
      <c r="S211" s="122">
        <f t="shared" si="29"/>
        <v>0.58506024096385545</v>
      </c>
      <c r="T211" s="133">
        <v>0.6</v>
      </c>
    </row>
    <row r="212" spans="1:20" ht="15.75" hidden="1" customHeight="1" x14ac:dyDescent="0.3">
      <c r="A212" s="175" t="s">
        <v>58</v>
      </c>
      <c r="B212" s="176" t="s">
        <v>282</v>
      </c>
      <c r="C212" s="176" t="s">
        <v>100</v>
      </c>
      <c r="D212" s="176" t="s">
        <v>599</v>
      </c>
      <c r="E212" s="177">
        <v>16</v>
      </c>
      <c r="F212" s="176" t="s">
        <v>600</v>
      </c>
      <c r="G212" s="177">
        <v>16</v>
      </c>
      <c r="H212" s="176" t="s">
        <v>643</v>
      </c>
      <c r="I212" s="176" t="s">
        <v>579</v>
      </c>
      <c r="J212" s="176"/>
      <c r="K212" s="176" t="s">
        <v>565</v>
      </c>
      <c r="L212" s="176"/>
      <c r="M212" s="176"/>
      <c r="N212" s="179">
        <f t="shared" si="24"/>
        <v>297</v>
      </c>
      <c r="O212" s="179">
        <f t="shared" si="25"/>
        <v>310</v>
      </c>
      <c r="P212" s="180">
        <f t="shared" si="26"/>
        <v>607</v>
      </c>
      <c r="Q212" s="181">
        <f t="shared" si="27"/>
        <v>0.73132530120481931</v>
      </c>
      <c r="R212" s="122">
        <f t="shared" si="28"/>
        <v>121.4</v>
      </c>
      <c r="S212" s="122">
        <f t="shared" si="29"/>
        <v>0.58506024096385545</v>
      </c>
      <c r="T212" s="133">
        <v>0.6</v>
      </c>
    </row>
    <row r="213" spans="1:20" ht="17.25" hidden="1" customHeight="1" x14ac:dyDescent="0.3">
      <c r="A213" s="175" t="s">
        <v>58</v>
      </c>
      <c r="B213" s="176" t="s">
        <v>282</v>
      </c>
      <c r="C213" s="176" t="s">
        <v>111</v>
      </c>
      <c r="D213" s="176" t="s">
        <v>599</v>
      </c>
      <c r="E213" s="177">
        <v>5</v>
      </c>
      <c r="F213" s="176" t="s">
        <v>600</v>
      </c>
      <c r="G213" s="178"/>
      <c r="H213" s="176" t="s">
        <v>643</v>
      </c>
      <c r="I213" s="176" t="s">
        <v>579</v>
      </c>
      <c r="J213" s="176"/>
      <c r="K213" s="176" t="s">
        <v>565</v>
      </c>
      <c r="L213" s="176"/>
      <c r="M213" s="176"/>
      <c r="N213" s="179">
        <f t="shared" si="24"/>
        <v>297</v>
      </c>
      <c r="O213" s="179">
        <f t="shared" si="25"/>
        <v>310</v>
      </c>
      <c r="P213" s="180">
        <f t="shared" si="26"/>
        <v>607</v>
      </c>
      <c r="Q213" s="181">
        <f t="shared" si="27"/>
        <v>0.73132530120481931</v>
      </c>
      <c r="R213" s="122">
        <f t="shared" si="28"/>
        <v>121.4</v>
      </c>
      <c r="S213" s="122">
        <f t="shared" si="29"/>
        <v>0.58506024096385545</v>
      </c>
      <c r="T213" s="133">
        <v>0.6</v>
      </c>
    </row>
    <row r="214" spans="1:20" ht="15.75" hidden="1" customHeight="1" x14ac:dyDescent="0.3">
      <c r="A214" s="175" t="s">
        <v>58</v>
      </c>
      <c r="B214" s="176" t="s">
        <v>282</v>
      </c>
      <c r="C214" s="176" t="s">
        <v>80</v>
      </c>
      <c r="D214" s="176" t="s">
        <v>599</v>
      </c>
      <c r="E214" s="177">
        <v>4</v>
      </c>
      <c r="F214" s="176" t="s">
        <v>600</v>
      </c>
      <c r="G214" s="178"/>
      <c r="H214" s="176" t="s">
        <v>643</v>
      </c>
      <c r="I214" s="176" t="s">
        <v>579</v>
      </c>
      <c r="J214" s="176"/>
      <c r="K214" s="176" t="s">
        <v>565</v>
      </c>
      <c r="L214" s="176"/>
      <c r="M214" s="176"/>
      <c r="N214" s="179">
        <f t="shared" si="24"/>
        <v>297</v>
      </c>
      <c r="O214" s="179">
        <f t="shared" si="25"/>
        <v>310</v>
      </c>
      <c r="P214" s="180">
        <f t="shared" si="26"/>
        <v>607</v>
      </c>
      <c r="Q214" s="181">
        <f t="shared" si="27"/>
        <v>0.73132530120481931</v>
      </c>
      <c r="R214" s="122">
        <f t="shared" si="28"/>
        <v>121.4</v>
      </c>
      <c r="S214" s="122">
        <f t="shared" si="29"/>
        <v>0.58506024096385545</v>
      </c>
      <c r="T214" s="133">
        <v>0.6</v>
      </c>
    </row>
    <row r="215" spans="1:20" ht="15.75" hidden="1" customHeight="1" x14ac:dyDescent="0.3">
      <c r="A215" s="175" t="s">
        <v>58</v>
      </c>
      <c r="B215" s="176" t="s">
        <v>283</v>
      </c>
      <c r="C215" s="176" t="s">
        <v>73</v>
      </c>
      <c r="D215" s="176" t="s">
        <v>599</v>
      </c>
      <c r="E215" s="177">
        <v>36</v>
      </c>
      <c r="F215" s="176" t="s">
        <v>600</v>
      </c>
      <c r="G215" s="177">
        <v>36</v>
      </c>
      <c r="H215" s="176" t="s">
        <v>645</v>
      </c>
      <c r="I215" s="176" t="s">
        <v>260</v>
      </c>
      <c r="J215" s="176"/>
      <c r="K215" s="176" t="s">
        <v>593</v>
      </c>
      <c r="L215" s="176"/>
      <c r="M215" s="176"/>
      <c r="N215" s="179">
        <f t="shared" si="24"/>
        <v>84</v>
      </c>
      <c r="O215" s="179">
        <f t="shared" si="25"/>
        <v>62</v>
      </c>
      <c r="P215" s="180">
        <f t="shared" si="26"/>
        <v>146</v>
      </c>
      <c r="Q215" s="181">
        <f t="shared" si="27"/>
        <v>0.17590361445783131</v>
      </c>
      <c r="R215" s="122">
        <f t="shared" si="28"/>
        <v>29.200000000000003</v>
      </c>
      <c r="S215" s="122">
        <f t="shared" si="29"/>
        <v>0.14072289156626505</v>
      </c>
      <c r="T215" s="133">
        <v>0.15</v>
      </c>
    </row>
    <row r="216" spans="1:20" ht="15.75" hidden="1" customHeight="1" x14ac:dyDescent="0.3">
      <c r="A216" s="175" t="s">
        <v>58</v>
      </c>
      <c r="B216" s="176" t="s">
        <v>283</v>
      </c>
      <c r="C216" s="176" t="s">
        <v>87</v>
      </c>
      <c r="D216" s="176" t="s">
        <v>599</v>
      </c>
      <c r="E216" s="177">
        <v>3</v>
      </c>
      <c r="F216" s="176" t="s">
        <v>600</v>
      </c>
      <c r="G216" s="178"/>
      <c r="H216" s="176" t="s">
        <v>645</v>
      </c>
      <c r="I216" s="176" t="s">
        <v>260</v>
      </c>
      <c r="J216" s="176"/>
      <c r="K216" s="176" t="s">
        <v>593</v>
      </c>
      <c r="L216" s="176"/>
      <c r="M216" s="176"/>
      <c r="N216" s="179">
        <f t="shared" si="24"/>
        <v>84</v>
      </c>
      <c r="O216" s="179">
        <f t="shared" si="25"/>
        <v>62</v>
      </c>
      <c r="P216" s="180">
        <f t="shared" si="26"/>
        <v>146</v>
      </c>
      <c r="Q216" s="181">
        <f t="shared" si="27"/>
        <v>0.17590361445783131</v>
      </c>
      <c r="R216" s="122">
        <f t="shared" si="28"/>
        <v>29.200000000000003</v>
      </c>
      <c r="S216" s="122">
        <f t="shared" si="29"/>
        <v>0.14072289156626505</v>
      </c>
      <c r="T216" s="133">
        <v>0.15</v>
      </c>
    </row>
    <row r="217" spans="1:20" ht="15.75" hidden="1" customHeight="1" x14ac:dyDescent="0.3">
      <c r="A217" s="175" t="s">
        <v>58</v>
      </c>
      <c r="B217" s="176" t="s">
        <v>283</v>
      </c>
      <c r="C217" s="176" t="s">
        <v>79</v>
      </c>
      <c r="D217" s="176" t="s">
        <v>599</v>
      </c>
      <c r="E217" s="177">
        <v>20</v>
      </c>
      <c r="F217" s="176" t="s">
        <v>600</v>
      </c>
      <c r="G217" s="177">
        <v>20</v>
      </c>
      <c r="H217" s="176" t="s">
        <v>645</v>
      </c>
      <c r="I217" s="176" t="s">
        <v>260</v>
      </c>
      <c r="J217" s="176"/>
      <c r="K217" s="176" t="s">
        <v>593</v>
      </c>
      <c r="L217" s="176"/>
      <c r="M217" s="176"/>
      <c r="N217" s="179">
        <f t="shared" si="24"/>
        <v>84</v>
      </c>
      <c r="O217" s="179">
        <f t="shared" si="25"/>
        <v>62</v>
      </c>
      <c r="P217" s="180">
        <f t="shared" si="26"/>
        <v>146</v>
      </c>
      <c r="Q217" s="181">
        <f t="shared" si="27"/>
        <v>0.17590361445783131</v>
      </c>
      <c r="R217" s="122">
        <f t="shared" si="28"/>
        <v>29.200000000000003</v>
      </c>
      <c r="S217" s="122">
        <f t="shared" si="29"/>
        <v>0.14072289156626505</v>
      </c>
      <c r="T217" s="133">
        <v>0.15</v>
      </c>
    </row>
    <row r="218" spans="1:20" ht="15.75" hidden="1" customHeight="1" x14ac:dyDescent="0.3">
      <c r="A218" s="175" t="s">
        <v>58</v>
      </c>
      <c r="B218" s="176" t="s">
        <v>283</v>
      </c>
      <c r="C218" s="176" t="s">
        <v>100</v>
      </c>
      <c r="D218" s="176" t="s">
        <v>599</v>
      </c>
      <c r="E218" s="177">
        <v>16</v>
      </c>
      <c r="F218" s="176" t="s">
        <v>600</v>
      </c>
      <c r="G218" s="177">
        <v>16</v>
      </c>
      <c r="H218" s="176" t="s">
        <v>646</v>
      </c>
      <c r="I218" s="176" t="s">
        <v>568</v>
      </c>
      <c r="J218" s="176"/>
      <c r="K218" s="176" t="s">
        <v>565</v>
      </c>
      <c r="L218" s="176"/>
      <c r="M218" s="176"/>
      <c r="N218" s="179">
        <f t="shared" si="24"/>
        <v>239</v>
      </c>
      <c r="O218" s="179">
        <f t="shared" si="25"/>
        <v>313</v>
      </c>
      <c r="P218" s="180">
        <f t="shared" si="26"/>
        <v>552</v>
      </c>
      <c r="Q218" s="181">
        <f t="shared" si="27"/>
        <v>0.66506024096385541</v>
      </c>
      <c r="R218" s="122">
        <f t="shared" si="28"/>
        <v>110.4</v>
      </c>
      <c r="S218" s="122">
        <f t="shared" si="29"/>
        <v>0.53204819277108439</v>
      </c>
      <c r="T218" s="133">
        <v>0.55000000000000004</v>
      </c>
    </row>
    <row r="219" spans="1:20" ht="15.75" hidden="1" customHeight="1" x14ac:dyDescent="0.3">
      <c r="A219" s="175" t="s">
        <v>58</v>
      </c>
      <c r="B219" s="176" t="s">
        <v>283</v>
      </c>
      <c r="C219" s="176" t="s">
        <v>80</v>
      </c>
      <c r="D219" s="176" t="s">
        <v>599</v>
      </c>
      <c r="E219" s="177">
        <v>2</v>
      </c>
      <c r="F219" s="176" t="s">
        <v>600</v>
      </c>
      <c r="G219" s="178"/>
      <c r="H219" s="176" t="s">
        <v>645</v>
      </c>
      <c r="I219" s="176" t="s">
        <v>260</v>
      </c>
      <c r="J219" s="176"/>
      <c r="K219" s="176" t="s">
        <v>593</v>
      </c>
      <c r="L219" s="176"/>
      <c r="M219" s="176"/>
      <c r="N219" s="179">
        <f t="shared" si="24"/>
        <v>84</v>
      </c>
      <c r="O219" s="179">
        <f t="shared" si="25"/>
        <v>62</v>
      </c>
      <c r="P219" s="180">
        <f t="shared" si="26"/>
        <v>146</v>
      </c>
      <c r="Q219" s="181">
        <f t="shared" si="27"/>
        <v>0.17590361445783131</v>
      </c>
      <c r="R219" s="122">
        <f t="shared" si="28"/>
        <v>29.200000000000003</v>
      </c>
      <c r="S219" s="122">
        <f t="shared" si="29"/>
        <v>0.14072289156626505</v>
      </c>
      <c r="T219" s="133">
        <v>0.15</v>
      </c>
    </row>
    <row r="220" spans="1:20" ht="15.75" hidden="1" customHeight="1" x14ac:dyDescent="0.3">
      <c r="A220" s="175" t="s">
        <v>58</v>
      </c>
      <c r="B220" s="176" t="s">
        <v>288</v>
      </c>
      <c r="C220" s="176" t="s">
        <v>73</v>
      </c>
      <c r="D220" s="176" t="s">
        <v>647</v>
      </c>
      <c r="E220" s="177">
        <v>68</v>
      </c>
      <c r="F220" s="176" t="s">
        <v>648</v>
      </c>
      <c r="G220" s="177">
        <v>68</v>
      </c>
      <c r="H220" s="176" t="s">
        <v>598</v>
      </c>
      <c r="I220" s="176" t="s">
        <v>104</v>
      </c>
      <c r="J220" s="176"/>
      <c r="K220" s="176" t="s">
        <v>565</v>
      </c>
      <c r="L220" s="176"/>
      <c r="M220" s="176" t="s">
        <v>649</v>
      </c>
      <c r="N220" s="179">
        <f t="shared" si="24"/>
        <v>188</v>
      </c>
      <c r="O220" s="179">
        <f t="shared" si="25"/>
        <v>294</v>
      </c>
      <c r="P220" s="180">
        <f t="shared" si="26"/>
        <v>482</v>
      </c>
      <c r="Q220" s="181">
        <f t="shared" si="27"/>
        <v>0.58072289156626511</v>
      </c>
      <c r="R220" s="122">
        <f t="shared" si="28"/>
        <v>96.4</v>
      </c>
      <c r="S220" s="122">
        <f t="shared" si="29"/>
        <v>0.46457831325301213</v>
      </c>
      <c r="T220" s="133">
        <v>0.5</v>
      </c>
    </row>
    <row r="221" spans="1:20" ht="15.75" hidden="1" customHeight="1" x14ac:dyDescent="0.3">
      <c r="A221" s="175" t="s">
        <v>58</v>
      </c>
      <c r="B221" s="176" t="s">
        <v>288</v>
      </c>
      <c r="C221" s="176" t="s">
        <v>79</v>
      </c>
      <c r="D221" s="176" t="s">
        <v>647</v>
      </c>
      <c r="E221" s="177">
        <v>20</v>
      </c>
      <c r="F221" s="176" t="s">
        <v>648</v>
      </c>
      <c r="G221" s="177">
        <v>20</v>
      </c>
      <c r="H221" s="176" t="s">
        <v>598</v>
      </c>
      <c r="I221" s="176" t="s">
        <v>104</v>
      </c>
      <c r="J221" s="176"/>
      <c r="K221" s="176" t="s">
        <v>565</v>
      </c>
      <c r="L221" s="176"/>
      <c r="M221" s="176"/>
      <c r="N221" s="179">
        <f t="shared" si="24"/>
        <v>188</v>
      </c>
      <c r="O221" s="179">
        <f t="shared" si="25"/>
        <v>294</v>
      </c>
      <c r="P221" s="180">
        <f t="shared" si="26"/>
        <v>482</v>
      </c>
      <c r="Q221" s="181">
        <f t="shared" si="27"/>
        <v>0.58072289156626511</v>
      </c>
      <c r="R221" s="122">
        <f t="shared" si="28"/>
        <v>96.4</v>
      </c>
      <c r="S221" s="122">
        <f t="shared" si="29"/>
        <v>0.46457831325301213</v>
      </c>
      <c r="T221" s="133">
        <v>0.5</v>
      </c>
    </row>
    <row r="222" spans="1:20" ht="15.75" hidden="1" customHeight="1" x14ac:dyDescent="0.3">
      <c r="A222" s="175" t="s">
        <v>58</v>
      </c>
      <c r="B222" s="176" t="s">
        <v>288</v>
      </c>
      <c r="C222" s="176" t="s">
        <v>111</v>
      </c>
      <c r="D222" s="176" t="s">
        <v>647</v>
      </c>
      <c r="E222" s="177">
        <v>1</v>
      </c>
      <c r="F222" s="176" t="s">
        <v>648</v>
      </c>
      <c r="G222" s="178"/>
      <c r="H222" s="176" t="s">
        <v>598</v>
      </c>
      <c r="I222" s="176" t="s">
        <v>104</v>
      </c>
      <c r="J222" s="176"/>
      <c r="K222" s="176" t="s">
        <v>565</v>
      </c>
      <c r="L222" s="176"/>
      <c r="M222" s="176"/>
      <c r="N222" s="179">
        <f t="shared" si="24"/>
        <v>188</v>
      </c>
      <c r="O222" s="179">
        <f t="shared" si="25"/>
        <v>294</v>
      </c>
      <c r="P222" s="180">
        <f t="shared" si="26"/>
        <v>482</v>
      </c>
      <c r="Q222" s="181">
        <f t="shared" si="27"/>
        <v>0.58072289156626511</v>
      </c>
      <c r="R222" s="122">
        <f t="shared" si="28"/>
        <v>96.4</v>
      </c>
      <c r="S222" s="122">
        <f t="shared" si="29"/>
        <v>0.46457831325301213</v>
      </c>
      <c r="T222" s="133">
        <v>0.5</v>
      </c>
    </row>
    <row r="223" spans="1:20" ht="15.75" hidden="1" customHeight="1" x14ac:dyDescent="0.3">
      <c r="A223" s="175" t="s">
        <v>58</v>
      </c>
      <c r="B223" s="176" t="s">
        <v>288</v>
      </c>
      <c r="C223" s="176" t="s">
        <v>80</v>
      </c>
      <c r="D223" s="176" t="s">
        <v>647</v>
      </c>
      <c r="E223" s="177">
        <v>4</v>
      </c>
      <c r="F223" s="176" t="s">
        <v>648</v>
      </c>
      <c r="G223" s="178"/>
      <c r="H223" s="176" t="s">
        <v>598</v>
      </c>
      <c r="I223" s="176" t="s">
        <v>104</v>
      </c>
      <c r="J223" s="176"/>
      <c r="K223" s="176" t="s">
        <v>565</v>
      </c>
      <c r="L223" s="176"/>
      <c r="M223" s="176"/>
      <c r="N223" s="179">
        <f t="shared" si="24"/>
        <v>188</v>
      </c>
      <c r="O223" s="179">
        <f t="shared" si="25"/>
        <v>294</v>
      </c>
      <c r="P223" s="180">
        <f t="shared" si="26"/>
        <v>482</v>
      </c>
      <c r="Q223" s="181">
        <f t="shared" si="27"/>
        <v>0.58072289156626511</v>
      </c>
      <c r="R223" s="122">
        <f t="shared" si="28"/>
        <v>96.4</v>
      </c>
      <c r="S223" s="122">
        <f t="shared" si="29"/>
        <v>0.46457831325301213</v>
      </c>
      <c r="T223" s="133">
        <v>0.5</v>
      </c>
    </row>
    <row r="224" spans="1:20" ht="15.75" customHeight="1" x14ac:dyDescent="0.3">
      <c r="A224" s="175" t="s">
        <v>58</v>
      </c>
      <c r="B224" s="176" t="s">
        <v>288</v>
      </c>
      <c r="C224" s="176" t="s">
        <v>80</v>
      </c>
      <c r="D224" s="176" t="s">
        <v>647</v>
      </c>
      <c r="E224" s="177">
        <v>1</v>
      </c>
      <c r="F224" s="176" t="s">
        <v>648</v>
      </c>
      <c r="G224" s="178"/>
      <c r="H224" s="176"/>
      <c r="I224" s="176" t="s">
        <v>500</v>
      </c>
      <c r="J224" s="176"/>
      <c r="K224" s="176" t="s">
        <v>593</v>
      </c>
      <c r="L224" s="176"/>
      <c r="M224" s="176"/>
      <c r="N224" s="179">
        <f t="shared" si="24"/>
        <v>14.5</v>
      </c>
      <c r="O224" s="179">
        <f t="shared" si="25"/>
        <v>78</v>
      </c>
      <c r="P224" s="180">
        <f t="shared" si="26"/>
        <v>92.5</v>
      </c>
      <c r="Q224" s="181">
        <f t="shared" si="27"/>
        <v>0.11144578313253012</v>
      </c>
      <c r="R224" s="122">
        <f t="shared" si="28"/>
        <v>18.5</v>
      </c>
      <c r="S224" s="122">
        <f t="shared" si="29"/>
        <v>8.91566265060241E-2</v>
      </c>
      <c r="T224" s="133">
        <v>0</v>
      </c>
    </row>
    <row r="225" spans="1:20" ht="15.75" hidden="1" customHeight="1" x14ac:dyDescent="0.3">
      <c r="A225" s="175" t="s">
        <v>58</v>
      </c>
      <c r="B225" s="176" t="s">
        <v>293</v>
      </c>
      <c r="C225" s="176" t="s">
        <v>73</v>
      </c>
      <c r="D225" s="176" t="s">
        <v>633</v>
      </c>
      <c r="E225" s="177">
        <v>36</v>
      </c>
      <c r="F225" s="176" t="s">
        <v>603</v>
      </c>
      <c r="G225" s="177">
        <v>36</v>
      </c>
      <c r="H225" s="176" t="s">
        <v>606</v>
      </c>
      <c r="I225" s="176" t="s">
        <v>510</v>
      </c>
      <c r="J225" s="176"/>
      <c r="K225" s="176" t="s">
        <v>593</v>
      </c>
      <c r="L225" s="176"/>
      <c r="M225" s="176"/>
      <c r="N225" s="179">
        <f t="shared" si="24"/>
        <v>337</v>
      </c>
      <c r="O225" s="179">
        <f t="shared" si="25"/>
        <v>205</v>
      </c>
      <c r="P225" s="180">
        <f t="shared" si="26"/>
        <v>542</v>
      </c>
      <c r="Q225" s="181">
        <f t="shared" si="27"/>
        <v>0.65301204819277103</v>
      </c>
      <c r="R225" s="122">
        <f t="shared" si="28"/>
        <v>108.4</v>
      </c>
      <c r="S225" s="122">
        <f t="shared" si="29"/>
        <v>0.52240963855421685</v>
      </c>
      <c r="T225" s="133">
        <v>0.65</v>
      </c>
    </row>
    <row r="226" spans="1:20" ht="15.75" hidden="1" customHeight="1" x14ac:dyDescent="0.3">
      <c r="A226" s="175" t="s">
        <v>58</v>
      </c>
      <c r="B226" s="176" t="s">
        <v>293</v>
      </c>
      <c r="C226" s="176" t="s">
        <v>87</v>
      </c>
      <c r="D226" s="176" t="s">
        <v>633</v>
      </c>
      <c r="E226" s="177">
        <v>5</v>
      </c>
      <c r="F226" s="176" t="s">
        <v>603</v>
      </c>
      <c r="G226" s="178"/>
      <c r="H226" s="176" t="s">
        <v>606</v>
      </c>
      <c r="I226" s="176" t="s">
        <v>510</v>
      </c>
      <c r="J226" s="176"/>
      <c r="K226" s="176" t="s">
        <v>593</v>
      </c>
      <c r="L226" s="176"/>
      <c r="M226" s="176"/>
      <c r="N226" s="179">
        <f t="shared" si="24"/>
        <v>337</v>
      </c>
      <c r="O226" s="179">
        <f t="shared" si="25"/>
        <v>205</v>
      </c>
      <c r="P226" s="180">
        <f t="shared" si="26"/>
        <v>542</v>
      </c>
      <c r="Q226" s="181">
        <f t="shared" si="27"/>
        <v>0.65301204819277103</v>
      </c>
      <c r="R226" s="122">
        <f t="shared" si="28"/>
        <v>108.4</v>
      </c>
      <c r="S226" s="122">
        <f t="shared" si="29"/>
        <v>0.52240963855421685</v>
      </c>
      <c r="T226" s="133">
        <v>0.65</v>
      </c>
    </row>
    <row r="227" spans="1:20" ht="15.75" hidden="1" customHeight="1" x14ac:dyDescent="0.3">
      <c r="A227" s="175" t="s">
        <v>58</v>
      </c>
      <c r="B227" s="176" t="s">
        <v>293</v>
      </c>
      <c r="C227" s="176" t="s">
        <v>79</v>
      </c>
      <c r="D227" s="176" t="s">
        <v>633</v>
      </c>
      <c r="E227" s="177">
        <v>46</v>
      </c>
      <c r="F227" s="176" t="s">
        <v>603</v>
      </c>
      <c r="G227" s="177">
        <v>46</v>
      </c>
      <c r="H227" s="176" t="s">
        <v>606</v>
      </c>
      <c r="I227" s="176" t="s">
        <v>510</v>
      </c>
      <c r="J227" s="176"/>
      <c r="K227" s="176" t="s">
        <v>593</v>
      </c>
      <c r="L227" s="176"/>
      <c r="M227" s="176"/>
      <c r="N227" s="179">
        <f t="shared" si="24"/>
        <v>337</v>
      </c>
      <c r="O227" s="179">
        <f t="shared" si="25"/>
        <v>205</v>
      </c>
      <c r="P227" s="180">
        <f t="shared" si="26"/>
        <v>542</v>
      </c>
      <c r="Q227" s="181">
        <f t="shared" si="27"/>
        <v>0.65301204819277103</v>
      </c>
      <c r="R227" s="122">
        <f t="shared" si="28"/>
        <v>108.4</v>
      </c>
      <c r="S227" s="122">
        <f t="shared" si="29"/>
        <v>0.52240963855421685</v>
      </c>
      <c r="T227" s="133">
        <v>0.65</v>
      </c>
    </row>
    <row r="228" spans="1:20" ht="15.75" hidden="1" customHeight="1" x14ac:dyDescent="0.3">
      <c r="A228" s="175" t="s">
        <v>58</v>
      </c>
      <c r="B228" s="176" t="s">
        <v>293</v>
      </c>
      <c r="C228" s="176" t="s">
        <v>80</v>
      </c>
      <c r="D228" s="176" t="s">
        <v>633</v>
      </c>
      <c r="E228" s="177">
        <v>2</v>
      </c>
      <c r="F228" s="176" t="s">
        <v>603</v>
      </c>
      <c r="G228" s="178"/>
      <c r="H228" s="176" t="s">
        <v>606</v>
      </c>
      <c r="I228" s="176" t="s">
        <v>510</v>
      </c>
      <c r="J228" s="176"/>
      <c r="K228" s="176" t="s">
        <v>593</v>
      </c>
      <c r="L228" s="176"/>
      <c r="M228" s="176"/>
      <c r="N228" s="179">
        <f t="shared" ref="N228:N291" si="30">SUMIFS($E$2:$E$896,$A$2:$A$896,"осень",$I$2:$I$896,I228)</f>
        <v>337</v>
      </c>
      <c r="O228" s="179">
        <f t="shared" ref="O228:O291" si="31">SUMIFS($E$2:$E$896,$A$2:$A$896,"весна",$I$2:$I$896,I228)</f>
        <v>205</v>
      </c>
      <c r="P228" s="180">
        <f t="shared" si="26"/>
        <v>542</v>
      </c>
      <c r="Q228" s="181">
        <f t="shared" si="27"/>
        <v>0.65301204819277103</v>
      </c>
      <c r="R228" s="122">
        <f t="shared" si="28"/>
        <v>108.4</v>
      </c>
      <c r="S228" s="122">
        <f t="shared" si="29"/>
        <v>0.52240963855421685</v>
      </c>
      <c r="T228" s="133">
        <v>0.65</v>
      </c>
    </row>
    <row r="229" spans="1:20" ht="15.75" hidden="1" customHeight="1" x14ac:dyDescent="0.3">
      <c r="A229" s="175" t="s">
        <v>58</v>
      </c>
      <c r="B229" s="176" t="s">
        <v>650</v>
      </c>
      <c r="C229" s="176" t="s">
        <v>73</v>
      </c>
      <c r="D229" s="176" t="s">
        <v>595</v>
      </c>
      <c r="E229" s="177">
        <v>34</v>
      </c>
      <c r="F229" s="176" t="s">
        <v>596</v>
      </c>
      <c r="G229" s="177">
        <v>34</v>
      </c>
      <c r="H229" s="176" t="s">
        <v>642</v>
      </c>
      <c r="I229" s="176" t="s">
        <v>572</v>
      </c>
      <c r="J229" s="176"/>
      <c r="K229" s="176" t="s">
        <v>593</v>
      </c>
      <c r="L229" s="176"/>
      <c r="M229" s="176"/>
      <c r="N229" s="179">
        <f t="shared" si="30"/>
        <v>410</v>
      </c>
      <c r="O229" s="179">
        <f t="shared" si="31"/>
        <v>260</v>
      </c>
      <c r="P229" s="180">
        <f t="shared" si="26"/>
        <v>670</v>
      </c>
      <c r="Q229" s="181">
        <f t="shared" si="27"/>
        <v>0.80722891566265065</v>
      </c>
      <c r="R229" s="122">
        <f t="shared" si="28"/>
        <v>134</v>
      </c>
      <c r="S229" s="122">
        <f t="shared" si="29"/>
        <v>0.64578313253012054</v>
      </c>
      <c r="T229" s="133">
        <v>0.55000000000000004</v>
      </c>
    </row>
    <row r="230" spans="1:20" ht="15.75" hidden="1" customHeight="1" x14ac:dyDescent="0.3">
      <c r="A230" s="175" t="s">
        <v>58</v>
      </c>
      <c r="B230" s="176" t="s">
        <v>650</v>
      </c>
      <c r="C230" s="176" t="s">
        <v>87</v>
      </c>
      <c r="D230" s="176" t="s">
        <v>595</v>
      </c>
      <c r="E230" s="177">
        <v>3</v>
      </c>
      <c r="F230" s="176" t="s">
        <v>596</v>
      </c>
      <c r="G230" s="178"/>
      <c r="H230" s="176" t="s">
        <v>642</v>
      </c>
      <c r="I230" s="176" t="s">
        <v>572</v>
      </c>
      <c r="J230" s="176"/>
      <c r="K230" s="176" t="s">
        <v>593</v>
      </c>
      <c r="L230" s="176"/>
      <c r="M230" s="176"/>
      <c r="N230" s="179">
        <f t="shared" si="30"/>
        <v>410</v>
      </c>
      <c r="O230" s="179">
        <f t="shared" si="31"/>
        <v>260</v>
      </c>
      <c r="P230" s="180">
        <f t="shared" si="26"/>
        <v>670</v>
      </c>
      <c r="Q230" s="181">
        <f t="shared" si="27"/>
        <v>0.80722891566265065</v>
      </c>
      <c r="R230" s="122">
        <f t="shared" si="28"/>
        <v>134</v>
      </c>
      <c r="S230" s="122">
        <f t="shared" si="29"/>
        <v>0.64578313253012054</v>
      </c>
      <c r="T230" s="133">
        <v>0.55000000000000004</v>
      </c>
    </row>
    <row r="231" spans="1:20" ht="15.75" hidden="1" customHeight="1" x14ac:dyDescent="0.3">
      <c r="A231" s="175" t="s">
        <v>58</v>
      </c>
      <c r="B231" s="176" t="s">
        <v>650</v>
      </c>
      <c r="C231" s="176" t="s">
        <v>79</v>
      </c>
      <c r="D231" s="176" t="s">
        <v>595</v>
      </c>
      <c r="E231" s="177">
        <v>40</v>
      </c>
      <c r="F231" s="176" t="s">
        <v>596</v>
      </c>
      <c r="G231" s="177">
        <v>40</v>
      </c>
      <c r="H231" s="176" t="s">
        <v>642</v>
      </c>
      <c r="I231" s="176" t="s">
        <v>572</v>
      </c>
      <c r="J231" s="176"/>
      <c r="K231" s="176" t="s">
        <v>593</v>
      </c>
      <c r="L231" s="176"/>
      <c r="M231" s="176"/>
      <c r="N231" s="179">
        <f t="shared" si="30"/>
        <v>410</v>
      </c>
      <c r="O231" s="179">
        <f t="shared" si="31"/>
        <v>260</v>
      </c>
      <c r="P231" s="180">
        <f t="shared" si="26"/>
        <v>670</v>
      </c>
      <c r="Q231" s="181">
        <f t="shared" si="27"/>
        <v>0.80722891566265065</v>
      </c>
      <c r="R231" s="122">
        <f t="shared" si="28"/>
        <v>134</v>
      </c>
      <c r="S231" s="122">
        <f t="shared" si="29"/>
        <v>0.64578313253012054</v>
      </c>
      <c r="T231" s="133">
        <v>0.55000000000000004</v>
      </c>
    </row>
    <row r="232" spans="1:20" ht="15.75" hidden="1" customHeight="1" x14ac:dyDescent="0.3">
      <c r="A232" s="175" t="s">
        <v>58</v>
      </c>
      <c r="B232" s="176" t="s">
        <v>650</v>
      </c>
      <c r="C232" s="176" t="s">
        <v>100</v>
      </c>
      <c r="D232" s="176" t="s">
        <v>595</v>
      </c>
      <c r="E232" s="177">
        <v>16</v>
      </c>
      <c r="F232" s="176" t="s">
        <v>596</v>
      </c>
      <c r="G232" s="177">
        <v>16</v>
      </c>
      <c r="H232" s="176" t="s">
        <v>597</v>
      </c>
      <c r="I232" s="176" t="s">
        <v>109</v>
      </c>
      <c r="J232" s="176"/>
      <c r="K232" s="176" t="s">
        <v>593</v>
      </c>
      <c r="L232" s="176"/>
      <c r="M232" s="176"/>
      <c r="N232" s="179">
        <f t="shared" si="30"/>
        <v>169</v>
      </c>
      <c r="O232" s="179">
        <f t="shared" si="31"/>
        <v>340</v>
      </c>
      <c r="P232" s="180">
        <f t="shared" si="26"/>
        <v>509</v>
      </c>
      <c r="Q232" s="181">
        <f t="shared" si="27"/>
        <v>0.61325301204819282</v>
      </c>
      <c r="R232" s="122">
        <f t="shared" si="28"/>
        <v>101.80000000000001</v>
      </c>
      <c r="S232" s="122">
        <f t="shared" si="29"/>
        <v>0.49060240963855428</v>
      </c>
      <c r="T232" s="133">
        <v>0.4</v>
      </c>
    </row>
    <row r="233" spans="1:20" ht="15.75" hidden="1" customHeight="1" x14ac:dyDescent="0.3">
      <c r="A233" s="175" t="s">
        <v>58</v>
      </c>
      <c r="B233" s="176" t="s">
        <v>650</v>
      </c>
      <c r="C233" s="176" t="s">
        <v>80</v>
      </c>
      <c r="D233" s="176" t="s">
        <v>595</v>
      </c>
      <c r="E233" s="177">
        <v>2</v>
      </c>
      <c r="F233" s="176" t="s">
        <v>596</v>
      </c>
      <c r="G233" s="178"/>
      <c r="H233" s="176" t="s">
        <v>642</v>
      </c>
      <c r="I233" s="176" t="s">
        <v>572</v>
      </c>
      <c r="J233" s="176"/>
      <c r="K233" s="176" t="s">
        <v>593</v>
      </c>
      <c r="L233" s="176"/>
      <c r="M233" s="176"/>
      <c r="N233" s="179">
        <f t="shared" si="30"/>
        <v>410</v>
      </c>
      <c r="O233" s="179">
        <f t="shared" si="31"/>
        <v>260</v>
      </c>
      <c r="P233" s="180">
        <f t="shared" si="26"/>
        <v>670</v>
      </c>
      <c r="Q233" s="181">
        <f t="shared" si="27"/>
        <v>0.80722891566265065</v>
      </c>
      <c r="R233" s="122">
        <f t="shared" si="28"/>
        <v>134</v>
      </c>
      <c r="S233" s="122">
        <f t="shared" si="29"/>
        <v>0.64578313253012054</v>
      </c>
      <c r="T233" s="133">
        <v>0.55000000000000004</v>
      </c>
    </row>
    <row r="234" spans="1:20" ht="15.75" hidden="1" customHeight="1" x14ac:dyDescent="0.3">
      <c r="A234" s="175" t="s">
        <v>58</v>
      </c>
      <c r="B234" s="182" t="s">
        <v>297</v>
      </c>
      <c r="C234" s="182" t="s">
        <v>73</v>
      </c>
      <c r="D234" s="182" t="s">
        <v>599</v>
      </c>
      <c r="E234" s="183">
        <v>30</v>
      </c>
      <c r="F234" s="182" t="s">
        <v>600</v>
      </c>
      <c r="G234" s="183">
        <v>30</v>
      </c>
      <c r="H234" s="182" t="s">
        <v>645</v>
      </c>
      <c r="I234" s="182" t="s">
        <v>568</v>
      </c>
      <c r="J234" s="176"/>
      <c r="K234" s="176" t="s">
        <v>593</v>
      </c>
      <c r="L234" s="176"/>
      <c r="M234" s="176"/>
      <c r="N234" s="179">
        <f t="shared" si="30"/>
        <v>239</v>
      </c>
      <c r="O234" s="179">
        <f t="shared" si="31"/>
        <v>313</v>
      </c>
      <c r="P234" s="180">
        <f t="shared" si="26"/>
        <v>552</v>
      </c>
      <c r="Q234" s="181">
        <f t="shared" si="27"/>
        <v>0.66506024096385541</v>
      </c>
      <c r="R234" s="122">
        <f t="shared" si="28"/>
        <v>110.4</v>
      </c>
      <c r="S234" s="122">
        <f t="shared" si="29"/>
        <v>0.53204819277108439</v>
      </c>
      <c r="T234" s="133">
        <v>0.55000000000000004</v>
      </c>
    </row>
    <row r="235" spans="1:20" ht="15.75" hidden="1" customHeight="1" x14ac:dyDescent="0.3">
      <c r="A235" s="175" t="s">
        <v>58</v>
      </c>
      <c r="B235" s="176" t="s">
        <v>297</v>
      </c>
      <c r="C235" s="176" t="s">
        <v>87</v>
      </c>
      <c r="D235" s="176" t="s">
        <v>599</v>
      </c>
      <c r="E235" s="177">
        <v>3</v>
      </c>
      <c r="F235" s="176" t="s">
        <v>600</v>
      </c>
      <c r="G235" s="178"/>
      <c r="H235" s="176" t="s">
        <v>645</v>
      </c>
      <c r="I235" s="176" t="s">
        <v>260</v>
      </c>
      <c r="J235" s="176"/>
      <c r="K235" s="176" t="s">
        <v>593</v>
      </c>
      <c r="L235" s="176"/>
      <c r="M235" s="176"/>
      <c r="N235" s="179">
        <f t="shared" si="30"/>
        <v>84</v>
      </c>
      <c r="O235" s="179">
        <f t="shared" si="31"/>
        <v>62</v>
      </c>
      <c r="P235" s="180">
        <f t="shared" si="26"/>
        <v>146</v>
      </c>
      <c r="Q235" s="181">
        <f t="shared" si="27"/>
        <v>0.17590361445783131</v>
      </c>
      <c r="R235" s="122">
        <f t="shared" si="28"/>
        <v>29.200000000000003</v>
      </c>
      <c r="S235" s="122">
        <f t="shared" si="29"/>
        <v>0.14072289156626505</v>
      </c>
      <c r="T235" s="133">
        <v>0.15</v>
      </c>
    </row>
    <row r="236" spans="1:20" ht="15.75" hidden="1" customHeight="1" x14ac:dyDescent="0.3">
      <c r="A236" s="175" t="s">
        <v>58</v>
      </c>
      <c r="B236" s="176" t="s">
        <v>297</v>
      </c>
      <c r="C236" s="176" t="s">
        <v>79</v>
      </c>
      <c r="D236" s="176" t="s">
        <v>599</v>
      </c>
      <c r="E236" s="177">
        <v>18</v>
      </c>
      <c r="F236" s="176" t="s">
        <v>600</v>
      </c>
      <c r="G236" s="177">
        <v>18</v>
      </c>
      <c r="H236" s="176" t="s">
        <v>645</v>
      </c>
      <c r="I236" s="176" t="s">
        <v>260</v>
      </c>
      <c r="J236" s="176"/>
      <c r="K236" s="176" t="s">
        <v>593</v>
      </c>
      <c r="L236" s="176"/>
      <c r="M236" s="176"/>
      <c r="N236" s="179">
        <f t="shared" si="30"/>
        <v>84</v>
      </c>
      <c r="O236" s="179">
        <f t="shared" si="31"/>
        <v>62</v>
      </c>
      <c r="P236" s="180">
        <f t="shared" si="26"/>
        <v>146</v>
      </c>
      <c r="Q236" s="181">
        <f t="shared" si="27"/>
        <v>0.17590361445783131</v>
      </c>
      <c r="R236" s="122">
        <f t="shared" si="28"/>
        <v>29.200000000000003</v>
      </c>
      <c r="S236" s="122">
        <f t="shared" si="29"/>
        <v>0.14072289156626505</v>
      </c>
      <c r="T236" s="133">
        <v>0.15</v>
      </c>
    </row>
    <row r="237" spans="1:20" ht="15.75" hidden="1" customHeight="1" x14ac:dyDescent="0.3">
      <c r="A237" s="175" t="s">
        <v>58</v>
      </c>
      <c r="B237" s="176" t="s">
        <v>297</v>
      </c>
      <c r="C237" s="176" t="s">
        <v>100</v>
      </c>
      <c r="D237" s="176" t="s">
        <v>599</v>
      </c>
      <c r="E237" s="177">
        <v>12</v>
      </c>
      <c r="F237" s="176" t="s">
        <v>600</v>
      </c>
      <c r="G237" s="177">
        <v>12</v>
      </c>
      <c r="H237" s="176" t="s">
        <v>646</v>
      </c>
      <c r="I237" s="176" t="s">
        <v>568</v>
      </c>
      <c r="J237" s="176"/>
      <c r="K237" s="176" t="s">
        <v>565</v>
      </c>
      <c r="L237" s="176"/>
      <c r="M237" s="176"/>
      <c r="N237" s="179">
        <f t="shared" si="30"/>
        <v>239</v>
      </c>
      <c r="O237" s="179">
        <f t="shared" si="31"/>
        <v>313</v>
      </c>
      <c r="P237" s="180">
        <f t="shared" si="26"/>
        <v>552</v>
      </c>
      <c r="Q237" s="181">
        <f t="shared" si="27"/>
        <v>0.66506024096385541</v>
      </c>
      <c r="R237" s="122">
        <f t="shared" si="28"/>
        <v>110.4</v>
      </c>
      <c r="S237" s="122">
        <f t="shared" si="29"/>
        <v>0.53204819277108439</v>
      </c>
      <c r="T237" s="133">
        <v>0.55000000000000004</v>
      </c>
    </row>
    <row r="238" spans="1:20" ht="15.75" hidden="1" customHeight="1" x14ac:dyDescent="0.3">
      <c r="A238" s="175" t="s">
        <v>58</v>
      </c>
      <c r="B238" s="176" t="s">
        <v>297</v>
      </c>
      <c r="C238" s="176" t="s">
        <v>80</v>
      </c>
      <c r="D238" s="176" t="s">
        <v>599</v>
      </c>
      <c r="E238" s="177">
        <v>2</v>
      </c>
      <c r="F238" s="176" t="s">
        <v>600</v>
      </c>
      <c r="G238" s="178"/>
      <c r="H238" s="176" t="s">
        <v>645</v>
      </c>
      <c r="I238" s="176" t="s">
        <v>260</v>
      </c>
      <c r="J238" s="176"/>
      <c r="K238" s="176" t="s">
        <v>593</v>
      </c>
      <c r="L238" s="176"/>
      <c r="M238" s="176"/>
      <c r="N238" s="179">
        <f t="shared" si="30"/>
        <v>84</v>
      </c>
      <c r="O238" s="179">
        <f t="shared" si="31"/>
        <v>62</v>
      </c>
      <c r="P238" s="180">
        <f t="shared" si="26"/>
        <v>146</v>
      </c>
      <c r="Q238" s="181">
        <f t="shared" si="27"/>
        <v>0.17590361445783131</v>
      </c>
      <c r="R238" s="122">
        <f t="shared" si="28"/>
        <v>29.200000000000003</v>
      </c>
      <c r="S238" s="122">
        <f t="shared" si="29"/>
        <v>0.14072289156626505</v>
      </c>
      <c r="T238" s="133">
        <v>0.15</v>
      </c>
    </row>
    <row r="239" spans="1:20" ht="15.75" hidden="1" customHeight="1" x14ac:dyDescent="0.3">
      <c r="A239" s="175" t="s">
        <v>58</v>
      </c>
      <c r="B239" s="176" t="s">
        <v>299</v>
      </c>
      <c r="C239" s="176" t="s">
        <v>73</v>
      </c>
      <c r="D239" s="176" t="s">
        <v>651</v>
      </c>
      <c r="E239" s="177">
        <v>10</v>
      </c>
      <c r="F239" s="176" t="s">
        <v>652</v>
      </c>
      <c r="G239" s="177">
        <v>10</v>
      </c>
      <c r="H239" s="176" t="s">
        <v>612</v>
      </c>
      <c r="I239" s="176" t="s">
        <v>175</v>
      </c>
      <c r="J239" s="176"/>
      <c r="K239" s="176" t="s">
        <v>565</v>
      </c>
      <c r="L239" s="176"/>
      <c r="M239" s="176"/>
      <c r="N239" s="179">
        <f t="shared" si="30"/>
        <v>186</v>
      </c>
      <c r="O239" s="179">
        <f t="shared" si="31"/>
        <v>42</v>
      </c>
      <c r="P239" s="180">
        <f t="shared" si="26"/>
        <v>228</v>
      </c>
      <c r="Q239" s="181">
        <f t="shared" si="27"/>
        <v>0.27469879518072288</v>
      </c>
      <c r="R239" s="122">
        <f t="shared" si="28"/>
        <v>45.6</v>
      </c>
      <c r="S239" s="122">
        <f t="shared" si="29"/>
        <v>0.21975903614457831</v>
      </c>
      <c r="T239" s="133">
        <v>0.2</v>
      </c>
    </row>
    <row r="240" spans="1:20" ht="15.75" hidden="1" customHeight="1" x14ac:dyDescent="0.3">
      <c r="A240" s="175" t="s">
        <v>58</v>
      </c>
      <c r="B240" s="176" t="s">
        <v>299</v>
      </c>
      <c r="C240" s="176" t="s">
        <v>79</v>
      </c>
      <c r="D240" s="176" t="s">
        <v>608</v>
      </c>
      <c r="E240" s="177">
        <v>44</v>
      </c>
      <c r="F240" s="176" t="s">
        <v>652</v>
      </c>
      <c r="G240" s="177">
        <v>44</v>
      </c>
      <c r="H240" s="176" t="s">
        <v>612</v>
      </c>
      <c r="I240" s="176" t="s">
        <v>175</v>
      </c>
      <c r="J240" s="176"/>
      <c r="K240" s="176" t="s">
        <v>565</v>
      </c>
      <c r="L240" s="176"/>
      <c r="M240" s="176"/>
      <c r="N240" s="179">
        <f t="shared" si="30"/>
        <v>186</v>
      </c>
      <c r="O240" s="179">
        <f t="shared" si="31"/>
        <v>42</v>
      </c>
      <c r="P240" s="180">
        <f t="shared" si="26"/>
        <v>228</v>
      </c>
      <c r="Q240" s="181">
        <f t="shared" si="27"/>
        <v>0.27469879518072288</v>
      </c>
      <c r="R240" s="122">
        <f t="shared" si="28"/>
        <v>45.6</v>
      </c>
      <c r="S240" s="122">
        <f t="shared" si="29"/>
        <v>0.21975903614457831</v>
      </c>
      <c r="T240" s="133">
        <v>0.2</v>
      </c>
    </row>
    <row r="241" spans="1:20" ht="15.75" hidden="1" customHeight="1" x14ac:dyDescent="0.3">
      <c r="A241" s="175" t="s">
        <v>58</v>
      </c>
      <c r="B241" s="176" t="s">
        <v>299</v>
      </c>
      <c r="C241" s="176" t="s">
        <v>79</v>
      </c>
      <c r="D241" s="176" t="s">
        <v>636</v>
      </c>
      <c r="E241" s="177">
        <v>44</v>
      </c>
      <c r="F241" s="176" t="s">
        <v>652</v>
      </c>
      <c r="G241" s="177">
        <v>44</v>
      </c>
      <c r="H241" s="176" t="s">
        <v>612</v>
      </c>
      <c r="I241" s="176" t="s">
        <v>175</v>
      </c>
      <c r="J241" s="176"/>
      <c r="K241" s="176" t="s">
        <v>565</v>
      </c>
      <c r="L241" s="176"/>
      <c r="M241" s="176"/>
      <c r="N241" s="179">
        <f t="shared" si="30"/>
        <v>186</v>
      </c>
      <c r="O241" s="179">
        <f t="shared" si="31"/>
        <v>42</v>
      </c>
      <c r="P241" s="180">
        <f t="shared" si="26"/>
        <v>228</v>
      </c>
      <c r="Q241" s="181">
        <f t="shared" si="27"/>
        <v>0.27469879518072288</v>
      </c>
      <c r="R241" s="122">
        <f t="shared" si="28"/>
        <v>45.6</v>
      </c>
      <c r="S241" s="122">
        <f t="shared" si="29"/>
        <v>0.21975903614457831</v>
      </c>
      <c r="T241" s="133">
        <v>0.2</v>
      </c>
    </row>
    <row r="242" spans="1:20" ht="15.75" hidden="1" customHeight="1" x14ac:dyDescent="0.3">
      <c r="A242" s="175" t="s">
        <v>58</v>
      </c>
      <c r="B242" s="176" t="s">
        <v>299</v>
      </c>
      <c r="C242" s="176" t="s">
        <v>111</v>
      </c>
      <c r="D242" s="176" t="s">
        <v>608</v>
      </c>
      <c r="E242" s="177">
        <v>6</v>
      </c>
      <c r="F242" s="176" t="s">
        <v>652</v>
      </c>
      <c r="G242" s="178"/>
      <c r="H242" s="176" t="s">
        <v>612</v>
      </c>
      <c r="I242" s="176" t="s">
        <v>175</v>
      </c>
      <c r="J242" s="176"/>
      <c r="K242" s="176" t="s">
        <v>565</v>
      </c>
      <c r="L242" s="176"/>
      <c r="M242" s="176"/>
      <c r="N242" s="179">
        <f t="shared" si="30"/>
        <v>186</v>
      </c>
      <c r="O242" s="179">
        <f t="shared" si="31"/>
        <v>42</v>
      </c>
      <c r="P242" s="180">
        <f t="shared" si="26"/>
        <v>228</v>
      </c>
      <c r="Q242" s="181">
        <f t="shared" si="27"/>
        <v>0.27469879518072288</v>
      </c>
      <c r="R242" s="122">
        <f t="shared" si="28"/>
        <v>45.6</v>
      </c>
      <c r="S242" s="122">
        <f t="shared" si="29"/>
        <v>0.21975903614457831</v>
      </c>
      <c r="T242" s="133">
        <v>0.2</v>
      </c>
    </row>
    <row r="243" spans="1:20" ht="15.75" hidden="1" customHeight="1" x14ac:dyDescent="0.3">
      <c r="A243" s="175" t="s">
        <v>58</v>
      </c>
      <c r="B243" s="176" t="s">
        <v>299</v>
      </c>
      <c r="C243" s="176" t="s">
        <v>111</v>
      </c>
      <c r="D243" s="176" t="s">
        <v>636</v>
      </c>
      <c r="E243" s="177">
        <v>4</v>
      </c>
      <c r="F243" s="176" t="s">
        <v>652</v>
      </c>
      <c r="G243" s="178"/>
      <c r="H243" s="176" t="s">
        <v>612</v>
      </c>
      <c r="I243" s="176" t="s">
        <v>175</v>
      </c>
      <c r="J243" s="176"/>
      <c r="K243" s="176" t="s">
        <v>565</v>
      </c>
      <c r="L243" s="176"/>
      <c r="M243" s="176"/>
      <c r="N243" s="179">
        <f t="shared" si="30"/>
        <v>186</v>
      </c>
      <c r="O243" s="179">
        <f t="shared" si="31"/>
        <v>42</v>
      </c>
      <c r="P243" s="180">
        <f t="shared" si="26"/>
        <v>228</v>
      </c>
      <c r="Q243" s="181">
        <f t="shared" si="27"/>
        <v>0.27469879518072288</v>
      </c>
      <c r="R243" s="122">
        <f t="shared" si="28"/>
        <v>45.6</v>
      </c>
      <c r="S243" s="122">
        <f t="shared" si="29"/>
        <v>0.21975903614457831</v>
      </c>
      <c r="T243" s="133">
        <v>0.2</v>
      </c>
    </row>
    <row r="244" spans="1:20" ht="15.75" hidden="1" customHeight="1" x14ac:dyDescent="0.3">
      <c r="A244" s="175" t="s">
        <v>58</v>
      </c>
      <c r="B244" s="176" t="s">
        <v>299</v>
      </c>
      <c r="C244" s="176" t="s">
        <v>80</v>
      </c>
      <c r="D244" s="176" t="s">
        <v>608</v>
      </c>
      <c r="E244" s="177">
        <v>2</v>
      </c>
      <c r="F244" s="176" t="s">
        <v>652</v>
      </c>
      <c r="G244" s="178"/>
      <c r="H244" s="176" t="s">
        <v>612</v>
      </c>
      <c r="I244" s="176" t="s">
        <v>175</v>
      </c>
      <c r="J244" s="176"/>
      <c r="K244" s="176" t="s">
        <v>565</v>
      </c>
      <c r="L244" s="176"/>
      <c r="M244" s="176"/>
      <c r="N244" s="179">
        <f t="shared" si="30"/>
        <v>186</v>
      </c>
      <c r="O244" s="179">
        <f t="shared" si="31"/>
        <v>42</v>
      </c>
      <c r="P244" s="180">
        <f t="shared" si="26"/>
        <v>228</v>
      </c>
      <c r="Q244" s="181">
        <f t="shared" si="27"/>
        <v>0.27469879518072288</v>
      </c>
      <c r="R244" s="122">
        <f t="shared" si="28"/>
        <v>45.6</v>
      </c>
      <c r="S244" s="122">
        <f t="shared" si="29"/>
        <v>0.21975903614457831</v>
      </c>
      <c r="T244" s="133">
        <v>0.2</v>
      </c>
    </row>
    <row r="245" spans="1:20" ht="15.75" hidden="1" customHeight="1" x14ac:dyDescent="0.3">
      <c r="A245" s="175" t="s">
        <v>58</v>
      </c>
      <c r="B245" s="176" t="s">
        <v>299</v>
      </c>
      <c r="C245" s="176" t="s">
        <v>80</v>
      </c>
      <c r="D245" s="176" t="s">
        <v>636</v>
      </c>
      <c r="E245" s="177">
        <v>2</v>
      </c>
      <c r="F245" s="176" t="s">
        <v>652</v>
      </c>
      <c r="G245" s="178"/>
      <c r="H245" s="176" t="s">
        <v>612</v>
      </c>
      <c r="I245" s="176" t="s">
        <v>175</v>
      </c>
      <c r="J245" s="176"/>
      <c r="K245" s="176" t="s">
        <v>565</v>
      </c>
      <c r="L245" s="176"/>
      <c r="M245" s="176"/>
      <c r="N245" s="179">
        <f t="shared" si="30"/>
        <v>186</v>
      </c>
      <c r="O245" s="179">
        <f t="shared" si="31"/>
        <v>42</v>
      </c>
      <c r="P245" s="180">
        <f t="shared" si="26"/>
        <v>228</v>
      </c>
      <c r="Q245" s="181">
        <f t="shared" si="27"/>
        <v>0.27469879518072288</v>
      </c>
      <c r="R245" s="122">
        <f t="shared" si="28"/>
        <v>45.6</v>
      </c>
      <c r="S245" s="122">
        <f t="shared" si="29"/>
        <v>0.21975903614457831</v>
      </c>
      <c r="T245" s="133">
        <v>0.2</v>
      </c>
    </row>
    <row r="246" spans="1:20" ht="15.75" hidden="1" customHeight="1" x14ac:dyDescent="0.3">
      <c r="A246" s="175" t="s">
        <v>58</v>
      </c>
      <c r="B246" s="176" t="s">
        <v>301</v>
      </c>
      <c r="C246" s="176" t="s">
        <v>73</v>
      </c>
      <c r="D246" s="176" t="s">
        <v>651</v>
      </c>
      <c r="E246" s="177">
        <v>8</v>
      </c>
      <c r="F246" s="176" t="s">
        <v>652</v>
      </c>
      <c r="G246" s="177">
        <v>8</v>
      </c>
      <c r="H246" s="176" t="s">
        <v>610</v>
      </c>
      <c r="I246" s="176" t="s">
        <v>574</v>
      </c>
      <c r="J246" s="176"/>
      <c r="K246" s="176" t="s">
        <v>565</v>
      </c>
      <c r="L246" s="176"/>
      <c r="M246" s="176"/>
      <c r="N246" s="179">
        <f t="shared" si="30"/>
        <v>171</v>
      </c>
      <c r="O246" s="179">
        <f t="shared" si="31"/>
        <v>88</v>
      </c>
      <c r="P246" s="180">
        <f t="shared" si="26"/>
        <v>259</v>
      </c>
      <c r="Q246" s="181">
        <f t="shared" si="27"/>
        <v>0.31204819277108437</v>
      </c>
      <c r="R246" s="122">
        <f t="shared" si="28"/>
        <v>51.800000000000004</v>
      </c>
      <c r="S246" s="122">
        <f t="shared" si="29"/>
        <v>0.24963855421686751</v>
      </c>
      <c r="T246" s="133">
        <v>0.25</v>
      </c>
    </row>
    <row r="247" spans="1:20" ht="15.75" hidden="1" customHeight="1" x14ac:dyDescent="0.3">
      <c r="A247" s="175" t="s">
        <v>58</v>
      </c>
      <c r="B247" s="176" t="s">
        <v>301</v>
      </c>
      <c r="C247" s="176" t="s">
        <v>79</v>
      </c>
      <c r="D247" s="176" t="s">
        <v>608</v>
      </c>
      <c r="E247" s="177">
        <v>28</v>
      </c>
      <c r="F247" s="176" t="s">
        <v>652</v>
      </c>
      <c r="G247" s="177">
        <v>28</v>
      </c>
      <c r="H247" s="176" t="s">
        <v>610</v>
      </c>
      <c r="I247" s="176" t="s">
        <v>574</v>
      </c>
      <c r="J247" s="176"/>
      <c r="K247" s="176" t="s">
        <v>565</v>
      </c>
      <c r="L247" s="176"/>
      <c r="M247" s="176"/>
      <c r="N247" s="179">
        <f t="shared" si="30"/>
        <v>171</v>
      </c>
      <c r="O247" s="179">
        <f t="shared" si="31"/>
        <v>88</v>
      </c>
      <c r="P247" s="180">
        <f t="shared" si="26"/>
        <v>259</v>
      </c>
      <c r="Q247" s="181">
        <f t="shared" si="27"/>
        <v>0.31204819277108437</v>
      </c>
      <c r="R247" s="122">
        <f t="shared" si="28"/>
        <v>51.800000000000004</v>
      </c>
      <c r="S247" s="122">
        <f t="shared" si="29"/>
        <v>0.24963855421686751</v>
      </c>
      <c r="T247" s="133">
        <v>0.25</v>
      </c>
    </row>
    <row r="248" spans="1:20" ht="15.75" hidden="1" customHeight="1" x14ac:dyDescent="0.3">
      <c r="A248" s="175" t="s">
        <v>58</v>
      </c>
      <c r="B248" s="176" t="s">
        <v>301</v>
      </c>
      <c r="C248" s="176" t="s">
        <v>79</v>
      </c>
      <c r="D248" s="176" t="s">
        <v>636</v>
      </c>
      <c r="E248" s="177">
        <v>28</v>
      </c>
      <c r="F248" s="176" t="s">
        <v>652</v>
      </c>
      <c r="G248" s="177">
        <v>28</v>
      </c>
      <c r="H248" s="176" t="s">
        <v>610</v>
      </c>
      <c r="I248" s="176" t="s">
        <v>574</v>
      </c>
      <c r="J248" s="176"/>
      <c r="K248" s="176" t="s">
        <v>565</v>
      </c>
      <c r="L248" s="176"/>
      <c r="M248" s="176"/>
      <c r="N248" s="179">
        <f t="shared" si="30"/>
        <v>171</v>
      </c>
      <c r="O248" s="179">
        <f t="shared" si="31"/>
        <v>88</v>
      </c>
      <c r="P248" s="180">
        <f t="shared" si="26"/>
        <v>259</v>
      </c>
      <c r="Q248" s="181">
        <f t="shared" si="27"/>
        <v>0.31204819277108437</v>
      </c>
      <c r="R248" s="122">
        <f t="shared" si="28"/>
        <v>51.800000000000004</v>
      </c>
      <c r="S248" s="122">
        <f t="shared" si="29"/>
        <v>0.24963855421686751</v>
      </c>
      <c r="T248" s="133">
        <v>0.25</v>
      </c>
    </row>
    <row r="249" spans="1:20" ht="15.75" hidden="1" customHeight="1" x14ac:dyDescent="0.3">
      <c r="A249" s="175" t="s">
        <v>58</v>
      </c>
      <c r="B249" s="176" t="s">
        <v>301</v>
      </c>
      <c r="C249" s="176" t="s">
        <v>142</v>
      </c>
      <c r="D249" s="176" t="s">
        <v>608</v>
      </c>
      <c r="E249" s="177">
        <v>2</v>
      </c>
      <c r="F249" s="176" t="s">
        <v>652</v>
      </c>
      <c r="G249" s="178"/>
      <c r="H249" s="176" t="s">
        <v>610</v>
      </c>
      <c r="I249" s="176" t="s">
        <v>574</v>
      </c>
      <c r="J249" s="176"/>
      <c r="K249" s="176" t="s">
        <v>565</v>
      </c>
      <c r="L249" s="176"/>
      <c r="M249" s="176"/>
      <c r="N249" s="179">
        <f t="shared" si="30"/>
        <v>171</v>
      </c>
      <c r="O249" s="179">
        <f t="shared" si="31"/>
        <v>88</v>
      </c>
      <c r="P249" s="180">
        <f t="shared" si="26"/>
        <v>259</v>
      </c>
      <c r="Q249" s="181">
        <f t="shared" si="27"/>
        <v>0.31204819277108437</v>
      </c>
      <c r="R249" s="122">
        <f t="shared" si="28"/>
        <v>51.800000000000004</v>
      </c>
      <c r="S249" s="122">
        <f t="shared" si="29"/>
        <v>0.24963855421686751</v>
      </c>
      <c r="T249" s="133">
        <v>0.25</v>
      </c>
    </row>
    <row r="250" spans="1:20" ht="15.75" hidden="1" customHeight="1" x14ac:dyDescent="0.3">
      <c r="A250" s="175" t="s">
        <v>58</v>
      </c>
      <c r="B250" s="176" t="s">
        <v>301</v>
      </c>
      <c r="C250" s="176" t="s">
        <v>142</v>
      </c>
      <c r="D250" s="176" t="s">
        <v>636</v>
      </c>
      <c r="E250" s="177">
        <v>1</v>
      </c>
      <c r="F250" s="176" t="s">
        <v>652</v>
      </c>
      <c r="G250" s="178"/>
      <c r="H250" s="176" t="s">
        <v>610</v>
      </c>
      <c r="I250" s="176" t="s">
        <v>574</v>
      </c>
      <c r="J250" s="176"/>
      <c r="K250" s="176" t="s">
        <v>565</v>
      </c>
      <c r="L250" s="176"/>
      <c r="M250" s="176"/>
      <c r="N250" s="179">
        <f t="shared" si="30"/>
        <v>171</v>
      </c>
      <c r="O250" s="179">
        <f t="shared" si="31"/>
        <v>88</v>
      </c>
      <c r="P250" s="180">
        <f t="shared" si="26"/>
        <v>259</v>
      </c>
      <c r="Q250" s="181">
        <f t="shared" si="27"/>
        <v>0.31204819277108437</v>
      </c>
      <c r="R250" s="122">
        <f t="shared" si="28"/>
        <v>51.800000000000004</v>
      </c>
      <c r="S250" s="122">
        <f t="shared" si="29"/>
        <v>0.24963855421686751</v>
      </c>
      <c r="T250" s="133">
        <v>0.25</v>
      </c>
    </row>
    <row r="251" spans="1:20" ht="15.75" hidden="1" customHeight="1" x14ac:dyDescent="0.3">
      <c r="A251" s="175" t="s">
        <v>58</v>
      </c>
      <c r="B251" s="176" t="s">
        <v>304</v>
      </c>
      <c r="C251" s="176" t="s">
        <v>73</v>
      </c>
      <c r="D251" s="176" t="s">
        <v>651</v>
      </c>
      <c r="E251" s="177">
        <v>12</v>
      </c>
      <c r="F251" s="176" t="s">
        <v>652</v>
      </c>
      <c r="G251" s="177">
        <v>12</v>
      </c>
      <c r="H251" s="176" t="s">
        <v>606</v>
      </c>
      <c r="I251" s="176" t="s">
        <v>510</v>
      </c>
      <c r="J251" s="176"/>
      <c r="K251" s="176" t="s">
        <v>593</v>
      </c>
      <c r="L251" s="176"/>
      <c r="M251" s="176"/>
      <c r="N251" s="179">
        <f t="shared" si="30"/>
        <v>337</v>
      </c>
      <c r="O251" s="179">
        <f t="shared" si="31"/>
        <v>205</v>
      </c>
      <c r="P251" s="180">
        <f t="shared" si="26"/>
        <v>542</v>
      </c>
      <c r="Q251" s="181">
        <f t="shared" si="27"/>
        <v>0.65301204819277103</v>
      </c>
      <c r="R251" s="122">
        <f t="shared" si="28"/>
        <v>108.4</v>
      </c>
      <c r="S251" s="122">
        <f t="shared" si="29"/>
        <v>0.52240963855421685</v>
      </c>
      <c r="T251" s="133">
        <v>0.65</v>
      </c>
    </row>
    <row r="252" spans="1:20" ht="15.75" hidden="1" customHeight="1" x14ac:dyDescent="0.3">
      <c r="A252" s="175" t="s">
        <v>58</v>
      </c>
      <c r="B252" s="176" t="s">
        <v>304</v>
      </c>
      <c r="C252" s="176" t="s">
        <v>79</v>
      </c>
      <c r="D252" s="176" t="s">
        <v>608</v>
      </c>
      <c r="E252" s="177">
        <v>24</v>
      </c>
      <c r="F252" s="176" t="s">
        <v>652</v>
      </c>
      <c r="G252" s="177">
        <v>24</v>
      </c>
      <c r="H252" s="176" t="s">
        <v>606</v>
      </c>
      <c r="I252" s="176" t="s">
        <v>510</v>
      </c>
      <c r="J252" s="176"/>
      <c r="K252" s="176" t="s">
        <v>593</v>
      </c>
      <c r="L252" s="176"/>
      <c r="M252" s="176"/>
      <c r="N252" s="179">
        <f t="shared" si="30"/>
        <v>337</v>
      </c>
      <c r="O252" s="179">
        <f t="shared" si="31"/>
        <v>205</v>
      </c>
      <c r="P252" s="180">
        <f t="shared" si="26"/>
        <v>542</v>
      </c>
      <c r="Q252" s="181">
        <f t="shared" si="27"/>
        <v>0.65301204819277103</v>
      </c>
      <c r="R252" s="122">
        <f t="shared" si="28"/>
        <v>108.4</v>
      </c>
      <c r="S252" s="122">
        <f t="shared" si="29"/>
        <v>0.52240963855421685</v>
      </c>
      <c r="T252" s="133">
        <v>0.65</v>
      </c>
    </row>
    <row r="253" spans="1:20" ht="15.75" hidden="1" customHeight="1" x14ac:dyDescent="0.3">
      <c r="A253" s="175" t="s">
        <v>58</v>
      </c>
      <c r="B253" s="176" t="s">
        <v>304</v>
      </c>
      <c r="C253" s="176" t="s">
        <v>79</v>
      </c>
      <c r="D253" s="176" t="s">
        <v>636</v>
      </c>
      <c r="E253" s="177">
        <v>24</v>
      </c>
      <c r="F253" s="176" t="s">
        <v>652</v>
      </c>
      <c r="G253" s="177">
        <v>24</v>
      </c>
      <c r="H253" s="176" t="s">
        <v>606</v>
      </c>
      <c r="I253" s="176" t="s">
        <v>510</v>
      </c>
      <c r="J253" s="176"/>
      <c r="K253" s="176" t="s">
        <v>593</v>
      </c>
      <c r="L253" s="176"/>
      <c r="M253" s="176"/>
      <c r="N253" s="179">
        <f t="shared" si="30"/>
        <v>337</v>
      </c>
      <c r="O253" s="179">
        <f t="shared" si="31"/>
        <v>205</v>
      </c>
      <c r="P253" s="180">
        <f t="shared" si="26"/>
        <v>542</v>
      </c>
      <c r="Q253" s="181">
        <f t="shared" si="27"/>
        <v>0.65301204819277103</v>
      </c>
      <c r="R253" s="122">
        <f t="shared" si="28"/>
        <v>108.4</v>
      </c>
      <c r="S253" s="122">
        <f t="shared" si="29"/>
        <v>0.52240963855421685</v>
      </c>
      <c r="T253" s="133">
        <v>0.65</v>
      </c>
    </row>
    <row r="254" spans="1:20" ht="15.75" hidden="1" customHeight="1" x14ac:dyDescent="0.3">
      <c r="A254" s="175" t="s">
        <v>58</v>
      </c>
      <c r="B254" s="176" t="s">
        <v>304</v>
      </c>
      <c r="C254" s="176" t="s">
        <v>142</v>
      </c>
      <c r="D254" s="176" t="s">
        <v>608</v>
      </c>
      <c r="E254" s="177">
        <v>2</v>
      </c>
      <c r="F254" s="176" t="s">
        <v>652</v>
      </c>
      <c r="G254" s="178"/>
      <c r="H254" s="176" t="s">
        <v>606</v>
      </c>
      <c r="I254" s="176" t="s">
        <v>510</v>
      </c>
      <c r="J254" s="176"/>
      <c r="K254" s="176" t="s">
        <v>593</v>
      </c>
      <c r="L254" s="176"/>
      <c r="M254" s="176"/>
      <c r="N254" s="179">
        <f t="shared" si="30"/>
        <v>337</v>
      </c>
      <c r="O254" s="179">
        <f t="shared" si="31"/>
        <v>205</v>
      </c>
      <c r="P254" s="180">
        <f t="shared" si="26"/>
        <v>542</v>
      </c>
      <c r="Q254" s="181">
        <f t="shared" si="27"/>
        <v>0.65301204819277103</v>
      </c>
      <c r="R254" s="122">
        <f t="shared" si="28"/>
        <v>108.4</v>
      </c>
      <c r="S254" s="122">
        <f t="shared" si="29"/>
        <v>0.52240963855421685</v>
      </c>
      <c r="T254" s="133">
        <v>0.65</v>
      </c>
    </row>
    <row r="255" spans="1:20" ht="15.75" hidden="1" customHeight="1" x14ac:dyDescent="0.3">
      <c r="A255" s="175" t="s">
        <v>58</v>
      </c>
      <c r="B255" s="176" t="s">
        <v>304</v>
      </c>
      <c r="C255" s="176" t="s">
        <v>142</v>
      </c>
      <c r="D255" s="176" t="s">
        <v>636</v>
      </c>
      <c r="E255" s="177">
        <v>1</v>
      </c>
      <c r="F255" s="176" t="s">
        <v>652</v>
      </c>
      <c r="G255" s="178"/>
      <c r="H255" s="176" t="s">
        <v>606</v>
      </c>
      <c r="I255" s="176" t="s">
        <v>510</v>
      </c>
      <c r="J255" s="176"/>
      <c r="K255" s="176" t="s">
        <v>593</v>
      </c>
      <c r="L255" s="176"/>
      <c r="M255" s="176"/>
      <c r="N255" s="179">
        <f t="shared" si="30"/>
        <v>337</v>
      </c>
      <c r="O255" s="179">
        <f t="shared" si="31"/>
        <v>205</v>
      </c>
      <c r="P255" s="180">
        <f t="shared" si="26"/>
        <v>542</v>
      </c>
      <c r="Q255" s="181">
        <f t="shared" si="27"/>
        <v>0.65301204819277103</v>
      </c>
      <c r="R255" s="122">
        <f t="shared" si="28"/>
        <v>108.4</v>
      </c>
      <c r="S255" s="122">
        <f t="shared" si="29"/>
        <v>0.52240963855421685</v>
      </c>
      <c r="T255" s="133">
        <v>0.65</v>
      </c>
    </row>
    <row r="256" spans="1:20" ht="15.75" hidden="1" customHeight="1" x14ac:dyDescent="0.3">
      <c r="A256" s="175" t="s">
        <v>58</v>
      </c>
      <c r="B256" s="176" t="s">
        <v>304</v>
      </c>
      <c r="C256" s="176" t="s">
        <v>80</v>
      </c>
      <c r="D256" s="176" t="s">
        <v>608</v>
      </c>
      <c r="E256" s="177">
        <v>1</v>
      </c>
      <c r="F256" s="176" t="s">
        <v>652</v>
      </c>
      <c r="G256" s="178"/>
      <c r="H256" s="176" t="s">
        <v>606</v>
      </c>
      <c r="I256" s="176" t="s">
        <v>510</v>
      </c>
      <c r="J256" s="176"/>
      <c r="K256" s="176" t="s">
        <v>593</v>
      </c>
      <c r="L256" s="176"/>
      <c r="M256" s="176"/>
      <c r="N256" s="179">
        <f t="shared" si="30"/>
        <v>337</v>
      </c>
      <c r="O256" s="179">
        <f t="shared" si="31"/>
        <v>205</v>
      </c>
      <c r="P256" s="180">
        <f t="shared" si="26"/>
        <v>542</v>
      </c>
      <c r="Q256" s="181">
        <f t="shared" si="27"/>
        <v>0.65301204819277103</v>
      </c>
      <c r="R256" s="122">
        <f t="shared" si="28"/>
        <v>108.4</v>
      </c>
      <c r="S256" s="122">
        <f t="shared" si="29"/>
        <v>0.52240963855421685</v>
      </c>
      <c r="T256" s="133">
        <v>0.65</v>
      </c>
    </row>
    <row r="257" spans="1:20" ht="15.75" hidden="1" customHeight="1" x14ac:dyDescent="0.3">
      <c r="A257" s="175" t="s">
        <v>58</v>
      </c>
      <c r="B257" s="176" t="s">
        <v>304</v>
      </c>
      <c r="C257" s="176" t="s">
        <v>80</v>
      </c>
      <c r="D257" s="176" t="s">
        <v>636</v>
      </c>
      <c r="E257" s="177">
        <v>1</v>
      </c>
      <c r="F257" s="176" t="s">
        <v>652</v>
      </c>
      <c r="G257" s="178"/>
      <c r="H257" s="176" t="s">
        <v>606</v>
      </c>
      <c r="I257" s="176" t="s">
        <v>510</v>
      </c>
      <c r="J257" s="176"/>
      <c r="K257" s="176" t="s">
        <v>593</v>
      </c>
      <c r="L257" s="176"/>
      <c r="M257" s="176"/>
      <c r="N257" s="179">
        <f t="shared" si="30"/>
        <v>337</v>
      </c>
      <c r="O257" s="179">
        <f t="shared" si="31"/>
        <v>205</v>
      </c>
      <c r="P257" s="180">
        <f t="shared" si="26"/>
        <v>542</v>
      </c>
      <c r="Q257" s="181">
        <f t="shared" si="27"/>
        <v>0.65301204819277103</v>
      </c>
      <c r="R257" s="122">
        <f t="shared" si="28"/>
        <v>108.4</v>
      </c>
      <c r="S257" s="122">
        <f t="shared" si="29"/>
        <v>0.52240963855421685</v>
      </c>
      <c r="T257" s="133">
        <v>0.65</v>
      </c>
    </row>
    <row r="258" spans="1:20" ht="15.75" hidden="1" customHeight="1" x14ac:dyDescent="0.3">
      <c r="A258" s="175" t="s">
        <v>58</v>
      </c>
      <c r="B258" s="176" t="s">
        <v>312</v>
      </c>
      <c r="C258" s="176" t="s">
        <v>73</v>
      </c>
      <c r="D258" s="176" t="s">
        <v>653</v>
      </c>
      <c r="E258" s="177">
        <v>24</v>
      </c>
      <c r="F258" s="176" t="s">
        <v>654</v>
      </c>
      <c r="G258" s="177">
        <v>24</v>
      </c>
      <c r="H258" s="176" t="s">
        <v>641</v>
      </c>
      <c r="I258" s="176" t="s">
        <v>580</v>
      </c>
      <c r="J258" s="176"/>
      <c r="K258" s="176" t="s">
        <v>593</v>
      </c>
      <c r="L258" s="176"/>
      <c r="M258" s="176"/>
      <c r="N258" s="179">
        <f t="shared" si="30"/>
        <v>364</v>
      </c>
      <c r="O258" s="179">
        <f t="shared" si="31"/>
        <v>147</v>
      </c>
      <c r="P258" s="180">
        <f t="shared" si="26"/>
        <v>511</v>
      </c>
      <c r="Q258" s="181">
        <f t="shared" si="27"/>
        <v>0.61566265060240966</v>
      </c>
      <c r="R258" s="122">
        <f t="shared" si="28"/>
        <v>102.2</v>
      </c>
      <c r="S258" s="122">
        <f t="shared" si="29"/>
        <v>0.49253012048192774</v>
      </c>
      <c r="T258" s="133">
        <v>0.5</v>
      </c>
    </row>
    <row r="259" spans="1:20" ht="15.75" hidden="1" customHeight="1" x14ac:dyDescent="0.3">
      <c r="A259" s="175" t="s">
        <v>58</v>
      </c>
      <c r="B259" s="176" t="s">
        <v>312</v>
      </c>
      <c r="C259" s="176" t="s">
        <v>79</v>
      </c>
      <c r="D259" s="176" t="s">
        <v>602</v>
      </c>
      <c r="E259" s="177">
        <v>16</v>
      </c>
      <c r="F259" s="176" t="s">
        <v>654</v>
      </c>
      <c r="G259" s="177">
        <v>16</v>
      </c>
      <c r="H259" s="176" t="s">
        <v>641</v>
      </c>
      <c r="I259" s="176" t="s">
        <v>580</v>
      </c>
      <c r="J259" s="176"/>
      <c r="K259" s="176" t="s">
        <v>593</v>
      </c>
      <c r="L259" s="176"/>
      <c r="M259" s="176"/>
      <c r="N259" s="179">
        <f t="shared" si="30"/>
        <v>364</v>
      </c>
      <c r="O259" s="179">
        <f t="shared" si="31"/>
        <v>147</v>
      </c>
      <c r="P259" s="180">
        <f t="shared" si="26"/>
        <v>511</v>
      </c>
      <c r="Q259" s="181">
        <f t="shared" si="27"/>
        <v>0.61566265060240966</v>
      </c>
      <c r="R259" s="122">
        <f t="shared" si="28"/>
        <v>102.2</v>
      </c>
      <c r="S259" s="122">
        <f t="shared" si="29"/>
        <v>0.49253012048192774</v>
      </c>
      <c r="T259" s="133">
        <v>0.5</v>
      </c>
    </row>
    <row r="260" spans="1:20" ht="15.75" hidden="1" customHeight="1" x14ac:dyDescent="0.3">
      <c r="A260" s="175" t="s">
        <v>58</v>
      </c>
      <c r="B260" s="176" t="s">
        <v>312</v>
      </c>
      <c r="C260" s="176" t="s">
        <v>79</v>
      </c>
      <c r="D260" s="176" t="s">
        <v>616</v>
      </c>
      <c r="E260" s="177">
        <v>16</v>
      </c>
      <c r="F260" s="176" t="s">
        <v>654</v>
      </c>
      <c r="G260" s="177">
        <v>16</v>
      </c>
      <c r="H260" s="176" t="s">
        <v>641</v>
      </c>
      <c r="I260" s="176" t="s">
        <v>580</v>
      </c>
      <c r="J260" s="176"/>
      <c r="K260" s="176" t="s">
        <v>593</v>
      </c>
      <c r="L260" s="176"/>
      <c r="M260" s="176"/>
      <c r="N260" s="179">
        <f t="shared" si="30"/>
        <v>364</v>
      </c>
      <c r="O260" s="179">
        <f t="shared" si="31"/>
        <v>147</v>
      </c>
      <c r="P260" s="180">
        <f t="shared" si="26"/>
        <v>511</v>
      </c>
      <c r="Q260" s="181">
        <f t="shared" si="27"/>
        <v>0.61566265060240966</v>
      </c>
      <c r="R260" s="122">
        <f t="shared" si="28"/>
        <v>102.2</v>
      </c>
      <c r="S260" s="122">
        <f t="shared" si="29"/>
        <v>0.49253012048192774</v>
      </c>
      <c r="T260" s="133">
        <v>0.5</v>
      </c>
    </row>
    <row r="261" spans="1:20" ht="15.75" hidden="1" customHeight="1" x14ac:dyDescent="0.3">
      <c r="A261" s="175" t="s">
        <v>58</v>
      </c>
      <c r="B261" s="176" t="s">
        <v>312</v>
      </c>
      <c r="C261" s="176" t="s">
        <v>79</v>
      </c>
      <c r="D261" s="176" t="s">
        <v>617</v>
      </c>
      <c r="E261" s="177">
        <v>16</v>
      </c>
      <c r="F261" s="176" t="s">
        <v>654</v>
      </c>
      <c r="G261" s="177">
        <v>16</v>
      </c>
      <c r="H261" s="176" t="s">
        <v>641</v>
      </c>
      <c r="I261" s="176" t="s">
        <v>580</v>
      </c>
      <c r="J261" s="176"/>
      <c r="K261" s="176" t="s">
        <v>593</v>
      </c>
      <c r="L261" s="176"/>
      <c r="M261" s="176"/>
      <c r="N261" s="179">
        <f t="shared" si="30"/>
        <v>364</v>
      </c>
      <c r="O261" s="179">
        <f t="shared" si="31"/>
        <v>147</v>
      </c>
      <c r="P261" s="180">
        <f t="shared" si="26"/>
        <v>511</v>
      </c>
      <c r="Q261" s="181">
        <f t="shared" si="27"/>
        <v>0.61566265060240966</v>
      </c>
      <c r="R261" s="122">
        <f t="shared" si="28"/>
        <v>102.2</v>
      </c>
      <c r="S261" s="122">
        <f t="shared" si="29"/>
        <v>0.49253012048192774</v>
      </c>
      <c r="T261" s="133">
        <v>0.5</v>
      </c>
    </row>
    <row r="262" spans="1:20" ht="15.75" hidden="1" customHeight="1" x14ac:dyDescent="0.3">
      <c r="A262" s="175" t="s">
        <v>58</v>
      </c>
      <c r="B262" s="176" t="s">
        <v>312</v>
      </c>
      <c r="C262" s="176" t="s">
        <v>79</v>
      </c>
      <c r="D262" s="176" t="s">
        <v>655</v>
      </c>
      <c r="E262" s="177">
        <v>16</v>
      </c>
      <c r="F262" s="176" t="s">
        <v>654</v>
      </c>
      <c r="G262" s="177">
        <v>16</v>
      </c>
      <c r="H262" s="176" t="s">
        <v>641</v>
      </c>
      <c r="I262" s="176" t="s">
        <v>580</v>
      </c>
      <c r="J262" s="176"/>
      <c r="K262" s="176" t="s">
        <v>593</v>
      </c>
      <c r="L262" s="176"/>
      <c r="M262" s="176"/>
      <c r="N262" s="179">
        <f t="shared" si="30"/>
        <v>364</v>
      </c>
      <c r="O262" s="179">
        <f t="shared" si="31"/>
        <v>147</v>
      </c>
      <c r="P262" s="180">
        <f t="shared" si="26"/>
        <v>511</v>
      </c>
      <c r="Q262" s="181">
        <f t="shared" si="27"/>
        <v>0.61566265060240966</v>
      </c>
      <c r="R262" s="122">
        <f t="shared" si="28"/>
        <v>102.2</v>
      </c>
      <c r="S262" s="122">
        <f t="shared" si="29"/>
        <v>0.49253012048192774</v>
      </c>
      <c r="T262" s="133">
        <v>0.5</v>
      </c>
    </row>
    <row r="263" spans="1:20" ht="15.75" hidden="1" customHeight="1" x14ac:dyDescent="0.3">
      <c r="A263" s="175" t="s">
        <v>58</v>
      </c>
      <c r="B263" s="176" t="s">
        <v>312</v>
      </c>
      <c r="C263" s="176" t="s">
        <v>79</v>
      </c>
      <c r="D263" s="176" t="s">
        <v>656</v>
      </c>
      <c r="E263" s="177">
        <v>16</v>
      </c>
      <c r="F263" s="176" t="s">
        <v>654</v>
      </c>
      <c r="G263" s="177">
        <v>16</v>
      </c>
      <c r="H263" s="176" t="s">
        <v>641</v>
      </c>
      <c r="I263" s="176" t="s">
        <v>580</v>
      </c>
      <c r="J263" s="176"/>
      <c r="K263" s="176" t="s">
        <v>593</v>
      </c>
      <c r="L263" s="176"/>
      <c r="M263" s="176"/>
      <c r="N263" s="179">
        <f t="shared" si="30"/>
        <v>364</v>
      </c>
      <c r="O263" s="179">
        <f t="shared" si="31"/>
        <v>147</v>
      </c>
      <c r="P263" s="180">
        <f t="shared" si="26"/>
        <v>511</v>
      </c>
      <c r="Q263" s="181">
        <f t="shared" si="27"/>
        <v>0.61566265060240966</v>
      </c>
      <c r="R263" s="122">
        <f t="shared" si="28"/>
        <v>102.2</v>
      </c>
      <c r="S263" s="122">
        <f t="shared" si="29"/>
        <v>0.49253012048192774</v>
      </c>
      <c r="T263" s="133">
        <v>0.5</v>
      </c>
    </row>
    <row r="264" spans="1:20" ht="15.75" hidden="1" customHeight="1" x14ac:dyDescent="0.3">
      <c r="A264" s="175" t="s">
        <v>58</v>
      </c>
      <c r="B264" s="176" t="s">
        <v>312</v>
      </c>
      <c r="C264" s="176" t="s">
        <v>100</v>
      </c>
      <c r="D264" s="176" t="s">
        <v>602</v>
      </c>
      <c r="E264" s="177">
        <v>24</v>
      </c>
      <c r="F264" s="176" t="s">
        <v>654</v>
      </c>
      <c r="G264" s="177">
        <v>24</v>
      </c>
      <c r="H264" s="176" t="s">
        <v>641</v>
      </c>
      <c r="I264" s="176" t="s">
        <v>580</v>
      </c>
      <c r="J264" s="176"/>
      <c r="K264" s="176" t="s">
        <v>593</v>
      </c>
      <c r="L264" s="176"/>
      <c r="M264" s="176"/>
      <c r="N264" s="179">
        <f t="shared" si="30"/>
        <v>364</v>
      </c>
      <c r="O264" s="179">
        <f t="shared" si="31"/>
        <v>147</v>
      </c>
      <c r="P264" s="180">
        <f t="shared" si="26"/>
        <v>511</v>
      </c>
      <c r="Q264" s="181">
        <f t="shared" si="27"/>
        <v>0.61566265060240966</v>
      </c>
      <c r="R264" s="122">
        <f t="shared" si="28"/>
        <v>102.2</v>
      </c>
      <c r="S264" s="122">
        <f t="shared" si="29"/>
        <v>0.49253012048192774</v>
      </c>
      <c r="T264" s="133">
        <v>0.5</v>
      </c>
    </row>
    <row r="265" spans="1:20" ht="15.75" hidden="1" customHeight="1" x14ac:dyDescent="0.3">
      <c r="A265" s="175" t="s">
        <v>58</v>
      </c>
      <c r="B265" s="176" t="s">
        <v>312</v>
      </c>
      <c r="C265" s="176" t="s">
        <v>100</v>
      </c>
      <c r="D265" s="176" t="s">
        <v>616</v>
      </c>
      <c r="E265" s="177">
        <v>48</v>
      </c>
      <c r="F265" s="176" t="s">
        <v>654</v>
      </c>
      <c r="G265" s="177">
        <v>24</v>
      </c>
      <c r="H265" s="176" t="s">
        <v>641</v>
      </c>
      <c r="I265" s="176" t="s">
        <v>580</v>
      </c>
      <c r="J265" s="176"/>
      <c r="K265" s="176" t="s">
        <v>593</v>
      </c>
      <c r="L265" s="176"/>
      <c r="M265" s="176"/>
      <c r="N265" s="179">
        <f t="shared" si="30"/>
        <v>364</v>
      </c>
      <c r="O265" s="179">
        <f t="shared" si="31"/>
        <v>147</v>
      </c>
      <c r="P265" s="180">
        <f t="shared" si="26"/>
        <v>511</v>
      </c>
      <c r="Q265" s="181">
        <f t="shared" si="27"/>
        <v>0.61566265060240966</v>
      </c>
      <c r="R265" s="122">
        <f t="shared" si="28"/>
        <v>102.2</v>
      </c>
      <c r="S265" s="122">
        <f t="shared" si="29"/>
        <v>0.49253012048192774</v>
      </c>
      <c r="T265" s="133">
        <v>0.5</v>
      </c>
    </row>
    <row r="266" spans="1:20" ht="15.75" hidden="1" customHeight="1" x14ac:dyDescent="0.3">
      <c r="A266" s="175" t="s">
        <v>58</v>
      </c>
      <c r="B266" s="176" t="s">
        <v>312</v>
      </c>
      <c r="C266" s="176" t="s">
        <v>100</v>
      </c>
      <c r="D266" s="176" t="s">
        <v>617</v>
      </c>
      <c r="E266" s="177">
        <v>48</v>
      </c>
      <c r="F266" s="176" t="s">
        <v>654</v>
      </c>
      <c r="G266" s="177">
        <v>24</v>
      </c>
      <c r="H266" s="176" t="s">
        <v>641</v>
      </c>
      <c r="I266" s="176" t="s">
        <v>580</v>
      </c>
      <c r="J266" s="176"/>
      <c r="K266" s="176" t="s">
        <v>593</v>
      </c>
      <c r="L266" s="176"/>
      <c r="M266" s="176"/>
      <c r="N266" s="179">
        <f t="shared" si="30"/>
        <v>364</v>
      </c>
      <c r="O266" s="179">
        <f t="shared" si="31"/>
        <v>147</v>
      </c>
      <c r="P266" s="180">
        <f t="shared" ref="P266:P329" si="32">N266+O266</f>
        <v>511</v>
      </c>
      <c r="Q266" s="181">
        <f t="shared" ref="Q266:Q329" si="33">P266/$Q$1</f>
        <v>0.61566265060240966</v>
      </c>
      <c r="R266" s="122">
        <f t="shared" ref="R266:R329" si="34">P266*0.2</f>
        <v>102.2</v>
      </c>
      <c r="S266" s="122">
        <f t="shared" ref="S266:S329" si="35">Q266*0.8</f>
        <v>0.49253012048192774</v>
      </c>
      <c r="T266" s="133">
        <v>0.5</v>
      </c>
    </row>
    <row r="267" spans="1:20" ht="15.75" hidden="1" customHeight="1" x14ac:dyDescent="0.3">
      <c r="A267" s="175" t="s">
        <v>58</v>
      </c>
      <c r="B267" s="176" t="s">
        <v>312</v>
      </c>
      <c r="C267" s="176" t="s">
        <v>100</v>
      </c>
      <c r="D267" s="176" t="s">
        <v>655</v>
      </c>
      <c r="E267" s="177">
        <v>48</v>
      </c>
      <c r="F267" s="176" t="s">
        <v>654</v>
      </c>
      <c r="G267" s="177">
        <v>24</v>
      </c>
      <c r="H267" s="176" t="s">
        <v>641</v>
      </c>
      <c r="I267" s="176" t="s">
        <v>580</v>
      </c>
      <c r="J267" s="176"/>
      <c r="K267" s="176" t="s">
        <v>593</v>
      </c>
      <c r="L267" s="176"/>
      <c r="M267" s="176"/>
      <c r="N267" s="179">
        <f t="shared" si="30"/>
        <v>364</v>
      </c>
      <c r="O267" s="179">
        <f t="shared" si="31"/>
        <v>147</v>
      </c>
      <c r="P267" s="180">
        <f t="shared" si="32"/>
        <v>511</v>
      </c>
      <c r="Q267" s="181">
        <f t="shared" si="33"/>
        <v>0.61566265060240966</v>
      </c>
      <c r="R267" s="122">
        <f t="shared" si="34"/>
        <v>102.2</v>
      </c>
      <c r="S267" s="122">
        <f t="shared" si="35"/>
        <v>0.49253012048192774</v>
      </c>
      <c r="T267" s="133">
        <v>0.5</v>
      </c>
    </row>
    <row r="268" spans="1:20" ht="15.75" hidden="1" customHeight="1" x14ac:dyDescent="0.3">
      <c r="A268" s="175" t="s">
        <v>58</v>
      </c>
      <c r="B268" s="176" t="s">
        <v>312</v>
      </c>
      <c r="C268" s="176" t="s">
        <v>100</v>
      </c>
      <c r="D268" s="176" t="s">
        <v>656</v>
      </c>
      <c r="E268" s="177">
        <v>24</v>
      </c>
      <c r="F268" s="176" t="s">
        <v>654</v>
      </c>
      <c r="G268" s="177">
        <v>24</v>
      </c>
      <c r="H268" s="176" t="s">
        <v>641</v>
      </c>
      <c r="I268" s="176" t="s">
        <v>580</v>
      </c>
      <c r="J268" s="176"/>
      <c r="K268" s="176" t="s">
        <v>593</v>
      </c>
      <c r="L268" s="176"/>
      <c r="M268" s="176"/>
      <c r="N268" s="179">
        <f t="shared" si="30"/>
        <v>364</v>
      </c>
      <c r="O268" s="179">
        <f t="shared" si="31"/>
        <v>147</v>
      </c>
      <c r="P268" s="180">
        <f t="shared" si="32"/>
        <v>511</v>
      </c>
      <c r="Q268" s="181">
        <f t="shared" si="33"/>
        <v>0.61566265060240966</v>
      </c>
      <c r="R268" s="122">
        <f t="shared" si="34"/>
        <v>102.2</v>
      </c>
      <c r="S268" s="122">
        <f t="shared" si="35"/>
        <v>0.49253012048192774</v>
      </c>
      <c r="T268" s="133">
        <v>0.5</v>
      </c>
    </row>
    <row r="269" spans="1:20" ht="15.75" hidden="1" customHeight="1" x14ac:dyDescent="0.3">
      <c r="A269" s="175" t="s">
        <v>58</v>
      </c>
      <c r="B269" s="176" t="s">
        <v>312</v>
      </c>
      <c r="C269" s="176" t="s">
        <v>111</v>
      </c>
      <c r="D269" s="176" t="s">
        <v>602</v>
      </c>
      <c r="E269" s="177">
        <v>5</v>
      </c>
      <c r="F269" s="176" t="s">
        <v>654</v>
      </c>
      <c r="G269" s="178"/>
      <c r="H269" s="176" t="s">
        <v>641</v>
      </c>
      <c r="I269" s="176" t="s">
        <v>580</v>
      </c>
      <c r="J269" s="176"/>
      <c r="K269" s="176" t="s">
        <v>593</v>
      </c>
      <c r="L269" s="176"/>
      <c r="M269" s="176"/>
      <c r="N269" s="179">
        <f t="shared" si="30"/>
        <v>364</v>
      </c>
      <c r="O269" s="179">
        <f t="shared" si="31"/>
        <v>147</v>
      </c>
      <c r="P269" s="180">
        <f t="shared" si="32"/>
        <v>511</v>
      </c>
      <c r="Q269" s="181">
        <f t="shared" si="33"/>
        <v>0.61566265060240966</v>
      </c>
      <c r="R269" s="122">
        <f t="shared" si="34"/>
        <v>102.2</v>
      </c>
      <c r="S269" s="122">
        <f t="shared" si="35"/>
        <v>0.49253012048192774</v>
      </c>
      <c r="T269" s="133">
        <v>0.5</v>
      </c>
    </row>
    <row r="270" spans="1:20" ht="15.75" hidden="1" customHeight="1" x14ac:dyDescent="0.3">
      <c r="A270" s="175" t="s">
        <v>58</v>
      </c>
      <c r="B270" s="176" t="s">
        <v>312</v>
      </c>
      <c r="C270" s="176" t="s">
        <v>111</v>
      </c>
      <c r="D270" s="176" t="s">
        <v>616</v>
      </c>
      <c r="E270" s="177">
        <v>8</v>
      </c>
      <c r="F270" s="176" t="s">
        <v>654</v>
      </c>
      <c r="G270" s="178"/>
      <c r="H270" s="176" t="s">
        <v>641</v>
      </c>
      <c r="I270" s="176" t="s">
        <v>580</v>
      </c>
      <c r="J270" s="176"/>
      <c r="K270" s="176" t="s">
        <v>593</v>
      </c>
      <c r="L270" s="176"/>
      <c r="M270" s="176"/>
      <c r="N270" s="179">
        <f t="shared" si="30"/>
        <v>364</v>
      </c>
      <c r="O270" s="179">
        <f t="shared" si="31"/>
        <v>147</v>
      </c>
      <c r="P270" s="180">
        <f t="shared" si="32"/>
        <v>511</v>
      </c>
      <c r="Q270" s="181">
        <f t="shared" si="33"/>
        <v>0.61566265060240966</v>
      </c>
      <c r="R270" s="122">
        <f t="shared" si="34"/>
        <v>102.2</v>
      </c>
      <c r="S270" s="122">
        <f t="shared" si="35"/>
        <v>0.49253012048192774</v>
      </c>
      <c r="T270" s="133">
        <v>0.5</v>
      </c>
    </row>
    <row r="271" spans="1:20" ht="15.75" hidden="1" customHeight="1" x14ac:dyDescent="0.3">
      <c r="A271" s="175" t="s">
        <v>58</v>
      </c>
      <c r="B271" s="176" t="s">
        <v>312</v>
      </c>
      <c r="C271" s="176" t="s">
        <v>111</v>
      </c>
      <c r="D271" s="176" t="s">
        <v>617</v>
      </c>
      <c r="E271" s="177">
        <v>9</v>
      </c>
      <c r="F271" s="176" t="s">
        <v>654</v>
      </c>
      <c r="G271" s="178"/>
      <c r="H271" s="176" t="s">
        <v>641</v>
      </c>
      <c r="I271" s="176" t="s">
        <v>580</v>
      </c>
      <c r="J271" s="176"/>
      <c r="K271" s="176" t="s">
        <v>593</v>
      </c>
      <c r="L271" s="176"/>
      <c r="M271" s="176"/>
      <c r="N271" s="179">
        <f t="shared" si="30"/>
        <v>364</v>
      </c>
      <c r="O271" s="179">
        <f t="shared" si="31"/>
        <v>147</v>
      </c>
      <c r="P271" s="180">
        <f t="shared" si="32"/>
        <v>511</v>
      </c>
      <c r="Q271" s="181">
        <f t="shared" si="33"/>
        <v>0.61566265060240966</v>
      </c>
      <c r="R271" s="122">
        <f t="shared" si="34"/>
        <v>102.2</v>
      </c>
      <c r="S271" s="122">
        <f t="shared" si="35"/>
        <v>0.49253012048192774</v>
      </c>
      <c r="T271" s="133">
        <v>0.5</v>
      </c>
    </row>
    <row r="272" spans="1:20" ht="15.75" hidden="1" customHeight="1" x14ac:dyDescent="0.3">
      <c r="A272" s="175" t="s">
        <v>58</v>
      </c>
      <c r="B272" s="176" t="s">
        <v>312</v>
      </c>
      <c r="C272" s="176" t="s">
        <v>111</v>
      </c>
      <c r="D272" s="176" t="s">
        <v>655</v>
      </c>
      <c r="E272" s="177">
        <v>9</v>
      </c>
      <c r="F272" s="176" t="s">
        <v>654</v>
      </c>
      <c r="G272" s="178"/>
      <c r="H272" s="176" t="s">
        <v>641</v>
      </c>
      <c r="I272" s="176" t="s">
        <v>580</v>
      </c>
      <c r="J272" s="176"/>
      <c r="K272" s="176" t="s">
        <v>593</v>
      </c>
      <c r="L272" s="176"/>
      <c r="M272" s="176"/>
      <c r="N272" s="179">
        <f t="shared" si="30"/>
        <v>364</v>
      </c>
      <c r="O272" s="179">
        <f t="shared" si="31"/>
        <v>147</v>
      </c>
      <c r="P272" s="180">
        <f t="shared" si="32"/>
        <v>511</v>
      </c>
      <c r="Q272" s="181">
        <f t="shared" si="33"/>
        <v>0.61566265060240966</v>
      </c>
      <c r="R272" s="122">
        <f t="shared" si="34"/>
        <v>102.2</v>
      </c>
      <c r="S272" s="122">
        <f t="shared" si="35"/>
        <v>0.49253012048192774</v>
      </c>
      <c r="T272" s="133">
        <v>0.5</v>
      </c>
    </row>
    <row r="273" spans="1:20" ht="15.75" hidden="1" customHeight="1" x14ac:dyDescent="0.3">
      <c r="A273" s="175" t="s">
        <v>58</v>
      </c>
      <c r="B273" s="176" t="s">
        <v>312</v>
      </c>
      <c r="C273" s="176" t="s">
        <v>111</v>
      </c>
      <c r="D273" s="176" t="s">
        <v>656</v>
      </c>
      <c r="E273" s="177">
        <v>7</v>
      </c>
      <c r="F273" s="176" t="s">
        <v>654</v>
      </c>
      <c r="G273" s="178"/>
      <c r="H273" s="176" t="s">
        <v>641</v>
      </c>
      <c r="I273" s="176" t="s">
        <v>580</v>
      </c>
      <c r="J273" s="176"/>
      <c r="K273" s="176" t="s">
        <v>593</v>
      </c>
      <c r="L273" s="176"/>
      <c r="M273" s="176"/>
      <c r="N273" s="179">
        <f t="shared" si="30"/>
        <v>364</v>
      </c>
      <c r="O273" s="179">
        <f t="shared" si="31"/>
        <v>147</v>
      </c>
      <c r="P273" s="180">
        <f t="shared" si="32"/>
        <v>511</v>
      </c>
      <c r="Q273" s="181">
        <f t="shared" si="33"/>
        <v>0.61566265060240966</v>
      </c>
      <c r="R273" s="122">
        <f t="shared" si="34"/>
        <v>102.2</v>
      </c>
      <c r="S273" s="122">
        <f t="shared" si="35"/>
        <v>0.49253012048192774</v>
      </c>
      <c r="T273" s="133">
        <v>0.5</v>
      </c>
    </row>
    <row r="274" spans="1:20" ht="15.75" hidden="1" customHeight="1" x14ac:dyDescent="0.3">
      <c r="A274" s="175" t="s">
        <v>58</v>
      </c>
      <c r="B274" s="176" t="s">
        <v>312</v>
      </c>
      <c r="C274" s="176" t="s">
        <v>80</v>
      </c>
      <c r="D274" s="176" t="s">
        <v>602</v>
      </c>
      <c r="E274" s="177">
        <v>3</v>
      </c>
      <c r="F274" s="176" t="s">
        <v>654</v>
      </c>
      <c r="G274" s="178"/>
      <c r="H274" s="176" t="s">
        <v>641</v>
      </c>
      <c r="I274" s="176" t="s">
        <v>580</v>
      </c>
      <c r="J274" s="176"/>
      <c r="K274" s="176" t="s">
        <v>593</v>
      </c>
      <c r="L274" s="176"/>
      <c r="M274" s="176"/>
      <c r="N274" s="179">
        <f t="shared" si="30"/>
        <v>364</v>
      </c>
      <c r="O274" s="179">
        <f t="shared" si="31"/>
        <v>147</v>
      </c>
      <c r="P274" s="180">
        <f t="shared" si="32"/>
        <v>511</v>
      </c>
      <c r="Q274" s="181">
        <f t="shared" si="33"/>
        <v>0.61566265060240966</v>
      </c>
      <c r="R274" s="122">
        <f t="shared" si="34"/>
        <v>102.2</v>
      </c>
      <c r="S274" s="122">
        <f t="shared" si="35"/>
        <v>0.49253012048192774</v>
      </c>
      <c r="T274" s="133">
        <v>0.5</v>
      </c>
    </row>
    <row r="275" spans="1:20" ht="15.75" hidden="1" customHeight="1" x14ac:dyDescent="0.3">
      <c r="A275" s="175" t="s">
        <v>58</v>
      </c>
      <c r="B275" s="176" t="s">
        <v>312</v>
      </c>
      <c r="C275" s="176" t="s">
        <v>80</v>
      </c>
      <c r="D275" s="176" t="s">
        <v>616</v>
      </c>
      <c r="E275" s="177">
        <v>3</v>
      </c>
      <c r="F275" s="176" t="s">
        <v>654</v>
      </c>
      <c r="G275" s="178"/>
      <c r="H275" s="176" t="s">
        <v>641</v>
      </c>
      <c r="I275" s="176" t="s">
        <v>580</v>
      </c>
      <c r="J275" s="176"/>
      <c r="K275" s="176" t="s">
        <v>593</v>
      </c>
      <c r="L275" s="176"/>
      <c r="M275" s="176"/>
      <c r="N275" s="179">
        <f t="shared" si="30"/>
        <v>364</v>
      </c>
      <c r="O275" s="179">
        <f t="shared" si="31"/>
        <v>147</v>
      </c>
      <c r="P275" s="180">
        <f t="shared" si="32"/>
        <v>511</v>
      </c>
      <c r="Q275" s="181">
        <f t="shared" si="33"/>
        <v>0.61566265060240966</v>
      </c>
      <c r="R275" s="122">
        <f t="shared" si="34"/>
        <v>102.2</v>
      </c>
      <c r="S275" s="122">
        <f t="shared" si="35"/>
        <v>0.49253012048192774</v>
      </c>
      <c r="T275" s="133">
        <v>0.5</v>
      </c>
    </row>
    <row r="276" spans="1:20" ht="15.75" hidden="1" customHeight="1" x14ac:dyDescent="0.3">
      <c r="A276" s="175" t="s">
        <v>58</v>
      </c>
      <c r="B276" s="176" t="s">
        <v>312</v>
      </c>
      <c r="C276" s="176" t="s">
        <v>80</v>
      </c>
      <c r="D276" s="176" t="s">
        <v>617</v>
      </c>
      <c r="E276" s="177">
        <v>3</v>
      </c>
      <c r="F276" s="176" t="s">
        <v>654</v>
      </c>
      <c r="G276" s="178"/>
      <c r="H276" s="176" t="s">
        <v>641</v>
      </c>
      <c r="I276" s="176" t="s">
        <v>580</v>
      </c>
      <c r="J276" s="176"/>
      <c r="K276" s="176" t="s">
        <v>593</v>
      </c>
      <c r="L276" s="176"/>
      <c r="M276" s="176"/>
      <c r="N276" s="179">
        <f t="shared" si="30"/>
        <v>364</v>
      </c>
      <c r="O276" s="179">
        <f t="shared" si="31"/>
        <v>147</v>
      </c>
      <c r="P276" s="180">
        <f t="shared" si="32"/>
        <v>511</v>
      </c>
      <c r="Q276" s="181">
        <f t="shared" si="33"/>
        <v>0.61566265060240966</v>
      </c>
      <c r="R276" s="122">
        <f t="shared" si="34"/>
        <v>102.2</v>
      </c>
      <c r="S276" s="122">
        <f t="shared" si="35"/>
        <v>0.49253012048192774</v>
      </c>
      <c r="T276" s="133">
        <v>0.5</v>
      </c>
    </row>
    <row r="277" spans="1:20" ht="15.75" hidden="1" customHeight="1" x14ac:dyDescent="0.3">
      <c r="A277" s="175" t="s">
        <v>58</v>
      </c>
      <c r="B277" s="176" t="s">
        <v>312</v>
      </c>
      <c r="C277" s="176" t="s">
        <v>80</v>
      </c>
      <c r="D277" s="176" t="s">
        <v>655</v>
      </c>
      <c r="E277" s="177">
        <v>3</v>
      </c>
      <c r="F277" s="176" t="s">
        <v>654</v>
      </c>
      <c r="G277" s="178"/>
      <c r="H277" s="176" t="s">
        <v>641</v>
      </c>
      <c r="I277" s="176" t="s">
        <v>580</v>
      </c>
      <c r="J277" s="176"/>
      <c r="K277" s="176" t="s">
        <v>593</v>
      </c>
      <c r="L277" s="176"/>
      <c r="M277" s="176"/>
      <c r="N277" s="179">
        <f t="shared" si="30"/>
        <v>364</v>
      </c>
      <c r="O277" s="179">
        <f t="shared" si="31"/>
        <v>147</v>
      </c>
      <c r="P277" s="180">
        <f t="shared" si="32"/>
        <v>511</v>
      </c>
      <c r="Q277" s="181">
        <f t="shared" si="33"/>
        <v>0.61566265060240966</v>
      </c>
      <c r="R277" s="122">
        <f t="shared" si="34"/>
        <v>102.2</v>
      </c>
      <c r="S277" s="122">
        <f t="shared" si="35"/>
        <v>0.49253012048192774</v>
      </c>
      <c r="T277" s="133">
        <v>0.5</v>
      </c>
    </row>
    <row r="278" spans="1:20" ht="15.75" hidden="1" customHeight="1" x14ac:dyDescent="0.3">
      <c r="A278" s="175" t="s">
        <v>58</v>
      </c>
      <c r="B278" s="176" t="s">
        <v>312</v>
      </c>
      <c r="C278" s="176" t="s">
        <v>80</v>
      </c>
      <c r="D278" s="176" t="s">
        <v>656</v>
      </c>
      <c r="E278" s="177">
        <v>3</v>
      </c>
      <c r="F278" s="176" t="s">
        <v>654</v>
      </c>
      <c r="G278" s="178"/>
      <c r="H278" s="176" t="s">
        <v>641</v>
      </c>
      <c r="I278" s="176" t="s">
        <v>580</v>
      </c>
      <c r="J278" s="176"/>
      <c r="K278" s="176" t="s">
        <v>593</v>
      </c>
      <c r="L278" s="176"/>
      <c r="M278" s="176"/>
      <c r="N278" s="179">
        <f t="shared" si="30"/>
        <v>364</v>
      </c>
      <c r="O278" s="179">
        <f t="shared" si="31"/>
        <v>147</v>
      </c>
      <c r="P278" s="180">
        <f t="shared" si="32"/>
        <v>511</v>
      </c>
      <c r="Q278" s="181">
        <f t="shared" si="33"/>
        <v>0.61566265060240966</v>
      </c>
      <c r="R278" s="122">
        <f t="shared" si="34"/>
        <v>102.2</v>
      </c>
      <c r="S278" s="122">
        <f t="shared" si="35"/>
        <v>0.49253012048192774</v>
      </c>
      <c r="T278" s="133">
        <v>0.5</v>
      </c>
    </row>
    <row r="279" spans="1:20" ht="15.75" hidden="1" customHeight="1" x14ac:dyDescent="0.3">
      <c r="A279" s="175" t="s">
        <v>58</v>
      </c>
      <c r="B279" s="176" t="s">
        <v>324</v>
      </c>
      <c r="C279" s="176" t="s">
        <v>73</v>
      </c>
      <c r="D279" s="176" t="s">
        <v>657</v>
      </c>
      <c r="E279" s="177">
        <v>68</v>
      </c>
      <c r="F279" s="176" t="s">
        <v>658</v>
      </c>
      <c r="G279" s="177">
        <v>68</v>
      </c>
      <c r="H279" s="176" t="s">
        <v>642</v>
      </c>
      <c r="I279" s="176" t="s">
        <v>572</v>
      </c>
      <c r="J279" s="176"/>
      <c r="K279" s="176" t="s">
        <v>593</v>
      </c>
      <c r="L279" s="176"/>
      <c r="M279" s="176"/>
      <c r="N279" s="179">
        <f t="shared" si="30"/>
        <v>410</v>
      </c>
      <c r="O279" s="179">
        <f t="shared" si="31"/>
        <v>260</v>
      </c>
      <c r="P279" s="180">
        <f t="shared" si="32"/>
        <v>670</v>
      </c>
      <c r="Q279" s="181">
        <f t="shared" si="33"/>
        <v>0.80722891566265065</v>
      </c>
      <c r="R279" s="122">
        <f t="shared" si="34"/>
        <v>134</v>
      </c>
      <c r="S279" s="122">
        <f t="shared" si="35"/>
        <v>0.64578313253012054</v>
      </c>
      <c r="T279" s="133">
        <v>0.55000000000000004</v>
      </c>
    </row>
    <row r="280" spans="1:20" ht="15.75" hidden="1" customHeight="1" x14ac:dyDescent="0.3">
      <c r="A280" s="175" t="s">
        <v>58</v>
      </c>
      <c r="B280" s="176" t="s">
        <v>324</v>
      </c>
      <c r="C280" s="176" t="s">
        <v>79</v>
      </c>
      <c r="D280" s="176" t="s">
        <v>657</v>
      </c>
      <c r="E280" s="177">
        <v>20</v>
      </c>
      <c r="F280" s="176" t="s">
        <v>658</v>
      </c>
      <c r="G280" s="177">
        <v>20</v>
      </c>
      <c r="H280" s="176" t="s">
        <v>642</v>
      </c>
      <c r="I280" s="176" t="s">
        <v>572</v>
      </c>
      <c r="J280" s="176"/>
      <c r="K280" s="176" t="s">
        <v>593</v>
      </c>
      <c r="L280" s="176"/>
      <c r="M280" s="176"/>
      <c r="N280" s="179">
        <f t="shared" si="30"/>
        <v>410</v>
      </c>
      <c r="O280" s="179">
        <f t="shared" si="31"/>
        <v>260</v>
      </c>
      <c r="P280" s="180">
        <f t="shared" si="32"/>
        <v>670</v>
      </c>
      <c r="Q280" s="181">
        <f t="shared" si="33"/>
        <v>0.80722891566265065</v>
      </c>
      <c r="R280" s="122">
        <f t="shared" si="34"/>
        <v>134</v>
      </c>
      <c r="S280" s="122">
        <f t="shared" si="35"/>
        <v>0.64578313253012054</v>
      </c>
      <c r="T280" s="133">
        <v>0.55000000000000004</v>
      </c>
    </row>
    <row r="281" spans="1:20" ht="15.75" hidden="1" customHeight="1" x14ac:dyDescent="0.3">
      <c r="A281" s="175" t="s">
        <v>58</v>
      </c>
      <c r="B281" s="176" t="s">
        <v>324</v>
      </c>
      <c r="C281" s="176" t="s">
        <v>111</v>
      </c>
      <c r="D281" s="176" t="s">
        <v>657</v>
      </c>
      <c r="E281" s="177">
        <v>1</v>
      </c>
      <c r="F281" s="176" t="s">
        <v>658</v>
      </c>
      <c r="G281" s="178"/>
      <c r="H281" s="176" t="s">
        <v>642</v>
      </c>
      <c r="I281" s="176" t="s">
        <v>572</v>
      </c>
      <c r="J281" s="176"/>
      <c r="K281" s="176" t="s">
        <v>593</v>
      </c>
      <c r="L281" s="176"/>
      <c r="M281" s="176"/>
      <c r="N281" s="179">
        <f t="shared" si="30"/>
        <v>410</v>
      </c>
      <c r="O281" s="179">
        <f t="shared" si="31"/>
        <v>260</v>
      </c>
      <c r="P281" s="180">
        <f t="shared" si="32"/>
        <v>670</v>
      </c>
      <c r="Q281" s="181">
        <f t="shared" si="33"/>
        <v>0.80722891566265065</v>
      </c>
      <c r="R281" s="122">
        <f t="shared" si="34"/>
        <v>134</v>
      </c>
      <c r="S281" s="122">
        <f t="shared" si="35"/>
        <v>0.64578313253012054</v>
      </c>
      <c r="T281" s="133">
        <v>0.55000000000000004</v>
      </c>
    </row>
    <row r="282" spans="1:20" ht="15.75" hidden="1" customHeight="1" x14ac:dyDescent="0.3">
      <c r="A282" s="175" t="s">
        <v>58</v>
      </c>
      <c r="B282" s="176" t="s">
        <v>324</v>
      </c>
      <c r="C282" s="176" t="s">
        <v>80</v>
      </c>
      <c r="D282" s="176" t="s">
        <v>657</v>
      </c>
      <c r="E282" s="177">
        <v>5</v>
      </c>
      <c r="F282" s="176" t="s">
        <v>658</v>
      </c>
      <c r="G282" s="178"/>
      <c r="H282" s="176" t="s">
        <v>642</v>
      </c>
      <c r="I282" s="176" t="s">
        <v>572</v>
      </c>
      <c r="J282" s="176"/>
      <c r="K282" s="176" t="s">
        <v>593</v>
      </c>
      <c r="L282" s="176"/>
      <c r="M282" s="176"/>
      <c r="N282" s="179">
        <f t="shared" si="30"/>
        <v>410</v>
      </c>
      <c r="O282" s="179">
        <f t="shared" si="31"/>
        <v>260</v>
      </c>
      <c r="P282" s="180">
        <f t="shared" si="32"/>
        <v>670</v>
      </c>
      <c r="Q282" s="181">
        <f t="shared" si="33"/>
        <v>0.80722891566265065</v>
      </c>
      <c r="R282" s="122">
        <f t="shared" si="34"/>
        <v>134</v>
      </c>
      <c r="S282" s="122">
        <f t="shared" si="35"/>
        <v>0.64578313253012054</v>
      </c>
      <c r="T282" s="133">
        <v>0.55000000000000004</v>
      </c>
    </row>
    <row r="283" spans="1:20" ht="15.75" hidden="1" customHeight="1" x14ac:dyDescent="0.3">
      <c r="A283" s="175" t="s">
        <v>58</v>
      </c>
      <c r="B283" s="176" t="s">
        <v>659</v>
      </c>
      <c r="C283" s="176" t="s">
        <v>73</v>
      </c>
      <c r="D283" s="176" t="s">
        <v>620</v>
      </c>
      <c r="E283" s="177">
        <v>38</v>
      </c>
      <c r="F283" s="176" t="s">
        <v>621</v>
      </c>
      <c r="G283" s="177">
        <v>38</v>
      </c>
      <c r="H283" s="176" t="s">
        <v>592</v>
      </c>
      <c r="I283" s="176" t="s">
        <v>561</v>
      </c>
      <c r="J283" s="176"/>
      <c r="K283" s="176" t="s">
        <v>593</v>
      </c>
      <c r="L283" s="176"/>
      <c r="M283" s="176"/>
      <c r="N283" s="179">
        <f t="shared" si="30"/>
        <v>442</v>
      </c>
      <c r="O283" s="179">
        <f t="shared" si="31"/>
        <v>269</v>
      </c>
      <c r="P283" s="180">
        <f t="shared" si="32"/>
        <v>711</v>
      </c>
      <c r="Q283" s="181">
        <f t="shared" si="33"/>
        <v>0.8566265060240964</v>
      </c>
      <c r="R283" s="122">
        <f t="shared" si="34"/>
        <v>142.20000000000002</v>
      </c>
      <c r="S283" s="122">
        <f t="shared" si="35"/>
        <v>0.68530120481927714</v>
      </c>
      <c r="T283" s="133">
        <v>0.7</v>
      </c>
    </row>
    <row r="284" spans="1:20" ht="15.75" hidden="1" customHeight="1" x14ac:dyDescent="0.3">
      <c r="A284" s="175" t="s">
        <v>58</v>
      </c>
      <c r="B284" s="176" t="s">
        <v>659</v>
      </c>
      <c r="C284" s="176" t="s">
        <v>123</v>
      </c>
      <c r="D284" s="176" t="s">
        <v>620</v>
      </c>
      <c r="E284" s="177">
        <v>36</v>
      </c>
      <c r="F284" s="176" t="s">
        <v>621</v>
      </c>
      <c r="G284" s="178"/>
      <c r="H284" s="176" t="s">
        <v>592</v>
      </c>
      <c r="I284" s="176" t="s">
        <v>561</v>
      </c>
      <c r="J284" s="176"/>
      <c r="K284" s="176" t="s">
        <v>593</v>
      </c>
      <c r="L284" s="176"/>
      <c r="M284" s="176"/>
      <c r="N284" s="179">
        <f t="shared" si="30"/>
        <v>442</v>
      </c>
      <c r="O284" s="179">
        <f t="shared" si="31"/>
        <v>269</v>
      </c>
      <c r="P284" s="180">
        <f t="shared" si="32"/>
        <v>711</v>
      </c>
      <c r="Q284" s="181">
        <f t="shared" si="33"/>
        <v>0.8566265060240964</v>
      </c>
      <c r="R284" s="122">
        <f t="shared" si="34"/>
        <v>142.20000000000002</v>
      </c>
      <c r="S284" s="122">
        <f t="shared" si="35"/>
        <v>0.68530120481927714</v>
      </c>
      <c r="T284" s="133">
        <v>0.7</v>
      </c>
    </row>
    <row r="285" spans="1:20" ht="15.75" hidden="1" customHeight="1" x14ac:dyDescent="0.3">
      <c r="A285" s="175" t="s">
        <v>58</v>
      </c>
      <c r="B285" s="176" t="s">
        <v>659</v>
      </c>
      <c r="C285" s="176" t="s">
        <v>79</v>
      </c>
      <c r="D285" s="176" t="s">
        <v>620</v>
      </c>
      <c r="E285" s="177">
        <v>28</v>
      </c>
      <c r="F285" s="176" t="s">
        <v>621</v>
      </c>
      <c r="G285" s="177">
        <v>28</v>
      </c>
      <c r="H285" s="176" t="s">
        <v>592</v>
      </c>
      <c r="I285" s="176" t="s">
        <v>561</v>
      </c>
      <c r="J285" s="176"/>
      <c r="K285" s="176" t="s">
        <v>593</v>
      </c>
      <c r="L285" s="176"/>
      <c r="M285" s="176"/>
      <c r="N285" s="179">
        <f t="shared" si="30"/>
        <v>442</v>
      </c>
      <c r="O285" s="179">
        <f t="shared" si="31"/>
        <v>269</v>
      </c>
      <c r="P285" s="180">
        <f t="shared" si="32"/>
        <v>711</v>
      </c>
      <c r="Q285" s="181">
        <f t="shared" si="33"/>
        <v>0.8566265060240964</v>
      </c>
      <c r="R285" s="122">
        <f t="shared" si="34"/>
        <v>142.20000000000002</v>
      </c>
      <c r="S285" s="122">
        <f t="shared" si="35"/>
        <v>0.68530120481927714</v>
      </c>
      <c r="T285" s="133">
        <v>0.7</v>
      </c>
    </row>
    <row r="286" spans="1:20" ht="15.75" hidden="1" customHeight="1" x14ac:dyDescent="0.3">
      <c r="A286" s="175" t="s">
        <v>58</v>
      </c>
      <c r="B286" s="176" t="s">
        <v>659</v>
      </c>
      <c r="C286" s="176" t="s">
        <v>111</v>
      </c>
      <c r="D286" s="176" t="s">
        <v>620</v>
      </c>
      <c r="E286" s="177">
        <v>9</v>
      </c>
      <c r="F286" s="176" t="s">
        <v>621</v>
      </c>
      <c r="G286" s="178"/>
      <c r="H286" s="176" t="s">
        <v>592</v>
      </c>
      <c r="I286" s="176" t="s">
        <v>561</v>
      </c>
      <c r="J286" s="176"/>
      <c r="K286" s="176" t="s">
        <v>593</v>
      </c>
      <c r="L286" s="176"/>
      <c r="M286" s="176"/>
      <c r="N286" s="179">
        <f t="shared" si="30"/>
        <v>442</v>
      </c>
      <c r="O286" s="179">
        <f t="shared" si="31"/>
        <v>269</v>
      </c>
      <c r="P286" s="180">
        <f t="shared" si="32"/>
        <v>711</v>
      </c>
      <c r="Q286" s="181">
        <f t="shared" si="33"/>
        <v>0.8566265060240964</v>
      </c>
      <c r="R286" s="122">
        <f t="shared" si="34"/>
        <v>142.20000000000002</v>
      </c>
      <c r="S286" s="122">
        <f t="shared" si="35"/>
        <v>0.68530120481927714</v>
      </c>
      <c r="T286" s="133">
        <v>0.7</v>
      </c>
    </row>
    <row r="287" spans="1:20" ht="15.75" hidden="1" customHeight="1" x14ac:dyDescent="0.3">
      <c r="A287" s="175" t="s">
        <v>58</v>
      </c>
      <c r="B287" s="176" t="s">
        <v>659</v>
      </c>
      <c r="C287" s="176" t="s">
        <v>80</v>
      </c>
      <c r="D287" s="176" t="s">
        <v>620</v>
      </c>
      <c r="E287" s="177">
        <v>3</v>
      </c>
      <c r="F287" s="176" t="s">
        <v>621</v>
      </c>
      <c r="G287" s="178"/>
      <c r="H287" s="176" t="s">
        <v>592</v>
      </c>
      <c r="I287" s="176" t="s">
        <v>561</v>
      </c>
      <c r="J287" s="176"/>
      <c r="K287" s="176" t="s">
        <v>593</v>
      </c>
      <c r="L287" s="176"/>
      <c r="M287" s="176"/>
      <c r="N287" s="179">
        <f t="shared" si="30"/>
        <v>442</v>
      </c>
      <c r="O287" s="179">
        <f t="shared" si="31"/>
        <v>269</v>
      </c>
      <c r="P287" s="180">
        <f t="shared" si="32"/>
        <v>711</v>
      </c>
      <c r="Q287" s="181">
        <f t="shared" si="33"/>
        <v>0.8566265060240964</v>
      </c>
      <c r="R287" s="122">
        <f t="shared" si="34"/>
        <v>142.20000000000002</v>
      </c>
      <c r="S287" s="122">
        <f t="shared" si="35"/>
        <v>0.68530120481927714</v>
      </c>
      <c r="T287" s="133">
        <v>0.7</v>
      </c>
    </row>
    <row r="288" spans="1:20" ht="15.75" hidden="1" customHeight="1" x14ac:dyDescent="0.3">
      <c r="A288" s="175" t="s">
        <v>58</v>
      </c>
      <c r="B288" s="176" t="s">
        <v>660</v>
      </c>
      <c r="C288" s="176" t="s">
        <v>73</v>
      </c>
      <c r="D288" s="176" t="s">
        <v>620</v>
      </c>
      <c r="E288" s="177">
        <v>24</v>
      </c>
      <c r="F288" s="176" t="s">
        <v>621</v>
      </c>
      <c r="G288" s="177">
        <v>24</v>
      </c>
      <c r="H288" s="176" t="s">
        <v>643</v>
      </c>
      <c r="I288" s="176" t="s">
        <v>579</v>
      </c>
      <c r="J288" s="176"/>
      <c r="K288" s="176" t="s">
        <v>565</v>
      </c>
      <c r="L288" s="176"/>
      <c r="M288" s="176"/>
      <c r="N288" s="179">
        <f t="shared" si="30"/>
        <v>297</v>
      </c>
      <c r="O288" s="179">
        <f t="shared" si="31"/>
        <v>310</v>
      </c>
      <c r="P288" s="180">
        <f t="shared" si="32"/>
        <v>607</v>
      </c>
      <c r="Q288" s="181">
        <f t="shared" si="33"/>
        <v>0.73132530120481931</v>
      </c>
      <c r="R288" s="122">
        <f t="shared" si="34"/>
        <v>121.4</v>
      </c>
      <c r="S288" s="122">
        <f t="shared" si="35"/>
        <v>0.58506024096385545</v>
      </c>
      <c r="T288" s="133">
        <v>0.6</v>
      </c>
    </row>
    <row r="289" spans="1:20" ht="15.75" hidden="1" customHeight="1" x14ac:dyDescent="0.3">
      <c r="A289" s="175" t="s">
        <v>58</v>
      </c>
      <c r="B289" s="176" t="s">
        <v>660</v>
      </c>
      <c r="C289" s="176" t="s">
        <v>87</v>
      </c>
      <c r="D289" s="176" t="s">
        <v>620</v>
      </c>
      <c r="E289" s="177">
        <v>5</v>
      </c>
      <c r="F289" s="176" t="s">
        <v>621</v>
      </c>
      <c r="G289" s="178"/>
      <c r="H289" s="176" t="s">
        <v>643</v>
      </c>
      <c r="I289" s="176" t="s">
        <v>579</v>
      </c>
      <c r="J289" s="176"/>
      <c r="K289" s="176" t="s">
        <v>565</v>
      </c>
      <c r="L289" s="176"/>
      <c r="M289" s="176"/>
      <c r="N289" s="179">
        <f t="shared" si="30"/>
        <v>297</v>
      </c>
      <c r="O289" s="179">
        <f t="shared" si="31"/>
        <v>310</v>
      </c>
      <c r="P289" s="180">
        <f t="shared" si="32"/>
        <v>607</v>
      </c>
      <c r="Q289" s="181">
        <f t="shared" si="33"/>
        <v>0.73132530120481931</v>
      </c>
      <c r="R289" s="122">
        <f t="shared" si="34"/>
        <v>121.4</v>
      </c>
      <c r="S289" s="122">
        <f t="shared" si="35"/>
        <v>0.58506024096385545</v>
      </c>
      <c r="T289" s="133">
        <v>0.6</v>
      </c>
    </row>
    <row r="290" spans="1:20" ht="15.75" hidden="1" customHeight="1" x14ac:dyDescent="0.3">
      <c r="A290" s="175" t="s">
        <v>58</v>
      </c>
      <c r="B290" s="176" t="s">
        <v>660</v>
      </c>
      <c r="C290" s="176" t="s">
        <v>79</v>
      </c>
      <c r="D290" s="176" t="s">
        <v>620</v>
      </c>
      <c r="E290" s="177">
        <v>8</v>
      </c>
      <c r="F290" s="176" t="s">
        <v>621</v>
      </c>
      <c r="G290" s="177">
        <v>8</v>
      </c>
      <c r="H290" s="176" t="s">
        <v>643</v>
      </c>
      <c r="I290" s="176" t="s">
        <v>579</v>
      </c>
      <c r="J290" s="176"/>
      <c r="K290" s="176" t="s">
        <v>565</v>
      </c>
      <c r="L290" s="176"/>
      <c r="M290" s="176"/>
      <c r="N290" s="179">
        <f t="shared" si="30"/>
        <v>297</v>
      </c>
      <c r="O290" s="179">
        <f t="shared" si="31"/>
        <v>310</v>
      </c>
      <c r="P290" s="180">
        <f t="shared" si="32"/>
        <v>607</v>
      </c>
      <c r="Q290" s="181">
        <f t="shared" si="33"/>
        <v>0.73132530120481931</v>
      </c>
      <c r="R290" s="122">
        <f t="shared" si="34"/>
        <v>121.4</v>
      </c>
      <c r="S290" s="122">
        <f t="shared" si="35"/>
        <v>0.58506024096385545</v>
      </c>
      <c r="T290" s="133">
        <v>0.6</v>
      </c>
    </row>
    <row r="291" spans="1:20" ht="15.75" hidden="1" customHeight="1" x14ac:dyDescent="0.3">
      <c r="A291" s="175" t="s">
        <v>58</v>
      </c>
      <c r="B291" s="176" t="s">
        <v>660</v>
      </c>
      <c r="C291" s="176" t="s">
        <v>100</v>
      </c>
      <c r="D291" s="176" t="s">
        <v>620</v>
      </c>
      <c r="E291" s="177">
        <v>64</v>
      </c>
      <c r="F291" s="176" t="s">
        <v>621</v>
      </c>
      <c r="G291" s="177">
        <v>32</v>
      </c>
      <c r="H291" s="176" t="s">
        <v>643</v>
      </c>
      <c r="I291" s="176" t="s">
        <v>579</v>
      </c>
      <c r="J291" s="176"/>
      <c r="K291" s="176" t="s">
        <v>565</v>
      </c>
      <c r="L291" s="176"/>
      <c r="M291" s="176"/>
      <c r="N291" s="179">
        <f t="shared" si="30"/>
        <v>297</v>
      </c>
      <c r="O291" s="179">
        <f t="shared" si="31"/>
        <v>310</v>
      </c>
      <c r="P291" s="180">
        <f t="shared" si="32"/>
        <v>607</v>
      </c>
      <c r="Q291" s="181">
        <f t="shared" si="33"/>
        <v>0.73132530120481931</v>
      </c>
      <c r="R291" s="122">
        <f t="shared" si="34"/>
        <v>121.4</v>
      </c>
      <c r="S291" s="122">
        <f t="shared" si="35"/>
        <v>0.58506024096385545</v>
      </c>
      <c r="T291" s="133">
        <v>0.6</v>
      </c>
    </row>
    <row r="292" spans="1:20" ht="15.75" hidden="1" customHeight="1" x14ac:dyDescent="0.3">
      <c r="A292" s="175" t="s">
        <v>58</v>
      </c>
      <c r="B292" s="176" t="s">
        <v>660</v>
      </c>
      <c r="C292" s="176" t="s">
        <v>80</v>
      </c>
      <c r="D292" s="176" t="s">
        <v>620</v>
      </c>
      <c r="E292" s="177">
        <v>1</v>
      </c>
      <c r="F292" s="176" t="s">
        <v>621</v>
      </c>
      <c r="G292" s="178"/>
      <c r="H292" s="176" t="s">
        <v>643</v>
      </c>
      <c r="I292" s="176" t="s">
        <v>579</v>
      </c>
      <c r="J292" s="176"/>
      <c r="K292" s="176" t="s">
        <v>565</v>
      </c>
      <c r="L292" s="176"/>
      <c r="M292" s="176"/>
      <c r="N292" s="179">
        <f t="shared" ref="N292:N355" si="36">SUMIFS($E$2:$E$896,$A$2:$A$896,"осень",$I$2:$I$896,I292)</f>
        <v>297</v>
      </c>
      <c r="O292" s="179">
        <f t="shared" ref="O292:O355" si="37">SUMIFS($E$2:$E$896,$A$2:$A$896,"весна",$I$2:$I$896,I292)</f>
        <v>310</v>
      </c>
      <c r="P292" s="180">
        <f t="shared" si="32"/>
        <v>607</v>
      </c>
      <c r="Q292" s="181">
        <f t="shared" si="33"/>
        <v>0.73132530120481931</v>
      </c>
      <c r="R292" s="122">
        <f t="shared" si="34"/>
        <v>121.4</v>
      </c>
      <c r="S292" s="122">
        <f t="shared" si="35"/>
        <v>0.58506024096385545</v>
      </c>
      <c r="T292" s="133">
        <v>0.6</v>
      </c>
    </row>
    <row r="293" spans="1:20" ht="15.75" hidden="1" customHeight="1" x14ac:dyDescent="0.3">
      <c r="A293" s="175" t="s">
        <v>58</v>
      </c>
      <c r="B293" s="176" t="s">
        <v>661</v>
      </c>
      <c r="C293" s="176" t="s">
        <v>73</v>
      </c>
      <c r="D293" s="176" t="s">
        <v>620</v>
      </c>
      <c r="E293" s="177">
        <v>20</v>
      </c>
      <c r="F293" s="176" t="s">
        <v>621</v>
      </c>
      <c r="G293" s="177">
        <v>20</v>
      </c>
      <c r="H293" s="176" t="s">
        <v>619</v>
      </c>
      <c r="I293" s="176" t="s">
        <v>581</v>
      </c>
      <c r="J293" s="176"/>
      <c r="K293" s="176" t="s">
        <v>593</v>
      </c>
      <c r="L293" s="176"/>
      <c r="M293" s="176"/>
      <c r="N293" s="179">
        <f t="shared" si="36"/>
        <v>276</v>
      </c>
      <c r="O293" s="179">
        <f t="shared" si="37"/>
        <v>323</v>
      </c>
      <c r="P293" s="180">
        <f t="shared" si="32"/>
        <v>599</v>
      </c>
      <c r="Q293" s="181">
        <f t="shared" si="33"/>
        <v>0.72168674698795177</v>
      </c>
      <c r="R293" s="122">
        <f t="shared" si="34"/>
        <v>119.80000000000001</v>
      </c>
      <c r="S293" s="122">
        <f t="shared" si="35"/>
        <v>0.57734939759036141</v>
      </c>
      <c r="T293" s="133">
        <v>0.55000000000000004</v>
      </c>
    </row>
    <row r="294" spans="1:20" ht="15.75" hidden="1" customHeight="1" x14ac:dyDescent="0.3">
      <c r="A294" s="175" t="s">
        <v>58</v>
      </c>
      <c r="B294" s="176" t="s">
        <v>661</v>
      </c>
      <c r="C294" s="176" t="s">
        <v>87</v>
      </c>
      <c r="D294" s="176" t="s">
        <v>620</v>
      </c>
      <c r="E294" s="177">
        <v>5</v>
      </c>
      <c r="F294" s="176" t="s">
        <v>621</v>
      </c>
      <c r="G294" s="178"/>
      <c r="H294" s="176" t="s">
        <v>619</v>
      </c>
      <c r="I294" s="176" t="s">
        <v>581</v>
      </c>
      <c r="J294" s="176"/>
      <c r="K294" s="176" t="s">
        <v>593</v>
      </c>
      <c r="L294" s="176"/>
      <c r="M294" s="176"/>
      <c r="N294" s="179">
        <f t="shared" si="36"/>
        <v>276</v>
      </c>
      <c r="O294" s="179">
        <f t="shared" si="37"/>
        <v>323</v>
      </c>
      <c r="P294" s="180">
        <f t="shared" si="32"/>
        <v>599</v>
      </c>
      <c r="Q294" s="181">
        <f t="shared" si="33"/>
        <v>0.72168674698795177</v>
      </c>
      <c r="R294" s="122">
        <f t="shared" si="34"/>
        <v>119.80000000000001</v>
      </c>
      <c r="S294" s="122">
        <f t="shared" si="35"/>
        <v>0.57734939759036141</v>
      </c>
      <c r="T294" s="133">
        <v>0.55000000000000004</v>
      </c>
    </row>
    <row r="295" spans="1:20" ht="15.75" hidden="1" customHeight="1" x14ac:dyDescent="0.3">
      <c r="A295" s="175" t="s">
        <v>58</v>
      </c>
      <c r="B295" s="176" t="s">
        <v>661</v>
      </c>
      <c r="C295" s="176" t="s">
        <v>79</v>
      </c>
      <c r="D295" s="176" t="s">
        <v>620</v>
      </c>
      <c r="E295" s="177">
        <v>12</v>
      </c>
      <c r="F295" s="176" t="s">
        <v>621</v>
      </c>
      <c r="G295" s="177">
        <v>12</v>
      </c>
      <c r="H295" s="176" t="s">
        <v>619</v>
      </c>
      <c r="I295" s="176" t="s">
        <v>581</v>
      </c>
      <c r="J295" s="176"/>
      <c r="K295" s="176" t="s">
        <v>593</v>
      </c>
      <c r="L295" s="176"/>
      <c r="M295" s="176"/>
      <c r="N295" s="179">
        <f t="shared" si="36"/>
        <v>276</v>
      </c>
      <c r="O295" s="179">
        <f t="shared" si="37"/>
        <v>323</v>
      </c>
      <c r="P295" s="180">
        <f t="shared" si="32"/>
        <v>599</v>
      </c>
      <c r="Q295" s="181">
        <f t="shared" si="33"/>
        <v>0.72168674698795177</v>
      </c>
      <c r="R295" s="122">
        <f t="shared" si="34"/>
        <v>119.80000000000001</v>
      </c>
      <c r="S295" s="122">
        <f t="shared" si="35"/>
        <v>0.57734939759036141</v>
      </c>
      <c r="T295" s="133">
        <v>0.55000000000000004</v>
      </c>
    </row>
    <row r="296" spans="1:20" ht="15.75" hidden="1" customHeight="1" x14ac:dyDescent="0.3">
      <c r="A296" s="175" t="s">
        <v>58</v>
      </c>
      <c r="B296" s="176" t="s">
        <v>661</v>
      </c>
      <c r="C296" s="176" t="s">
        <v>100</v>
      </c>
      <c r="D296" s="176" t="s">
        <v>620</v>
      </c>
      <c r="E296" s="177">
        <v>16</v>
      </c>
      <c r="F296" s="176" t="s">
        <v>621</v>
      </c>
      <c r="G296" s="177">
        <v>8</v>
      </c>
      <c r="H296" s="176" t="s">
        <v>619</v>
      </c>
      <c r="I296" s="176" t="s">
        <v>581</v>
      </c>
      <c r="J296" s="176"/>
      <c r="K296" s="176" t="s">
        <v>593</v>
      </c>
      <c r="L296" s="176"/>
      <c r="M296" s="176"/>
      <c r="N296" s="179">
        <f t="shared" si="36"/>
        <v>276</v>
      </c>
      <c r="O296" s="179">
        <f t="shared" si="37"/>
        <v>323</v>
      </c>
      <c r="P296" s="180">
        <f t="shared" si="32"/>
        <v>599</v>
      </c>
      <c r="Q296" s="181">
        <f t="shared" si="33"/>
        <v>0.72168674698795177</v>
      </c>
      <c r="R296" s="122">
        <f t="shared" si="34"/>
        <v>119.80000000000001</v>
      </c>
      <c r="S296" s="122">
        <f t="shared" si="35"/>
        <v>0.57734939759036141</v>
      </c>
      <c r="T296" s="133">
        <v>0.55000000000000004</v>
      </c>
    </row>
    <row r="297" spans="1:20" ht="15.75" hidden="1" customHeight="1" x14ac:dyDescent="0.3">
      <c r="A297" s="175" t="s">
        <v>58</v>
      </c>
      <c r="B297" s="176" t="s">
        <v>661</v>
      </c>
      <c r="C297" s="176" t="s">
        <v>80</v>
      </c>
      <c r="D297" s="176" t="s">
        <v>620</v>
      </c>
      <c r="E297" s="177">
        <v>1</v>
      </c>
      <c r="F297" s="176" t="s">
        <v>621</v>
      </c>
      <c r="G297" s="178"/>
      <c r="H297" s="176" t="s">
        <v>619</v>
      </c>
      <c r="I297" s="176" t="s">
        <v>581</v>
      </c>
      <c r="J297" s="176"/>
      <c r="K297" s="176" t="s">
        <v>593</v>
      </c>
      <c r="L297" s="176"/>
      <c r="M297" s="176"/>
      <c r="N297" s="179">
        <f t="shared" si="36"/>
        <v>276</v>
      </c>
      <c r="O297" s="179">
        <f t="shared" si="37"/>
        <v>323</v>
      </c>
      <c r="P297" s="180">
        <f t="shared" si="32"/>
        <v>599</v>
      </c>
      <c r="Q297" s="181">
        <f t="shared" si="33"/>
        <v>0.72168674698795177</v>
      </c>
      <c r="R297" s="122">
        <f t="shared" si="34"/>
        <v>119.80000000000001</v>
      </c>
      <c r="S297" s="122">
        <f t="shared" si="35"/>
        <v>0.57734939759036141</v>
      </c>
      <c r="T297" s="133">
        <v>0.55000000000000004</v>
      </c>
    </row>
    <row r="298" spans="1:20" ht="15.75" hidden="1" customHeight="1" x14ac:dyDescent="0.3">
      <c r="A298" s="175" t="s">
        <v>58</v>
      </c>
      <c r="B298" s="176" t="s">
        <v>662</v>
      </c>
      <c r="C298" s="176" t="s">
        <v>73</v>
      </c>
      <c r="D298" s="176" t="s">
        <v>663</v>
      </c>
      <c r="E298" s="177">
        <v>30</v>
      </c>
      <c r="F298" s="176" t="s">
        <v>664</v>
      </c>
      <c r="G298" s="177">
        <v>30</v>
      </c>
      <c r="H298" s="176" t="s">
        <v>622</v>
      </c>
      <c r="I298" s="176" t="s">
        <v>562</v>
      </c>
      <c r="J298" s="176"/>
      <c r="K298" s="176" t="s">
        <v>565</v>
      </c>
      <c r="L298" s="176"/>
      <c r="M298" s="176"/>
      <c r="N298" s="179">
        <f t="shared" si="36"/>
        <v>438</v>
      </c>
      <c r="O298" s="179">
        <f t="shared" si="37"/>
        <v>361</v>
      </c>
      <c r="P298" s="180">
        <f t="shared" si="32"/>
        <v>799</v>
      </c>
      <c r="Q298" s="181">
        <f t="shared" si="33"/>
        <v>0.96265060240963851</v>
      </c>
      <c r="R298" s="122">
        <f t="shared" si="34"/>
        <v>159.80000000000001</v>
      </c>
      <c r="S298" s="122">
        <f t="shared" si="35"/>
        <v>0.77012048192771088</v>
      </c>
      <c r="T298" s="133">
        <v>0.75</v>
      </c>
    </row>
    <row r="299" spans="1:20" ht="15.75" hidden="1" customHeight="1" x14ac:dyDescent="0.3">
      <c r="A299" s="175" t="s">
        <v>58</v>
      </c>
      <c r="B299" s="176" t="s">
        <v>662</v>
      </c>
      <c r="C299" s="176" t="s">
        <v>87</v>
      </c>
      <c r="D299" s="176" t="s">
        <v>602</v>
      </c>
      <c r="E299" s="177">
        <v>3</v>
      </c>
      <c r="F299" s="176" t="s">
        <v>664</v>
      </c>
      <c r="G299" s="178"/>
      <c r="H299" s="176" t="s">
        <v>622</v>
      </c>
      <c r="I299" s="176" t="s">
        <v>562</v>
      </c>
      <c r="J299" s="176"/>
      <c r="K299" s="176" t="s">
        <v>565</v>
      </c>
      <c r="L299" s="176"/>
      <c r="M299" s="176"/>
      <c r="N299" s="179">
        <f t="shared" si="36"/>
        <v>438</v>
      </c>
      <c r="O299" s="179">
        <f t="shared" si="37"/>
        <v>361</v>
      </c>
      <c r="P299" s="180">
        <f t="shared" si="32"/>
        <v>799</v>
      </c>
      <c r="Q299" s="181">
        <f t="shared" si="33"/>
        <v>0.96265060240963851</v>
      </c>
      <c r="R299" s="122">
        <f t="shared" si="34"/>
        <v>159.80000000000001</v>
      </c>
      <c r="S299" s="122">
        <f t="shared" si="35"/>
        <v>0.77012048192771088</v>
      </c>
      <c r="T299" s="133">
        <v>0.75</v>
      </c>
    </row>
    <row r="300" spans="1:20" ht="15.75" hidden="1" customHeight="1" x14ac:dyDescent="0.3">
      <c r="A300" s="175" t="s">
        <v>58</v>
      </c>
      <c r="B300" s="176" t="s">
        <v>662</v>
      </c>
      <c r="C300" s="176" t="s">
        <v>87</v>
      </c>
      <c r="D300" s="176" t="s">
        <v>620</v>
      </c>
      <c r="E300" s="177">
        <v>4</v>
      </c>
      <c r="F300" s="176" t="s">
        <v>664</v>
      </c>
      <c r="G300" s="178"/>
      <c r="H300" s="176" t="s">
        <v>622</v>
      </c>
      <c r="I300" s="176" t="s">
        <v>562</v>
      </c>
      <c r="J300" s="176"/>
      <c r="K300" s="176" t="s">
        <v>565</v>
      </c>
      <c r="L300" s="176"/>
      <c r="M300" s="176"/>
      <c r="N300" s="179">
        <f t="shared" si="36"/>
        <v>438</v>
      </c>
      <c r="O300" s="179">
        <f t="shared" si="37"/>
        <v>361</v>
      </c>
      <c r="P300" s="180">
        <f t="shared" si="32"/>
        <v>799</v>
      </c>
      <c r="Q300" s="181">
        <f t="shared" si="33"/>
        <v>0.96265060240963851</v>
      </c>
      <c r="R300" s="122">
        <f t="shared" si="34"/>
        <v>159.80000000000001</v>
      </c>
      <c r="S300" s="122">
        <f t="shared" si="35"/>
        <v>0.77012048192771088</v>
      </c>
      <c r="T300" s="133">
        <v>0.75</v>
      </c>
    </row>
    <row r="301" spans="1:20" ht="15.75" customHeight="1" x14ac:dyDescent="0.3">
      <c r="A301" s="175" t="s">
        <v>58</v>
      </c>
      <c r="B301" s="188" t="s">
        <v>662</v>
      </c>
      <c r="C301" s="188" t="s">
        <v>87</v>
      </c>
      <c r="D301" s="188" t="s">
        <v>620</v>
      </c>
      <c r="E301" s="189">
        <v>1</v>
      </c>
      <c r="F301" s="188" t="s">
        <v>664</v>
      </c>
      <c r="G301" s="190"/>
      <c r="H301" s="188"/>
      <c r="I301" s="188" t="s">
        <v>510</v>
      </c>
      <c r="J301" s="176"/>
      <c r="K301" s="176" t="s">
        <v>593</v>
      </c>
      <c r="L301" s="176"/>
      <c r="M301" s="176"/>
      <c r="N301" s="179">
        <f t="shared" si="36"/>
        <v>337</v>
      </c>
      <c r="O301" s="179">
        <f t="shared" si="37"/>
        <v>205</v>
      </c>
      <c r="P301" s="180">
        <f t="shared" si="32"/>
        <v>542</v>
      </c>
      <c r="Q301" s="181">
        <f t="shared" si="33"/>
        <v>0.65301204819277103</v>
      </c>
      <c r="R301" s="122">
        <f t="shared" si="34"/>
        <v>108.4</v>
      </c>
      <c r="S301" s="122">
        <f t="shared" si="35"/>
        <v>0.52240963855421685</v>
      </c>
      <c r="T301" s="133">
        <v>0.65</v>
      </c>
    </row>
    <row r="302" spans="1:20" ht="15.75" hidden="1" customHeight="1" x14ac:dyDescent="0.3">
      <c r="A302" s="175" t="s">
        <v>58</v>
      </c>
      <c r="B302" s="176" t="s">
        <v>662</v>
      </c>
      <c r="C302" s="176" t="s">
        <v>87</v>
      </c>
      <c r="D302" s="176" t="s">
        <v>616</v>
      </c>
      <c r="E302" s="177">
        <v>4</v>
      </c>
      <c r="F302" s="176" t="s">
        <v>664</v>
      </c>
      <c r="G302" s="178"/>
      <c r="H302" s="176" t="s">
        <v>622</v>
      </c>
      <c r="I302" s="176" t="s">
        <v>562</v>
      </c>
      <c r="J302" s="176"/>
      <c r="K302" s="176" t="s">
        <v>565</v>
      </c>
      <c r="L302" s="176"/>
      <c r="M302" s="176"/>
      <c r="N302" s="179">
        <f t="shared" si="36"/>
        <v>438</v>
      </c>
      <c r="O302" s="179">
        <f t="shared" si="37"/>
        <v>361</v>
      </c>
      <c r="P302" s="180">
        <f t="shared" si="32"/>
        <v>799</v>
      </c>
      <c r="Q302" s="181">
        <f t="shared" si="33"/>
        <v>0.96265060240963851</v>
      </c>
      <c r="R302" s="122">
        <f t="shared" si="34"/>
        <v>159.80000000000001</v>
      </c>
      <c r="S302" s="122">
        <f t="shared" si="35"/>
        <v>0.77012048192771088</v>
      </c>
      <c r="T302" s="133">
        <v>0.75</v>
      </c>
    </row>
    <row r="303" spans="1:20" ht="15.75" customHeight="1" x14ac:dyDescent="0.3">
      <c r="A303" s="175" t="s">
        <v>58</v>
      </c>
      <c r="B303" s="188" t="s">
        <v>662</v>
      </c>
      <c r="C303" s="188" t="s">
        <v>87</v>
      </c>
      <c r="D303" s="188" t="s">
        <v>616</v>
      </c>
      <c r="E303" s="189">
        <v>1</v>
      </c>
      <c r="F303" s="188" t="s">
        <v>664</v>
      </c>
      <c r="G303" s="190"/>
      <c r="H303" s="188"/>
      <c r="I303" s="188" t="s">
        <v>510</v>
      </c>
      <c r="J303" s="176"/>
      <c r="K303" s="176" t="s">
        <v>593</v>
      </c>
      <c r="L303" s="176"/>
      <c r="M303" s="176"/>
      <c r="N303" s="179">
        <f t="shared" si="36"/>
        <v>337</v>
      </c>
      <c r="O303" s="179">
        <f t="shared" si="37"/>
        <v>205</v>
      </c>
      <c r="P303" s="180">
        <f t="shared" si="32"/>
        <v>542</v>
      </c>
      <c r="Q303" s="181">
        <f t="shared" si="33"/>
        <v>0.65301204819277103</v>
      </c>
      <c r="R303" s="122">
        <f t="shared" si="34"/>
        <v>108.4</v>
      </c>
      <c r="S303" s="122">
        <f t="shared" si="35"/>
        <v>0.52240963855421685</v>
      </c>
      <c r="T303" s="133">
        <v>0.65</v>
      </c>
    </row>
    <row r="304" spans="1:20" ht="15.75" hidden="1" customHeight="1" x14ac:dyDescent="0.3">
      <c r="A304" s="175" t="s">
        <v>58</v>
      </c>
      <c r="B304" s="176" t="s">
        <v>662</v>
      </c>
      <c r="C304" s="176" t="s">
        <v>87</v>
      </c>
      <c r="D304" s="176" t="s">
        <v>618</v>
      </c>
      <c r="E304" s="177">
        <v>4</v>
      </c>
      <c r="F304" s="176" t="s">
        <v>664</v>
      </c>
      <c r="G304" s="178"/>
      <c r="H304" s="176" t="s">
        <v>622</v>
      </c>
      <c r="I304" s="176" t="s">
        <v>562</v>
      </c>
      <c r="J304" s="176"/>
      <c r="K304" s="176" t="s">
        <v>565</v>
      </c>
      <c r="L304" s="176"/>
      <c r="M304" s="176"/>
      <c r="N304" s="179">
        <f t="shared" si="36"/>
        <v>438</v>
      </c>
      <c r="O304" s="179">
        <f t="shared" si="37"/>
        <v>361</v>
      </c>
      <c r="P304" s="180">
        <f t="shared" si="32"/>
        <v>799</v>
      </c>
      <c r="Q304" s="181">
        <f t="shared" si="33"/>
        <v>0.96265060240963851</v>
      </c>
      <c r="R304" s="122">
        <f t="shared" si="34"/>
        <v>159.80000000000001</v>
      </c>
      <c r="S304" s="122">
        <f t="shared" si="35"/>
        <v>0.77012048192771088</v>
      </c>
      <c r="T304" s="133">
        <v>0.75</v>
      </c>
    </row>
    <row r="305" spans="1:20" ht="15.75" hidden="1" customHeight="1" x14ac:dyDescent="0.3">
      <c r="A305" s="175" t="s">
        <v>58</v>
      </c>
      <c r="B305" s="176" t="s">
        <v>662</v>
      </c>
      <c r="C305" s="176" t="s">
        <v>87</v>
      </c>
      <c r="D305" s="176" t="s">
        <v>617</v>
      </c>
      <c r="E305" s="177">
        <v>4</v>
      </c>
      <c r="F305" s="176" t="s">
        <v>664</v>
      </c>
      <c r="G305" s="178"/>
      <c r="H305" s="176" t="s">
        <v>622</v>
      </c>
      <c r="I305" s="176" t="s">
        <v>562</v>
      </c>
      <c r="J305" s="176"/>
      <c r="K305" s="176" t="s">
        <v>565</v>
      </c>
      <c r="L305" s="176"/>
      <c r="M305" s="176"/>
      <c r="N305" s="179">
        <f t="shared" si="36"/>
        <v>438</v>
      </c>
      <c r="O305" s="179">
        <f t="shared" si="37"/>
        <v>361</v>
      </c>
      <c r="P305" s="180">
        <f t="shared" si="32"/>
        <v>799</v>
      </c>
      <c r="Q305" s="181">
        <f t="shared" si="33"/>
        <v>0.96265060240963851</v>
      </c>
      <c r="R305" s="122">
        <f t="shared" si="34"/>
        <v>159.80000000000001</v>
      </c>
      <c r="S305" s="122">
        <f t="shared" si="35"/>
        <v>0.77012048192771088</v>
      </c>
      <c r="T305" s="133">
        <v>0.75</v>
      </c>
    </row>
    <row r="306" spans="1:20" ht="15.75" hidden="1" customHeight="1" x14ac:dyDescent="0.3">
      <c r="A306" s="175" t="s">
        <v>58</v>
      </c>
      <c r="B306" s="176" t="s">
        <v>662</v>
      </c>
      <c r="C306" s="176" t="s">
        <v>87</v>
      </c>
      <c r="D306" s="176" t="s">
        <v>617</v>
      </c>
      <c r="E306" s="177">
        <v>1</v>
      </c>
      <c r="F306" s="176" t="s">
        <v>664</v>
      </c>
      <c r="G306" s="178"/>
      <c r="H306" s="176" t="s">
        <v>622</v>
      </c>
      <c r="I306" s="176" t="s">
        <v>562</v>
      </c>
      <c r="J306" s="176"/>
      <c r="K306" s="176" t="s">
        <v>565</v>
      </c>
      <c r="L306" s="176"/>
      <c r="M306" s="176"/>
      <c r="N306" s="179">
        <f t="shared" si="36"/>
        <v>438</v>
      </c>
      <c r="O306" s="179">
        <f t="shared" si="37"/>
        <v>361</v>
      </c>
      <c r="P306" s="180">
        <f t="shared" si="32"/>
        <v>799</v>
      </c>
      <c r="Q306" s="181">
        <f t="shared" si="33"/>
        <v>0.96265060240963851</v>
      </c>
      <c r="R306" s="122">
        <f t="shared" si="34"/>
        <v>159.80000000000001</v>
      </c>
      <c r="S306" s="122">
        <f t="shared" si="35"/>
        <v>0.77012048192771088</v>
      </c>
      <c r="T306" s="133">
        <v>0.75</v>
      </c>
    </row>
    <row r="307" spans="1:20" ht="15.75" hidden="1" customHeight="1" x14ac:dyDescent="0.3">
      <c r="A307" s="175" t="s">
        <v>58</v>
      </c>
      <c r="B307" s="176" t="s">
        <v>662</v>
      </c>
      <c r="C307" s="176" t="s">
        <v>87</v>
      </c>
      <c r="D307" s="176" t="s">
        <v>655</v>
      </c>
      <c r="E307" s="177">
        <v>4</v>
      </c>
      <c r="F307" s="176" t="s">
        <v>664</v>
      </c>
      <c r="G307" s="178"/>
      <c r="H307" s="176" t="s">
        <v>622</v>
      </c>
      <c r="I307" s="176" t="s">
        <v>562</v>
      </c>
      <c r="J307" s="176"/>
      <c r="K307" s="176" t="s">
        <v>565</v>
      </c>
      <c r="L307" s="176"/>
      <c r="M307" s="176"/>
      <c r="N307" s="179">
        <f t="shared" si="36"/>
        <v>438</v>
      </c>
      <c r="O307" s="179">
        <f t="shared" si="37"/>
        <v>361</v>
      </c>
      <c r="P307" s="180">
        <f t="shared" si="32"/>
        <v>799</v>
      </c>
      <c r="Q307" s="181">
        <f t="shared" si="33"/>
        <v>0.96265060240963851</v>
      </c>
      <c r="R307" s="122">
        <f t="shared" si="34"/>
        <v>159.80000000000001</v>
      </c>
      <c r="S307" s="122">
        <f t="shared" si="35"/>
        <v>0.77012048192771088</v>
      </c>
      <c r="T307" s="133">
        <v>0.75</v>
      </c>
    </row>
    <row r="308" spans="1:20" ht="15.75" customHeight="1" x14ac:dyDescent="0.3">
      <c r="A308" s="175" t="s">
        <v>58</v>
      </c>
      <c r="B308" s="188" t="s">
        <v>662</v>
      </c>
      <c r="C308" s="188" t="s">
        <v>87</v>
      </c>
      <c r="D308" s="188" t="s">
        <v>655</v>
      </c>
      <c r="E308" s="189">
        <v>1</v>
      </c>
      <c r="F308" s="188" t="s">
        <v>664</v>
      </c>
      <c r="G308" s="190"/>
      <c r="H308" s="188"/>
      <c r="I308" s="188" t="s">
        <v>510</v>
      </c>
      <c r="J308" s="176"/>
      <c r="K308" s="176" t="s">
        <v>593</v>
      </c>
      <c r="L308" s="176"/>
      <c r="M308" s="176"/>
      <c r="N308" s="179">
        <f t="shared" si="36"/>
        <v>337</v>
      </c>
      <c r="O308" s="179">
        <f t="shared" si="37"/>
        <v>205</v>
      </c>
      <c r="P308" s="180">
        <f t="shared" si="32"/>
        <v>542</v>
      </c>
      <c r="Q308" s="181">
        <f t="shared" si="33"/>
        <v>0.65301204819277103</v>
      </c>
      <c r="R308" s="122">
        <f t="shared" si="34"/>
        <v>108.4</v>
      </c>
      <c r="S308" s="122">
        <f t="shared" si="35"/>
        <v>0.52240963855421685</v>
      </c>
      <c r="T308" s="133">
        <v>0.65</v>
      </c>
    </row>
    <row r="309" spans="1:20" ht="15.75" hidden="1" customHeight="1" x14ac:dyDescent="0.3">
      <c r="A309" s="175" t="s">
        <v>58</v>
      </c>
      <c r="B309" s="176" t="s">
        <v>662</v>
      </c>
      <c r="C309" s="176" t="s">
        <v>87</v>
      </c>
      <c r="D309" s="176" t="s">
        <v>656</v>
      </c>
      <c r="E309" s="177">
        <v>4</v>
      </c>
      <c r="F309" s="176" t="s">
        <v>664</v>
      </c>
      <c r="G309" s="178"/>
      <c r="H309" s="176" t="s">
        <v>622</v>
      </c>
      <c r="I309" s="176" t="s">
        <v>562</v>
      </c>
      <c r="J309" s="176"/>
      <c r="K309" s="176" t="s">
        <v>565</v>
      </c>
      <c r="L309" s="176"/>
      <c r="M309" s="176"/>
      <c r="N309" s="179">
        <f t="shared" si="36"/>
        <v>438</v>
      </c>
      <c r="O309" s="179">
        <f t="shared" si="37"/>
        <v>361</v>
      </c>
      <c r="P309" s="180">
        <f t="shared" si="32"/>
        <v>799</v>
      </c>
      <c r="Q309" s="181">
        <f t="shared" si="33"/>
        <v>0.96265060240963851</v>
      </c>
      <c r="R309" s="122">
        <f t="shared" si="34"/>
        <v>159.80000000000001</v>
      </c>
      <c r="S309" s="122">
        <f t="shared" si="35"/>
        <v>0.77012048192771088</v>
      </c>
      <c r="T309" s="133">
        <v>0.75</v>
      </c>
    </row>
    <row r="310" spans="1:20" ht="15.75" hidden="1" customHeight="1" x14ac:dyDescent="0.3">
      <c r="A310" s="175" t="s">
        <v>58</v>
      </c>
      <c r="B310" s="182" t="s">
        <v>662</v>
      </c>
      <c r="C310" s="182" t="s">
        <v>79</v>
      </c>
      <c r="D310" s="182" t="s">
        <v>602</v>
      </c>
      <c r="E310" s="183">
        <v>4</v>
      </c>
      <c r="F310" s="182" t="s">
        <v>664</v>
      </c>
      <c r="G310" s="183">
        <v>8</v>
      </c>
      <c r="H310" s="182" t="s">
        <v>641</v>
      </c>
      <c r="I310" s="182" t="s">
        <v>575</v>
      </c>
      <c r="J310" s="176"/>
      <c r="K310" s="176" t="s">
        <v>593</v>
      </c>
      <c r="L310" s="176"/>
      <c r="M310" s="176"/>
      <c r="N310" s="179">
        <f t="shared" si="36"/>
        <v>78</v>
      </c>
      <c r="O310" s="179">
        <f t="shared" si="37"/>
        <v>240.5</v>
      </c>
      <c r="P310" s="180">
        <f t="shared" si="32"/>
        <v>318.5</v>
      </c>
      <c r="Q310" s="181">
        <f t="shared" si="33"/>
        <v>0.38373493975903616</v>
      </c>
      <c r="R310" s="122">
        <f t="shared" si="34"/>
        <v>63.7</v>
      </c>
      <c r="S310" s="122">
        <f t="shared" si="35"/>
        <v>0.30698795180722893</v>
      </c>
      <c r="T310" s="133">
        <v>0.35</v>
      </c>
    </row>
    <row r="311" spans="1:20" ht="15.75" hidden="1" customHeight="1" x14ac:dyDescent="0.3">
      <c r="A311" s="175" t="s">
        <v>58</v>
      </c>
      <c r="B311" s="176" t="s">
        <v>662</v>
      </c>
      <c r="C311" s="176" t="s">
        <v>79</v>
      </c>
      <c r="D311" s="176" t="s">
        <v>602</v>
      </c>
      <c r="E311" s="177">
        <v>4</v>
      </c>
      <c r="F311" s="176" t="s">
        <v>664</v>
      </c>
      <c r="G311" s="177">
        <v>8</v>
      </c>
      <c r="H311" s="176" t="s">
        <v>642</v>
      </c>
      <c r="I311" s="176" t="s">
        <v>572</v>
      </c>
      <c r="J311" s="176"/>
      <c r="K311" s="176" t="s">
        <v>593</v>
      </c>
      <c r="L311" s="176"/>
      <c r="M311" s="176"/>
      <c r="N311" s="179">
        <f t="shared" si="36"/>
        <v>410</v>
      </c>
      <c r="O311" s="179">
        <f t="shared" si="37"/>
        <v>260</v>
      </c>
      <c r="P311" s="180">
        <f t="shared" si="32"/>
        <v>670</v>
      </c>
      <c r="Q311" s="181">
        <f t="shared" si="33"/>
        <v>0.80722891566265065</v>
      </c>
      <c r="R311" s="122">
        <f t="shared" si="34"/>
        <v>134</v>
      </c>
      <c r="S311" s="122">
        <f t="shared" si="35"/>
        <v>0.64578313253012054</v>
      </c>
      <c r="T311" s="133">
        <v>0.55000000000000004</v>
      </c>
    </row>
    <row r="312" spans="1:20" ht="15.75" hidden="1" customHeight="1" x14ac:dyDescent="0.3">
      <c r="A312" s="175" t="s">
        <v>58</v>
      </c>
      <c r="B312" s="176" t="s">
        <v>662</v>
      </c>
      <c r="C312" s="176" t="s">
        <v>79</v>
      </c>
      <c r="D312" s="176" t="s">
        <v>620</v>
      </c>
      <c r="E312" s="177">
        <v>4</v>
      </c>
      <c r="F312" s="176" t="s">
        <v>664</v>
      </c>
      <c r="G312" s="177">
        <v>8</v>
      </c>
      <c r="H312" s="176" t="s">
        <v>642</v>
      </c>
      <c r="I312" s="176" t="s">
        <v>572</v>
      </c>
      <c r="J312" s="176"/>
      <c r="K312" s="176" t="s">
        <v>593</v>
      </c>
      <c r="L312" s="176"/>
      <c r="M312" s="176"/>
      <c r="N312" s="179">
        <f t="shared" si="36"/>
        <v>410</v>
      </c>
      <c r="O312" s="179">
        <f t="shared" si="37"/>
        <v>260</v>
      </c>
      <c r="P312" s="180">
        <f t="shared" si="32"/>
        <v>670</v>
      </c>
      <c r="Q312" s="181">
        <f t="shared" si="33"/>
        <v>0.80722891566265065</v>
      </c>
      <c r="R312" s="122">
        <f t="shared" si="34"/>
        <v>134</v>
      </c>
      <c r="S312" s="122">
        <f t="shared" si="35"/>
        <v>0.64578313253012054</v>
      </c>
      <c r="T312" s="133">
        <v>0.55000000000000004</v>
      </c>
    </row>
    <row r="313" spans="1:20" ht="15.75" hidden="1" customHeight="1" x14ac:dyDescent="0.3">
      <c r="A313" s="175" t="s">
        <v>58</v>
      </c>
      <c r="B313" s="182" t="s">
        <v>662</v>
      </c>
      <c r="C313" s="182" t="s">
        <v>79</v>
      </c>
      <c r="D313" s="182" t="s">
        <v>620</v>
      </c>
      <c r="E313" s="183">
        <v>4</v>
      </c>
      <c r="F313" s="182" t="s">
        <v>664</v>
      </c>
      <c r="G313" s="183">
        <v>8</v>
      </c>
      <c r="H313" s="182" t="s">
        <v>641</v>
      </c>
      <c r="I313" s="182" t="s">
        <v>575</v>
      </c>
      <c r="J313" s="176"/>
      <c r="K313" s="176" t="s">
        <v>593</v>
      </c>
      <c r="L313" s="176"/>
      <c r="M313" s="176"/>
      <c r="N313" s="179">
        <f t="shared" si="36"/>
        <v>78</v>
      </c>
      <c r="O313" s="179">
        <f t="shared" si="37"/>
        <v>240.5</v>
      </c>
      <c r="P313" s="180">
        <f t="shared" si="32"/>
        <v>318.5</v>
      </c>
      <c r="Q313" s="181">
        <f t="shared" si="33"/>
        <v>0.38373493975903616</v>
      </c>
      <c r="R313" s="122">
        <f t="shared" si="34"/>
        <v>63.7</v>
      </c>
      <c r="S313" s="122">
        <f t="shared" si="35"/>
        <v>0.30698795180722893</v>
      </c>
      <c r="T313" s="133">
        <v>0.35</v>
      </c>
    </row>
    <row r="314" spans="1:20" ht="15.75" hidden="1" customHeight="1" x14ac:dyDescent="0.3">
      <c r="A314" s="175" t="s">
        <v>58</v>
      </c>
      <c r="B314" s="182" t="s">
        <v>662</v>
      </c>
      <c r="C314" s="182" t="s">
        <v>79</v>
      </c>
      <c r="D314" s="182" t="s">
        <v>616</v>
      </c>
      <c r="E314" s="183">
        <v>4</v>
      </c>
      <c r="F314" s="182" t="s">
        <v>664</v>
      </c>
      <c r="G314" s="183">
        <v>8</v>
      </c>
      <c r="H314" s="182" t="s">
        <v>641</v>
      </c>
      <c r="I314" s="182" t="s">
        <v>575</v>
      </c>
      <c r="J314" s="176"/>
      <c r="K314" s="176" t="s">
        <v>593</v>
      </c>
      <c r="L314" s="176"/>
      <c r="M314" s="176"/>
      <c r="N314" s="179">
        <f t="shared" si="36"/>
        <v>78</v>
      </c>
      <c r="O314" s="179">
        <f t="shared" si="37"/>
        <v>240.5</v>
      </c>
      <c r="P314" s="180">
        <f t="shared" si="32"/>
        <v>318.5</v>
      </c>
      <c r="Q314" s="181">
        <f t="shared" si="33"/>
        <v>0.38373493975903616</v>
      </c>
      <c r="R314" s="122">
        <f t="shared" si="34"/>
        <v>63.7</v>
      </c>
      <c r="S314" s="122">
        <f t="shared" si="35"/>
        <v>0.30698795180722893</v>
      </c>
      <c r="T314" s="133">
        <v>0.35</v>
      </c>
    </row>
    <row r="315" spans="1:20" ht="15.75" hidden="1" customHeight="1" x14ac:dyDescent="0.3">
      <c r="A315" s="175" t="s">
        <v>58</v>
      </c>
      <c r="B315" s="176" t="s">
        <v>662</v>
      </c>
      <c r="C315" s="176" t="s">
        <v>79</v>
      </c>
      <c r="D315" s="176" t="s">
        <v>616</v>
      </c>
      <c r="E315" s="177">
        <v>4</v>
      </c>
      <c r="F315" s="176" t="s">
        <v>664</v>
      </c>
      <c r="G315" s="177">
        <v>8</v>
      </c>
      <c r="H315" s="176" t="s">
        <v>642</v>
      </c>
      <c r="I315" s="176" t="s">
        <v>572</v>
      </c>
      <c r="J315" s="176"/>
      <c r="K315" s="176" t="s">
        <v>593</v>
      </c>
      <c r="L315" s="176"/>
      <c r="M315" s="176"/>
      <c r="N315" s="179">
        <f t="shared" si="36"/>
        <v>410</v>
      </c>
      <c r="O315" s="179">
        <f t="shared" si="37"/>
        <v>260</v>
      </c>
      <c r="P315" s="180">
        <f t="shared" si="32"/>
        <v>670</v>
      </c>
      <c r="Q315" s="181">
        <f t="shared" si="33"/>
        <v>0.80722891566265065</v>
      </c>
      <c r="R315" s="122">
        <f t="shared" si="34"/>
        <v>134</v>
      </c>
      <c r="S315" s="122">
        <f t="shared" si="35"/>
        <v>0.64578313253012054</v>
      </c>
      <c r="T315" s="133">
        <v>0.55000000000000004</v>
      </c>
    </row>
    <row r="316" spans="1:20" ht="15.75" hidden="1" customHeight="1" x14ac:dyDescent="0.3">
      <c r="A316" s="175" t="s">
        <v>58</v>
      </c>
      <c r="B316" s="176" t="s">
        <v>662</v>
      </c>
      <c r="C316" s="176" t="s">
        <v>79</v>
      </c>
      <c r="D316" s="176" t="s">
        <v>618</v>
      </c>
      <c r="E316" s="177">
        <v>4</v>
      </c>
      <c r="F316" s="176" t="s">
        <v>664</v>
      </c>
      <c r="G316" s="177">
        <v>8</v>
      </c>
      <c r="H316" s="176" t="s">
        <v>642</v>
      </c>
      <c r="I316" s="176" t="s">
        <v>572</v>
      </c>
      <c r="J316" s="176"/>
      <c r="K316" s="176" t="s">
        <v>593</v>
      </c>
      <c r="L316" s="176"/>
      <c r="M316" s="176"/>
      <c r="N316" s="179">
        <f t="shared" si="36"/>
        <v>410</v>
      </c>
      <c r="O316" s="179">
        <f t="shared" si="37"/>
        <v>260</v>
      </c>
      <c r="P316" s="180">
        <f t="shared" si="32"/>
        <v>670</v>
      </c>
      <c r="Q316" s="181">
        <f t="shared" si="33"/>
        <v>0.80722891566265065</v>
      </c>
      <c r="R316" s="122">
        <f t="shared" si="34"/>
        <v>134</v>
      </c>
      <c r="S316" s="122">
        <f t="shared" si="35"/>
        <v>0.64578313253012054</v>
      </c>
      <c r="T316" s="133">
        <v>0.55000000000000004</v>
      </c>
    </row>
    <row r="317" spans="1:20" ht="15.75" hidden="1" customHeight="1" x14ac:dyDescent="0.3">
      <c r="A317" s="175" t="s">
        <v>58</v>
      </c>
      <c r="B317" s="182" t="s">
        <v>662</v>
      </c>
      <c r="C317" s="182" t="s">
        <v>79</v>
      </c>
      <c r="D317" s="182" t="s">
        <v>618</v>
      </c>
      <c r="E317" s="183">
        <v>4</v>
      </c>
      <c r="F317" s="182" t="s">
        <v>664</v>
      </c>
      <c r="G317" s="183">
        <v>8</v>
      </c>
      <c r="H317" s="182" t="s">
        <v>641</v>
      </c>
      <c r="I317" s="182" t="s">
        <v>575</v>
      </c>
      <c r="J317" s="176"/>
      <c r="K317" s="176" t="s">
        <v>593</v>
      </c>
      <c r="L317" s="176"/>
      <c r="M317" s="176"/>
      <c r="N317" s="179">
        <f t="shared" si="36"/>
        <v>78</v>
      </c>
      <c r="O317" s="179">
        <f t="shared" si="37"/>
        <v>240.5</v>
      </c>
      <c r="P317" s="180">
        <f t="shared" si="32"/>
        <v>318.5</v>
      </c>
      <c r="Q317" s="181">
        <f t="shared" si="33"/>
        <v>0.38373493975903616</v>
      </c>
      <c r="R317" s="122">
        <f t="shared" si="34"/>
        <v>63.7</v>
      </c>
      <c r="S317" s="122">
        <f t="shared" si="35"/>
        <v>0.30698795180722893</v>
      </c>
      <c r="T317" s="133">
        <v>0.35</v>
      </c>
    </row>
    <row r="318" spans="1:20" ht="15.75" hidden="1" customHeight="1" x14ac:dyDescent="0.3">
      <c r="A318" s="175" t="s">
        <v>58</v>
      </c>
      <c r="B318" s="176" t="s">
        <v>662</v>
      </c>
      <c r="C318" s="176" t="s">
        <v>79</v>
      </c>
      <c r="D318" s="176" t="s">
        <v>617</v>
      </c>
      <c r="E318" s="177">
        <v>4</v>
      </c>
      <c r="F318" s="176" t="s">
        <v>664</v>
      </c>
      <c r="G318" s="177">
        <v>8</v>
      </c>
      <c r="H318" s="176" t="s">
        <v>642</v>
      </c>
      <c r="I318" s="176" t="s">
        <v>572</v>
      </c>
      <c r="J318" s="176"/>
      <c r="K318" s="176" t="s">
        <v>593</v>
      </c>
      <c r="L318" s="176"/>
      <c r="M318" s="176"/>
      <c r="N318" s="179">
        <f t="shared" si="36"/>
        <v>410</v>
      </c>
      <c r="O318" s="179">
        <f t="shared" si="37"/>
        <v>260</v>
      </c>
      <c r="P318" s="180">
        <f t="shared" si="32"/>
        <v>670</v>
      </c>
      <c r="Q318" s="181">
        <f t="shared" si="33"/>
        <v>0.80722891566265065</v>
      </c>
      <c r="R318" s="122">
        <f t="shared" si="34"/>
        <v>134</v>
      </c>
      <c r="S318" s="122">
        <f t="shared" si="35"/>
        <v>0.64578313253012054</v>
      </c>
      <c r="T318" s="133">
        <v>0.55000000000000004</v>
      </c>
    </row>
    <row r="319" spans="1:20" ht="15.75" hidden="1" customHeight="1" x14ac:dyDescent="0.3">
      <c r="A319" s="175" t="s">
        <v>58</v>
      </c>
      <c r="B319" s="182" t="s">
        <v>662</v>
      </c>
      <c r="C319" s="182" t="s">
        <v>79</v>
      </c>
      <c r="D319" s="182" t="s">
        <v>617</v>
      </c>
      <c r="E319" s="183">
        <v>4</v>
      </c>
      <c r="F319" s="182" t="s">
        <v>664</v>
      </c>
      <c r="G319" s="183">
        <v>8</v>
      </c>
      <c r="H319" s="182" t="s">
        <v>641</v>
      </c>
      <c r="I319" s="182" t="s">
        <v>575</v>
      </c>
      <c r="J319" s="176"/>
      <c r="K319" s="176" t="s">
        <v>593</v>
      </c>
      <c r="L319" s="176"/>
      <c r="M319" s="176"/>
      <c r="N319" s="179">
        <f t="shared" si="36"/>
        <v>78</v>
      </c>
      <c r="O319" s="179">
        <f t="shared" si="37"/>
        <v>240.5</v>
      </c>
      <c r="P319" s="180">
        <f t="shared" si="32"/>
        <v>318.5</v>
      </c>
      <c r="Q319" s="181">
        <f t="shared" si="33"/>
        <v>0.38373493975903616</v>
      </c>
      <c r="R319" s="122">
        <f t="shared" si="34"/>
        <v>63.7</v>
      </c>
      <c r="S319" s="122">
        <f t="shared" si="35"/>
        <v>0.30698795180722893</v>
      </c>
      <c r="T319" s="133">
        <v>0.35</v>
      </c>
    </row>
    <row r="320" spans="1:20" ht="15.75" hidden="1" customHeight="1" x14ac:dyDescent="0.3">
      <c r="A320" s="175" t="s">
        <v>58</v>
      </c>
      <c r="B320" s="182" t="s">
        <v>662</v>
      </c>
      <c r="C320" s="182" t="s">
        <v>79</v>
      </c>
      <c r="D320" s="182" t="s">
        <v>655</v>
      </c>
      <c r="E320" s="183">
        <v>4</v>
      </c>
      <c r="F320" s="182" t="s">
        <v>664</v>
      </c>
      <c r="G320" s="183">
        <v>8</v>
      </c>
      <c r="H320" s="182" t="s">
        <v>641</v>
      </c>
      <c r="I320" s="182" t="s">
        <v>575</v>
      </c>
      <c r="J320" s="176"/>
      <c r="K320" s="176" t="s">
        <v>593</v>
      </c>
      <c r="L320" s="176"/>
      <c r="M320" s="176"/>
      <c r="N320" s="179">
        <f t="shared" si="36"/>
        <v>78</v>
      </c>
      <c r="O320" s="179">
        <f t="shared" si="37"/>
        <v>240.5</v>
      </c>
      <c r="P320" s="180">
        <f t="shared" si="32"/>
        <v>318.5</v>
      </c>
      <c r="Q320" s="181">
        <f t="shared" si="33"/>
        <v>0.38373493975903616</v>
      </c>
      <c r="R320" s="122">
        <f t="shared" si="34"/>
        <v>63.7</v>
      </c>
      <c r="S320" s="122">
        <f t="shared" si="35"/>
        <v>0.30698795180722893</v>
      </c>
      <c r="T320" s="133">
        <v>0.35</v>
      </c>
    </row>
    <row r="321" spans="1:20" ht="15.75" hidden="1" customHeight="1" x14ac:dyDescent="0.3">
      <c r="A321" s="175" t="s">
        <v>58</v>
      </c>
      <c r="B321" s="176" t="s">
        <v>662</v>
      </c>
      <c r="C321" s="176" t="s">
        <v>79</v>
      </c>
      <c r="D321" s="176" t="s">
        <v>655</v>
      </c>
      <c r="E321" s="177">
        <v>4</v>
      </c>
      <c r="F321" s="176" t="s">
        <v>664</v>
      </c>
      <c r="G321" s="177">
        <v>8</v>
      </c>
      <c r="H321" s="176" t="s">
        <v>642</v>
      </c>
      <c r="I321" s="176" t="s">
        <v>572</v>
      </c>
      <c r="J321" s="176"/>
      <c r="K321" s="176" t="s">
        <v>593</v>
      </c>
      <c r="L321" s="176"/>
      <c r="M321" s="176"/>
      <c r="N321" s="179">
        <f t="shared" si="36"/>
        <v>410</v>
      </c>
      <c r="O321" s="179">
        <f t="shared" si="37"/>
        <v>260</v>
      </c>
      <c r="P321" s="180">
        <f t="shared" si="32"/>
        <v>670</v>
      </c>
      <c r="Q321" s="181">
        <f t="shared" si="33"/>
        <v>0.80722891566265065</v>
      </c>
      <c r="R321" s="122">
        <f t="shared" si="34"/>
        <v>134</v>
      </c>
      <c r="S321" s="122">
        <f t="shared" si="35"/>
        <v>0.64578313253012054</v>
      </c>
      <c r="T321" s="133">
        <v>0.55000000000000004</v>
      </c>
    </row>
    <row r="322" spans="1:20" ht="15.75" hidden="1" customHeight="1" x14ac:dyDescent="0.3">
      <c r="A322" s="175" t="s">
        <v>58</v>
      </c>
      <c r="B322" s="176" t="s">
        <v>662</v>
      </c>
      <c r="C322" s="176" t="s">
        <v>79</v>
      </c>
      <c r="D322" s="176" t="s">
        <v>656</v>
      </c>
      <c r="E322" s="177">
        <v>4</v>
      </c>
      <c r="F322" s="176" t="s">
        <v>664</v>
      </c>
      <c r="G322" s="177">
        <v>8</v>
      </c>
      <c r="H322" s="176" t="s">
        <v>642</v>
      </c>
      <c r="I322" s="176" t="s">
        <v>572</v>
      </c>
      <c r="J322" s="176"/>
      <c r="K322" s="176" t="s">
        <v>593</v>
      </c>
      <c r="L322" s="176"/>
      <c r="M322" s="176"/>
      <c r="N322" s="179">
        <f t="shared" si="36"/>
        <v>410</v>
      </c>
      <c r="O322" s="179">
        <f t="shared" si="37"/>
        <v>260</v>
      </c>
      <c r="P322" s="180">
        <f t="shared" si="32"/>
        <v>670</v>
      </c>
      <c r="Q322" s="181">
        <f t="shared" si="33"/>
        <v>0.80722891566265065</v>
      </c>
      <c r="R322" s="122">
        <f t="shared" si="34"/>
        <v>134</v>
      </c>
      <c r="S322" s="122">
        <f t="shared" si="35"/>
        <v>0.64578313253012054</v>
      </c>
      <c r="T322" s="133">
        <v>0.55000000000000004</v>
      </c>
    </row>
    <row r="323" spans="1:20" ht="15.75" hidden="1" customHeight="1" x14ac:dyDescent="0.3">
      <c r="A323" s="175" t="s">
        <v>58</v>
      </c>
      <c r="B323" s="182" t="s">
        <v>662</v>
      </c>
      <c r="C323" s="182" t="s">
        <v>79</v>
      </c>
      <c r="D323" s="182" t="s">
        <v>656</v>
      </c>
      <c r="E323" s="183">
        <v>4</v>
      </c>
      <c r="F323" s="182" t="s">
        <v>664</v>
      </c>
      <c r="G323" s="183">
        <v>8</v>
      </c>
      <c r="H323" s="182" t="s">
        <v>641</v>
      </c>
      <c r="I323" s="182" t="s">
        <v>575</v>
      </c>
      <c r="J323" s="176"/>
      <c r="K323" s="176" t="s">
        <v>593</v>
      </c>
      <c r="L323" s="176"/>
      <c r="M323" s="176"/>
      <c r="N323" s="179">
        <f t="shared" si="36"/>
        <v>78</v>
      </c>
      <c r="O323" s="179">
        <f t="shared" si="37"/>
        <v>240.5</v>
      </c>
      <c r="P323" s="180">
        <f t="shared" si="32"/>
        <v>318.5</v>
      </c>
      <c r="Q323" s="181">
        <f t="shared" si="33"/>
        <v>0.38373493975903616</v>
      </c>
      <c r="R323" s="122">
        <f t="shared" si="34"/>
        <v>63.7</v>
      </c>
      <c r="S323" s="122">
        <f t="shared" si="35"/>
        <v>0.30698795180722893</v>
      </c>
      <c r="T323" s="133">
        <v>0.35</v>
      </c>
    </row>
    <row r="324" spans="1:20" ht="15.75" hidden="1" customHeight="1" x14ac:dyDescent="0.3">
      <c r="A324" s="175" t="s">
        <v>58</v>
      </c>
      <c r="B324" s="176" t="s">
        <v>662</v>
      </c>
      <c r="C324" s="176" t="s">
        <v>100</v>
      </c>
      <c r="D324" s="176" t="s">
        <v>602</v>
      </c>
      <c r="E324" s="177">
        <v>4</v>
      </c>
      <c r="F324" s="176" t="s">
        <v>664</v>
      </c>
      <c r="G324" s="177">
        <v>12</v>
      </c>
      <c r="H324" s="176" t="s">
        <v>622</v>
      </c>
      <c r="I324" s="176" t="s">
        <v>562</v>
      </c>
      <c r="J324" s="176"/>
      <c r="K324" s="176" t="s">
        <v>565</v>
      </c>
      <c r="L324" s="176"/>
      <c r="M324" s="176"/>
      <c r="N324" s="179">
        <f t="shared" si="36"/>
        <v>438</v>
      </c>
      <c r="O324" s="179">
        <f t="shared" si="37"/>
        <v>361</v>
      </c>
      <c r="P324" s="180">
        <f t="shared" si="32"/>
        <v>799</v>
      </c>
      <c r="Q324" s="181">
        <f t="shared" si="33"/>
        <v>0.96265060240963851</v>
      </c>
      <c r="R324" s="122">
        <f t="shared" si="34"/>
        <v>159.80000000000001</v>
      </c>
      <c r="S324" s="122">
        <f t="shared" si="35"/>
        <v>0.77012048192771088</v>
      </c>
      <c r="T324" s="133">
        <v>0.75</v>
      </c>
    </row>
    <row r="325" spans="1:20" ht="15.75" hidden="1" customHeight="1" x14ac:dyDescent="0.3">
      <c r="A325" s="175" t="s">
        <v>58</v>
      </c>
      <c r="B325" s="176" t="s">
        <v>662</v>
      </c>
      <c r="C325" s="176" t="s">
        <v>100</v>
      </c>
      <c r="D325" s="176" t="s">
        <v>602</v>
      </c>
      <c r="E325" s="177">
        <v>4</v>
      </c>
      <c r="F325" s="176" t="s">
        <v>664</v>
      </c>
      <c r="G325" s="177">
        <v>12</v>
      </c>
      <c r="H325" s="176" t="s">
        <v>643</v>
      </c>
      <c r="I325" s="176" t="s">
        <v>579</v>
      </c>
      <c r="J325" s="176"/>
      <c r="K325" s="176" t="s">
        <v>565</v>
      </c>
      <c r="L325" s="176"/>
      <c r="M325" s="176"/>
      <c r="N325" s="179">
        <f t="shared" si="36"/>
        <v>297</v>
      </c>
      <c r="O325" s="179">
        <f t="shared" si="37"/>
        <v>310</v>
      </c>
      <c r="P325" s="180">
        <f t="shared" si="32"/>
        <v>607</v>
      </c>
      <c r="Q325" s="181">
        <f t="shared" si="33"/>
        <v>0.73132530120481931</v>
      </c>
      <c r="R325" s="122">
        <f t="shared" si="34"/>
        <v>121.4</v>
      </c>
      <c r="S325" s="122">
        <f t="shared" si="35"/>
        <v>0.58506024096385545</v>
      </c>
      <c r="T325" s="133">
        <v>0.6</v>
      </c>
    </row>
    <row r="326" spans="1:20" ht="15.75" hidden="1" customHeight="1" x14ac:dyDescent="0.3">
      <c r="A326" s="175" t="s">
        <v>58</v>
      </c>
      <c r="B326" s="176" t="s">
        <v>662</v>
      </c>
      <c r="C326" s="176" t="s">
        <v>100</v>
      </c>
      <c r="D326" s="176" t="s">
        <v>602</v>
      </c>
      <c r="E326" s="177">
        <v>4</v>
      </c>
      <c r="F326" s="176" t="s">
        <v>664</v>
      </c>
      <c r="G326" s="177">
        <v>12</v>
      </c>
      <c r="H326" s="176" t="s">
        <v>627</v>
      </c>
      <c r="I326" s="176" t="s">
        <v>576</v>
      </c>
      <c r="J326" s="176"/>
      <c r="K326" s="176" t="s">
        <v>593</v>
      </c>
      <c r="L326" s="176"/>
      <c r="M326" s="176"/>
      <c r="N326" s="179">
        <f t="shared" si="36"/>
        <v>175</v>
      </c>
      <c r="O326" s="179">
        <f t="shared" si="37"/>
        <v>120</v>
      </c>
      <c r="P326" s="180">
        <f t="shared" si="32"/>
        <v>295</v>
      </c>
      <c r="Q326" s="181">
        <f t="shared" si="33"/>
        <v>0.35542168674698793</v>
      </c>
      <c r="R326" s="122">
        <f t="shared" si="34"/>
        <v>59</v>
      </c>
      <c r="S326" s="122">
        <f t="shared" si="35"/>
        <v>0.28433734939759037</v>
      </c>
      <c r="T326" s="133">
        <v>0.25</v>
      </c>
    </row>
    <row r="327" spans="1:20" ht="15.75" hidden="1" customHeight="1" x14ac:dyDescent="0.3">
      <c r="A327" s="175" t="s">
        <v>58</v>
      </c>
      <c r="B327" s="176" t="s">
        <v>662</v>
      </c>
      <c r="C327" s="176" t="s">
        <v>100</v>
      </c>
      <c r="D327" s="176" t="s">
        <v>620</v>
      </c>
      <c r="E327" s="177">
        <v>8</v>
      </c>
      <c r="F327" s="176" t="s">
        <v>664</v>
      </c>
      <c r="G327" s="177">
        <v>12</v>
      </c>
      <c r="H327" s="176" t="s">
        <v>627</v>
      </c>
      <c r="I327" s="176" t="s">
        <v>576</v>
      </c>
      <c r="J327" s="176"/>
      <c r="K327" s="176" t="s">
        <v>593</v>
      </c>
      <c r="L327" s="176"/>
      <c r="M327" s="176"/>
      <c r="N327" s="179">
        <f t="shared" si="36"/>
        <v>175</v>
      </c>
      <c r="O327" s="179">
        <f t="shared" si="37"/>
        <v>120</v>
      </c>
      <c r="P327" s="180">
        <f t="shared" si="32"/>
        <v>295</v>
      </c>
      <c r="Q327" s="181">
        <f t="shared" si="33"/>
        <v>0.35542168674698793</v>
      </c>
      <c r="R327" s="122">
        <f t="shared" si="34"/>
        <v>59</v>
      </c>
      <c r="S327" s="122">
        <f t="shared" si="35"/>
        <v>0.28433734939759037</v>
      </c>
      <c r="T327" s="133">
        <v>0.25</v>
      </c>
    </row>
    <row r="328" spans="1:20" ht="15.75" hidden="1" customHeight="1" x14ac:dyDescent="0.3">
      <c r="A328" s="175" t="s">
        <v>58</v>
      </c>
      <c r="B328" s="176" t="s">
        <v>662</v>
      </c>
      <c r="C328" s="176" t="s">
        <v>100</v>
      </c>
      <c r="D328" s="176" t="s">
        <v>620</v>
      </c>
      <c r="E328" s="177">
        <v>8</v>
      </c>
      <c r="F328" s="176" t="s">
        <v>664</v>
      </c>
      <c r="G328" s="177">
        <v>12</v>
      </c>
      <c r="H328" s="176" t="s">
        <v>643</v>
      </c>
      <c r="I328" s="176" t="s">
        <v>579</v>
      </c>
      <c r="J328" s="176"/>
      <c r="K328" s="176" t="s">
        <v>565</v>
      </c>
      <c r="L328" s="176"/>
      <c r="M328" s="176"/>
      <c r="N328" s="179">
        <f t="shared" si="36"/>
        <v>297</v>
      </c>
      <c r="O328" s="179">
        <f t="shared" si="37"/>
        <v>310</v>
      </c>
      <c r="P328" s="180">
        <f t="shared" si="32"/>
        <v>607</v>
      </c>
      <c r="Q328" s="181">
        <f t="shared" si="33"/>
        <v>0.73132530120481931</v>
      </c>
      <c r="R328" s="122">
        <f t="shared" si="34"/>
        <v>121.4</v>
      </c>
      <c r="S328" s="122">
        <f t="shared" si="35"/>
        <v>0.58506024096385545</v>
      </c>
      <c r="T328" s="133">
        <v>0.6</v>
      </c>
    </row>
    <row r="329" spans="1:20" ht="15.75" hidden="1" customHeight="1" x14ac:dyDescent="0.3">
      <c r="A329" s="175" t="s">
        <v>58</v>
      </c>
      <c r="B329" s="176" t="s">
        <v>662</v>
      </c>
      <c r="C329" s="176" t="s">
        <v>100</v>
      </c>
      <c r="D329" s="176" t="s">
        <v>620</v>
      </c>
      <c r="E329" s="177">
        <v>8</v>
      </c>
      <c r="F329" s="176" t="s">
        <v>664</v>
      </c>
      <c r="G329" s="177">
        <v>12</v>
      </c>
      <c r="H329" s="176" t="s">
        <v>622</v>
      </c>
      <c r="I329" s="176" t="s">
        <v>562</v>
      </c>
      <c r="J329" s="176"/>
      <c r="K329" s="176" t="s">
        <v>565</v>
      </c>
      <c r="L329" s="176"/>
      <c r="M329" s="176"/>
      <c r="N329" s="179">
        <f t="shared" si="36"/>
        <v>438</v>
      </c>
      <c r="O329" s="179">
        <f t="shared" si="37"/>
        <v>361</v>
      </c>
      <c r="P329" s="180">
        <f t="shared" si="32"/>
        <v>799</v>
      </c>
      <c r="Q329" s="181">
        <f t="shared" si="33"/>
        <v>0.96265060240963851</v>
      </c>
      <c r="R329" s="122">
        <f t="shared" si="34"/>
        <v>159.80000000000001</v>
      </c>
      <c r="S329" s="122">
        <f t="shared" si="35"/>
        <v>0.77012048192771088</v>
      </c>
      <c r="T329" s="133">
        <v>0.75</v>
      </c>
    </row>
    <row r="330" spans="1:20" ht="15.75" hidden="1" customHeight="1" x14ac:dyDescent="0.3">
      <c r="A330" s="175" t="s">
        <v>58</v>
      </c>
      <c r="B330" s="176" t="s">
        <v>662</v>
      </c>
      <c r="C330" s="176" t="s">
        <v>100</v>
      </c>
      <c r="D330" s="176" t="s">
        <v>616</v>
      </c>
      <c r="E330" s="177">
        <v>8</v>
      </c>
      <c r="F330" s="176" t="s">
        <v>664</v>
      </c>
      <c r="G330" s="177">
        <v>12</v>
      </c>
      <c r="H330" s="176" t="s">
        <v>622</v>
      </c>
      <c r="I330" s="176" t="s">
        <v>562</v>
      </c>
      <c r="J330" s="176"/>
      <c r="K330" s="176" t="s">
        <v>565</v>
      </c>
      <c r="L330" s="176"/>
      <c r="M330" s="176"/>
      <c r="N330" s="179">
        <f t="shared" si="36"/>
        <v>438</v>
      </c>
      <c r="O330" s="179">
        <f t="shared" si="37"/>
        <v>361</v>
      </c>
      <c r="P330" s="180">
        <f t="shared" ref="P330:P393" si="38">N330+O330</f>
        <v>799</v>
      </c>
      <c r="Q330" s="181">
        <f t="shared" ref="Q330:Q393" si="39">P330/$Q$1</f>
        <v>0.96265060240963851</v>
      </c>
      <c r="R330" s="122">
        <f t="shared" ref="R330:R393" si="40">P330*0.2</f>
        <v>159.80000000000001</v>
      </c>
      <c r="S330" s="122">
        <f t="shared" ref="S330:S393" si="41">Q330*0.8</f>
        <v>0.77012048192771088</v>
      </c>
      <c r="T330" s="133">
        <v>0.75</v>
      </c>
    </row>
    <row r="331" spans="1:20" ht="15.75" hidden="1" customHeight="1" x14ac:dyDescent="0.3">
      <c r="A331" s="175" t="s">
        <v>58</v>
      </c>
      <c r="B331" s="176" t="s">
        <v>662</v>
      </c>
      <c r="C331" s="176" t="s">
        <v>100</v>
      </c>
      <c r="D331" s="176" t="s">
        <v>616</v>
      </c>
      <c r="E331" s="177">
        <v>8</v>
      </c>
      <c r="F331" s="176" t="s">
        <v>664</v>
      </c>
      <c r="G331" s="177">
        <v>12</v>
      </c>
      <c r="H331" s="176" t="s">
        <v>643</v>
      </c>
      <c r="I331" s="176" t="s">
        <v>579</v>
      </c>
      <c r="J331" s="176"/>
      <c r="K331" s="176" t="s">
        <v>565</v>
      </c>
      <c r="L331" s="176"/>
      <c r="M331" s="176"/>
      <c r="N331" s="179">
        <f t="shared" si="36"/>
        <v>297</v>
      </c>
      <c r="O331" s="179">
        <f t="shared" si="37"/>
        <v>310</v>
      </c>
      <c r="P331" s="180">
        <f t="shared" si="38"/>
        <v>607</v>
      </c>
      <c r="Q331" s="181">
        <f t="shared" si="39"/>
        <v>0.73132530120481931</v>
      </c>
      <c r="R331" s="122">
        <f t="shared" si="40"/>
        <v>121.4</v>
      </c>
      <c r="S331" s="122">
        <f t="shared" si="41"/>
        <v>0.58506024096385545</v>
      </c>
      <c r="T331" s="133">
        <v>0.6</v>
      </c>
    </row>
    <row r="332" spans="1:20" ht="15.75" hidden="1" customHeight="1" x14ac:dyDescent="0.3">
      <c r="A332" s="175" t="s">
        <v>58</v>
      </c>
      <c r="B332" s="176" t="s">
        <v>662</v>
      </c>
      <c r="C332" s="176" t="s">
        <v>100</v>
      </c>
      <c r="D332" s="176" t="s">
        <v>616</v>
      </c>
      <c r="E332" s="177">
        <v>8</v>
      </c>
      <c r="F332" s="176" t="s">
        <v>664</v>
      </c>
      <c r="G332" s="177">
        <v>12</v>
      </c>
      <c r="H332" s="176" t="s">
        <v>627</v>
      </c>
      <c r="I332" s="176" t="s">
        <v>576</v>
      </c>
      <c r="J332" s="176"/>
      <c r="K332" s="176" t="s">
        <v>593</v>
      </c>
      <c r="L332" s="176"/>
      <c r="M332" s="176"/>
      <c r="N332" s="179">
        <f t="shared" si="36"/>
        <v>175</v>
      </c>
      <c r="O332" s="179">
        <f t="shared" si="37"/>
        <v>120</v>
      </c>
      <c r="P332" s="180">
        <f t="shared" si="38"/>
        <v>295</v>
      </c>
      <c r="Q332" s="181">
        <f t="shared" si="39"/>
        <v>0.35542168674698793</v>
      </c>
      <c r="R332" s="122">
        <f t="shared" si="40"/>
        <v>59</v>
      </c>
      <c r="S332" s="122">
        <f t="shared" si="41"/>
        <v>0.28433734939759037</v>
      </c>
      <c r="T332" s="133">
        <v>0.25</v>
      </c>
    </row>
    <row r="333" spans="1:20" ht="15.75" hidden="1" customHeight="1" x14ac:dyDescent="0.3">
      <c r="A333" s="175" t="s">
        <v>58</v>
      </c>
      <c r="B333" s="176" t="s">
        <v>662</v>
      </c>
      <c r="C333" s="176" t="s">
        <v>100</v>
      </c>
      <c r="D333" s="176" t="s">
        <v>618</v>
      </c>
      <c r="E333" s="177">
        <v>4</v>
      </c>
      <c r="F333" s="176" t="s">
        <v>664</v>
      </c>
      <c r="G333" s="177">
        <v>12</v>
      </c>
      <c r="H333" s="176" t="s">
        <v>627</v>
      </c>
      <c r="I333" s="176" t="s">
        <v>576</v>
      </c>
      <c r="J333" s="176"/>
      <c r="K333" s="176" t="s">
        <v>593</v>
      </c>
      <c r="L333" s="176"/>
      <c r="M333" s="176"/>
      <c r="N333" s="179">
        <f t="shared" si="36"/>
        <v>175</v>
      </c>
      <c r="O333" s="179">
        <f t="shared" si="37"/>
        <v>120</v>
      </c>
      <c r="P333" s="180">
        <f t="shared" si="38"/>
        <v>295</v>
      </c>
      <c r="Q333" s="181">
        <f t="shared" si="39"/>
        <v>0.35542168674698793</v>
      </c>
      <c r="R333" s="122">
        <f t="shared" si="40"/>
        <v>59</v>
      </c>
      <c r="S333" s="122">
        <f t="shared" si="41"/>
        <v>0.28433734939759037</v>
      </c>
      <c r="T333" s="133">
        <v>0.25</v>
      </c>
    </row>
    <row r="334" spans="1:20" ht="15.75" hidden="1" customHeight="1" x14ac:dyDescent="0.3">
      <c r="A334" s="175" t="s">
        <v>58</v>
      </c>
      <c r="B334" s="176" t="s">
        <v>662</v>
      </c>
      <c r="C334" s="176" t="s">
        <v>100</v>
      </c>
      <c r="D334" s="176" t="s">
        <v>618</v>
      </c>
      <c r="E334" s="177">
        <v>4</v>
      </c>
      <c r="F334" s="176" t="s">
        <v>664</v>
      </c>
      <c r="G334" s="177">
        <v>12</v>
      </c>
      <c r="H334" s="176" t="s">
        <v>643</v>
      </c>
      <c r="I334" s="176" t="s">
        <v>579</v>
      </c>
      <c r="J334" s="176"/>
      <c r="K334" s="176" t="s">
        <v>565</v>
      </c>
      <c r="L334" s="176"/>
      <c r="M334" s="176"/>
      <c r="N334" s="179">
        <f t="shared" si="36"/>
        <v>297</v>
      </c>
      <c r="O334" s="179">
        <f t="shared" si="37"/>
        <v>310</v>
      </c>
      <c r="P334" s="180">
        <f t="shared" si="38"/>
        <v>607</v>
      </c>
      <c r="Q334" s="181">
        <f t="shared" si="39"/>
        <v>0.73132530120481931</v>
      </c>
      <c r="R334" s="122">
        <f t="shared" si="40"/>
        <v>121.4</v>
      </c>
      <c r="S334" s="122">
        <f t="shared" si="41"/>
        <v>0.58506024096385545</v>
      </c>
      <c r="T334" s="133">
        <v>0.6</v>
      </c>
    </row>
    <row r="335" spans="1:20" ht="15.75" hidden="1" customHeight="1" x14ac:dyDescent="0.3">
      <c r="A335" s="175" t="s">
        <v>58</v>
      </c>
      <c r="B335" s="176" t="s">
        <v>662</v>
      </c>
      <c r="C335" s="176" t="s">
        <v>100</v>
      </c>
      <c r="D335" s="176" t="s">
        <v>618</v>
      </c>
      <c r="E335" s="177">
        <v>4</v>
      </c>
      <c r="F335" s="176" t="s">
        <v>664</v>
      </c>
      <c r="G335" s="177">
        <v>12</v>
      </c>
      <c r="H335" s="176" t="s">
        <v>622</v>
      </c>
      <c r="I335" s="176" t="s">
        <v>562</v>
      </c>
      <c r="J335" s="176"/>
      <c r="K335" s="176" t="s">
        <v>565</v>
      </c>
      <c r="L335" s="176"/>
      <c r="M335" s="176"/>
      <c r="N335" s="179">
        <f t="shared" si="36"/>
        <v>438</v>
      </c>
      <c r="O335" s="179">
        <f t="shared" si="37"/>
        <v>361</v>
      </c>
      <c r="P335" s="180">
        <f t="shared" si="38"/>
        <v>799</v>
      </c>
      <c r="Q335" s="181">
        <f t="shared" si="39"/>
        <v>0.96265060240963851</v>
      </c>
      <c r="R335" s="122">
        <f t="shared" si="40"/>
        <v>159.80000000000001</v>
      </c>
      <c r="S335" s="122">
        <f t="shared" si="41"/>
        <v>0.77012048192771088</v>
      </c>
      <c r="T335" s="133">
        <v>0.75</v>
      </c>
    </row>
    <row r="336" spans="1:20" ht="15.75" hidden="1" customHeight="1" x14ac:dyDescent="0.3">
      <c r="A336" s="175" t="s">
        <v>58</v>
      </c>
      <c r="B336" s="176" t="s">
        <v>662</v>
      </c>
      <c r="C336" s="176" t="s">
        <v>100</v>
      </c>
      <c r="D336" s="176" t="s">
        <v>617</v>
      </c>
      <c r="E336" s="177">
        <v>8</v>
      </c>
      <c r="F336" s="176" t="s">
        <v>664</v>
      </c>
      <c r="G336" s="177">
        <v>12</v>
      </c>
      <c r="H336" s="176" t="s">
        <v>622</v>
      </c>
      <c r="I336" s="176" t="s">
        <v>562</v>
      </c>
      <c r="J336" s="176"/>
      <c r="K336" s="176" t="s">
        <v>565</v>
      </c>
      <c r="L336" s="176"/>
      <c r="M336" s="176"/>
      <c r="N336" s="179">
        <f t="shared" si="36"/>
        <v>438</v>
      </c>
      <c r="O336" s="179">
        <f t="shared" si="37"/>
        <v>361</v>
      </c>
      <c r="P336" s="180">
        <f t="shared" si="38"/>
        <v>799</v>
      </c>
      <c r="Q336" s="181">
        <f t="shared" si="39"/>
        <v>0.96265060240963851</v>
      </c>
      <c r="R336" s="122">
        <f t="shared" si="40"/>
        <v>159.80000000000001</v>
      </c>
      <c r="S336" s="122">
        <f t="shared" si="41"/>
        <v>0.77012048192771088</v>
      </c>
      <c r="T336" s="133">
        <v>0.75</v>
      </c>
    </row>
    <row r="337" spans="1:20" ht="15.75" hidden="1" customHeight="1" x14ac:dyDescent="0.3">
      <c r="A337" s="175" t="s">
        <v>58</v>
      </c>
      <c r="B337" s="176" t="s">
        <v>662</v>
      </c>
      <c r="C337" s="176" t="s">
        <v>100</v>
      </c>
      <c r="D337" s="176" t="s">
        <v>617</v>
      </c>
      <c r="E337" s="177">
        <v>8</v>
      </c>
      <c r="F337" s="176" t="s">
        <v>664</v>
      </c>
      <c r="G337" s="177">
        <v>12</v>
      </c>
      <c r="H337" s="176" t="s">
        <v>643</v>
      </c>
      <c r="I337" s="176" t="s">
        <v>579</v>
      </c>
      <c r="J337" s="176"/>
      <c r="K337" s="176" t="s">
        <v>565</v>
      </c>
      <c r="L337" s="176"/>
      <c r="M337" s="176"/>
      <c r="N337" s="179">
        <f t="shared" si="36"/>
        <v>297</v>
      </c>
      <c r="O337" s="179">
        <f t="shared" si="37"/>
        <v>310</v>
      </c>
      <c r="P337" s="180">
        <f t="shared" si="38"/>
        <v>607</v>
      </c>
      <c r="Q337" s="181">
        <f t="shared" si="39"/>
        <v>0.73132530120481931</v>
      </c>
      <c r="R337" s="122">
        <f t="shared" si="40"/>
        <v>121.4</v>
      </c>
      <c r="S337" s="122">
        <f t="shared" si="41"/>
        <v>0.58506024096385545</v>
      </c>
      <c r="T337" s="133">
        <v>0.6</v>
      </c>
    </row>
    <row r="338" spans="1:20" ht="15.75" hidden="1" customHeight="1" x14ac:dyDescent="0.3">
      <c r="A338" s="175" t="s">
        <v>58</v>
      </c>
      <c r="B338" s="176" t="s">
        <v>662</v>
      </c>
      <c r="C338" s="176" t="s">
        <v>100</v>
      </c>
      <c r="D338" s="176" t="s">
        <v>617</v>
      </c>
      <c r="E338" s="177">
        <v>8</v>
      </c>
      <c r="F338" s="176" t="s">
        <v>664</v>
      </c>
      <c r="G338" s="177">
        <v>12</v>
      </c>
      <c r="H338" s="176" t="s">
        <v>627</v>
      </c>
      <c r="I338" s="176" t="s">
        <v>576</v>
      </c>
      <c r="J338" s="176"/>
      <c r="K338" s="176" t="s">
        <v>593</v>
      </c>
      <c r="L338" s="176"/>
      <c r="M338" s="176"/>
      <c r="N338" s="179">
        <f t="shared" si="36"/>
        <v>175</v>
      </c>
      <c r="O338" s="179">
        <f t="shared" si="37"/>
        <v>120</v>
      </c>
      <c r="P338" s="180">
        <f t="shared" si="38"/>
        <v>295</v>
      </c>
      <c r="Q338" s="181">
        <f t="shared" si="39"/>
        <v>0.35542168674698793</v>
      </c>
      <c r="R338" s="122">
        <f t="shared" si="40"/>
        <v>59</v>
      </c>
      <c r="S338" s="122">
        <f t="shared" si="41"/>
        <v>0.28433734939759037</v>
      </c>
      <c r="T338" s="133">
        <v>0.25</v>
      </c>
    </row>
    <row r="339" spans="1:20" ht="15.75" hidden="1" customHeight="1" x14ac:dyDescent="0.3">
      <c r="A339" s="175" t="s">
        <v>58</v>
      </c>
      <c r="B339" s="176" t="s">
        <v>662</v>
      </c>
      <c r="C339" s="176" t="s">
        <v>100</v>
      </c>
      <c r="D339" s="176" t="s">
        <v>655</v>
      </c>
      <c r="E339" s="177">
        <v>8</v>
      </c>
      <c r="F339" s="176" t="s">
        <v>664</v>
      </c>
      <c r="G339" s="177">
        <v>12</v>
      </c>
      <c r="H339" s="176" t="s">
        <v>627</v>
      </c>
      <c r="I339" s="176" t="s">
        <v>576</v>
      </c>
      <c r="J339" s="176"/>
      <c r="K339" s="176" t="s">
        <v>593</v>
      </c>
      <c r="L339" s="176"/>
      <c r="M339" s="176"/>
      <c r="N339" s="179">
        <f t="shared" si="36"/>
        <v>175</v>
      </c>
      <c r="O339" s="179">
        <f t="shared" si="37"/>
        <v>120</v>
      </c>
      <c r="P339" s="180">
        <f t="shared" si="38"/>
        <v>295</v>
      </c>
      <c r="Q339" s="181">
        <f t="shared" si="39"/>
        <v>0.35542168674698793</v>
      </c>
      <c r="R339" s="122">
        <f t="shared" si="40"/>
        <v>59</v>
      </c>
      <c r="S339" s="122">
        <f t="shared" si="41"/>
        <v>0.28433734939759037</v>
      </c>
      <c r="T339" s="133">
        <v>0.25</v>
      </c>
    </row>
    <row r="340" spans="1:20" ht="15.75" hidden="1" customHeight="1" x14ac:dyDescent="0.3">
      <c r="A340" s="175" t="s">
        <v>58</v>
      </c>
      <c r="B340" s="176" t="s">
        <v>662</v>
      </c>
      <c r="C340" s="176" t="s">
        <v>100</v>
      </c>
      <c r="D340" s="176" t="s">
        <v>655</v>
      </c>
      <c r="E340" s="177">
        <v>8</v>
      </c>
      <c r="F340" s="176" t="s">
        <v>664</v>
      </c>
      <c r="G340" s="177">
        <v>12</v>
      </c>
      <c r="H340" s="176" t="s">
        <v>643</v>
      </c>
      <c r="I340" s="176" t="s">
        <v>579</v>
      </c>
      <c r="J340" s="176"/>
      <c r="K340" s="176" t="s">
        <v>565</v>
      </c>
      <c r="L340" s="176"/>
      <c r="M340" s="176"/>
      <c r="N340" s="179">
        <f t="shared" si="36"/>
        <v>297</v>
      </c>
      <c r="O340" s="179">
        <f t="shared" si="37"/>
        <v>310</v>
      </c>
      <c r="P340" s="180">
        <f t="shared" si="38"/>
        <v>607</v>
      </c>
      <c r="Q340" s="181">
        <f t="shared" si="39"/>
        <v>0.73132530120481931</v>
      </c>
      <c r="R340" s="122">
        <f t="shared" si="40"/>
        <v>121.4</v>
      </c>
      <c r="S340" s="122">
        <f t="shared" si="41"/>
        <v>0.58506024096385545</v>
      </c>
      <c r="T340" s="133">
        <v>0.6</v>
      </c>
    </row>
    <row r="341" spans="1:20" ht="15.75" hidden="1" customHeight="1" x14ac:dyDescent="0.3">
      <c r="A341" s="175" t="s">
        <v>58</v>
      </c>
      <c r="B341" s="176" t="s">
        <v>662</v>
      </c>
      <c r="C341" s="176" t="s">
        <v>100</v>
      </c>
      <c r="D341" s="176" t="s">
        <v>655</v>
      </c>
      <c r="E341" s="177">
        <v>8</v>
      </c>
      <c r="F341" s="176" t="s">
        <v>664</v>
      </c>
      <c r="G341" s="177">
        <v>12</v>
      </c>
      <c r="H341" s="176" t="s">
        <v>622</v>
      </c>
      <c r="I341" s="176" t="s">
        <v>562</v>
      </c>
      <c r="J341" s="176"/>
      <c r="K341" s="176" t="s">
        <v>565</v>
      </c>
      <c r="L341" s="176"/>
      <c r="M341" s="176"/>
      <c r="N341" s="179">
        <f t="shared" si="36"/>
        <v>438</v>
      </c>
      <c r="O341" s="179">
        <f t="shared" si="37"/>
        <v>361</v>
      </c>
      <c r="P341" s="180">
        <f t="shared" si="38"/>
        <v>799</v>
      </c>
      <c r="Q341" s="181">
        <f t="shared" si="39"/>
        <v>0.96265060240963851</v>
      </c>
      <c r="R341" s="122">
        <f t="shared" si="40"/>
        <v>159.80000000000001</v>
      </c>
      <c r="S341" s="122">
        <f t="shared" si="41"/>
        <v>0.77012048192771088</v>
      </c>
      <c r="T341" s="133">
        <v>0.75</v>
      </c>
    </row>
    <row r="342" spans="1:20" ht="15.75" hidden="1" customHeight="1" x14ac:dyDescent="0.3">
      <c r="A342" s="175" t="s">
        <v>58</v>
      </c>
      <c r="B342" s="176" t="s">
        <v>662</v>
      </c>
      <c r="C342" s="176" t="s">
        <v>100</v>
      </c>
      <c r="D342" s="176" t="s">
        <v>656</v>
      </c>
      <c r="E342" s="177">
        <v>4</v>
      </c>
      <c r="F342" s="176" t="s">
        <v>664</v>
      </c>
      <c r="G342" s="177">
        <v>12</v>
      </c>
      <c r="H342" s="176" t="s">
        <v>622</v>
      </c>
      <c r="I342" s="176" t="s">
        <v>562</v>
      </c>
      <c r="J342" s="176"/>
      <c r="K342" s="176" t="s">
        <v>565</v>
      </c>
      <c r="L342" s="176"/>
      <c r="M342" s="176"/>
      <c r="N342" s="179">
        <f t="shared" si="36"/>
        <v>438</v>
      </c>
      <c r="O342" s="179">
        <f t="shared" si="37"/>
        <v>361</v>
      </c>
      <c r="P342" s="180">
        <f t="shared" si="38"/>
        <v>799</v>
      </c>
      <c r="Q342" s="181">
        <f t="shared" si="39"/>
        <v>0.96265060240963851</v>
      </c>
      <c r="R342" s="122">
        <f t="shared" si="40"/>
        <v>159.80000000000001</v>
      </c>
      <c r="S342" s="122">
        <f t="shared" si="41"/>
        <v>0.77012048192771088</v>
      </c>
      <c r="T342" s="133">
        <v>0.75</v>
      </c>
    </row>
    <row r="343" spans="1:20" ht="15.75" hidden="1" customHeight="1" x14ac:dyDescent="0.3">
      <c r="A343" s="175" t="s">
        <v>58</v>
      </c>
      <c r="B343" s="176" t="s">
        <v>662</v>
      </c>
      <c r="C343" s="176" t="s">
        <v>100</v>
      </c>
      <c r="D343" s="176" t="s">
        <v>656</v>
      </c>
      <c r="E343" s="177">
        <v>4</v>
      </c>
      <c r="F343" s="176" t="s">
        <v>664</v>
      </c>
      <c r="G343" s="177">
        <v>12</v>
      </c>
      <c r="H343" s="176" t="s">
        <v>643</v>
      </c>
      <c r="I343" s="176" t="s">
        <v>579</v>
      </c>
      <c r="J343" s="176"/>
      <c r="K343" s="176" t="s">
        <v>565</v>
      </c>
      <c r="L343" s="176"/>
      <c r="M343" s="176"/>
      <c r="N343" s="179">
        <f t="shared" si="36"/>
        <v>297</v>
      </c>
      <c r="O343" s="179">
        <f t="shared" si="37"/>
        <v>310</v>
      </c>
      <c r="P343" s="180">
        <f t="shared" si="38"/>
        <v>607</v>
      </c>
      <c r="Q343" s="181">
        <f t="shared" si="39"/>
        <v>0.73132530120481931</v>
      </c>
      <c r="R343" s="122">
        <f t="shared" si="40"/>
        <v>121.4</v>
      </c>
      <c r="S343" s="122">
        <f t="shared" si="41"/>
        <v>0.58506024096385545</v>
      </c>
      <c r="T343" s="133">
        <v>0.6</v>
      </c>
    </row>
    <row r="344" spans="1:20" ht="15.75" hidden="1" customHeight="1" x14ac:dyDescent="0.3">
      <c r="A344" s="175" t="s">
        <v>58</v>
      </c>
      <c r="B344" s="176" t="s">
        <v>662</v>
      </c>
      <c r="C344" s="176" t="s">
        <v>100</v>
      </c>
      <c r="D344" s="176" t="s">
        <v>656</v>
      </c>
      <c r="E344" s="177">
        <v>4</v>
      </c>
      <c r="F344" s="176" t="s">
        <v>664</v>
      </c>
      <c r="G344" s="177">
        <v>12</v>
      </c>
      <c r="H344" s="176" t="s">
        <v>627</v>
      </c>
      <c r="I344" s="176" t="s">
        <v>576</v>
      </c>
      <c r="J344" s="176"/>
      <c r="K344" s="176" t="s">
        <v>593</v>
      </c>
      <c r="L344" s="176"/>
      <c r="M344" s="176"/>
      <c r="N344" s="179">
        <f t="shared" si="36"/>
        <v>175</v>
      </c>
      <c r="O344" s="179">
        <f t="shared" si="37"/>
        <v>120</v>
      </c>
      <c r="P344" s="180">
        <f t="shared" si="38"/>
        <v>295</v>
      </c>
      <c r="Q344" s="181">
        <f t="shared" si="39"/>
        <v>0.35542168674698793</v>
      </c>
      <c r="R344" s="122">
        <f t="shared" si="40"/>
        <v>59</v>
      </c>
      <c r="S344" s="122">
        <f t="shared" si="41"/>
        <v>0.28433734939759037</v>
      </c>
      <c r="T344" s="133">
        <v>0.25</v>
      </c>
    </row>
    <row r="345" spans="1:20" ht="15.75" hidden="1" customHeight="1" x14ac:dyDescent="0.3">
      <c r="A345" s="175" t="s">
        <v>58</v>
      </c>
      <c r="B345" s="176" t="s">
        <v>662</v>
      </c>
      <c r="C345" s="176" t="s">
        <v>80</v>
      </c>
      <c r="D345" s="176" t="s">
        <v>602</v>
      </c>
      <c r="E345" s="177">
        <v>2</v>
      </c>
      <c r="F345" s="176" t="s">
        <v>664</v>
      </c>
      <c r="G345" s="178"/>
      <c r="H345" s="176" t="s">
        <v>622</v>
      </c>
      <c r="I345" s="176" t="s">
        <v>562</v>
      </c>
      <c r="J345" s="176"/>
      <c r="K345" s="176" t="s">
        <v>565</v>
      </c>
      <c r="L345" s="176"/>
      <c r="M345" s="176"/>
      <c r="N345" s="179">
        <f t="shared" si="36"/>
        <v>438</v>
      </c>
      <c r="O345" s="179">
        <f t="shared" si="37"/>
        <v>361</v>
      </c>
      <c r="P345" s="180">
        <f t="shared" si="38"/>
        <v>799</v>
      </c>
      <c r="Q345" s="181">
        <f t="shared" si="39"/>
        <v>0.96265060240963851</v>
      </c>
      <c r="R345" s="122">
        <f t="shared" si="40"/>
        <v>159.80000000000001</v>
      </c>
      <c r="S345" s="122">
        <f t="shared" si="41"/>
        <v>0.77012048192771088</v>
      </c>
      <c r="T345" s="133">
        <v>0.75</v>
      </c>
    </row>
    <row r="346" spans="1:20" ht="15.75" hidden="1" customHeight="1" x14ac:dyDescent="0.3">
      <c r="A346" s="175" t="s">
        <v>58</v>
      </c>
      <c r="B346" s="176" t="s">
        <v>662</v>
      </c>
      <c r="C346" s="176" t="s">
        <v>80</v>
      </c>
      <c r="D346" s="176" t="s">
        <v>620</v>
      </c>
      <c r="E346" s="177">
        <v>2</v>
      </c>
      <c r="F346" s="176" t="s">
        <v>664</v>
      </c>
      <c r="G346" s="178"/>
      <c r="H346" s="176" t="s">
        <v>622</v>
      </c>
      <c r="I346" s="176" t="s">
        <v>562</v>
      </c>
      <c r="J346" s="176"/>
      <c r="K346" s="176" t="s">
        <v>565</v>
      </c>
      <c r="L346" s="176"/>
      <c r="M346" s="176"/>
      <c r="N346" s="179">
        <f t="shared" si="36"/>
        <v>438</v>
      </c>
      <c r="O346" s="179">
        <f t="shared" si="37"/>
        <v>361</v>
      </c>
      <c r="P346" s="180">
        <f t="shared" si="38"/>
        <v>799</v>
      </c>
      <c r="Q346" s="181">
        <f t="shared" si="39"/>
        <v>0.96265060240963851</v>
      </c>
      <c r="R346" s="122">
        <f t="shared" si="40"/>
        <v>159.80000000000001</v>
      </c>
      <c r="S346" s="122">
        <f t="shared" si="41"/>
        <v>0.77012048192771088</v>
      </c>
      <c r="T346" s="133">
        <v>0.75</v>
      </c>
    </row>
    <row r="347" spans="1:20" ht="15.75" hidden="1" customHeight="1" x14ac:dyDescent="0.3">
      <c r="A347" s="175" t="s">
        <v>58</v>
      </c>
      <c r="B347" s="176" t="s">
        <v>662</v>
      </c>
      <c r="C347" s="176" t="s">
        <v>80</v>
      </c>
      <c r="D347" s="176" t="s">
        <v>616</v>
      </c>
      <c r="E347" s="177">
        <v>2</v>
      </c>
      <c r="F347" s="176" t="s">
        <v>664</v>
      </c>
      <c r="G347" s="178"/>
      <c r="H347" s="176" t="s">
        <v>622</v>
      </c>
      <c r="I347" s="176" t="s">
        <v>562</v>
      </c>
      <c r="J347" s="176"/>
      <c r="K347" s="176" t="s">
        <v>565</v>
      </c>
      <c r="L347" s="176"/>
      <c r="M347" s="176"/>
      <c r="N347" s="179">
        <f t="shared" si="36"/>
        <v>438</v>
      </c>
      <c r="O347" s="179">
        <f t="shared" si="37"/>
        <v>361</v>
      </c>
      <c r="P347" s="180">
        <f t="shared" si="38"/>
        <v>799</v>
      </c>
      <c r="Q347" s="181">
        <f t="shared" si="39"/>
        <v>0.96265060240963851</v>
      </c>
      <c r="R347" s="122">
        <f t="shared" si="40"/>
        <v>159.80000000000001</v>
      </c>
      <c r="S347" s="122">
        <f t="shared" si="41"/>
        <v>0.77012048192771088</v>
      </c>
      <c r="T347" s="133">
        <v>0.75</v>
      </c>
    </row>
    <row r="348" spans="1:20" ht="15.75" hidden="1" customHeight="1" x14ac:dyDescent="0.3">
      <c r="A348" s="175" t="s">
        <v>58</v>
      </c>
      <c r="B348" s="176" t="s">
        <v>662</v>
      </c>
      <c r="C348" s="176" t="s">
        <v>80</v>
      </c>
      <c r="D348" s="176" t="s">
        <v>618</v>
      </c>
      <c r="E348" s="177">
        <v>2</v>
      </c>
      <c r="F348" s="176" t="s">
        <v>664</v>
      </c>
      <c r="G348" s="178"/>
      <c r="H348" s="176" t="s">
        <v>622</v>
      </c>
      <c r="I348" s="176" t="s">
        <v>562</v>
      </c>
      <c r="J348" s="176"/>
      <c r="K348" s="176" t="s">
        <v>565</v>
      </c>
      <c r="L348" s="176"/>
      <c r="M348" s="176"/>
      <c r="N348" s="179">
        <f t="shared" si="36"/>
        <v>438</v>
      </c>
      <c r="O348" s="179">
        <f t="shared" si="37"/>
        <v>361</v>
      </c>
      <c r="P348" s="180">
        <f t="shared" si="38"/>
        <v>799</v>
      </c>
      <c r="Q348" s="181">
        <f t="shared" si="39"/>
        <v>0.96265060240963851</v>
      </c>
      <c r="R348" s="122">
        <f t="shared" si="40"/>
        <v>159.80000000000001</v>
      </c>
      <c r="S348" s="122">
        <f t="shared" si="41"/>
        <v>0.77012048192771088</v>
      </c>
      <c r="T348" s="133">
        <v>0.75</v>
      </c>
    </row>
    <row r="349" spans="1:20" ht="15.75" hidden="1" customHeight="1" x14ac:dyDescent="0.3">
      <c r="A349" s="175" t="s">
        <v>58</v>
      </c>
      <c r="B349" s="176" t="s">
        <v>662</v>
      </c>
      <c r="C349" s="176" t="s">
        <v>80</v>
      </c>
      <c r="D349" s="176" t="s">
        <v>617</v>
      </c>
      <c r="E349" s="177">
        <v>2</v>
      </c>
      <c r="F349" s="176" t="s">
        <v>664</v>
      </c>
      <c r="G349" s="178"/>
      <c r="H349" s="176" t="s">
        <v>622</v>
      </c>
      <c r="I349" s="176" t="s">
        <v>562</v>
      </c>
      <c r="J349" s="176"/>
      <c r="K349" s="176" t="s">
        <v>565</v>
      </c>
      <c r="L349" s="176"/>
      <c r="M349" s="176"/>
      <c r="N349" s="179">
        <f t="shared" si="36"/>
        <v>438</v>
      </c>
      <c r="O349" s="179">
        <f t="shared" si="37"/>
        <v>361</v>
      </c>
      <c r="P349" s="180">
        <f t="shared" si="38"/>
        <v>799</v>
      </c>
      <c r="Q349" s="181">
        <f t="shared" si="39"/>
        <v>0.96265060240963851</v>
      </c>
      <c r="R349" s="122">
        <f t="shared" si="40"/>
        <v>159.80000000000001</v>
      </c>
      <c r="S349" s="122">
        <f t="shared" si="41"/>
        <v>0.77012048192771088</v>
      </c>
      <c r="T349" s="133">
        <v>0.75</v>
      </c>
    </row>
    <row r="350" spans="1:20" ht="15.75" hidden="1" customHeight="1" x14ac:dyDescent="0.3">
      <c r="A350" s="175" t="s">
        <v>58</v>
      </c>
      <c r="B350" s="176" t="s">
        <v>662</v>
      </c>
      <c r="C350" s="176" t="s">
        <v>80</v>
      </c>
      <c r="D350" s="176" t="s">
        <v>655</v>
      </c>
      <c r="E350" s="177">
        <v>2</v>
      </c>
      <c r="F350" s="176" t="s">
        <v>664</v>
      </c>
      <c r="G350" s="178"/>
      <c r="H350" s="176" t="s">
        <v>622</v>
      </c>
      <c r="I350" s="176" t="s">
        <v>562</v>
      </c>
      <c r="J350" s="176"/>
      <c r="K350" s="176" t="s">
        <v>565</v>
      </c>
      <c r="L350" s="176"/>
      <c r="M350" s="176"/>
      <c r="N350" s="179">
        <f t="shared" si="36"/>
        <v>438</v>
      </c>
      <c r="O350" s="179">
        <f t="shared" si="37"/>
        <v>361</v>
      </c>
      <c r="P350" s="180">
        <f t="shared" si="38"/>
        <v>799</v>
      </c>
      <c r="Q350" s="181">
        <f t="shared" si="39"/>
        <v>0.96265060240963851</v>
      </c>
      <c r="R350" s="122">
        <f t="shared" si="40"/>
        <v>159.80000000000001</v>
      </c>
      <c r="S350" s="122">
        <f t="shared" si="41"/>
        <v>0.77012048192771088</v>
      </c>
      <c r="T350" s="133">
        <v>0.75</v>
      </c>
    </row>
    <row r="351" spans="1:20" ht="15.75" hidden="1" customHeight="1" x14ac:dyDescent="0.3">
      <c r="A351" s="175" t="s">
        <v>58</v>
      </c>
      <c r="B351" s="176" t="s">
        <v>662</v>
      </c>
      <c r="C351" s="176" t="s">
        <v>80</v>
      </c>
      <c r="D351" s="176" t="s">
        <v>656</v>
      </c>
      <c r="E351" s="177">
        <v>2</v>
      </c>
      <c r="F351" s="176" t="s">
        <v>664</v>
      </c>
      <c r="G351" s="178"/>
      <c r="H351" s="176" t="s">
        <v>622</v>
      </c>
      <c r="I351" s="176" t="s">
        <v>562</v>
      </c>
      <c r="J351" s="176"/>
      <c r="K351" s="176" t="s">
        <v>565</v>
      </c>
      <c r="L351" s="176"/>
      <c r="M351" s="176"/>
      <c r="N351" s="179">
        <f t="shared" si="36"/>
        <v>438</v>
      </c>
      <c r="O351" s="179">
        <f t="shared" si="37"/>
        <v>361</v>
      </c>
      <c r="P351" s="180">
        <f t="shared" si="38"/>
        <v>799</v>
      </c>
      <c r="Q351" s="181">
        <f t="shared" si="39"/>
        <v>0.96265060240963851</v>
      </c>
      <c r="R351" s="122">
        <f t="shared" si="40"/>
        <v>159.80000000000001</v>
      </c>
      <c r="S351" s="122">
        <f t="shared" si="41"/>
        <v>0.77012048192771088</v>
      </c>
      <c r="T351" s="133">
        <v>0.75</v>
      </c>
    </row>
    <row r="352" spans="1:20" ht="15.75" hidden="1" customHeight="1" x14ac:dyDescent="0.3">
      <c r="A352" s="175" t="s">
        <v>58</v>
      </c>
      <c r="B352" s="176" t="s">
        <v>327</v>
      </c>
      <c r="C352" s="176" t="s">
        <v>73</v>
      </c>
      <c r="D352" s="176" t="s">
        <v>665</v>
      </c>
      <c r="E352" s="177">
        <v>16</v>
      </c>
      <c r="F352" s="176" t="s">
        <v>603</v>
      </c>
      <c r="G352" s="177">
        <v>16</v>
      </c>
      <c r="H352" s="176" t="s">
        <v>606</v>
      </c>
      <c r="I352" s="176" t="s">
        <v>510</v>
      </c>
      <c r="J352" s="176"/>
      <c r="K352" s="176" t="s">
        <v>593</v>
      </c>
      <c r="L352" s="176"/>
      <c r="M352" s="176"/>
      <c r="N352" s="179">
        <f t="shared" si="36"/>
        <v>337</v>
      </c>
      <c r="O352" s="179">
        <f t="shared" si="37"/>
        <v>205</v>
      </c>
      <c r="P352" s="180">
        <f t="shared" si="38"/>
        <v>542</v>
      </c>
      <c r="Q352" s="181">
        <f t="shared" si="39"/>
        <v>0.65301204819277103</v>
      </c>
      <c r="R352" s="122">
        <f t="shared" si="40"/>
        <v>108.4</v>
      </c>
      <c r="S352" s="122">
        <f t="shared" si="41"/>
        <v>0.52240963855421685</v>
      </c>
      <c r="T352" s="133">
        <v>0.65</v>
      </c>
    </row>
    <row r="353" spans="1:20" ht="15.75" hidden="1" customHeight="1" x14ac:dyDescent="0.3">
      <c r="A353" s="175" t="s">
        <v>58</v>
      </c>
      <c r="B353" s="176" t="s">
        <v>327</v>
      </c>
      <c r="C353" s="176" t="s">
        <v>73</v>
      </c>
      <c r="D353" s="176" t="s">
        <v>666</v>
      </c>
      <c r="E353" s="177">
        <v>24</v>
      </c>
      <c r="F353" s="176" t="s">
        <v>667</v>
      </c>
      <c r="G353" s="177">
        <v>24</v>
      </c>
      <c r="H353" s="176" t="s">
        <v>615</v>
      </c>
      <c r="I353" s="176" t="s">
        <v>570</v>
      </c>
      <c r="J353" s="176"/>
      <c r="K353" s="176" t="s">
        <v>593</v>
      </c>
      <c r="L353" s="176"/>
      <c r="M353" s="176"/>
      <c r="N353" s="179">
        <f t="shared" si="36"/>
        <v>279</v>
      </c>
      <c r="O353" s="179">
        <f t="shared" si="37"/>
        <v>431</v>
      </c>
      <c r="P353" s="180">
        <f t="shared" si="38"/>
        <v>710</v>
      </c>
      <c r="Q353" s="181">
        <f t="shared" si="39"/>
        <v>0.85542168674698793</v>
      </c>
      <c r="R353" s="122">
        <f t="shared" si="40"/>
        <v>142</v>
      </c>
      <c r="S353" s="122">
        <f t="shared" si="41"/>
        <v>0.68433734939759039</v>
      </c>
      <c r="T353" s="133">
        <v>0.65</v>
      </c>
    </row>
    <row r="354" spans="1:20" ht="15.75" hidden="1" customHeight="1" x14ac:dyDescent="0.3">
      <c r="A354" s="175" t="s">
        <v>58</v>
      </c>
      <c r="B354" s="176" t="s">
        <v>327</v>
      </c>
      <c r="C354" s="176" t="s">
        <v>87</v>
      </c>
      <c r="D354" s="176" t="s">
        <v>666</v>
      </c>
      <c r="E354" s="177">
        <v>6</v>
      </c>
      <c r="F354" s="176" t="s">
        <v>667</v>
      </c>
      <c r="G354" s="178"/>
      <c r="H354" s="176" t="s">
        <v>615</v>
      </c>
      <c r="I354" s="176" t="s">
        <v>570</v>
      </c>
      <c r="J354" s="176"/>
      <c r="K354" s="176" t="s">
        <v>593</v>
      </c>
      <c r="L354" s="176"/>
      <c r="M354" s="176"/>
      <c r="N354" s="179">
        <f t="shared" si="36"/>
        <v>279</v>
      </c>
      <c r="O354" s="179">
        <f t="shared" si="37"/>
        <v>431</v>
      </c>
      <c r="P354" s="180">
        <f t="shared" si="38"/>
        <v>710</v>
      </c>
      <c r="Q354" s="181">
        <f t="shared" si="39"/>
        <v>0.85542168674698793</v>
      </c>
      <c r="R354" s="122">
        <f t="shared" si="40"/>
        <v>142</v>
      </c>
      <c r="S354" s="122">
        <f t="shared" si="41"/>
        <v>0.68433734939759039</v>
      </c>
      <c r="T354" s="133">
        <v>0.65</v>
      </c>
    </row>
    <row r="355" spans="1:20" ht="15.75" hidden="1" customHeight="1" x14ac:dyDescent="0.3">
      <c r="A355" s="175" t="s">
        <v>58</v>
      </c>
      <c r="B355" s="176" t="s">
        <v>327</v>
      </c>
      <c r="C355" s="176" t="s">
        <v>79</v>
      </c>
      <c r="D355" s="176" t="s">
        <v>665</v>
      </c>
      <c r="E355" s="177">
        <v>38</v>
      </c>
      <c r="F355" s="176" t="s">
        <v>603</v>
      </c>
      <c r="G355" s="177">
        <v>38</v>
      </c>
      <c r="H355" s="176" t="s">
        <v>606</v>
      </c>
      <c r="I355" s="176" t="s">
        <v>510</v>
      </c>
      <c r="J355" s="176"/>
      <c r="K355" s="176" t="s">
        <v>593</v>
      </c>
      <c r="L355" s="176"/>
      <c r="M355" s="176"/>
      <c r="N355" s="179">
        <f t="shared" si="36"/>
        <v>337</v>
      </c>
      <c r="O355" s="179">
        <f t="shared" si="37"/>
        <v>205</v>
      </c>
      <c r="P355" s="180">
        <f t="shared" si="38"/>
        <v>542</v>
      </c>
      <c r="Q355" s="181">
        <f t="shared" si="39"/>
        <v>0.65301204819277103</v>
      </c>
      <c r="R355" s="122">
        <f t="shared" si="40"/>
        <v>108.4</v>
      </c>
      <c r="S355" s="122">
        <f t="shared" si="41"/>
        <v>0.52240963855421685</v>
      </c>
      <c r="T355" s="133">
        <v>0.65</v>
      </c>
    </row>
    <row r="356" spans="1:20" ht="15.75" hidden="1" customHeight="1" x14ac:dyDescent="0.3">
      <c r="A356" s="175" t="s">
        <v>58</v>
      </c>
      <c r="B356" s="176" t="s">
        <v>327</v>
      </c>
      <c r="C356" s="176" t="s">
        <v>79</v>
      </c>
      <c r="D356" s="176" t="s">
        <v>666</v>
      </c>
      <c r="E356" s="177">
        <v>32</v>
      </c>
      <c r="F356" s="176" t="s">
        <v>667</v>
      </c>
      <c r="G356" s="177">
        <v>32</v>
      </c>
      <c r="H356" s="176" t="s">
        <v>615</v>
      </c>
      <c r="I356" s="176" t="s">
        <v>570</v>
      </c>
      <c r="J356" s="176"/>
      <c r="K356" s="176" t="s">
        <v>593</v>
      </c>
      <c r="L356" s="176"/>
      <c r="M356" s="176"/>
      <c r="N356" s="179">
        <f t="shared" ref="N356:N419" si="42">SUMIFS($E$2:$E$896,$A$2:$A$896,"осень",$I$2:$I$896,I356)</f>
        <v>279</v>
      </c>
      <c r="O356" s="179">
        <f t="shared" ref="O356:O419" si="43">SUMIFS($E$2:$E$896,$A$2:$A$896,"весна",$I$2:$I$896,I356)</f>
        <v>431</v>
      </c>
      <c r="P356" s="180">
        <f t="shared" si="38"/>
        <v>710</v>
      </c>
      <c r="Q356" s="181">
        <f t="shared" si="39"/>
        <v>0.85542168674698793</v>
      </c>
      <c r="R356" s="122">
        <f t="shared" si="40"/>
        <v>142</v>
      </c>
      <c r="S356" s="122">
        <f t="shared" si="41"/>
        <v>0.68433734939759039</v>
      </c>
      <c r="T356" s="133">
        <v>0.65</v>
      </c>
    </row>
    <row r="357" spans="1:20" ht="15.75" hidden="1" customHeight="1" x14ac:dyDescent="0.3">
      <c r="A357" s="175" t="s">
        <v>58</v>
      </c>
      <c r="B357" s="176" t="s">
        <v>327</v>
      </c>
      <c r="C357" s="176" t="s">
        <v>100</v>
      </c>
      <c r="D357" s="176" t="s">
        <v>666</v>
      </c>
      <c r="E357" s="177">
        <v>24</v>
      </c>
      <c r="F357" s="176" t="s">
        <v>667</v>
      </c>
      <c r="G357" s="177">
        <v>12</v>
      </c>
      <c r="H357" s="176" t="s">
        <v>615</v>
      </c>
      <c r="I357" s="176" t="s">
        <v>570</v>
      </c>
      <c r="J357" s="176"/>
      <c r="K357" s="176" t="s">
        <v>593</v>
      </c>
      <c r="L357" s="176"/>
      <c r="M357" s="176"/>
      <c r="N357" s="179">
        <f t="shared" si="42"/>
        <v>279</v>
      </c>
      <c r="O357" s="179">
        <f t="shared" si="43"/>
        <v>431</v>
      </c>
      <c r="P357" s="180">
        <f t="shared" si="38"/>
        <v>710</v>
      </c>
      <c r="Q357" s="181">
        <f t="shared" si="39"/>
        <v>0.85542168674698793</v>
      </c>
      <c r="R357" s="122">
        <f t="shared" si="40"/>
        <v>142</v>
      </c>
      <c r="S357" s="122">
        <f t="shared" si="41"/>
        <v>0.68433734939759039</v>
      </c>
      <c r="T357" s="133">
        <v>0.65</v>
      </c>
    </row>
    <row r="358" spans="1:20" ht="15.75" hidden="1" customHeight="1" x14ac:dyDescent="0.3">
      <c r="A358" s="175" t="s">
        <v>58</v>
      </c>
      <c r="B358" s="176" t="s">
        <v>327</v>
      </c>
      <c r="C358" s="176" t="s">
        <v>111</v>
      </c>
      <c r="D358" s="176" t="s">
        <v>665</v>
      </c>
      <c r="E358" s="177">
        <v>10</v>
      </c>
      <c r="F358" s="176" t="s">
        <v>603</v>
      </c>
      <c r="G358" s="178"/>
      <c r="H358" s="176" t="s">
        <v>606</v>
      </c>
      <c r="I358" s="176" t="s">
        <v>510</v>
      </c>
      <c r="J358" s="176"/>
      <c r="K358" s="176" t="s">
        <v>593</v>
      </c>
      <c r="L358" s="176"/>
      <c r="M358" s="176"/>
      <c r="N358" s="179">
        <f t="shared" si="42"/>
        <v>337</v>
      </c>
      <c r="O358" s="179">
        <f t="shared" si="43"/>
        <v>205</v>
      </c>
      <c r="P358" s="180">
        <f t="shared" si="38"/>
        <v>542</v>
      </c>
      <c r="Q358" s="181">
        <f t="shared" si="39"/>
        <v>0.65301204819277103</v>
      </c>
      <c r="R358" s="122">
        <f t="shared" si="40"/>
        <v>108.4</v>
      </c>
      <c r="S358" s="122">
        <f t="shared" si="41"/>
        <v>0.52240963855421685</v>
      </c>
      <c r="T358" s="133">
        <v>0.65</v>
      </c>
    </row>
    <row r="359" spans="1:20" ht="15.75" hidden="1" customHeight="1" x14ac:dyDescent="0.3">
      <c r="A359" s="175" t="s">
        <v>58</v>
      </c>
      <c r="B359" s="176" t="s">
        <v>327</v>
      </c>
      <c r="C359" s="176" t="s">
        <v>80</v>
      </c>
      <c r="D359" s="176" t="s">
        <v>665</v>
      </c>
      <c r="E359" s="177">
        <v>2</v>
      </c>
      <c r="F359" s="176" t="s">
        <v>603</v>
      </c>
      <c r="G359" s="178"/>
      <c r="H359" s="176" t="s">
        <v>606</v>
      </c>
      <c r="I359" s="176" t="s">
        <v>510</v>
      </c>
      <c r="J359" s="176"/>
      <c r="K359" s="176" t="s">
        <v>593</v>
      </c>
      <c r="L359" s="176"/>
      <c r="M359" s="176"/>
      <c r="N359" s="179">
        <f t="shared" si="42"/>
        <v>337</v>
      </c>
      <c r="O359" s="179">
        <f t="shared" si="43"/>
        <v>205</v>
      </c>
      <c r="P359" s="180">
        <f t="shared" si="38"/>
        <v>542</v>
      </c>
      <c r="Q359" s="181">
        <f t="shared" si="39"/>
        <v>0.65301204819277103</v>
      </c>
      <c r="R359" s="122">
        <f t="shared" si="40"/>
        <v>108.4</v>
      </c>
      <c r="S359" s="122">
        <f t="shared" si="41"/>
        <v>0.52240963855421685</v>
      </c>
      <c r="T359" s="133">
        <v>0.65</v>
      </c>
    </row>
    <row r="360" spans="1:20" ht="15.75" hidden="1" customHeight="1" x14ac:dyDescent="0.3">
      <c r="A360" s="175" t="s">
        <v>58</v>
      </c>
      <c r="B360" s="176" t="s">
        <v>327</v>
      </c>
      <c r="C360" s="176" t="s">
        <v>80</v>
      </c>
      <c r="D360" s="176" t="s">
        <v>666</v>
      </c>
      <c r="E360" s="177">
        <v>1</v>
      </c>
      <c r="F360" s="176" t="s">
        <v>667</v>
      </c>
      <c r="G360" s="178"/>
      <c r="H360" s="176" t="s">
        <v>615</v>
      </c>
      <c r="I360" s="176" t="s">
        <v>570</v>
      </c>
      <c r="J360" s="176"/>
      <c r="K360" s="176" t="s">
        <v>593</v>
      </c>
      <c r="L360" s="176"/>
      <c r="M360" s="176"/>
      <c r="N360" s="179">
        <f t="shared" si="42"/>
        <v>279</v>
      </c>
      <c r="O360" s="179">
        <f t="shared" si="43"/>
        <v>431</v>
      </c>
      <c r="P360" s="180">
        <f t="shared" si="38"/>
        <v>710</v>
      </c>
      <c r="Q360" s="181">
        <f t="shared" si="39"/>
        <v>0.85542168674698793</v>
      </c>
      <c r="R360" s="122">
        <f t="shared" si="40"/>
        <v>142</v>
      </c>
      <c r="S360" s="122">
        <f t="shared" si="41"/>
        <v>0.68433734939759039</v>
      </c>
      <c r="T360" s="133">
        <v>0.65</v>
      </c>
    </row>
    <row r="361" spans="1:20" ht="15.75" hidden="1" customHeight="1" x14ac:dyDescent="0.3">
      <c r="A361" s="175" t="s">
        <v>58</v>
      </c>
      <c r="B361" s="176" t="s">
        <v>668</v>
      </c>
      <c r="C361" s="176" t="s">
        <v>73</v>
      </c>
      <c r="D361" s="176" t="s">
        <v>666</v>
      </c>
      <c r="E361" s="177">
        <v>18</v>
      </c>
      <c r="F361" s="176" t="s">
        <v>667</v>
      </c>
      <c r="G361" s="177">
        <v>18</v>
      </c>
      <c r="H361" s="176" t="s">
        <v>623</v>
      </c>
      <c r="I361" s="176" t="s">
        <v>564</v>
      </c>
      <c r="J361" s="176"/>
      <c r="K361" s="176" t="s">
        <v>593</v>
      </c>
      <c r="L361" s="176"/>
      <c r="M361" s="176"/>
      <c r="N361" s="179">
        <f t="shared" si="42"/>
        <v>456</v>
      </c>
      <c r="O361" s="179">
        <f t="shared" si="43"/>
        <v>384</v>
      </c>
      <c r="P361" s="180">
        <f t="shared" si="38"/>
        <v>840</v>
      </c>
      <c r="Q361" s="181">
        <f t="shared" si="39"/>
        <v>1.0120481927710843</v>
      </c>
      <c r="R361" s="122">
        <f t="shared" si="40"/>
        <v>168</v>
      </c>
      <c r="S361" s="122">
        <f t="shared" si="41"/>
        <v>0.80963855421686748</v>
      </c>
      <c r="T361" s="133">
        <v>0.8</v>
      </c>
    </row>
    <row r="362" spans="1:20" ht="15.75" hidden="1" customHeight="1" x14ac:dyDescent="0.3">
      <c r="A362" s="175" t="s">
        <v>58</v>
      </c>
      <c r="B362" s="176" t="s">
        <v>668</v>
      </c>
      <c r="C362" s="176" t="s">
        <v>100</v>
      </c>
      <c r="D362" s="176" t="s">
        <v>666</v>
      </c>
      <c r="E362" s="177">
        <v>32</v>
      </c>
      <c r="F362" s="176" t="s">
        <v>667</v>
      </c>
      <c r="G362" s="177">
        <v>16</v>
      </c>
      <c r="H362" s="176" t="s">
        <v>623</v>
      </c>
      <c r="I362" s="176" t="s">
        <v>564</v>
      </c>
      <c r="J362" s="176"/>
      <c r="K362" s="176" t="s">
        <v>593</v>
      </c>
      <c r="L362" s="176"/>
      <c r="M362" s="176"/>
      <c r="N362" s="179">
        <f t="shared" si="42"/>
        <v>456</v>
      </c>
      <c r="O362" s="179">
        <f t="shared" si="43"/>
        <v>384</v>
      </c>
      <c r="P362" s="180">
        <f t="shared" si="38"/>
        <v>840</v>
      </c>
      <c r="Q362" s="181">
        <f t="shared" si="39"/>
        <v>1.0120481927710843</v>
      </c>
      <c r="R362" s="122">
        <f t="shared" si="40"/>
        <v>168</v>
      </c>
      <c r="S362" s="122">
        <f t="shared" si="41"/>
        <v>0.80963855421686748</v>
      </c>
      <c r="T362" s="133">
        <v>0.8</v>
      </c>
    </row>
    <row r="363" spans="1:20" ht="15.75" hidden="1" customHeight="1" x14ac:dyDescent="0.3">
      <c r="A363" s="175" t="s">
        <v>58</v>
      </c>
      <c r="B363" s="176" t="s">
        <v>668</v>
      </c>
      <c r="C363" s="176" t="s">
        <v>142</v>
      </c>
      <c r="D363" s="176" t="s">
        <v>666</v>
      </c>
      <c r="E363" s="177">
        <v>4</v>
      </c>
      <c r="F363" s="176" t="s">
        <v>667</v>
      </c>
      <c r="G363" s="178"/>
      <c r="H363" s="176" t="s">
        <v>623</v>
      </c>
      <c r="I363" s="176" t="s">
        <v>564</v>
      </c>
      <c r="J363" s="176"/>
      <c r="K363" s="176" t="s">
        <v>593</v>
      </c>
      <c r="L363" s="176"/>
      <c r="M363" s="176"/>
      <c r="N363" s="179">
        <f t="shared" si="42"/>
        <v>456</v>
      </c>
      <c r="O363" s="179">
        <f t="shared" si="43"/>
        <v>384</v>
      </c>
      <c r="P363" s="180">
        <f t="shared" si="38"/>
        <v>840</v>
      </c>
      <c r="Q363" s="181">
        <f t="shared" si="39"/>
        <v>1.0120481927710843</v>
      </c>
      <c r="R363" s="122">
        <f t="shared" si="40"/>
        <v>168</v>
      </c>
      <c r="S363" s="122">
        <f t="shared" si="41"/>
        <v>0.80963855421686748</v>
      </c>
      <c r="T363" s="133">
        <v>0.8</v>
      </c>
    </row>
    <row r="364" spans="1:20" ht="15.75" hidden="1" customHeight="1" x14ac:dyDescent="0.3">
      <c r="A364" s="175" t="s">
        <v>58</v>
      </c>
      <c r="B364" s="176" t="s">
        <v>668</v>
      </c>
      <c r="C364" s="176" t="s">
        <v>80</v>
      </c>
      <c r="D364" s="176" t="s">
        <v>666</v>
      </c>
      <c r="E364" s="177">
        <v>1</v>
      </c>
      <c r="F364" s="176" t="s">
        <v>667</v>
      </c>
      <c r="G364" s="178"/>
      <c r="H364" s="176" t="s">
        <v>623</v>
      </c>
      <c r="I364" s="176" t="s">
        <v>564</v>
      </c>
      <c r="J364" s="176"/>
      <c r="K364" s="176" t="s">
        <v>593</v>
      </c>
      <c r="L364" s="176"/>
      <c r="M364" s="176"/>
      <c r="N364" s="179">
        <f t="shared" si="42"/>
        <v>456</v>
      </c>
      <c r="O364" s="179">
        <f t="shared" si="43"/>
        <v>384</v>
      </c>
      <c r="P364" s="180">
        <f t="shared" si="38"/>
        <v>840</v>
      </c>
      <c r="Q364" s="181">
        <f t="shared" si="39"/>
        <v>1.0120481927710843</v>
      </c>
      <c r="R364" s="122">
        <f t="shared" si="40"/>
        <v>168</v>
      </c>
      <c r="S364" s="122">
        <f t="shared" si="41"/>
        <v>0.80963855421686748</v>
      </c>
      <c r="T364" s="133">
        <v>0.8</v>
      </c>
    </row>
    <row r="365" spans="1:20" ht="15.75" hidden="1" customHeight="1" x14ac:dyDescent="0.3">
      <c r="A365" s="175" t="s">
        <v>58</v>
      </c>
      <c r="B365" s="176" t="s">
        <v>669</v>
      </c>
      <c r="C365" s="176" t="s">
        <v>73</v>
      </c>
      <c r="D365" s="176" t="s">
        <v>670</v>
      </c>
      <c r="E365" s="177">
        <v>30</v>
      </c>
      <c r="F365" s="176" t="s">
        <v>671</v>
      </c>
      <c r="G365" s="177">
        <v>30</v>
      </c>
      <c r="H365" s="176" t="s">
        <v>604</v>
      </c>
      <c r="I365" s="176" t="s">
        <v>578</v>
      </c>
      <c r="J365" s="176"/>
      <c r="K365" s="176" t="s">
        <v>565</v>
      </c>
      <c r="L365" s="176"/>
      <c r="M365" s="176"/>
      <c r="N365" s="179">
        <f t="shared" si="42"/>
        <v>381</v>
      </c>
      <c r="O365" s="179">
        <f t="shared" si="43"/>
        <v>162</v>
      </c>
      <c r="P365" s="180">
        <f t="shared" si="38"/>
        <v>543</v>
      </c>
      <c r="Q365" s="181">
        <f t="shared" si="39"/>
        <v>0.6542168674698795</v>
      </c>
      <c r="R365" s="122">
        <f t="shared" si="40"/>
        <v>108.60000000000001</v>
      </c>
      <c r="S365" s="122">
        <f t="shared" si="41"/>
        <v>0.5233734939759036</v>
      </c>
      <c r="T365" s="133">
        <v>0.5</v>
      </c>
    </row>
    <row r="366" spans="1:20" ht="15.75" hidden="1" customHeight="1" x14ac:dyDescent="0.3">
      <c r="A366" s="175" t="s">
        <v>58</v>
      </c>
      <c r="B366" s="176" t="s">
        <v>669</v>
      </c>
      <c r="C366" s="176" t="s">
        <v>79</v>
      </c>
      <c r="D366" s="176" t="s">
        <v>670</v>
      </c>
      <c r="E366" s="177">
        <v>24</v>
      </c>
      <c r="F366" s="176" t="s">
        <v>671</v>
      </c>
      <c r="G366" s="177">
        <v>24</v>
      </c>
      <c r="H366" s="176" t="s">
        <v>604</v>
      </c>
      <c r="I366" s="176" t="s">
        <v>578</v>
      </c>
      <c r="J366" s="176"/>
      <c r="K366" s="176" t="s">
        <v>565</v>
      </c>
      <c r="L366" s="176"/>
      <c r="M366" s="176"/>
      <c r="N366" s="179">
        <f t="shared" si="42"/>
        <v>381</v>
      </c>
      <c r="O366" s="179">
        <f t="shared" si="43"/>
        <v>162</v>
      </c>
      <c r="P366" s="180">
        <f t="shared" si="38"/>
        <v>543</v>
      </c>
      <c r="Q366" s="181">
        <f t="shared" si="39"/>
        <v>0.6542168674698795</v>
      </c>
      <c r="R366" s="122">
        <f t="shared" si="40"/>
        <v>108.60000000000001</v>
      </c>
      <c r="S366" s="122">
        <f t="shared" si="41"/>
        <v>0.5233734939759036</v>
      </c>
      <c r="T366" s="133">
        <v>0.5</v>
      </c>
    </row>
    <row r="367" spans="1:20" ht="15.75" hidden="1" customHeight="1" x14ac:dyDescent="0.3">
      <c r="A367" s="175" t="s">
        <v>58</v>
      </c>
      <c r="B367" s="176" t="s">
        <v>669</v>
      </c>
      <c r="C367" s="176" t="s">
        <v>80</v>
      </c>
      <c r="D367" s="176" t="s">
        <v>670</v>
      </c>
      <c r="E367" s="177">
        <v>2</v>
      </c>
      <c r="F367" s="176" t="s">
        <v>671</v>
      </c>
      <c r="G367" s="178"/>
      <c r="H367" s="176" t="s">
        <v>604</v>
      </c>
      <c r="I367" s="176" t="s">
        <v>578</v>
      </c>
      <c r="J367" s="176"/>
      <c r="K367" s="176" t="s">
        <v>565</v>
      </c>
      <c r="L367" s="176"/>
      <c r="M367" s="176"/>
      <c r="N367" s="179">
        <f t="shared" si="42"/>
        <v>381</v>
      </c>
      <c r="O367" s="179">
        <f t="shared" si="43"/>
        <v>162</v>
      </c>
      <c r="P367" s="180">
        <f t="shared" si="38"/>
        <v>543</v>
      </c>
      <c r="Q367" s="181">
        <f t="shared" si="39"/>
        <v>0.6542168674698795</v>
      </c>
      <c r="R367" s="122">
        <f t="shared" si="40"/>
        <v>108.60000000000001</v>
      </c>
      <c r="S367" s="122">
        <f t="shared" si="41"/>
        <v>0.5233734939759036</v>
      </c>
      <c r="T367" s="133">
        <v>0.5</v>
      </c>
    </row>
    <row r="368" spans="1:20" ht="15.75" hidden="1" customHeight="1" x14ac:dyDescent="0.3">
      <c r="A368" s="175" t="s">
        <v>58</v>
      </c>
      <c r="B368" s="176" t="s">
        <v>672</v>
      </c>
      <c r="C368" s="176" t="s">
        <v>73</v>
      </c>
      <c r="D368" s="176" t="s">
        <v>673</v>
      </c>
      <c r="E368" s="177">
        <v>30</v>
      </c>
      <c r="F368" s="176" t="s">
        <v>674</v>
      </c>
      <c r="G368" s="177">
        <v>30</v>
      </c>
      <c r="H368" s="176" t="s">
        <v>622</v>
      </c>
      <c r="I368" s="176" t="s">
        <v>562</v>
      </c>
      <c r="J368" s="176"/>
      <c r="K368" s="176" t="s">
        <v>565</v>
      </c>
      <c r="L368" s="176"/>
      <c r="M368" s="176"/>
      <c r="N368" s="179">
        <f t="shared" si="42"/>
        <v>438</v>
      </c>
      <c r="O368" s="179">
        <f t="shared" si="43"/>
        <v>361</v>
      </c>
      <c r="P368" s="180">
        <f t="shared" si="38"/>
        <v>799</v>
      </c>
      <c r="Q368" s="181">
        <f t="shared" si="39"/>
        <v>0.96265060240963851</v>
      </c>
      <c r="R368" s="122">
        <f t="shared" si="40"/>
        <v>159.80000000000001</v>
      </c>
      <c r="S368" s="122">
        <f t="shared" si="41"/>
        <v>0.77012048192771088</v>
      </c>
      <c r="T368" s="133">
        <v>0.75</v>
      </c>
    </row>
    <row r="369" spans="1:20" ht="15.75" hidden="1" customHeight="1" x14ac:dyDescent="0.3">
      <c r="A369" s="175" t="s">
        <v>58</v>
      </c>
      <c r="B369" s="176" t="s">
        <v>672</v>
      </c>
      <c r="C369" s="176" t="s">
        <v>79</v>
      </c>
      <c r="D369" s="176" t="s">
        <v>673</v>
      </c>
      <c r="E369" s="177">
        <v>24</v>
      </c>
      <c r="F369" s="176" t="s">
        <v>674</v>
      </c>
      <c r="G369" s="177">
        <v>24</v>
      </c>
      <c r="H369" s="176" t="s">
        <v>622</v>
      </c>
      <c r="I369" s="176" t="s">
        <v>562</v>
      </c>
      <c r="J369" s="176"/>
      <c r="K369" s="176" t="s">
        <v>565</v>
      </c>
      <c r="L369" s="176"/>
      <c r="M369" s="176"/>
      <c r="N369" s="179">
        <f t="shared" si="42"/>
        <v>438</v>
      </c>
      <c r="O369" s="179">
        <f t="shared" si="43"/>
        <v>361</v>
      </c>
      <c r="P369" s="180">
        <f t="shared" si="38"/>
        <v>799</v>
      </c>
      <c r="Q369" s="181">
        <f t="shared" si="39"/>
        <v>0.96265060240963851</v>
      </c>
      <c r="R369" s="122">
        <f t="shared" si="40"/>
        <v>159.80000000000001</v>
      </c>
      <c r="S369" s="122">
        <f t="shared" si="41"/>
        <v>0.77012048192771088</v>
      </c>
      <c r="T369" s="133">
        <v>0.75</v>
      </c>
    </row>
    <row r="370" spans="1:20" ht="15.75" hidden="1" customHeight="1" x14ac:dyDescent="0.3">
      <c r="A370" s="175" t="s">
        <v>58</v>
      </c>
      <c r="B370" s="176" t="s">
        <v>672</v>
      </c>
      <c r="C370" s="176" t="s">
        <v>80</v>
      </c>
      <c r="D370" s="176" t="s">
        <v>673</v>
      </c>
      <c r="E370" s="177">
        <v>2</v>
      </c>
      <c r="F370" s="176" t="s">
        <v>674</v>
      </c>
      <c r="G370" s="178"/>
      <c r="H370" s="176" t="s">
        <v>622</v>
      </c>
      <c r="I370" s="176" t="s">
        <v>562</v>
      </c>
      <c r="J370" s="176"/>
      <c r="K370" s="176" t="s">
        <v>565</v>
      </c>
      <c r="L370" s="176"/>
      <c r="M370" s="176"/>
      <c r="N370" s="179">
        <f t="shared" si="42"/>
        <v>438</v>
      </c>
      <c r="O370" s="179">
        <f t="shared" si="43"/>
        <v>361</v>
      </c>
      <c r="P370" s="180">
        <f t="shared" si="38"/>
        <v>799</v>
      </c>
      <c r="Q370" s="181">
        <f t="shared" si="39"/>
        <v>0.96265060240963851</v>
      </c>
      <c r="R370" s="122">
        <f t="shared" si="40"/>
        <v>159.80000000000001</v>
      </c>
      <c r="S370" s="122">
        <f t="shared" si="41"/>
        <v>0.77012048192771088</v>
      </c>
      <c r="T370" s="133">
        <v>0.75</v>
      </c>
    </row>
    <row r="371" spans="1:20" ht="15.75" hidden="1" customHeight="1" x14ac:dyDescent="0.3">
      <c r="A371" s="175" t="s">
        <v>58</v>
      </c>
      <c r="B371" s="176" t="s">
        <v>675</v>
      </c>
      <c r="C371" s="176" t="s">
        <v>73</v>
      </c>
      <c r="D371" s="176" t="s">
        <v>676</v>
      </c>
      <c r="E371" s="177">
        <v>30</v>
      </c>
      <c r="F371" s="176" t="s">
        <v>677</v>
      </c>
      <c r="G371" s="177">
        <v>30</v>
      </c>
      <c r="H371" s="176" t="s">
        <v>646</v>
      </c>
      <c r="I371" s="176" t="s">
        <v>568</v>
      </c>
      <c r="J371" s="176"/>
      <c r="K371" s="176" t="s">
        <v>565</v>
      </c>
      <c r="L371" s="176"/>
      <c r="M371" s="176"/>
      <c r="N371" s="179">
        <f t="shared" si="42"/>
        <v>239</v>
      </c>
      <c r="O371" s="179">
        <f t="shared" si="43"/>
        <v>313</v>
      </c>
      <c r="P371" s="180">
        <f t="shared" si="38"/>
        <v>552</v>
      </c>
      <c r="Q371" s="181">
        <f t="shared" si="39"/>
        <v>0.66506024096385541</v>
      </c>
      <c r="R371" s="122">
        <f t="shared" si="40"/>
        <v>110.4</v>
      </c>
      <c r="S371" s="122">
        <f t="shared" si="41"/>
        <v>0.53204819277108439</v>
      </c>
      <c r="T371" s="133">
        <v>0.55000000000000004</v>
      </c>
    </row>
    <row r="372" spans="1:20" ht="15.75" hidden="1" customHeight="1" x14ac:dyDescent="0.3">
      <c r="A372" s="175" t="s">
        <v>58</v>
      </c>
      <c r="B372" s="176" t="s">
        <v>675</v>
      </c>
      <c r="C372" s="176" t="s">
        <v>79</v>
      </c>
      <c r="D372" s="176" t="s">
        <v>676</v>
      </c>
      <c r="E372" s="177">
        <v>24</v>
      </c>
      <c r="F372" s="176" t="s">
        <v>677</v>
      </c>
      <c r="G372" s="177">
        <v>24</v>
      </c>
      <c r="H372" s="176" t="s">
        <v>646</v>
      </c>
      <c r="I372" s="176" t="s">
        <v>568</v>
      </c>
      <c r="J372" s="176"/>
      <c r="K372" s="176" t="s">
        <v>565</v>
      </c>
      <c r="L372" s="176"/>
      <c r="M372" s="176"/>
      <c r="N372" s="179">
        <f t="shared" si="42"/>
        <v>239</v>
      </c>
      <c r="O372" s="179">
        <f t="shared" si="43"/>
        <v>313</v>
      </c>
      <c r="P372" s="180">
        <f t="shared" si="38"/>
        <v>552</v>
      </c>
      <c r="Q372" s="181">
        <f t="shared" si="39"/>
        <v>0.66506024096385541</v>
      </c>
      <c r="R372" s="122">
        <f t="shared" si="40"/>
        <v>110.4</v>
      </c>
      <c r="S372" s="122">
        <f t="shared" si="41"/>
        <v>0.53204819277108439</v>
      </c>
      <c r="T372" s="133">
        <v>0.55000000000000004</v>
      </c>
    </row>
    <row r="373" spans="1:20" ht="15.75" hidden="1" customHeight="1" x14ac:dyDescent="0.3">
      <c r="A373" s="175" t="s">
        <v>58</v>
      </c>
      <c r="B373" s="176" t="s">
        <v>675</v>
      </c>
      <c r="C373" s="176" t="s">
        <v>80</v>
      </c>
      <c r="D373" s="176" t="s">
        <v>676</v>
      </c>
      <c r="E373" s="177">
        <v>2</v>
      </c>
      <c r="F373" s="176" t="s">
        <v>677</v>
      </c>
      <c r="G373" s="178"/>
      <c r="H373" s="176" t="s">
        <v>646</v>
      </c>
      <c r="I373" s="176" t="s">
        <v>568</v>
      </c>
      <c r="J373" s="176"/>
      <c r="K373" s="176" t="s">
        <v>565</v>
      </c>
      <c r="L373" s="176"/>
      <c r="M373" s="176"/>
      <c r="N373" s="179">
        <f t="shared" si="42"/>
        <v>239</v>
      </c>
      <c r="O373" s="179">
        <f t="shared" si="43"/>
        <v>313</v>
      </c>
      <c r="P373" s="180">
        <f t="shared" si="38"/>
        <v>552</v>
      </c>
      <c r="Q373" s="181">
        <f t="shared" si="39"/>
        <v>0.66506024096385541</v>
      </c>
      <c r="R373" s="122">
        <f t="shared" si="40"/>
        <v>110.4</v>
      </c>
      <c r="S373" s="122">
        <f t="shared" si="41"/>
        <v>0.53204819277108439</v>
      </c>
      <c r="T373" s="133">
        <v>0.55000000000000004</v>
      </c>
    </row>
    <row r="374" spans="1:20" ht="15.75" hidden="1" customHeight="1" x14ac:dyDescent="0.3">
      <c r="A374" s="175" t="s">
        <v>58</v>
      </c>
      <c r="B374" s="176" t="s">
        <v>678</v>
      </c>
      <c r="C374" s="176" t="s">
        <v>73</v>
      </c>
      <c r="D374" s="176" t="s">
        <v>679</v>
      </c>
      <c r="E374" s="177">
        <v>15</v>
      </c>
      <c r="F374" s="176" t="s">
        <v>680</v>
      </c>
      <c r="G374" s="177">
        <v>30</v>
      </c>
      <c r="H374" s="176" t="s">
        <v>642</v>
      </c>
      <c r="I374" s="176" t="s">
        <v>572</v>
      </c>
      <c r="J374" s="176"/>
      <c r="K374" s="176" t="s">
        <v>593</v>
      </c>
      <c r="L374" s="176"/>
      <c r="M374" s="176" t="s">
        <v>681</v>
      </c>
      <c r="N374" s="179">
        <f t="shared" si="42"/>
        <v>410</v>
      </c>
      <c r="O374" s="179">
        <f t="shared" si="43"/>
        <v>260</v>
      </c>
      <c r="P374" s="180">
        <f t="shared" si="38"/>
        <v>670</v>
      </c>
      <c r="Q374" s="181">
        <f t="shared" si="39"/>
        <v>0.80722891566265065</v>
      </c>
      <c r="R374" s="122">
        <f t="shared" si="40"/>
        <v>134</v>
      </c>
      <c r="S374" s="122">
        <f t="shared" si="41"/>
        <v>0.64578313253012054</v>
      </c>
      <c r="T374" s="133">
        <v>0.55000000000000004</v>
      </c>
    </row>
    <row r="375" spans="1:20" ht="15.75" hidden="1" customHeight="1" x14ac:dyDescent="0.3">
      <c r="A375" s="175" t="s">
        <v>58</v>
      </c>
      <c r="B375" s="176" t="s">
        <v>678</v>
      </c>
      <c r="C375" s="176" t="s">
        <v>73</v>
      </c>
      <c r="D375" s="176" t="s">
        <v>679</v>
      </c>
      <c r="E375" s="177">
        <v>15</v>
      </c>
      <c r="F375" s="176" t="s">
        <v>680</v>
      </c>
      <c r="G375" s="177">
        <v>30</v>
      </c>
      <c r="H375" s="176" t="s">
        <v>682</v>
      </c>
      <c r="I375" s="176" t="s">
        <v>497</v>
      </c>
      <c r="J375" s="176"/>
      <c r="K375" s="176" t="s">
        <v>565</v>
      </c>
      <c r="L375" s="176"/>
      <c r="M375" s="176" t="s">
        <v>683</v>
      </c>
      <c r="N375" s="179">
        <f t="shared" si="42"/>
        <v>180</v>
      </c>
      <c r="O375" s="179">
        <f t="shared" si="43"/>
        <v>129</v>
      </c>
      <c r="P375" s="180">
        <f t="shared" si="38"/>
        <v>309</v>
      </c>
      <c r="Q375" s="181">
        <f t="shared" si="39"/>
        <v>0.37228915662650602</v>
      </c>
      <c r="R375" s="122">
        <f t="shared" si="40"/>
        <v>61.800000000000004</v>
      </c>
      <c r="S375" s="122">
        <f t="shared" si="41"/>
        <v>0.29783132530120482</v>
      </c>
      <c r="T375" s="133">
        <v>0.3</v>
      </c>
    </row>
    <row r="376" spans="1:20" ht="15.75" hidden="1" customHeight="1" x14ac:dyDescent="0.3">
      <c r="A376" s="175" t="s">
        <v>58</v>
      </c>
      <c r="B376" s="176" t="s">
        <v>678</v>
      </c>
      <c r="C376" s="176" t="s">
        <v>87</v>
      </c>
      <c r="D376" s="176" t="s">
        <v>679</v>
      </c>
      <c r="E376" s="177">
        <v>1</v>
      </c>
      <c r="F376" s="176" t="s">
        <v>680</v>
      </c>
      <c r="G376" s="178"/>
      <c r="H376" s="176" t="s">
        <v>682</v>
      </c>
      <c r="I376" s="176" t="s">
        <v>497</v>
      </c>
      <c r="J376" s="176"/>
      <c r="K376" s="176" t="s">
        <v>565</v>
      </c>
      <c r="L376" s="176"/>
      <c r="M376" s="176"/>
      <c r="N376" s="179">
        <f t="shared" si="42"/>
        <v>180</v>
      </c>
      <c r="O376" s="179">
        <f t="shared" si="43"/>
        <v>129</v>
      </c>
      <c r="P376" s="180">
        <f t="shared" si="38"/>
        <v>309</v>
      </c>
      <c r="Q376" s="181">
        <f t="shared" si="39"/>
        <v>0.37228915662650602</v>
      </c>
      <c r="R376" s="122">
        <f t="shared" si="40"/>
        <v>61.800000000000004</v>
      </c>
      <c r="S376" s="122">
        <f t="shared" si="41"/>
        <v>0.29783132530120482</v>
      </c>
      <c r="T376" s="133">
        <v>0.3</v>
      </c>
    </row>
    <row r="377" spans="1:20" ht="15.75" hidden="1" customHeight="1" x14ac:dyDescent="0.3">
      <c r="A377" s="175" t="s">
        <v>58</v>
      </c>
      <c r="B377" s="176" t="s">
        <v>678</v>
      </c>
      <c r="C377" s="176" t="s">
        <v>79</v>
      </c>
      <c r="D377" s="176" t="s">
        <v>679</v>
      </c>
      <c r="E377" s="177">
        <v>12</v>
      </c>
      <c r="F377" s="176" t="s">
        <v>680</v>
      </c>
      <c r="G377" s="177">
        <v>24</v>
      </c>
      <c r="H377" s="176" t="s">
        <v>642</v>
      </c>
      <c r="I377" s="176" t="s">
        <v>572</v>
      </c>
      <c r="J377" s="176"/>
      <c r="K377" s="176" t="s">
        <v>593</v>
      </c>
      <c r="L377" s="176"/>
      <c r="M377" s="176"/>
      <c r="N377" s="179">
        <f t="shared" si="42"/>
        <v>410</v>
      </c>
      <c r="O377" s="179">
        <f t="shared" si="43"/>
        <v>260</v>
      </c>
      <c r="P377" s="180">
        <f t="shared" si="38"/>
        <v>670</v>
      </c>
      <c r="Q377" s="181">
        <f t="shared" si="39"/>
        <v>0.80722891566265065</v>
      </c>
      <c r="R377" s="122">
        <f t="shared" si="40"/>
        <v>134</v>
      </c>
      <c r="S377" s="122">
        <f t="shared" si="41"/>
        <v>0.64578313253012054</v>
      </c>
      <c r="T377" s="133">
        <v>0.55000000000000004</v>
      </c>
    </row>
    <row r="378" spans="1:20" ht="15.75" hidden="1" customHeight="1" x14ac:dyDescent="0.3">
      <c r="A378" s="175" t="s">
        <v>58</v>
      </c>
      <c r="B378" s="176" t="s">
        <v>678</v>
      </c>
      <c r="C378" s="176" t="s">
        <v>79</v>
      </c>
      <c r="D378" s="176" t="s">
        <v>679</v>
      </c>
      <c r="E378" s="177">
        <v>12</v>
      </c>
      <c r="F378" s="176" t="s">
        <v>680</v>
      </c>
      <c r="G378" s="177">
        <v>24</v>
      </c>
      <c r="H378" s="176" t="s">
        <v>682</v>
      </c>
      <c r="I378" s="176" t="s">
        <v>497</v>
      </c>
      <c r="J378" s="176"/>
      <c r="K378" s="176" t="s">
        <v>565</v>
      </c>
      <c r="L378" s="176"/>
      <c r="M378" s="176"/>
      <c r="N378" s="179">
        <f t="shared" si="42"/>
        <v>180</v>
      </c>
      <c r="O378" s="179">
        <f t="shared" si="43"/>
        <v>129</v>
      </c>
      <c r="P378" s="180">
        <f t="shared" si="38"/>
        <v>309</v>
      </c>
      <c r="Q378" s="181">
        <f t="shared" si="39"/>
        <v>0.37228915662650602</v>
      </c>
      <c r="R378" s="122">
        <f t="shared" si="40"/>
        <v>61.800000000000004</v>
      </c>
      <c r="S378" s="122">
        <f t="shared" si="41"/>
        <v>0.29783132530120482</v>
      </c>
      <c r="T378" s="133">
        <v>0.3</v>
      </c>
    </row>
    <row r="379" spans="1:20" ht="15.75" hidden="1" customHeight="1" x14ac:dyDescent="0.3">
      <c r="A379" s="175" t="s">
        <v>58</v>
      </c>
      <c r="B379" s="176" t="s">
        <v>678</v>
      </c>
      <c r="C379" s="176" t="s">
        <v>80</v>
      </c>
      <c r="D379" s="176" t="s">
        <v>679</v>
      </c>
      <c r="E379" s="177">
        <v>2</v>
      </c>
      <c r="F379" s="176" t="s">
        <v>680</v>
      </c>
      <c r="G379" s="178"/>
      <c r="H379" s="176" t="s">
        <v>642</v>
      </c>
      <c r="I379" s="176" t="s">
        <v>572</v>
      </c>
      <c r="J379" s="176"/>
      <c r="K379" s="176" t="s">
        <v>593</v>
      </c>
      <c r="L379" s="176"/>
      <c r="M379" s="176"/>
      <c r="N379" s="179">
        <f t="shared" si="42"/>
        <v>410</v>
      </c>
      <c r="O379" s="179">
        <f t="shared" si="43"/>
        <v>260</v>
      </c>
      <c r="P379" s="180">
        <f t="shared" si="38"/>
        <v>670</v>
      </c>
      <c r="Q379" s="181">
        <f t="shared" si="39"/>
        <v>0.80722891566265065</v>
      </c>
      <c r="R379" s="122">
        <f t="shared" si="40"/>
        <v>134</v>
      </c>
      <c r="S379" s="122">
        <f t="shared" si="41"/>
        <v>0.64578313253012054</v>
      </c>
      <c r="T379" s="133">
        <v>0.55000000000000004</v>
      </c>
    </row>
    <row r="380" spans="1:20" ht="15.75" hidden="1" customHeight="1" x14ac:dyDescent="0.3">
      <c r="A380" s="175" t="s">
        <v>58</v>
      </c>
      <c r="B380" s="176" t="s">
        <v>684</v>
      </c>
      <c r="C380" s="176" t="s">
        <v>73</v>
      </c>
      <c r="D380" s="176" t="s">
        <v>590</v>
      </c>
      <c r="E380" s="177">
        <v>24</v>
      </c>
      <c r="F380" s="176" t="s">
        <v>591</v>
      </c>
      <c r="G380" s="177">
        <v>24</v>
      </c>
      <c r="H380" s="176" t="s">
        <v>642</v>
      </c>
      <c r="I380" s="176" t="s">
        <v>572</v>
      </c>
      <c r="J380" s="176"/>
      <c r="K380" s="176" t="s">
        <v>593</v>
      </c>
      <c r="L380" s="176"/>
      <c r="M380" s="176"/>
      <c r="N380" s="179">
        <f t="shared" si="42"/>
        <v>410</v>
      </c>
      <c r="O380" s="179">
        <f t="shared" si="43"/>
        <v>260</v>
      </c>
      <c r="P380" s="180">
        <f t="shared" si="38"/>
        <v>670</v>
      </c>
      <c r="Q380" s="181">
        <f t="shared" si="39"/>
        <v>0.80722891566265065</v>
      </c>
      <c r="R380" s="122">
        <f t="shared" si="40"/>
        <v>134</v>
      </c>
      <c r="S380" s="122">
        <f t="shared" si="41"/>
        <v>0.64578313253012054</v>
      </c>
      <c r="T380" s="133">
        <v>0.55000000000000004</v>
      </c>
    </row>
    <row r="381" spans="1:20" ht="15.75" hidden="1" customHeight="1" x14ac:dyDescent="0.3">
      <c r="A381" s="175" t="s">
        <v>58</v>
      </c>
      <c r="B381" s="176" t="s">
        <v>684</v>
      </c>
      <c r="C381" s="176" t="s">
        <v>87</v>
      </c>
      <c r="D381" s="176" t="s">
        <v>590</v>
      </c>
      <c r="E381" s="177">
        <v>3</v>
      </c>
      <c r="F381" s="176" t="s">
        <v>591</v>
      </c>
      <c r="G381" s="178"/>
      <c r="H381" s="176" t="s">
        <v>642</v>
      </c>
      <c r="I381" s="176" t="s">
        <v>572</v>
      </c>
      <c r="J381" s="176"/>
      <c r="K381" s="176" t="s">
        <v>593</v>
      </c>
      <c r="L381" s="176"/>
      <c r="M381" s="176"/>
      <c r="N381" s="179">
        <f t="shared" si="42"/>
        <v>410</v>
      </c>
      <c r="O381" s="179">
        <f t="shared" si="43"/>
        <v>260</v>
      </c>
      <c r="P381" s="180">
        <f t="shared" si="38"/>
        <v>670</v>
      </c>
      <c r="Q381" s="181">
        <f t="shared" si="39"/>
        <v>0.80722891566265065</v>
      </c>
      <c r="R381" s="122">
        <f t="shared" si="40"/>
        <v>134</v>
      </c>
      <c r="S381" s="122">
        <f t="shared" si="41"/>
        <v>0.64578313253012054</v>
      </c>
      <c r="T381" s="133">
        <v>0.55000000000000004</v>
      </c>
    </row>
    <row r="382" spans="1:20" ht="15.75" customHeight="1" x14ac:dyDescent="0.3">
      <c r="A382" s="175" t="s">
        <v>58</v>
      </c>
      <c r="B382" s="176" t="s">
        <v>684</v>
      </c>
      <c r="C382" s="176" t="s">
        <v>87</v>
      </c>
      <c r="D382" s="176" t="s">
        <v>590</v>
      </c>
      <c r="E382" s="177">
        <v>1</v>
      </c>
      <c r="F382" s="176" t="s">
        <v>591</v>
      </c>
      <c r="G382" s="178"/>
      <c r="H382" s="176"/>
      <c r="I382" s="176" t="s">
        <v>500</v>
      </c>
      <c r="J382" s="176"/>
      <c r="K382" s="176" t="s">
        <v>593</v>
      </c>
      <c r="L382" s="176"/>
      <c r="M382" s="176"/>
      <c r="N382" s="179">
        <f t="shared" si="42"/>
        <v>14.5</v>
      </c>
      <c r="O382" s="179">
        <f t="shared" si="43"/>
        <v>78</v>
      </c>
      <c r="P382" s="180">
        <f t="shared" si="38"/>
        <v>92.5</v>
      </c>
      <c r="Q382" s="181">
        <f t="shared" si="39"/>
        <v>0.11144578313253012</v>
      </c>
      <c r="R382" s="122">
        <f t="shared" si="40"/>
        <v>18.5</v>
      </c>
      <c r="S382" s="122">
        <f t="shared" si="41"/>
        <v>8.91566265060241E-2</v>
      </c>
      <c r="T382" s="133">
        <v>0</v>
      </c>
    </row>
    <row r="383" spans="1:20" ht="15.75" hidden="1" customHeight="1" x14ac:dyDescent="0.3">
      <c r="A383" s="175" t="s">
        <v>58</v>
      </c>
      <c r="B383" s="176" t="s">
        <v>684</v>
      </c>
      <c r="C383" s="176" t="s">
        <v>79</v>
      </c>
      <c r="D383" s="176" t="s">
        <v>590</v>
      </c>
      <c r="E383" s="177">
        <v>48</v>
      </c>
      <c r="F383" s="176" t="s">
        <v>591</v>
      </c>
      <c r="G383" s="177">
        <v>48</v>
      </c>
      <c r="H383" s="176" t="s">
        <v>642</v>
      </c>
      <c r="I383" s="176" t="s">
        <v>572</v>
      </c>
      <c r="J383" s="176"/>
      <c r="K383" s="176" t="s">
        <v>593</v>
      </c>
      <c r="L383" s="176"/>
      <c r="M383" s="176"/>
      <c r="N383" s="179">
        <f t="shared" si="42"/>
        <v>410</v>
      </c>
      <c r="O383" s="179">
        <f t="shared" si="43"/>
        <v>260</v>
      </c>
      <c r="P383" s="180">
        <f t="shared" si="38"/>
        <v>670</v>
      </c>
      <c r="Q383" s="181">
        <f t="shared" si="39"/>
        <v>0.80722891566265065</v>
      </c>
      <c r="R383" s="122">
        <f t="shared" si="40"/>
        <v>134</v>
      </c>
      <c r="S383" s="122">
        <f t="shared" si="41"/>
        <v>0.64578313253012054</v>
      </c>
      <c r="T383" s="133">
        <v>0.55000000000000004</v>
      </c>
    </row>
    <row r="384" spans="1:20" ht="15.75" hidden="1" customHeight="1" x14ac:dyDescent="0.3">
      <c r="A384" s="175" t="s">
        <v>58</v>
      </c>
      <c r="B384" s="176" t="s">
        <v>684</v>
      </c>
      <c r="C384" s="176" t="s">
        <v>80</v>
      </c>
      <c r="D384" s="176" t="s">
        <v>590</v>
      </c>
      <c r="E384" s="177">
        <v>1</v>
      </c>
      <c r="F384" s="176" t="s">
        <v>591</v>
      </c>
      <c r="G384" s="178"/>
      <c r="H384" s="176" t="s">
        <v>642</v>
      </c>
      <c r="I384" s="176" t="s">
        <v>572</v>
      </c>
      <c r="J384" s="176"/>
      <c r="K384" s="176" t="s">
        <v>593</v>
      </c>
      <c r="L384" s="176"/>
      <c r="M384" s="176"/>
      <c r="N384" s="179">
        <f t="shared" si="42"/>
        <v>410</v>
      </c>
      <c r="O384" s="179">
        <f t="shared" si="43"/>
        <v>260</v>
      </c>
      <c r="P384" s="180">
        <f t="shared" si="38"/>
        <v>670</v>
      </c>
      <c r="Q384" s="181">
        <f t="shared" si="39"/>
        <v>0.80722891566265065</v>
      </c>
      <c r="R384" s="122">
        <f t="shared" si="40"/>
        <v>134</v>
      </c>
      <c r="S384" s="122">
        <f t="shared" si="41"/>
        <v>0.64578313253012054</v>
      </c>
      <c r="T384" s="133">
        <v>0.55000000000000004</v>
      </c>
    </row>
    <row r="385" spans="1:20" ht="15.75" hidden="1" customHeight="1" x14ac:dyDescent="0.3">
      <c r="A385" s="175" t="s">
        <v>58</v>
      </c>
      <c r="B385" s="176" t="s">
        <v>685</v>
      </c>
      <c r="C385" s="176" t="s">
        <v>73</v>
      </c>
      <c r="D385" s="176" t="s">
        <v>666</v>
      </c>
      <c r="E385" s="177">
        <v>18</v>
      </c>
      <c r="F385" s="176" t="s">
        <v>667</v>
      </c>
      <c r="G385" s="177">
        <v>18</v>
      </c>
      <c r="H385" s="176" t="s">
        <v>615</v>
      </c>
      <c r="I385" s="176" t="s">
        <v>570</v>
      </c>
      <c r="J385" s="176"/>
      <c r="K385" s="176" t="s">
        <v>593</v>
      </c>
      <c r="L385" s="176"/>
      <c r="M385" s="176"/>
      <c r="N385" s="179">
        <f t="shared" si="42"/>
        <v>279</v>
      </c>
      <c r="O385" s="179">
        <f t="shared" si="43"/>
        <v>431</v>
      </c>
      <c r="P385" s="180">
        <f t="shared" si="38"/>
        <v>710</v>
      </c>
      <c r="Q385" s="181">
        <f t="shared" si="39"/>
        <v>0.85542168674698793</v>
      </c>
      <c r="R385" s="122">
        <f t="shared" si="40"/>
        <v>142</v>
      </c>
      <c r="S385" s="122">
        <f t="shared" si="41"/>
        <v>0.68433734939759039</v>
      </c>
      <c r="T385" s="133">
        <v>0.65</v>
      </c>
    </row>
    <row r="386" spans="1:20" ht="15.75" hidden="1" customHeight="1" x14ac:dyDescent="0.3">
      <c r="A386" s="175" t="s">
        <v>58</v>
      </c>
      <c r="B386" s="176" t="s">
        <v>685</v>
      </c>
      <c r="C386" s="176" t="s">
        <v>87</v>
      </c>
      <c r="D386" s="176" t="s">
        <v>666</v>
      </c>
      <c r="E386" s="177">
        <v>4</v>
      </c>
      <c r="F386" s="176" t="s">
        <v>667</v>
      </c>
      <c r="G386" s="178"/>
      <c r="H386" s="176" t="s">
        <v>615</v>
      </c>
      <c r="I386" s="176" t="s">
        <v>570</v>
      </c>
      <c r="J386" s="176"/>
      <c r="K386" s="176" t="s">
        <v>593</v>
      </c>
      <c r="L386" s="176"/>
      <c r="M386" s="176"/>
      <c r="N386" s="179">
        <f t="shared" si="42"/>
        <v>279</v>
      </c>
      <c r="O386" s="179">
        <f t="shared" si="43"/>
        <v>431</v>
      </c>
      <c r="P386" s="180">
        <f t="shared" si="38"/>
        <v>710</v>
      </c>
      <c r="Q386" s="181">
        <f t="shared" si="39"/>
        <v>0.85542168674698793</v>
      </c>
      <c r="R386" s="122">
        <f t="shared" si="40"/>
        <v>142</v>
      </c>
      <c r="S386" s="122">
        <f t="shared" si="41"/>
        <v>0.68433734939759039</v>
      </c>
      <c r="T386" s="133">
        <v>0.65</v>
      </c>
    </row>
    <row r="387" spans="1:20" ht="15.75" customHeight="1" x14ac:dyDescent="0.3">
      <c r="A387" s="175" t="s">
        <v>58</v>
      </c>
      <c r="B387" s="176" t="s">
        <v>685</v>
      </c>
      <c r="C387" s="176" t="s">
        <v>87</v>
      </c>
      <c r="D387" s="176" t="s">
        <v>666</v>
      </c>
      <c r="E387" s="177">
        <v>2</v>
      </c>
      <c r="F387" s="176" t="s">
        <v>667</v>
      </c>
      <c r="G387" s="178"/>
      <c r="H387" s="176"/>
      <c r="I387" s="176" t="s">
        <v>500</v>
      </c>
      <c r="J387" s="176"/>
      <c r="K387" s="176" t="s">
        <v>593</v>
      </c>
      <c r="L387" s="176"/>
      <c r="M387" s="176"/>
      <c r="N387" s="179">
        <f t="shared" si="42"/>
        <v>14.5</v>
      </c>
      <c r="O387" s="179">
        <f t="shared" si="43"/>
        <v>78</v>
      </c>
      <c r="P387" s="180">
        <f t="shared" si="38"/>
        <v>92.5</v>
      </c>
      <c r="Q387" s="181">
        <f t="shared" si="39"/>
        <v>0.11144578313253012</v>
      </c>
      <c r="R387" s="122">
        <f t="shared" si="40"/>
        <v>18.5</v>
      </c>
      <c r="S387" s="122">
        <f t="shared" si="41"/>
        <v>8.91566265060241E-2</v>
      </c>
      <c r="T387" s="133">
        <v>0</v>
      </c>
    </row>
    <row r="388" spans="1:20" ht="15.75" hidden="1" customHeight="1" x14ac:dyDescent="0.3">
      <c r="A388" s="175" t="s">
        <v>58</v>
      </c>
      <c r="B388" s="176" t="s">
        <v>685</v>
      </c>
      <c r="C388" s="176" t="s">
        <v>79</v>
      </c>
      <c r="D388" s="176" t="s">
        <v>666</v>
      </c>
      <c r="E388" s="177">
        <v>16</v>
      </c>
      <c r="F388" s="176" t="s">
        <v>667</v>
      </c>
      <c r="G388" s="177">
        <v>16</v>
      </c>
      <c r="H388" s="176" t="s">
        <v>615</v>
      </c>
      <c r="I388" s="176" t="s">
        <v>570</v>
      </c>
      <c r="J388" s="176"/>
      <c r="K388" s="176" t="s">
        <v>593</v>
      </c>
      <c r="L388" s="176"/>
      <c r="M388" s="176"/>
      <c r="N388" s="179">
        <f t="shared" si="42"/>
        <v>279</v>
      </c>
      <c r="O388" s="179">
        <f t="shared" si="43"/>
        <v>431</v>
      </c>
      <c r="P388" s="180">
        <f t="shared" si="38"/>
        <v>710</v>
      </c>
      <c r="Q388" s="181">
        <f t="shared" si="39"/>
        <v>0.85542168674698793</v>
      </c>
      <c r="R388" s="122">
        <f t="shared" si="40"/>
        <v>142</v>
      </c>
      <c r="S388" s="122">
        <f t="shared" si="41"/>
        <v>0.68433734939759039</v>
      </c>
      <c r="T388" s="133">
        <v>0.65</v>
      </c>
    </row>
    <row r="389" spans="1:20" ht="15.75" hidden="1" customHeight="1" x14ac:dyDescent="0.3">
      <c r="A389" s="175" t="s">
        <v>58</v>
      </c>
      <c r="B389" s="176" t="s">
        <v>685</v>
      </c>
      <c r="C389" s="176" t="s">
        <v>80</v>
      </c>
      <c r="D389" s="176" t="s">
        <v>666</v>
      </c>
      <c r="E389" s="177">
        <v>1</v>
      </c>
      <c r="F389" s="176" t="s">
        <v>667</v>
      </c>
      <c r="G389" s="178"/>
      <c r="H389" s="176" t="s">
        <v>615</v>
      </c>
      <c r="I389" s="176" t="s">
        <v>570</v>
      </c>
      <c r="J389" s="176"/>
      <c r="K389" s="176" t="s">
        <v>593</v>
      </c>
      <c r="L389" s="176"/>
      <c r="M389" s="176"/>
      <c r="N389" s="179">
        <f t="shared" si="42"/>
        <v>279</v>
      </c>
      <c r="O389" s="179">
        <f t="shared" si="43"/>
        <v>431</v>
      </c>
      <c r="P389" s="180">
        <f t="shared" si="38"/>
        <v>710</v>
      </c>
      <c r="Q389" s="181">
        <f t="shared" si="39"/>
        <v>0.85542168674698793</v>
      </c>
      <c r="R389" s="122">
        <f t="shared" si="40"/>
        <v>142</v>
      </c>
      <c r="S389" s="122">
        <f t="shared" si="41"/>
        <v>0.68433734939759039</v>
      </c>
      <c r="T389" s="133">
        <v>0.65</v>
      </c>
    </row>
    <row r="390" spans="1:20" ht="15.75" hidden="1" customHeight="1" x14ac:dyDescent="0.3">
      <c r="A390" s="175" t="s">
        <v>58</v>
      </c>
      <c r="B390" s="176" t="s">
        <v>402</v>
      </c>
      <c r="C390" s="176" t="s">
        <v>73</v>
      </c>
      <c r="D390" s="176" t="s">
        <v>620</v>
      </c>
      <c r="E390" s="177">
        <v>18</v>
      </c>
      <c r="F390" s="176" t="s">
        <v>621</v>
      </c>
      <c r="G390" s="177">
        <v>18</v>
      </c>
      <c r="H390" s="176" t="s">
        <v>627</v>
      </c>
      <c r="I390" s="176" t="s">
        <v>576</v>
      </c>
      <c r="J390" s="176"/>
      <c r="K390" s="176" t="s">
        <v>593</v>
      </c>
      <c r="L390" s="176"/>
      <c r="M390" s="176"/>
      <c r="N390" s="179">
        <f t="shared" si="42"/>
        <v>175</v>
      </c>
      <c r="O390" s="179">
        <f t="shared" si="43"/>
        <v>120</v>
      </c>
      <c r="P390" s="180">
        <f t="shared" si="38"/>
        <v>295</v>
      </c>
      <c r="Q390" s="181">
        <f t="shared" si="39"/>
        <v>0.35542168674698793</v>
      </c>
      <c r="R390" s="122">
        <f t="shared" si="40"/>
        <v>59</v>
      </c>
      <c r="S390" s="122">
        <f t="shared" si="41"/>
        <v>0.28433734939759037</v>
      </c>
      <c r="T390" s="133">
        <v>0.25</v>
      </c>
    </row>
    <row r="391" spans="1:20" ht="15.75" hidden="1" customHeight="1" x14ac:dyDescent="0.3">
      <c r="A391" s="175" t="s">
        <v>58</v>
      </c>
      <c r="B391" s="176" t="s">
        <v>402</v>
      </c>
      <c r="C391" s="176" t="s">
        <v>79</v>
      </c>
      <c r="D391" s="176" t="s">
        <v>620</v>
      </c>
      <c r="E391" s="177">
        <v>16</v>
      </c>
      <c r="F391" s="176" t="s">
        <v>621</v>
      </c>
      <c r="G391" s="177">
        <v>16</v>
      </c>
      <c r="H391" s="176" t="s">
        <v>627</v>
      </c>
      <c r="I391" s="176" t="s">
        <v>576</v>
      </c>
      <c r="J391" s="176"/>
      <c r="K391" s="176" t="s">
        <v>593</v>
      </c>
      <c r="L391" s="176"/>
      <c r="M391" s="176"/>
      <c r="N391" s="179">
        <f t="shared" si="42"/>
        <v>175</v>
      </c>
      <c r="O391" s="179">
        <f t="shared" si="43"/>
        <v>120</v>
      </c>
      <c r="P391" s="180">
        <f t="shared" si="38"/>
        <v>295</v>
      </c>
      <c r="Q391" s="181">
        <f t="shared" si="39"/>
        <v>0.35542168674698793</v>
      </c>
      <c r="R391" s="122">
        <f t="shared" si="40"/>
        <v>59</v>
      </c>
      <c r="S391" s="122">
        <f t="shared" si="41"/>
        <v>0.28433734939759037</v>
      </c>
      <c r="T391" s="133">
        <v>0.25</v>
      </c>
    </row>
    <row r="392" spans="1:20" ht="15.75" hidden="1" customHeight="1" x14ac:dyDescent="0.3">
      <c r="A392" s="175" t="s">
        <v>58</v>
      </c>
      <c r="B392" s="176" t="s">
        <v>402</v>
      </c>
      <c r="C392" s="176" t="s">
        <v>111</v>
      </c>
      <c r="D392" s="176" t="s">
        <v>620</v>
      </c>
      <c r="E392" s="177">
        <v>6</v>
      </c>
      <c r="F392" s="176" t="s">
        <v>621</v>
      </c>
      <c r="G392" s="178"/>
      <c r="H392" s="176" t="s">
        <v>627</v>
      </c>
      <c r="I392" s="176" t="s">
        <v>576</v>
      </c>
      <c r="J392" s="176"/>
      <c r="K392" s="176" t="s">
        <v>593</v>
      </c>
      <c r="L392" s="176"/>
      <c r="M392" s="176"/>
      <c r="N392" s="179">
        <f t="shared" si="42"/>
        <v>175</v>
      </c>
      <c r="O392" s="179">
        <f t="shared" si="43"/>
        <v>120</v>
      </c>
      <c r="P392" s="180">
        <f t="shared" si="38"/>
        <v>295</v>
      </c>
      <c r="Q392" s="181">
        <f t="shared" si="39"/>
        <v>0.35542168674698793</v>
      </c>
      <c r="R392" s="122">
        <f t="shared" si="40"/>
        <v>59</v>
      </c>
      <c r="S392" s="122">
        <f t="shared" si="41"/>
        <v>0.28433734939759037</v>
      </c>
      <c r="T392" s="133">
        <v>0.25</v>
      </c>
    </row>
    <row r="393" spans="1:20" ht="15.75" hidden="1" customHeight="1" x14ac:dyDescent="0.3">
      <c r="A393" s="175" t="s">
        <v>58</v>
      </c>
      <c r="B393" s="188" t="s">
        <v>402</v>
      </c>
      <c r="C393" s="188" t="s">
        <v>111</v>
      </c>
      <c r="D393" s="188" t="s">
        <v>620</v>
      </c>
      <c r="E393" s="189">
        <v>3</v>
      </c>
      <c r="F393" s="188" t="s">
        <v>621</v>
      </c>
      <c r="G393" s="190"/>
      <c r="H393" s="188"/>
      <c r="I393" s="188" t="s">
        <v>510</v>
      </c>
      <c r="J393" s="176"/>
      <c r="K393" s="176" t="s">
        <v>593</v>
      </c>
      <c r="L393" s="176"/>
      <c r="M393" s="176"/>
      <c r="N393" s="179">
        <f t="shared" si="42"/>
        <v>337</v>
      </c>
      <c r="O393" s="179">
        <f t="shared" si="43"/>
        <v>205</v>
      </c>
      <c r="P393" s="180">
        <f t="shared" si="38"/>
        <v>542</v>
      </c>
      <c r="Q393" s="181">
        <f t="shared" si="39"/>
        <v>0.65301204819277103</v>
      </c>
      <c r="R393" s="122">
        <f t="shared" si="40"/>
        <v>108.4</v>
      </c>
      <c r="S393" s="122">
        <f t="shared" si="41"/>
        <v>0.52240963855421685</v>
      </c>
      <c r="T393" s="133">
        <v>0.65</v>
      </c>
    </row>
    <row r="394" spans="1:20" ht="15.75" hidden="1" customHeight="1" x14ac:dyDescent="0.3">
      <c r="A394" s="175" t="s">
        <v>58</v>
      </c>
      <c r="B394" s="176" t="s">
        <v>402</v>
      </c>
      <c r="C394" s="176" t="s">
        <v>80</v>
      </c>
      <c r="D394" s="176" t="s">
        <v>620</v>
      </c>
      <c r="E394" s="177">
        <v>2</v>
      </c>
      <c r="F394" s="176" t="s">
        <v>621</v>
      </c>
      <c r="G394" s="178"/>
      <c r="H394" s="176" t="s">
        <v>627</v>
      </c>
      <c r="I394" s="176" t="s">
        <v>576</v>
      </c>
      <c r="J394" s="176"/>
      <c r="K394" s="176" t="s">
        <v>593</v>
      </c>
      <c r="L394" s="176"/>
      <c r="M394" s="176"/>
      <c r="N394" s="179">
        <f t="shared" si="42"/>
        <v>175</v>
      </c>
      <c r="O394" s="179">
        <f t="shared" si="43"/>
        <v>120</v>
      </c>
      <c r="P394" s="180">
        <f t="shared" ref="P394:P457" si="44">N394+O394</f>
        <v>295</v>
      </c>
      <c r="Q394" s="181">
        <f t="shared" ref="Q394:Q457" si="45">P394/$Q$1</f>
        <v>0.35542168674698793</v>
      </c>
      <c r="R394" s="122">
        <f t="shared" ref="R394:R457" si="46">P394*0.2</f>
        <v>59</v>
      </c>
      <c r="S394" s="122">
        <f t="shared" ref="S394:S457" si="47">Q394*0.8</f>
        <v>0.28433734939759037</v>
      </c>
      <c r="T394" s="133">
        <v>0.25</v>
      </c>
    </row>
    <row r="395" spans="1:20" ht="15.75" hidden="1" customHeight="1" x14ac:dyDescent="0.3">
      <c r="A395" s="175" t="s">
        <v>58</v>
      </c>
      <c r="B395" s="176" t="s">
        <v>405</v>
      </c>
      <c r="C395" s="176" t="s">
        <v>73</v>
      </c>
      <c r="D395" s="176" t="s">
        <v>651</v>
      </c>
      <c r="E395" s="177">
        <v>12</v>
      </c>
      <c r="F395" s="176" t="s">
        <v>652</v>
      </c>
      <c r="G395" s="177">
        <v>12</v>
      </c>
      <c r="H395" s="176" t="s">
        <v>682</v>
      </c>
      <c r="I395" s="176" t="s">
        <v>497</v>
      </c>
      <c r="J395" s="176"/>
      <c r="K395" s="176" t="s">
        <v>565</v>
      </c>
      <c r="L395" s="176"/>
      <c r="M395" s="176"/>
      <c r="N395" s="179">
        <f t="shared" si="42"/>
        <v>180</v>
      </c>
      <c r="O395" s="179">
        <f t="shared" si="43"/>
        <v>129</v>
      </c>
      <c r="P395" s="180">
        <f t="shared" si="44"/>
        <v>309</v>
      </c>
      <c r="Q395" s="181">
        <f t="shared" si="45"/>
        <v>0.37228915662650602</v>
      </c>
      <c r="R395" s="122">
        <f t="shared" si="46"/>
        <v>61.800000000000004</v>
      </c>
      <c r="S395" s="122">
        <f t="shared" si="47"/>
        <v>0.29783132530120482</v>
      </c>
      <c r="T395" s="133">
        <v>0.3</v>
      </c>
    </row>
    <row r="396" spans="1:20" ht="15.75" customHeight="1" x14ac:dyDescent="0.3">
      <c r="A396" s="175" t="s">
        <v>58</v>
      </c>
      <c r="B396" s="176" t="s">
        <v>405</v>
      </c>
      <c r="C396" s="176" t="s">
        <v>87</v>
      </c>
      <c r="D396" s="176" t="s">
        <v>608</v>
      </c>
      <c r="E396" s="177">
        <v>1</v>
      </c>
      <c r="F396" s="176" t="s">
        <v>652</v>
      </c>
      <c r="G396" s="178"/>
      <c r="H396" s="176"/>
      <c r="I396" s="176" t="s">
        <v>500</v>
      </c>
      <c r="J396" s="176"/>
      <c r="K396" s="176" t="s">
        <v>593</v>
      </c>
      <c r="L396" s="176"/>
      <c r="M396" s="176"/>
      <c r="N396" s="179">
        <f t="shared" si="42"/>
        <v>14.5</v>
      </c>
      <c r="O396" s="179">
        <f t="shared" si="43"/>
        <v>78</v>
      </c>
      <c r="P396" s="180">
        <f t="shared" si="44"/>
        <v>92.5</v>
      </c>
      <c r="Q396" s="181">
        <f t="shared" si="45"/>
        <v>0.11144578313253012</v>
      </c>
      <c r="R396" s="122">
        <f t="shared" si="46"/>
        <v>18.5</v>
      </c>
      <c r="S396" s="122">
        <f t="shared" si="47"/>
        <v>8.91566265060241E-2</v>
      </c>
      <c r="T396" s="133">
        <v>0</v>
      </c>
    </row>
    <row r="397" spans="1:20" ht="15.75" hidden="1" customHeight="1" x14ac:dyDescent="0.3">
      <c r="A397" s="175" t="s">
        <v>58</v>
      </c>
      <c r="B397" s="176" t="s">
        <v>405</v>
      </c>
      <c r="C397" s="176" t="s">
        <v>87</v>
      </c>
      <c r="D397" s="176" t="s">
        <v>608</v>
      </c>
      <c r="E397" s="177">
        <v>3</v>
      </c>
      <c r="F397" s="176" t="s">
        <v>652</v>
      </c>
      <c r="G397" s="178"/>
      <c r="H397" s="176" t="s">
        <v>682</v>
      </c>
      <c r="I397" s="176" t="s">
        <v>497</v>
      </c>
      <c r="J397" s="176"/>
      <c r="K397" s="176" t="s">
        <v>565</v>
      </c>
      <c r="L397" s="176"/>
      <c r="M397" s="176"/>
      <c r="N397" s="179">
        <f t="shared" si="42"/>
        <v>180</v>
      </c>
      <c r="O397" s="179">
        <f t="shared" si="43"/>
        <v>129</v>
      </c>
      <c r="P397" s="180">
        <f t="shared" si="44"/>
        <v>309</v>
      </c>
      <c r="Q397" s="181">
        <f t="shared" si="45"/>
        <v>0.37228915662650602</v>
      </c>
      <c r="R397" s="122">
        <f t="shared" si="46"/>
        <v>61.800000000000004</v>
      </c>
      <c r="S397" s="122">
        <f t="shared" si="47"/>
        <v>0.29783132530120482</v>
      </c>
      <c r="T397" s="133">
        <v>0.3</v>
      </c>
    </row>
    <row r="398" spans="1:20" ht="15.75" hidden="1" customHeight="1" x14ac:dyDescent="0.3">
      <c r="A398" s="175" t="s">
        <v>58</v>
      </c>
      <c r="B398" s="176" t="s">
        <v>405</v>
      </c>
      <c r="C398" s="176" t="s">
        <v>87</v>
      </c>
      <c r="D398" s="176" t="s">
        <v>636</v>
      </c>
      <c r="E398" s="177">
        <v>2</v>
      </c>
      <c r="F398" s="176" t="s">
        <v>652</v>
      </c>
      <c r="G398" s="178"/>
      <c r="H398" s="176" t="s">
        <v>682</v>
      </c>
      <c r="I398" s="176" t="s">
        <v>497</v>
      </c>
      <c r="J398" s="176"/>
      <c r="K398" s="176" t="s">
        <v>565</v>
      </c>
      <c r="L398" s="176"/>
      <c r="M398" s="176"/>
      <c r="N398" s="179">
        <f t="shared" si="42"/>
        <v>180</v>
      </c>
      <c r="O398" s="179">
        <f t="shared" si="43"/>
        <v>129</v>
      </c>
      <c r="P398" s="180">
        <f t="shared" si="44"/>
        <v>309</v>
      </c>
      <c r="Q398" s="181">
        <f t="shared" si="45"/>
        <v>0.37228915662650602</v>
      </c>
      <c r="R398" s="122">
        <f t="shared" si="46"/>
        <v>61.800000000000004</v>
      </c>
      <c r="S398" s="122">
        <f t="shared" si="47"/>
        <v>0.29783132530120482</v>
      </c>
      <c r="T398" s="133">
        <v>0.3</v>
      </c>
    </row>
    <row r="399" spans="1:20" ht="15.75" hidden="1" customHeight="1" x14ac:dyDescent="0.3">
      <c r="A399" s="175" t="s">
        <v>58</v>
      </c>
      <c r="B399" s="176" t="s">
        <v>405</v>
      </c>
      <c r="C399" s="176" t="s">
        <v>79</v>
      </c>
      <c r="D399" s="176" t="s">
        <v>608</v>
      </c>
      <c r="E399" s="177">
        <v>24</v>
      </c>
      <c r="F399" s="176" t="s">
        <v>652</v>
      </c>
      <c r="G399" s="177">
        <v>24</v>
      </c>
      <c r="H399" s="176" t="s">
        <v>682</v>
      </c>
      <c r="I399" s="176" t="s">
        <v>497</v>
      </c>
      <c r="J399" s="176"/>
      <c r="K399" s="176" t="s">
        <v>565</v>
      </c>
      <c r="L399" s="176"/>
      <c r="M399" s="176"/>
      <c r="N399" s="179">
        <f t="shared" si="42"/>
        <v>180</v>
      </c>
      <c r="O399" s="179">
        <f t="shared" si="43"/>
        <v>129</v>
      </c>
      <c r="P399" s="180">
        <f t="shared" si="44"/>
        <v>309</v>
      </c>
      <c r="Q399" s="181">
        <f t="shared" si="45"/>
        <v>0.37228915662650602</v>
      </c>
      <c r="R399" s="122">
        <f t="shared" si="46"/>
        <v>61.800000000000004</v>
      </c>
      <c r="S399" s="122">
        <f t="shared" si="47"/>
        <v>0.29783132530120482</v>
      </c>
      <c r="T399" s="133">
        <v>0.3</v>
      </c>
    </row>
    <row r="400" spans="1:20" ht="15.75" hidden="1" customHeight="1" x14ac:dyDescent="0.3">
      <c r="A400" s="175" t="s">
        <v>58</v>
      </c>
      <c r="B400" s="176" t="s">
        <v>405</v>
      </c>
      <c r="C400" s="176" t="s">
        <v>79</v>
      </c>
      <c r="D400" s="176" t="s">
        <v>636</v>
      </c>
      <c r="E400" s="177">
        <v>24</v>
      </c>
      <c r="F400" s="176" t="s">
        <v>652</v>
      </c>
      <c r="G400" s="177">
        <v>24</v>
      </c>
      <c r="H400" s="176" t="s">
        <v>682</v>
      </c>
      <c r="I400" s="176" t="s">
        <v>497</v>
      </c>
      <c r="J400" s="176"/>
      <c r="K400" s="176" t="s">
        <v>565</v>
      </c>
      <c r="L400" s="176"/>
      <c r="M400" s="176"/>
      <c r="N400" s="179">
        <f t="shared" si="42"/>
        <v>180</v>
      </c>
      <c r="O400" s="179">
        <f t="shared" si="43"/>
        <v>129</v>
      </c>
      <c r="P400" s="180">
        <f t="shared" si="44"/>
        <v>309</v>
      </c>
      <c r="Q400" s="181">
        <f t="shared" si="45"/>
        <v>0.37228915662650602</v>
      </c>
      <c r="R400" s="122">
        <f t="shared" si="46"/>
        <v>61.800000000000004</v>
      </c>
      <c r="S400" s="122">
        <f t="shared" si="47"/>
        <v>0.29783132530120482</v>
      </c>
      <c r="T400" s="133">
        <v>0.3</v>
      </c>
    </row>
    <row r="401" spans="1:20" ht="15.75" hidden="1" customHeight="1" x14ac:dyDescent="0.3">
      <c r="A401" s="175" t="s">
        <v>58</v>
      </c>
      <c r="B401" s="176" t="s">
        <v>405</v>
      </c>
      <c r="C401" s="176" t="s">
        <v>80</v>
      </c>
      <c r="D401" s="176" t="s">
        <v>608</v>
      </c>
      <c r="E401" s="177">
        <v>1</v>
      </c>
      <c r="F401" s="176" t="s">
        <v>652</v>
      </c>
      <c r="G401" s="178"/>
      <c r="H401" s="176" t="s">
        <v>682</v>
      </c>
      <c r="I401" s="176" t="s">
        <v>497</v>
      </c>
      <c r="J401" s="176"/>
      <c r="K401" s="176" t="s">
        <v>565</v>
      </c>
      <c r="L401" s="176"/>
      <c r="M401" s="176"/>
      <c r="N401" s="179">
        <f t="shared" si="42"/>
        <v>180</v>
      </c>
      <c r="O401" s="179">
        <f t="shared" si="43"/>
        <v>129</v>
      </c>
      <c r="P401" s="180">
        <f t="shared" si="44"/>
        <v>309</v>
      </c>
      <c r="Q401" s="181">
        <f t="shared" si="45"/>
        <v>0.37228915662650602</v>
      </c>
      <c r="R401" s="122">
        <f t="shared" si="46"/>
        <v>61.800000000000004</v>
      </c>
      <c r="S401" s="122">
        <f t="shared" si="47"/>
        <v>0.29783132530120482</v>
      </c>
      <c r="T401" s="133">
        <v>0.3</v>
      </c>
    </row>
    <row r="402" spans="1:20" ht="15.75" hidden="1" customHeight="1" x14ac:dyDescent="0.3">
      <c r="A402" s="175" t="s">
        <v>58</v>
      </c>
      <c r="B402" s="176" t="s">
        <v>405</v>
      </c>
      <c r="C402" s="176" t="s">
        <v>80</v>
      </c>
      <c r="D402" s="176" t="s">
        <v>636</v>
      </c>
      <c r="E402" s="177">
        <v>1</v>
      </c>
      <c r="F402" s="176" t="s">
        <v>652</v>
      </c>
      <c r="G402" s="178"/>
      <c r="H402" s="176" t="s">
        <v>682</v>
      </c>
      <c r="I402" s="176" t="s">
        <v>497</v>
      </c>
      <c r="J402" s="176"/>
      <c r="K402" s="176" t="s">
        <v>565</v>
      </c>
      <c r="L402" s="176"/>
      <c r="M402" s="176"/>
      <c r="N402" s="179">
        <f t="shared" si="42"/>
        <v>180</v>
      </c>
      <c r="O402" s="179">
        <f t="shared" si="43"/>
        <v>129</v>
      </c>
      <c r="P402" s="180">
        <f t="shared" si="44"/>
        <v>309</v>
      </c>
      <c r="Q402" s="181">
        <f t="shared" si="45"/>
        <v>0.37228915662650602</v>
      </c>
      <c r="R402" s="122">
        <f t="shared" si="46"/>
        <v>61.800000000000004</v>
      </c>
      <c r="S402" s="122">
        <f t="shared" si="47"/>
        <v>0.29783132530120482</v>
      </c>
      <c r="T402" s="133">
        <v>0.3</v>
      </c>
    </row>
    <row r="403" spans="1:20" ht="15.75" hidden="1" customHeight="1" x14ac:dyDescent="0.3">
      <c r="A403" s="175" t="s">
        <v>58</v>
      </c>
      <c r="B403" s="176" t="s">
        <v>686</v>
      </c>
      <c r="C403" s="176" t="s">
        <v>406</v>
      </c>
      <c r="D403" s="176" t="s">
        <v>679</v>
      </c>
      <c r="E403" s="177">
        <v>10</v>
      </c>
      <c r="F403" s="176"/>
      <c r="G403" s="178"/>
      <c r="H403" s="176" t="s">
        <v>642</v>
      </c>
      <c r="I403" s="176" t="s">
        <v>572</v>
      </c>
      <c r="J403" s="176"/>
      <c r="K403" s="176" t="s">
        <v>593</v>
      </c>
      <c r="L403" s="176"/>
      <c r="M403" s="176" t="s">
        <v>681</v>
      </c>
      <c r="N403" s="179">
        <f t="shared" si="42"/>
        <v>410</v>
      </c>
      <c r="O403" s="179">
        <f t="shared" si="43"/>
        <v>260</v>
      </c>
      <c r="P403" s="180">
        <f t="shared" si="44"/>
        <v>670</v>
      </c>
      <c r="Q403" s="181">
        <f t="shared" si="45"/>
        <v>0.80722891566265065</v>
      </c>
      <c r="R403" s="122">
        <f t="shared" si="46"/>
        <v>134</v>
      </c>
      <c r="S403" s="122">
        <f t="shared" si="47"/>
        <v>0.64578313253012054</v>
      </c>
      <c r="T403" s="133">
        <v>0.55000000000000004</v>
      </c>
    </row>
    <row r="404" spans="1:20" ht="15.75" hidden="1" customHeight="1" x14ac:dyDescent="0.3">
      <c r="A404" s="175" t="s">
        <v>58</v>
      </c>
      <c r="B404" s="176" t="s">
        <v>686</v>
      </c>
      <c r="C404" s="176" t="s">
        <v>406</v>
      </c>
      <c r="D404" s="176" t="s">
        <v>679</v>
      </c>
      <c r="E404" s="177">
        <v>10</v>
      </c>
      <c r="F404" s="176"/>
      <c r="G404" s="178"/>
      <c r="H404" s="176" t="s">
        <v>682</v>
      </c>
      <c r="I404" s="176" t="s">
        <v>497</v>
      </c>
      <c r="J404" s="176"/>
      <c r="K404" s="176" t="s">
        <v>565</v>
      </c>
      <c r="L404" s="176"/>
      <c r="M404" s="176" t="s">
        <v>683</v>
      </c>
      <c r="N404" s="179">
        <f t="shared" si="42"/>
        <v>180</v>
      </c>
      <c r="O404" s="179">
        <f t="shared" si="43"/>
        <v>129</v>
      </c>
      <c r="P404" s="180">
        <f t="shared" si="44"/>
        <v>309</v>
      </c>
      <c r="Q404" s="181">
        <f t="shared" si="45"/>
        <v>0.37228915662650602</v>
      </c>
      <c r="R404" s="122">
        <f t="shared" si="46"/>
        <v>61.800000000000004</v>
      </c>
      <c r="S404" s="122">
        <f t="shared" si="47"/>
        <v>0.29783132530120482</v>
      </c>
      <c r="T404" s="133">
        <v>0.3</v>
      </c>
    </row>
    <row r="405" spans="1:20" ht="15.75" hidden="1" customHeight="1" x14ac:dyDescent="0.3">
      <c r="A405" s="175" t="s">
        <v>58</v>
      </c>
      <c r="B405" s="176" t="s">
        <v>686</v>
      </c>
      <c r="C405" s="176" t="s">
        <v>406</v>
      </c>
      <c r="D405" s="176" t="s">
        <v>670</v>
      </c>
      <c r="E405" s="177">
        <v>20</v>
      </c>
      <c r="F405" s="176"/>
      <c r="G405" s="178"/>
      <c r="H405" s="176" t="s">
        <v>604</v>
      </c>
      <c r="I405" s="176" t="s">
        <v>578</v>
      </c>
      <c r="J405" s="176"/>
      <c r="K405" s="176" t="s">
        <v>565</v>
      </c>
      <c r="L405" s="176"/>
      <c r="M405" s="176" t="s">
        <v>687</v>
      </c>
      <c r="N405" s="179">
        <f t="shared" si="42"/>
        <v>381</v>
      </c>
      <c r="O405" s="179">
        <f t="shared" si="43"/>
        <v>162</v>
      </c>
      <c r="P405" s="180">
        <f t="shared" si="44"/>
        <v>543</v>
      </c>
      <c r="Q405" s="181">
        <f t="shared" si="45"/>
        <v>0.6542168674698795</v>
      </c>
      <c r="R405" s="122">
        <f t="shared" si="46"/>
        <v>108.60000000000001</v>
      </c>
      <c r="S405" s="122">
        <f t="shared" si="47"/>
        <v>0.5233734939759036</v>
      </c>
      <c r="T405" s="133">
        <v>0.5</v>
      </c>
    </row>
    <row r="406" spans="1:20" ht="15.75" hidden="1" customHeight="1" x14ac:dyDescent="0.3">
      <c r="A406" s="175" t="s">
        <v>58</v>
      </c>
      <c r="B406" s="176" t="s">
        <v>686</v>
      </c>
      <c r="C406" s="176" t="s">
        <v>406</v>
      </c>
      <c r="D406" s="176" t="s">
        <v>673</v>
      </c>
      <c r="E406" s="177">
        <v>20</v>
      </c>
      <c r="F406" s="176"/>
      <c r="G406" s="178"/>
      <c r="H406" s="176" t="s">
        <v>622</v>
      </c>
      <c r="I406" s="176" t="s">
        <v>562</v>
      </c>
      <c r="J406" s="176"/>
      <c r="K406" s="176" t="s">
        <v>565</v>
      </c>
      <c r="L406" s="176"/>
      <c r="M406" s="176" t="s">
        <v>688</v>
      </c>
      <c r="N406" s="179">
        <f t="shared" si="42"/>
        <v>438</v>
      </c>
      <c r="O406" s="179">
        <f t="shared" si="43"/>
        <v>361</v>
      </c>
      <c r="P406" s="180">
        <f t="shared" si="44"/>
        <v>799</v>
      </c>
      <c r="Q406" s="181">
        <f t="shared" si="45"/>
        <v>0.96265060240963851</v>
      </c>
      <c r="R406" s="122">
        <f t="shared" si="46"/>
        <v>159.80000000000001</v>
      </c>
      <c r="S406" s="122">
        <f t="shared" si="47"/>
        <v>0.77012048192771088</v>
      </c>
      <c r="T406" s="133">
        <v>0.75</v>
      </c>
    </row>
    <row r="407" spans="1:20" ht="15.75" hidden="1" customHeight="1" x14ac:dyDescent="0.3">
      <c r="A407" s="175" t="s">
        <v>58</v>
      </c>
      <c r="B407" s="176" t="s">
        <v>686</v>
      </c>
      <c r="C407" s="176" t="s">
        <v>406</v>
      </c>
      <c r="D407" s="176" t="s">
        <v>676</v>
      </c>
      <c r="E407" s="177">
        <v>20</v>
      </c>
      <c r="F407" s="176"/>
      <c r="G407" s="178"/>
      <c r="H407" s="176" t="s">
        <v>646</v>
      </c>
      <c r="I407" s="176" t="s">
        <v>568</v>
      </c>
      <c r="J407" s="176"/>
      <c r="K407" s="176" t="s">
        <v>565</v>
      </c>
      <c r="L407" s="176"/>
      <c r="M407" s="176" t="s">
        <v>689</v>
      </c>
      <c r="N407" s="179">
        <f t="shared" si="42"/>
        <v>239</v>
      </c>
      <c r="O407" s="179">
        <f t="shared" si="43"/>
        <v>313</v>
      </c>
      <c r="P407" s="180">
        <f t="shared" si="44"/>
        <v>552</v>
      </c>
      <c r="Q407" s="181">
        <f t="shared" si="45"/>
        <v>0.66506024096385541</v>
      </c>
      <c r="R407" s="122">
        <f t="shared" si="46"/>
        <v>110.4</v>
      </c>
      <c r="S407" s="122">
        <f t="shared" si="47"/>
        <v>0.53204819277108439</v>
      </c>
      <c r="T407" s="133">
        <v>0.55000000000000004</v>
      </c>
    </row>
    <row r="408" spans="1:20" ht="15.75" hidden="1" customHeight="1" x14ac:dyDescent="0.3">
      <c r="A408" s="175" t="s">
        <v>58</v>
      </c>
      <c r="B408" s="176" t="s">
        <v>332</v>
      </c>
      <c r="C408" s="176" t="s">
        <v>333</v>
      </c>
      <c r="D408" s="176" t="s">
        <v>608</v>
      </c>
      <c r="E408" s="177">
        <v>13</v>
      </c>
      <c r="F408" s="176"/>
      <c r="G408" s="178"/>
      <c r="H408" s="176" t="s">
        <v>604</v>
      </c>
      <c r="I408" s="176" t="s">
        <v>578</v>
      </c>
      <c r="J408" s="176"/>
      <c r="K408" s="176" t="s">
        <v>565</v>
      </c>
      <c r="L408" s="176"/>
      <c r="M408" s="176"/>
      <c r="N408" s="179">
        <f t="shared" si="42"/>
        <v>381</v>
      </c>
      <c r="O408" s="179">
        <f t="shared" si="43"/>
        <v>162</v>
      </c>
      <c r="P408" s="180">
        <f t="shared" si="44"/>
        <v>543</v>
      </c>
      <c r="Q408" s="181">
        <f t="shared" si="45"/>
        <v>0.6542168674698795</v>
      </c>
      <c r="R408" s="122">
        <f t="shared" si="46"/>
        <v>108.60000000000001</v>
      </c>
      <c r="S408" s="122">
        <f t="shared" si="47"/>
        <v>0.5233734939759036</v>
      </c>
      <c r="T408" s="133">
        <v>0.5</v>
      </c>
    </row>
    <row r="409" spans="1:20" ht="15.75" hidden="1" customHeight="1" x14ac:dyDescent="0.3">
      <c r="A409" s="175" t="s">
        <v>58</v>
      </c>
      <c r="B409" s="176" t="s">
        <v>332</v>
      </c>
      <c r="C409" s="176" t="s">
        <v>333</v>
      </c>
      <c r="D409" s="176" t="s">
        <v>636</v>
      </c>
      <c r="E409" s="177">
        <v>8</v>
      </c>
      <c r="F409" s="176"/>
      <c r="G409" s="178"/>
      <c r="H409" s="176" t="s">
        <v>604</v>
      </c>
      <c r="I409" s="176" t="s">
        <v>578</v>
      </c>
      <c r="J409" s="176"/>
      <c r="K409" s="176" t="s">
        <v>565</v>
      </c>
      <c r="L409" s="176"/>
      <c r="M409" s="176"/>
      <c r="N409" s="179">
        <f t="shared" si="42"/>
        <v>381</v>
      </c>
      <c r="O409" s="179">
        <f t="shared" si="43"/>
        <v>162</v>
      </c>
      <c r="P409" s="180">
        <f t="shared" si="44"/>
        <v>543</v>
      </c>
      <c r="Q409" s="181">
        <f t="shared" si="45"/>
        <v>0.6542168674698795</v>
      </c>
      <c r="R409" s="122">
        <f t="shared" si="46"/>
        <v>108.60000000000001</v>
      </c>
      <c r="S409" s="122">
        <f t="shared" si="47"/>
        <v>0.5233734939759036</v>
      </c>
      <c r="T409" s="133">
        <v>0.5</v>
      </c>
    </row>
    <row r="410" spans="1:20" ht="15.75" hidden="1" customHeight="1" x14ac:dyDescent="0.3">
      <c r="A410" s="175" t="s">
        <v>58</v>
      </c>
      <c r="B410" s="176" t="s">
        <v>335</v>
      </c>
      <c r="C410" s="176" t="s">
        <v>333</v>
      </c>
      <c r="D410" s="176" t="s">
        <v>608</v>
      </c>
      <c r="E410" s="177">
        <v>13</v>
      </c>
      <c r="F410" s="176"/>
      <c r="G410" s="178"/>
      <c r="H410" s="176"/>
      <c r="I410" s="176" t="s">
        <v>510</v>
      </c>
      <c r="J410" s="176"/>
      <c r="K410" s="176" t="s">
        <v>565</v>
      </c>
      <c r="L410" s="176"/>
      <c r="M410" s="176"/>
      <c r="N410" s="179">
        <f t="shared" si="42"/>
        <v>337</v>
      </c>
      <c r="O410" s="179">
        <f t="shared" si="43"/>
        <v>205</v>
      </c>
      <c r="P410" s="180">
        <f t="shared" si="44"/>
        <v>542</v>
      </c>
      <c r="Q410" s="181">
        <f t="shared" si="45"/>
        <v>0.65301204819277103</v>
      </c>
      <c r="R410" s="122">
        <f t="shared" si="46"/>
        <v>108.4</v>
      </c>
      <c r="S410" s="122">
        <f t="shared" si="47"/>
        <v>0.52240963855421685</v>
      </c>
      <c r="T410" s="133">
        <v>0.65</v>
      </c>
    </row>
    <row r="411" spans="1:20" ht="15.75" hidden="1" customHeight="1" x14ac:dyDescent="0.3">
      <c r="A411" s="175" t="s">
        <v>58</v>
      </c>
      <c r="B411" s="176" t="s">
        <v>335</v>
      </c>
      <c r="C411" s="176" t="s">
        <v>333</v>
      </c>
      <c r="D411" s="176" t="s">
        <v>636</v>
      </c>
      <c r="E411" s="177">
        <v>8</v>
      </c>
      <c r="F411" s="176"/>
      <c r="G411" s="178"/>
      <c r="H411" s="176"/>
      <c r="I411" s="176" t="s">
        <v>510</v>
      </c>
      <c r="J411" s="176"/>
      <c r="K411" s="176" t="s">
        <v>565</v>
      </c>
      <c r="L411" s="176"/>
      <c r="M411" s="176"/>
      <c r="N411" s="179">
        <f t="shared" si="42"/>
        <v>337</v>
      </c>
      <c r="O411" s="179">
        <f t="shared" si="43"/>
        <v>205</v>
      </c>
      <c r="P411" s="180">
        <f t="shared" si="44"/>
        <v>542</v>
      </c>
      <c r="Q411" s="181">
        <f t="shared" si="45"/>
        <v>0.65301204819277103</v>
      </c>
      <c r="R411" s="122">
        <f t="shared" si="46"/>
        <v>108.4</v>
      </c>
      <c r="S411" s="122">
        <f t="shared" si="47"/>
        <v>0.52240963855421685</v>
      </c>
      <c r="T411" s="133">
        <v>0.65</v>
      </c>
    </row>
    <row r="412" spans="1:20" ht="15.75" hidden="1" customHeight="1" x14ac:dyDescent="0.3">
      <c r="A412" s="175" t="s">
        <v>58</v>
      </c>
      <c r="B412" s="176" t="s">
        <v>336</v>
      </c>
      <c r="C412" s="176" t="s">
        <v>336</v>
      </c>
      <c r="D412" s="176" t="s">
        <v>608</v>
      </c>
      <c r="E412" s="177">
        <v>15</v>
      </c>
      <c r="F412" s="176"/>
      <c r="G412" s="178"/>
      <c r="H412" s="176" t="s">
        <v>622</v>
      </c>
      <c r="I412" s="176" t="s">
        <v>562</v>
      </c>
      <c r="J412" s="176"/>
      <c r="K412" s="176" t="s">
        <v>565</v>
      </c>
      <c r="L412" s="176"/>
      <c r="M412" s="176" t="s">
        <v>690</v>
      </c>
      <c r="N412" s="179">
        <f t="shared" si="42"/>
        <v>438</v>
      </c>
      <c r="O412" s="179">
        <f t="shared" si="43"/>
        <v>361</v>
      </c>
      <c r="P412" s="180">
        <f t="shared" si="44"/>
        <v>799</v>
      </c>
      <c r="Q412" s="181">
        <f t="shared" si="45"/>
        <v>0.96265060240963851</v>
      </c>
      <c r="R412" s="122">
        <f t="shared" si="46"/>
        <v>159.80000000000001</v>
      </c>
      <c r="S412" s="122">
        <f t="shared" si="47"/>
        <v>0.77012048192771088</v>
      </c>
      <c r="T412" s="133">
        <v>0.75</v>
      </c>
    </row>
    <row r="413" spans="1:20" ht="15.75" hidden="1" customHeight="1" x14ac:dyDescent="0.3">
      <c r="A413" s="175" t="s">
        <v>58</v>
      </c>
      <c r="B413" s="176" t="s">
        <v>336</v>
      </c>
      <c r="C413" s="176" t="s">
        <v>336</v>
      </c>
      <c r="D413" s="176" t="s">
        <v>608</v>
      </c>
      <c r="E413" s="177">
        <v>30</v>
      </c>
      <c r="F413" s="176"/>
      <c r="G413" s="178"/>
      <c r="H413" s="176" t="s">
        <v>610</v>
      </c>
      <c r="I413" s="176" t="s">
        <v>574</v>
      </c>
      <c r="J413" s="176"/>
      <c r="K413" s="176" t="s">
        <v>565</v>
      </c>
      <c r="L413" s="176"/>
      <c r="M413" s="176" t="s">
        <v>691</v>
      </c>
      <c r="N413" s="179">
        <f t="shared" si="42"/>
        <v>171</v>
      </c>
      <c r="O413" s="179">
        <f t="shared" si="43"/>
        <v>88</v>
      </c>
      <c r="P413" s="180">
        <f t="shared" si="44"/>
        <v>259</v>
      </c>
      <c r="Q413" s="181">
        <f t="shared" si="45"/>
        <v>0.31204819277108437</v>
      </c>
      <c r="R413" s="122">
        <f t="shared" si="46"/>
        <v>51.800000000000004</v>
      </c>
      <c r="S413" s="122">
        <f t="shared" si="47"/>
        <v>0.24963855421686751</v>
      </c>
      <c r="T413" s="133">
        <v>0.25</v>
      </c>
    </row>
    <row r="414" spans="1:20" ht="15.75" hidden="1" customHeight="1" x14ac:dyDescent="0.3">
      <c r="A414" s="175" t="s">
        <v>58</v>
      </c>
      <c r="B414" s="176" t="s">
        <v>336</v>
      </c>
      <c r="C414" s="176" t="s">
        <v>336</v>
      </c>
      <c r="D414" s="176" t="s">
        <v>608</v>
      </c>
      <c r="E414" s="177">
        <v>15</v>
      </c>
      <c r="F414" s="176"/>
      <c r="G414" s="178"/>
      <c r="H414" s="176" t="s">
        <v>692</v>
      </c>
      <c r="I414" s="176" t="s">
        <v>558</v>
      </c>
      <c r="J414" s="176"/>
      <c r="K414" s="176" t="s">
        <v>593</v>
      </c>
      <c r="L414" s="176"/>
      <c r="M414" s="176" t="s">
        <v>693</v>
      </c>
      <c r="N414" s="179">
        <f t="shared" si="42"/>
        <v>15</v>
      </c>
      <c r="O414" s="179">
        <f t="shared" si="43"/>
        <v>146</v>
      </c>
      <c r="P414" s="180">
        <f t="shared" si="44"/>
        <v>161</v>
      </c>
      <c r="Q414" s="181">
        <f t="shared" si="45"/>
        <v>0.19397590361445782</v>
      </c>
      <c r="R414" s="122">
        <f t="shared" si="46"/>
        <v>32.200000000000003</v>
      </c>
      <c r="S414" s="122">
        <f t="shared" si="47"/>
        <v>0.15518072289156626</v>
      </c>
      <c r="T414" s="133">
        <v>0.15</v>
      </c>
    </row>
    <row r="415" spans="1:20" ht="15.75" hidden="1" customHeight="1" x14ac:dyDescent="0.3">
      <c r="A415" s="175" t="s">
        <v>58</v>
      </c>
      <c r="B415" s="176" t="s">
        <v>336</v>
      </c>
      <c r="C415" s="176" t="s">
        <v>336</v>
      </c>
      <c r="D415" s="176" t="s">
        <v>608</v>
      </c>
      <c r="E415" s="177">
        <v>30</v>
      </c>
      <c r="F415" s="176"/>
      <c r="G415" s="178"/>
      <c r="H415" s="176" t="s">
        <v>598</v>
      </c>
      <c r="I415" s="176" t="s">
        <v>104</v>
      </c>
      <c r="J415" s="176"/>
      <c r="K415" s="176" t="s">
        <v>565</v>
      </c>
      <c r="L415" s="176"/>
      <c r="M415" s="176" t="s">
        <v>694</v>
      </c>
      <c r="N415" s="179">
        <f t="shared" si="42"/>
        <v>188</v>
      </c>
      <c r="O415" s="179">
        <f t="shared" si="43"/>
        <v>294</v>
      </c>
      <c r="P415" s="180">
        <f t="shared" si="44"/>
        <v>482</v>
      </c>
      <c r="Q415" s="181">
        <f t="shared" si="45"/>
        <v>0.58072289156626511</v>
      </c>
      <c r="R415" s="122">
        <f t="shared" si="46"/>
        <v>96.4</v>
      </c>
      <c r="S415" s="122">
        <f t="shared" si="47"/>
        <v>0.46457831325301213</v>
      </c>
      <c r="T415" s="133">
        <v>0.5</v>
      </c>
    </row>
    <row r="416" spans="1:20" ht="15.75" hidden="1" customHeight="1" x14ac:dyDescent="0.3">
      <c r="A416" s="175" t="s">
        <v>58</v>
      </c>
      <c r="B416" s="176" t="s">
        <v>336</v>
      </c>
      <c r="C416" s="176" t="s">
        <v>336</v>
      </c>
      <c r="D416" s="176" t="s">
        <v>608</v>
      </c>
      <c r="E416" s="177">
        <v>15</v>
      </c>
      <c r="F416" s="176"/>
      <c r="G416" s="178"/>
      <c r="H416" s="176" t="s">
        <v>642</v>
      </c>
      <c r="I416" s="176" t="s">
        <v>572</v>
      </c>
      <c r="J416" s="176"/>
      <c r="K416" s="176" t="s">
        <v>593</v>
      </c>
      <c r="L416" s="176"/>
      <c r="M416" s="176" t="s">
        <v>695</v>
      </c>
      <c r="N416" s="179">
        <f t="shared" si="42"/>
        <v>410</v>
      </c>
      <c r="O416" s="179">
        <f t="shared" si="43"/>
        <v>260</v>
      </c>
      <c r="P416" s="180">
        <f t="shared" si="44"/>
        <v>670</v>
      </c>
      <c r="Q416" s="181">
        <f t="shared" si="45"/>
        <v>0.80722891566265065</v>
      </c>
      <c r="R416" s="122">
        <f t="shared" si="46"/>
        <v>134</v>
      </c>
      <c r="S416" s="122">
        <f t="shared" si="47"/>
        <v>0.64578313253012054</v>
      </c>
      <c r="T416" s="133">
        <v>0.55000000000000004</v>
      </c>
    </row>
    <row r="417" spans="1:20" ht="15.75" hidden="1" customHeight="1" x14ac:dyDescent="0.3">
      <c r="A417" s="175" t="s">
        <v>58</v>
      </c>
      <c r="B417" s="176" t="s">
        <v>336</v>
      </c>
      <c r="C417" s="176" t="s">
        <v>336</v>
      </c>
      <c r="D417" s="176" t="s">
        <v>608</v>
      </c>
      <c r="E417" s="177">
        <v>15</v>
      </c>
      <c r="F417" s="176"/>
      <c r="G417" s="178"/>
      <c r="H417" s="176" t="s">
        <v>597</v>
      </c>
      <c r="I417" s="176" t="s">
        <v>109</v>
      </c>
      <c r="J417" s="176"/>
      <c r="K417" s="176" t="s">
        <v>593</v>
      </c>
      <c r="L417" s="176"/>
      <c r="M417" s="176" t="s">
        <v>696</v>
      </c>
      <c r="N417" s="179">
        <f t="shared" si="42"/>
        <v>169</v>
      </c>
      <c r="O417" s="179">
        <f t="shared" si="43"/>
        <v>340</v>
      </c>
      <c r="P417" s="180">
        <f t="shared" si="44"/>
        <v>509</v>
      </c>
      <c r="Q417" s="181">
        <f t="shared" si="45"/>
        <v>0.61325301204819282</v>
      </c>
      <c r="R417" s="122">
        <f t="shared" si="46"/>
        <v>101.80000000000001</v>
      </c>
      <c r="S417" s="122">
        <f t="shared" si="47"/>
        <v>0.49060240963855428</v>
      </c>
      <c r="T417" s="133">
        <v>0.4</v>
      </c>
    </row>
    <row r="418" spans="1:20" ht="15.75" hidden="1" customHeight="1" x14ac:dyDescent="0.3">
      <c r="A418" s="175" t="s">
        <v>58</v>
      </c>
      <c r="B418" s="176" t="s">
        <v>336</v>
      </c>
      <c r="C418" s="176" t="s">
        <v>336</v>
      </c>
      <c r="D418" s="176" t="s">
        <v>608</v>
      </c>
      <c r="E418" s="177">
        <v>15</v>
      </c>
      <c r="F418" s="176"/>
      <c r="G418" s="178"/>
      <c r="H418" s="176" t="s">
        <v>615</v>
      </c>
      <c r="I418" s="176" t="s">
        <v>570</v>
      </c>
      <c r="J418" s="176"/>
      <c r="K418" s="176" t="s">
        <v>593</v>
      </c>
      <c r="L418" s="176"/>
      <c r="M418" s="176" t="s">
        <v>697</v>
      </c>
      <c r="N418" s="179">
        <f t="shared" si="42"/>
        <v>279</v>
      </c>
      <c r="O418" s="179">
        <f t="shared" si="43"/>
        <v>431</v>
      </c>
      <c r="P418" s="180">
        <f t="shared" si="44"/>
        <v>710</v>
      </c>
      <c r="Q418" s="181">
        <f t="shared" si="45"/>
        <v>0.85542168674698793</v>
      </c>
      <c r="R418" s="122">
        <f t="shared" si="46"/>
        <v>142</v>
      </c>
      <c r="S418" s="122">
        <f t="shared" si="47"/>
        <v>0.68433734939759039</v>
      </c>
      <c r="T418" s="133">
        <v>0.65</v>
      </c>
    </row>
    <row r="419" spans="1:20" ht="15.75" hidden="1" customHeight="1" x14ac:dyDescent="0.3">
      <c r="A419" s="191" t="s">
        <v>58</v>
      </c>
      <c r="B419" s="182" t="s">
        <v>336</v>
      </c>
      <c r="C419" s="182" t="s">
        <v>336</v>
      </c>
      <c r="D419" s="182" t="s">
        <v>608</v>
      </c>
      <c r="E419" s="183">
        <v>15</v>
      </c>
      <c r="F419" s="182"/>
      <c r="G419" s="187"/>
      <c r="H419" s="182" t="s">
        <v>698</v>
      </c>
      <c r="I419" s="182" t="s">
        <v>510</v>
      </c>
      <c r="J419" s="176"/>
      <c r="K419" s="176" t="s">
        <v>593</v>
      </c>
      <c r="L419" s="176"/>
      <c r="M419" s="192" t="s">
        <v>699</v>
      </c>
      <c r="N419" s="179">
        <f t="shared" si="42"/>
        <v>337</v>
      </c>
      <c r="O419" s="179">
        <f t="shared" si="43"/>
        <v>205</v>
      </c>
      <c r="P419" s="180">
        <f t="shared" si="44"/>
        <v>542</v>
      </c>
      <c r="Q419" s="181">
        <f t="shared" si="45"/>
        <v>0.65301204819277103</v>
      </c>
      <c r="R419" s="122">
        <f t="shared" si="46"/>
        <v>108.4</v>
      </c>
      <c r="S419" s="122">
        <f t="shared" si="47"/>
        <v>0.52240963855421685</v>
      </c>
      <c r="T419" s="133">
        <v>0.65</v>
      </c>
    </row>
    <row r="420" spans="1:20" ht="15.75" hidden="1" customHeight="1" x14ac:dyDescent="0.3">
      <c r="A420" s="175" t="s">
        <v>58</v>
      </c>
      <c r="B420" s="182" t="s">
        <v>336</v>
      </c>
      <c r="C420" s="182" t="s">
        <v>336</v>
      </c>
      <c r="D420" s="182" t="s">
        <v>608</v>
      </c>
      <c r="E420" s="183">
        <v>30</v>
      </c>
      <c r="F420" s="182"/>
      <c r="G420" s="187"/>
      <c r="H420" s="182" t="s">
        <v>698</v>
      </c>
      <c r="I420" s="182" t="s">
        <v>577</v>
      </c>
      <c r="J420" s="176"/>
      <c r="K420" s="176" t="s">
        <v>593</v>
      </c>
      <c r="L420" s="176"/>
      <c r="M420" s="176" t="s">
        <v>699</v>
      </c>
      <c r="N420" s="179">
        <f t="shared" ref="N420:N483" si="48">SUMIFS($E$2:$E$896,$A$2:$A$896,"осень",$I$2:$I$896,I420)</f>
        <v>30</v>
      </c>
      <c r="O420" s="179">
        <f t="shared" ref="O420:O483" si="49">SUMIFS($E$2:$E$896,$A$2:$A$896,"весна",$I$2:$I$896,I420)</f>
        <v>79</v>
      </c>
      <c r="P420" s="180">
        <f t="shared" si="44"/>
        <v>109</v>
      </c>
      <c r="Q420" s="181">
        <f t="shared" si="45"/>
        <v>0.13132530120481928</v>
      </c>
      <c r="R420" s="122">
        <f t="shared" si="46"/>
        <v>21.8</v>
      </c>
      <c r="S420" s="122">
        <f t="shared" si="47"/>
        <v>0.10506024096385543</v>
      </c>
      <c r="T420" s="133">
        <v>0</v>
      </c>
    </row>
    <row r="421" spans="1:20" ht="15.75" hidden="1" customHeight="1" x14ac:dyDescent="0.3">
      <c r="A421" s="175" t="s">
        <v>58</v>
      </c>
      <c r="B421" s="176" t="s">
        <v>336</v>
      </c>
      <c r="C421" s="176" t="s">
        <v>336</v>
      </c>
      <c r="D421" s="176" t="s">
        <v>636</v>
      </c>
      <c r="E421" s="177">
        <v>15</v>
      </c>
      <c r="F421" s="176"/>
      <c r="G421" s="178"/>
      <c r="H421" s="176" t="s">
        <v>604</v>
      </c>
      <c r="I421" s="176" t="s">
        <v>578</v>
      </c>
      <c r="J421" s="176"/>
      <c r="K421" s="176" t="s">
        <v>565</v>
      </c>
      <c r="L421" s="176"/>
      <c r="M421" s="176" t="s">
        <v>700</v>
      </c>
      <c r="N421" s="179">
        <f t="shared" si="48"/>
        <v>381</v>
      </c>
      <c r="O421" s="179">
        <f t="shared" si="49"/>
        <v>162</v>
      </c>
      <c r="P421" s="180">
        <f t="shared" si="44"/>
        <v>543</v>
      </c>
      <c r="Q421" s="181">
        <f t="shared" si="45"/>
        <v>0.6542168674698795</v>
      </c>
      <c r="R421" s="122">
        <f t="shared" si="46"/>
        <v>108.60000000000001</v>
      </c>
      <c r="S421" s="122">
        <f t="shared" si="47"/>
        <v>0.5233734939759036</v>
      </c>
      <c r="T421" s="133">
        <v>0.5</v>
      </c>
    </row>
    <row r="422" spans="1:20" ht="15.75" hidden="1" customHeight="1" x14ac:dyDescent="0.3">
      <c r="A422" s="175" t="s">
        <v>58</v>
      </c>
      <c r="B422" s="176" t="s">
        <v>336</v>
      </c>
      <c r="C422" s="176" t="s">
        <v>336</v>
      </c>
      <c r="D422" s="176" t="s">
        <v>636</v>
      </c>
      <c r="E422" s="177">
        <v>15</v>
      </c>
      <c r="F422" s="176"/>
      <c r="G422" s="178"/>
      <c r="H422" s="176" t="s">
        <v>641</v>
      </c>
      <c r="I422" s="176" t="s">
        <v>580</v>
      </c>
      <c r="J422" s="176"/>
      <c r="K422" s="176" t="s">
        <v>593</v>
      </c>
      <c r="L422" s="176"/>
      <c r="M422" s="176" t="s">
        <v>701</v>
      </c>
      <c r="N422" s="179">
        <f t="shared" si="48"/>
        <v>364</v>
      </c>
      <c r="O422" s="179">
        <f t="shared" si="49"/>
        <v>147</v>
      </c>
      <c r="P422" s="180">
        <f t="shared" si="44"/>
        <v>511</v>
      </c>
      <c r="Q422" s="181">
        <f t="shared" si="45"/>
        <v>0.61566265060240966</v>
      </c>
      <c r="R422" s="122">
        <f t="shared" si="46"/>
        <v>102.2</v>
      </c>
      <c r="S422" s="122">
        <f t="shared" si="47"/>
        <v>0.49253012048192774</v>
      </c>
      <c r="T422" s="133">
        <v>0.5</v>
      </c>
    </row>
    <row r="423" spans="1:20" ht="15.75" hidden="1" customHeight="1" x14ac:dyDescent="0.3">
      <c r="A423" s="175" t="s">
        <v>58</v>
      </c>
      <c r="B423" s="176" t="s">
        <v>336</v>
      </c>
      <c r="C423" s="176" t="s">
        <v>336</v>
      </c>
      <c r="D423" s="176" t="s">
        <v>636</v>
      </c>
      <c r="E423" s="177">
        <v>15</v>
      </c>
      <c r="F423" s="176"/>
      <c r="G423" s="178"/>
      <c r="H423" s="176" t="s">
        <v>605</v>
      </c>
      <c r="I423" s="176" t="s">
        <v>575</v>
      </c>
      <c r="J423" s="176"/>
      <c r="K423" s="176" t="s">
        <v>593</v>
      </c>
      <c r="L423" s="176"/>
      <c r="M423" s="176" t="s">
        <v>702</v>
      </c>
      <c r="N423" s="179">
        <f t="shared" si="48"/>
        <v>78</v>
      </c>
      <c r="O423" s="179">
        <f t="shared" si="49"/>
        <v>240.5</v>
      </c>
      <c r="P423" s="180">
        <f t="shared" si="44"/>
        <v>318.5</v>
      </c>
      <c r="Q423" s="181">
        <f t="shared" si="45"/>
        <v>0.38373493975903616</v>
      </c>
      <c r="R423" s="122">
        <f t="shared" si="46"/>
        <v>63.7</v>
      </c>
      <c r="S423" s="122">
        <f t="shared" si="47"/>
        <v>0.30698795180722893</v>
      </c>
      <c r="T423" s="133">
        <v>0.35</v>
      </c>
    </row>
    <row r="424" spans="1:20" ht="15.75" hidden="1" customHeight="1" x14ac:dyDescent="0.3">
      <c r="A424" s="175" t="s">
        <v>58</v>
      </c>
      <c r="B424" s="176" t="s">
        <v>336</v>
      </c>
      <c r="C424" s="176" t="s">
        <v>336</v>
      </c>
      <c r="D424" s="176" t="s">
        <v>636</v>
      </c>
      <c r="E424" s="177">
        <v>15</v>
      </c>
      <c r="F424" s="176"/>
      <c r="G424" s="178"/>
      <c r="H424" s="176" t="s">
        <v>601</v>
      </c>
      <c r="I424" s="176" t="s">
        <v>116</v>
      </c>
      <c r="J424" s="176"/>
      <c r="K424" s="176" t="s">
        <v>593</v>
      </c>
      <c r="L424" s="176"/>
      <c r="M424" s="176" t="s">
        <v>703</v>
      </c>
      <c r="N424" s="179">
        <f t="shared" si="48"/>
        <v>233</v>
      </c>
      <c r="O424" s="179">
        <f t="shared" si="49"/>
        <v>200</v>
      </c>
      <c r="P424" s="180">
        <f t="shared" si="44"/>
        <v>433</v>
      </c>
      <c r="Q424" s="181">
        <f t="shared" si="45"/>
        <v>0.52168674698795181</v>
      </c>
      <c r="R424" s="122">
        <f t="shared" si="46"/>
        <v>86.600000000000009</v>
      </c>
      <c r="S424" s="122">
        <f t="shared" si="47"/>
        <v>0.41734939759036149</v>
      </c>
      <c r="T424" s="185">
        <v>0.5</v>
      </c>
    </row>
    <row r="425" spans="1:20" ht="15.75" hidden="1" customHeight="1" x14ac:dyDescent="0.3">
      <c r="A425" s="175" t="s">
        <v>58</v>
      </c>
      <c r="B425" s="176" t="s">
        <v>336</v>
      </c>
      <c r="C425" s="176" t="s">
        <v>336</v>
      </c>
      <c r="D425" s="176" t="s">
        <v>636</v>
      </c>
      <c r="E425" s="177">
        <v>15</v>
      </c>
      <c r="F425" s="176"/>
      <c r="G425" s="178"/>
      <c r="H425" s="176" t="s">
        <v>592</v>
      </c>
      <c r="I425" s="176" t="s">
        <v>561</v>
      </c>
      <c r="J425" s="176"/>
      <c r="K425" s="176" t="s">
        <v>593</v>
      </c>
      <c r="L425" s="176"/>
      <c r="M425" s="176" t="s">
        <v>704</v>
      </c>
      <c r="N425" s="179">
        <f t="shared" si="48"/>
        <v>442</v>
      </c>
      <c r="O425" s="179">
        <f t="shared" si="49"/>
        <v>269</v>
      </c>
      <c r="P425" s="180">
        <f t="shared" si="44"/>
        <v>711</v>
      </c>
      <c r="Q425" s="181">
        <f t="shared" si="45"/>
        <v>0.8566265060240964</v>
      </c>
      <c r="R425" s="122">
        <f t="shared" si="46"/>
        <v>142.20000000000002</v>
      </c>
      <c r="S425" s="122">
        <f t="shared" si="47"/>
        <v>0.68530120481927714</v>
      </c>
      <c r="T425" s="133">
        <v>0.7</v>
      </c>
    </row>
    <row r="426" spans="1:20" ht="15.75" hidden="1" customHeight="1" x14ac:dyDescent="0.3">
      <c r="A426" s="175" t="s">
        <v>58</v>
      </c>
      <c r="B426" s="176" t="s">
        <v>336</v>
      </c>
      <c r="C426" s="176" t="s">
        <v>336</v>
      </c>
      <c r="D426" s="176" t="s">
        <v>636</v>
      </c>
      <c r="E426" s="177">
        <v>15</v>
      </c>
      <c r="F426" s="176"/>
      <c r="G426" s="178"/>
      <c r="H426" s="176" t="s">
        <v>643</v>
      </c>
      <c r="I426" s="176" t="s">
        <v>579</v>
      </c>
      <c r="J426" s="176"/>
      <c r="K426" s="176" t="s">
        <v>565</v>
      </c>
      <c r="L426" s="176"/>
      <c r="M426" s="176" t="s">
        <v>705</v>
      </c>
      <c r="N426" s="179">
        <f t="shared" si="48"/>
        <v>297</v>
      </c>
      <c r="O426" s="179">
        <f t="shared" si="49"/>
        <v>310</v>
      </c>
      <c r="P426" s="180">
        <f t="shared" si="44"/>
        <v>607</v>
      </c>
      <c r="Q426" s="181">
        <f t="shared" si="45"/>
        <v>0.73132530120481931</v>
      </c>
      <c r="R426" s="122">
        <f t="shared" si="46"/>
        <v>121.4</v>
      </c>
      <c r="S426" s="122">
        <f t="shared" si="47"/>
        <v>0.58506024096385545</v>
      </c>
      <c r="T426" s="133">
        <v>0.6</v>
      </c>
    </row>
    <row r="427" spans="1:20" ht="15.75" hidden="1" customHeight="1" x14ac:dyDescent="0.3">
      <c r="A427" s="175" t="s">
        <v>58</v>
      </c>
      <c r="B427" s="176" t="s">
        <v>336</v>
      </c>
      <c r="C427" s="176" t="s">
        <v>336</v>
      </c>
      <c r="D427" s="176" t="s">
        <v>636</v>
      </c>
      <c r="E427" s="177">
        <v>15</v>
      </c>
      <c r="F427" s="176"/>
      <c r="G427" s="178"/>
      <c r="H427" s="176" t="s">
        <v>594</v>
      </c>
      <c r="I427" s="176" t="s">
        <v>358</v>
      </c>
      <c r="J427" s="176"/>
      <c r="K427" s="176" t="s">
        <v>593</v>
      </c>
      <c r="L427" s="176"/>
      <c r="M427" s="176" t="s">
        <v>706</v>
      </c>
      <c r="N427" s="179">
        <f t="shared" si="48"/>
        <v>111</v>
      </c>
      <c r="O427" s="179">
        <f t="shared" si="49"/>
        <v>265</v>
      </c>
      <c r="P427" s="180">
        <f t="shared" si="44"/>
        <v>376</v>
      </c>
      <c r="Q427" s="181">
        <f t="shared" si="45"/>
        <v>0.45301204819277108</v>
      </c>
      <c r="R427" s="122">
        <f t="shared" si="46"/>
        <v>75.2</v>
      </c>
      <c r="S427" s="122">
        <f t="shared" si="47"/>
        <v>0.36240963855421687</v>
      </c>
      <c r="T427" s="133">
        <v>0.45</v>
      </c>
    </row>
    <row r="428" spans="1:20" ht="15.75" hidden="1" customHeight="1" x14ac:dyDescent="0.3">
      <c r="A428" s="175" t="s">
        <v>58</v>
      </c>
      <c r="B428" s="193" t="s">
        <v>336</v>
      </c>
      <c r="C428" s="176" t="s">
        <v>336</v>
      </c>
      <c r="D428" s="176" t="s">
        <v>590</v>
      </c>
      <c r="E428" s="177">
        <v>15</v>
      </c>
      <c r="F428" s="176"/>
      <c r="G428" s="178"/>
      <c r="H428" s="176"/>
      <c r="I428" s="176" t="s">
        <v>569</v>
      </c>
      <c r="J428" s="176"/>
      <c r="K428" s="176" t="s">
        <v>593</v>
      </c>
      <c r="L428" s="176"/>
      <c r="M428" s="176" t="s">
        <v>707</v>
      </c>
      <c r="N428" s="179">
        <f t="shared" si="48"/>
        <v>105</v>
      </c>
      <c r="O428" s="179">
        <f t="shared" si="49"/>
        <v>102</v>
      </c>
      <c r="P428" s="180">
        <f t="shared" si="44"/>
        <v>207</v>
      </c>
      <c r="Q428" s="181">
        <f t="shared" si="45"/>
        <v>0.24939759036144579</v>
      </c>
      <c r="R428" s="122">
        <f t="shared" si="46"/>
        <v>41.400000000000006</v>
      </c>
      <c r="S428" s="122">
        <f t="shared" si="47"/>
        <v>0.19951807228915663</v>
      </c>
      <c r="T428" s="133">
        <v>0.2</v>
      </c>
    </row>
    <row r="429" spans="1:20" ht="15.75" hidden="1" customHeight="1" x14ac:dyDescent="0.3">
      <c r="A429" s="175" t="s">
        <v>58</v>
      </c>
      <c r="B429" s="193" t="s">
        <v>336</v>
      </c>
      <c r="C429" s="176" t="s">
        <v>336</v>
      </c>
      <c r="D429" s="176" t="s">
        <v>590</v>
      </c>
      <c r="E429" s="177">
        <v>15</v>
      </c>
      <c r="F429" s="176"/>
      <c r="G429" s="178"/>
      <c r="H429" s="176"/>
      <c r="I429" s="176" t="s">
        <v>568</v>
      </c>
      <c r="J429" s="176"/>
      <c r="K429" s="176" t="s">
        <v>593</v>
      </c>
      <c r="L429" s="176"/>
      <c r="M429" s="176" t="s">
        <v>708</v>
      </c>
      <c r="N429" s="179">
        <f t="shared" si="48"/>
        <v>239</v>
      </c>
      <c r="O429" s="179">
        <f t="shared" si="49"/>
        <v>313</v>
      </c>
      <c r="P429" s="180">
        <f t="shared" si="44"/>
        <v>552</v>
      </c>
      <c r="Q429" s="181">
        <f t="shared" si="45"/>
        <v>0.66506024096385541</v>
      </c>
      <c r="R429" s="122">
        <f t="shared" si="46"/>
        <v>110.4</v>
      </c>
      <c r="S429" s="122">
        <f t="shared" si="47"/>
        <v>0.53204819277108439</v>
      </c>
      <c r="T429" s="133">
        <v>0.55000000000000004</v>
      </c>
    </row>
    <row r="430" spans="1:20" ht="15.75" hidden="1" customHeight="1" x14ac:dyDescent="0.3">
      <c r="A430" s="175" t="s">
        <v>58</v>
      </c>
      <c r="B430" s="193" t="s">
        <v>336</v>
      </c>
      <c r="C430" s="176" t="s">
        <v>336</v>
      </c>
      <c r="D430" s="176" t="s">
        <v>590</v>
      </c>
      <c r="E430" s="177">
        <v>15</v>
      </c>
      <c r="F430" s="176"/>
      <c r="G430" s="178"/>
      <c r="H430" s="176"/>
      <c r="I430" s="176" t="s">
        <v>561</v>
      </c>
      <c r="J430" s="176"/>
      <c r="K430" s="176" t="s">
        <v>593</v>
      </c>
      <c r="L430" s="176"/>
      <c r="M430" s="176" t="s">
        <v>709</v>
      </c>
      <c r="N430" s="179">
        <f t="shared" si="48"/>
        <v>442</v>
      </c>
      <c r="O430" s="179">
        <f t="shared" si="49"/>
        <v>269</v>
      </c>
      <c r="P430" s="180">
        <f t="shared" si="44"/>
        <v>711</v>
      </c>
      <c r="Q430" s="181">
        <f t="shared" si="45"/>
        <v>0.8566265060240964</v>
      </c>
      <c r="R430" s="122">
        <f t="shared" si="46"/>
        <v>142.20000000000002</v>
      </c>
      <c r="S430" s="122">
        <f t="shared" si="47"/>
        <v>0.68530120481927714</v>
      </c>
      <c r="T430" s="133">
        <v>0.7</v>
      </c>
    </row>
    <row r="431" spans="1:20" ht="15.75" hidden="1" customHeight="1" x14ac:dyDescent="0.3">
      <c r="A431" s="175" t="s">
        <v>58</v>
      </c>
      <c r="B431" s="193" t="s">
        <v>336</v>
      </c>
      <c r="C431" s="176" t="s">
        <v>336</v>
      </c>
      <c r="D431" s="176" t="s">
        <v>590</v>
      </c>
      <c r="E431" s="177">
        <v>15</v>
      </c>
      <c r="F431" s="176"/>
      <c r="G431" s="178"/>
      <c r="H431" s="176"/>
      <c r="I431" s="176" t="s">
        <v>116</v>
      </c>
      <c r="J431" s="176"/>
      <c r="K431" s="176" t="s">
        <v>593</v>
      </c>
      <c r="L431" s="176"/>
      <c r="M431" s="176"/>
      <c r="N431" s="179">
        <f t="shared" si="48"/>
        <v>233</v>
      </c>
      <c r="O431" s="179">
        <f t="shared" si="49"/>
        <v>200</v>
      </c>
      <c r="P431" s="180">
        <f t="shared" si="44"/>
        <v>433</v>
      </c>
      <c r="Q431" s="181">
        <f t="shared" si="45"/>
        <v>0.52168674698795181</v>
      </c>
      <c r="R431" s="122">
        <f t="shared" si="46"/>
        <v>86.600000000000009</v>
      </c>
      <c r="S431" s="122">
        <f t="shared" si="47"/>
        <v>0.41734939759036149</v>
      </c>
      <c r="T431" s="185">
        <v>0.5</v>
      </c>
    </row>
    <row r="432" spans="1:20" ht="15.75" hidden="1" customHeight="1" x14ac:dyDescent="0.3">
      <c r="A432" s="175" t="s">
        <v>58</v>
      </c>
      <c r="B432" s="193" t="s">
        <v>336</v>
      </c>
      <c r="C432" s="176" t="s">
        <v>336</v>
      </c>
      <c r="D432" s="176" t="s">
        <v>590</v>
      </c>
      <c r="E432" s="177">
        <v>15</v>
      </c>
      <c r="F432" s="176"/>
      <c r="G432" s="178"/>
      <c r="H432" s="176"/>
      <c r="I432" s="176" t="s">
        <v>579</v>
      </c>
      <c r="J432" s="176"/>
      <c r="K432" s="176" t="s">
        <v>593</v>
      </c>
      <c r="L432" s="176"/>
      <c r="M432" s="176"/>
      <c r="N432" s="179">
        <f t="shared" si="48"/>
        <v>297</v>
      </c>
      <c r="O432" s="179">
        <f t="shared" si="49"/>
        <v>310</v>
      </c>
      <c r="P432" s="180">
        <f t="shared" si="44"/>
        <v>607</v>
      </c>
      <c r="Q432" s="181">
        <f t="shared" si="45"/>
        <v>0.73132530120481931</v>
      </c>
      <c r="R432" s="122">
        <f t="shared" si="46"/>
        <v>121.4</v>
      </c>
      <c r="S432" s="122">
        <f t="shared" si="47"/>
        <v>0.58506024096385545</v>
      </c>
      <c r="T432" s="133">
        <v>0.6</v>
      </c>
    </row>
    <row r="433" spans="1:20" ht="15.75" hidden="1" customHeight="1" x14ac:dyDescent="0.3">
      <c r="A433" s="175" t="s">
        <v>58</v>
      </c>
      <c r="B433" s="193" t="s">
        <v>336</v>
      </c>
      <c r="C433" s="176" t="s">
        <v>336</v>
      </c>
      <c r="D433" s="176" t="s">
        <v>590</v>
      </c>
      <c r="E433" s="177">
        <v>15</v>
      </c>
      <c r="F433" s="176"/>
      <c r="G433" s="178"/>
      <c r="H433" s="176"/>
      <c r="I433" s="176" t="s">
        <v>104</v>
      </c>
      <c r="J433" s="176"/>
      <c r="K433" s="176" t="s">
        <v>593</v>
      </c>
      <c r="L433" s="176"/>
      <c r="M433" s="176"/>
      <c r="N433" s="179">
        <f t="shared" si="48"/>
        <v>188</v>
      </c>
      <c r="O433" s="179">
        <f t="shared" si="49"/>
        <v>294</v>
      </c>
      <c r="P433" s="180">
        <f t="shared" si="44"/>
        <v>482</v>
      </c>
      <c r="Q433" s="181">
        <f t="shared" si="45"/>
        <v>0.58072289156626511</v>
      </c>
      <c r="R433" s="122">
        <f t="shared" si="46"/>
        <v>96.4</v>
      </c>
      <c r="S433" s="122">
        <f t="shared" si="47"/>
        <v>0.46457831325301213</v>
      </c>
      <c r="T433" s="133">
        <v>0.5</v>
      </c>
    </row>
    <row r="434" spans="1:20" ht="15.75" hidden="1" customHeight="1" x14ac:dyDescent="0.3">
      <c r="A434" s="175" t="s">
        <v>58</v>
      </c>
      <c r="B434" s="193" t="s">
        <v>336</v>
      </c>
      <c r="C434" s="176" t="s">
        <v>336</v>
      </c>
      <c r="D434" s="176" t="s">
        <v>590</v>
      </c>
      <c r="E434" s="177">
        <v>15</v>
      </c>
      <c r="F434" s="176"/>
      <c r="G434" s="178"/>
      <c r="H434" s="176"/>
      <c r="I434" s="176" t="s">
        <v>574</v>
      </c>
      <c r="J434" s="176"/>
      <c r="K434" s="176" t="s">
        <v>593</v>
      </c>
      <c r="L434" s="176"/>
      <c r="M434" s="176"/>
      <c r="N434" s="179">
        <f t="shared" si="48"/>
        <v>171</v>
      </c>
      <c r="O434" s="179">
        <f t="shared" si="49"/>
        <v>88</v>
      </c>
      <c r="P434" s="180">
        <f t="shared" si="44"/>
        <v>259</v>
      </c>
      <c r="Q434" s="181">
        <f t="shared" si="45"/>
        <v>0.31204819277108437</v>
      </c>
      <c r="R434" s="122">
        <f t="shared" si="46"/>
        <v>51.800000000000004</v>
      </c>
      <c r="S434" s="122">
        <f t="shared" si="47"/>
        <v>0.24963855421686751</v>
      </c>
      <c r="T434" s="133">
        <v>0.25</v>
      </c>
    </row>
    <row r="435" spans="1:20" ht="15.75" hidden="1" customHeight="1" x14ac:dyDescent="0.3">
      <c r="A435" s="175" t="s">
        <v>58</v>
      </c>
      <c r="B435" s="193" t="s">
        <v>336</v>
      </c>
      <c r="C435" s="176" t="s">
        <v>336</v>
      </c>
      <c r="D435" s="176" t="s">
        <v>590</v>
      </c>
      <c r="E435" s="177">
        <v>15</v>
      </c>
      <c r="F435" s="176"/>
      <c r="G435" s="178"/>
      <c r="H435" s="176"/>
      <c r="I435" s="176" t="s">
        <v>175</v>
      </c>
      <c r="J435" s="176"/>
      <c r="K435" s="176" t="s">
        <v>593</v>
      </c>
      <c r="L435" s="176"/>
      <c r="M435" s="176"/>
      <c r="N435" s="179">
        <f t="shared" si="48"/>
        <v>186</v>
      </c>
      <c r="O435" s="179">
        <f t="shared" si="49"/>
        <v>42</v>
      </c>
      <c r="P435" s="180">
        <f t="shared" si="44"/>
        <v>228</v>
      </c>
      <c r="Q435" s="181">
        <f t="shared" si="45"/>
        <v>0.27469879518072288</v>
      </c>
      <c r="R435" s="122">
        <f t="shared" si="46"/>
        <v>45.6</v>
      </c>
      <c r="S435" s="122">
        <f t="shared" si="47"/>
        <v>0.21975903614457831</v>
      </c>
      <c r="T435" s="133">
        <v>0.2</v>
      </c>
    </row>
    <row r="436" spans="1:20" ht="15.75" hidden="1" customHeight="1" x14ac:dyDescent="0.3">
      <c r="A436" s="175" t="s">
        <v>58</v>
      </c>
      <c r="B436" s="193" t="s">
        <v>336</v>
      </c>
      <c r="C436" s="176" t="s">
        <v>336</v>
      </c>
      <c r="D436" s="176" t="s">
        <v>590</v>
      </c>
      <c r="E436" s="177">
        <v>15</v>
      </c>
      <c r="F436" s="176"/>
      <c r="G436" s="178"/>
      <c r="H436" s="176"/>
      <c r="I436" s="176" t="s">
        <v>575</v>
      </c>
      <c r="J436" s="176"/>
      <c r="K436" s="176" t="s">
        <v>593</v>
      </c>
      <c r="L436" s="176"/>
      <c r="M436" s="176"/>
      <c r="N436" s="179">
        <f t="shared" si="48"/>
        <v>78</v>
      </c>
      <c r="O436" s="179">
        <f t="shared" si="49"/>
        <v>240.5</v>
      </c>
      <c r="P436" s="180">
        <f t="shared" si="44"/>
        <v>318.5</v>
      </c>
      <c r="Q436" s="181">
        <f t="shared" si="45"/>
        <v>0.38373493975903616</v>
      </c>
      <c r="R436" s="122">
        <f t="shared" si="46"/>
        <v>63.7</v>
      </c>
      <c r="S436" s="122">
        <f t="shared" si="47"/>
        <v>0.30698795180722893</v>
      </c>
      <c r="T436" s="133">
        <v>0.35</v>
      </c>
    </row>
    <row r="437" spans="1:20" ht="15.75" hidden="1" customHeight="1" x14ac:dyDescent="0.3">
      <c r="A437" s="175" t="s">
        <v>58</v>
      </c>
      <c r="B437" s="193" t="s">
        <v>336</v>
      </c>
      <c r="C437" s="176" t="s">
        <v>336</v>
      </c>
      <c r="D437" s="176" t="s">
        <v>590</v>
      </c>
      <c r="E437" s="177">
        <v>15</v>
      </c>
      <c r="F437" s="176"/>
      <c r="G437" s="178"/>
      <c r="H437" s="176"/>
      <c r="I437" s="176" t="s">
        <v>581</v>
      </c>
      <c r="J437" s="176"/>
      <c r="K437" s="176" t="s">
        <v>593</v>
      </c>
      <c r="L437" s="176"/>
      <c r="M437" s="176"/>
      <c r="N437" s="179">
        <f t="shared" si="48"/>
        <v>276</v>
      </c>
      <c r="O437" s="179">
        <f t="shared" si="49"/>
        <v>323</v>
      </c>
      <c r="P437" s="180">
        <f t="shared" si="44"/>
        <v>599</v>
      </c>
      <c r="Q437" s="181">
        <f t="shared" si="45"/>
        <v>0.72168674698795177</v>
      </c>
      <c r="R437" s="122">
        <f t="shared" si="46"/>
        <v>119.80000000000001</v>
      </c>
      <c r="S437" s="122">
        <f t="shared" si="47"/>
        <v>0.57734939759036141</v>
      </c>
      <c r="T437" s="133">
        <v>0.55000000000000004</v>
      </c>
    </row>
    <row r="438" spans="1:20" ht="15.75" hidden="1" customHeight="1" x14ac:dyDescent="0.3">
      <c r="A438" s="175" t="s">
        <v>58</v>
      </c>
      <c r="B438" s="193" t="s">
        <v>336</v>
      </c>
      <c r="C438" s="176" t="s">
        <v>336</v>
      </c>
      <c r="D438" s="176" t="s">
        <v>590</v>
      </c>
      <c r="E438" s="177">
        <v>15</v>
      </c>
      <c r="F438" s="176"/>
      <c r="G438" s="178"/>
      <c r="H438" s="176"/>
      <c r="I438" s="176" t="s">
        <v>562</v>
      </c>
      <c r="J438" s="176"/>
      <c r="K438" s="176" t="s">
        <v>593</v>
      </c>
      <c r="L438" s="176"/>
      <c r="M438" s="176"/>
      <c r="N438" s="179">
        <f t="shared" si="48"/>
        <v>438</v>
      </c>
      <c r="O438" s="179">
        <f t="shared" si="49"/>
        <v>361</v>
      </c>
      <c r="P438" s="180">
        <f t="shared" si="44"/>
        <v>799</v>
      </c>
      <c r="Q438" s="181">
        <f t="shared" si="45"/>
        <v>0.96265060240963851</v>
      </c>
      <c r="R438" s="122">
        <f t="shared" si="46"/>
        <v>159.80000000000001</v>
      </c>
      <c r="S438" s="122">
        <f t="shared" si="47"/>
        <v>0.77012048192771088</v>
      </c>
      <c r="T438" s="133">
        <v>0.75</v>
      </c>
    </row>
    <row r="439" spans="1:20" ht="15.75" hidden="1" customHeight="1" x14ac:dyDescent="0.3">
      <c r="A439" s="175" t="s">
        <v>58</v>
      </c>
      <c r="B439" s="182" t="s">
        <v>336</v>
      </c>
      <c r="C439" s="182" t="s">
        <v>336</v>
      </c>
      <c r="D439" s="182" t="s">
        <v>590</v>
      </c>
      <c r="E439" s="183">
        <v>15</v>
      </c>
      <c r="F439" s="182"/>
      <c r="G439" s="187"/>
      <c r="H439" s="182"/>
      <c r="I439" s="182" t="s">
        <v>568</v>
      </c>
      <c r="J439" s="176"/>
      <c r="K439" s="176" t="s">
        <v>593</v>
      </c>
      <c r="L439" s="176"/>
      <c r="M439" s="176"/>
      <c r="N439" s="179">
        <f t="shared" si="48"/>
        <v>239</v>
      </c>
      <c r="O439" s="179">
        <f t="shared" si="49"/>
        <v>313</v>
      </c>
      <c r="P439" s="180">
        <f t="shared" si="44"/>
        <v>552</v>
      </c>
      <c r="Q439" s="181">
        <f t="shared" si="45"/>
        <v>0.66506024096385541</v>
      </c>
      <c r="R439" s="122">
        <f t="shared" si="46"/>
        <v>110.4</v>
      </c>
      <c r="S439" s="122">
        <f t="shared" si="47"/>
        <v>0.53204819277108439</v>
      </c>
      <c r="T439" s="133">
        <v>0.55000000000000004</v>
      </c>
    </row>
    <row r="440" spans="1:20" ht="15.75" hidden="1" customHeight="1" x14ac:dyDescent="0.3">
      <c r="A440" s="175" t="s">
        <v>58</v>
      </c>
      <c r="B440" s="182" t="s">
        <v>336</v>
      </c>
      <c r="C440" s="182" t="s">
        <v>336</v>
      </c>
      <c r="D440" s="182" t="s">
        <v>590</v>
      </c>
      <c r="E440" s="183">
        <v>15</v>
      </c>
      <c r="F440" s="182"/>
      <c r="G440" s="187"/>
      <c r="H440" s="182"/>
      <c r="I440" s="182" t="s">
        <v>582</v>
      </c>
      <c r="J440" s="176"/>
      <c r="K440" s="176" t="s">
        <v>593</v>
      </c>
      <c r="L440" s="176"/>
      <c r="M440" s="176"/>
      <c r="N440" s="179">
        <f t="shared" si="48"/>
        <v>298</v>
      </c>
      <c r="O440" s="179">
        <f t="shared" si="49"/>
        <v>310</v>
      </c>
      <c r="P440" s="180">
        <f t="shared" si="44"/>
        <v>608</v>
      </c>
      <c r="Q440" s="181">
        <f t="shared" si="45"/>
        <v>0.73253012048192767</v>
      </c>
      <c r="R440" s="122">
        <f t="shared" si="46"/>
        <v>121.60000000000001</v>
      </c>
      <c r="S440" s="122">
        <f t="shared" si="47"/>
        <v>0.5860240963855422</v>
      </c>
      <c r="T440" s="133">
        <v>0.7</v>
      </c>
    </row>
    <row r="441" spans="1:20" ht="15.75" hidden="1" customHeight="1" x14ac:dyDescent="0.3">
      <c r="A441" s="175" t="s">
        <v>58</v>
      </c>
      <c r="B441" s="176" t="s">
        <v>341</v>
      </c>
      <c r="C441" s="176" t="s">
        <v>341</v>
      </c>
      <c r="D441" s="176" t="s">
        <v>710</v>
      </c>
      <c r="E441" s="177">
        <v>25</v>
      </c>
      <c r="F441" s="176"/>
      <c r="G441" s="178"/>
      <c r="H441" s="176" t="s">
        <v>682</v>
      </c>
      <c r="I441" s="176" t="s">
        <v>497</v>
      </c>
      <c r="J441" s="176"/>
      <c r="K441" s="176" t="s">
        <v>565</v>
      </c>
      <c r="L441" s="176"/>
      <c r="M441" s="176" t="s">
        <v>711</v>
      </c>
      <c r="N441" s="179">
        <f t="shared" si="48"/>
        <v>180</v>
      </c>
      <c r="O441" s="179">
        <f t="shared" si="49"/>
        <v>129</v>
      </c>
      <c r="P441" s="180">
        <f t="shared" si="44"/>
        <v>309</v>
      </c>
      <c r="Q441" s="181">
        <f t="shared" si="45"/>
        <v>0.37228915662650602</v>
      </c>
      <c r="R441" s="122">
        <f t="shared" si="46"/>
        <v>61.800000000000004</v>
      </c>
      <c r="S441" s="122">
        <f t="shared" si="47"/>
        <v>0.29783132530120482</v>
      </c>
      <c r="T441" s="133">
        <v>0.3</v>
      </c>
    </row>
    <row r="442" spans="1:20" ht="15.75" hidden="1" customHeight="1" x14ac:dyDescent="0.3">
      <c r="A442" s="175" t="s">
        <v>58</v>
      </c>
      <c r="B442" s="176" t="s">
        <v>341</v>
      </c>
      <c r="C442" s="176" t="s">
        <v>341</v>
      </c>
      <c r="D442" s="176" t="s">
        <v>710</v>
      </c>
      <c r="E442" s="177">
        <v>25</v>
      </c>
      <c r="F442" s="176"/>
      <c r="G442" s="178"/>
      <c r="H442" s="176" t="s">
        <v>646</v>
      </c>
      <c r="I442" s="176" t="s">
        <v>568</v>
      </c>
      <c r="J442" s="176"/>
      <c r="K442" s="176" t="s">
        <v>565</v>
      </c>
      <c r="L442" s="176"/>
      <c r="M442" s="176" t="s">
        <v>712</v>
      </c>
      <c r="N442" s="179">
        <f t="shared" si="48"/>
        <v>239</v>
      </c>
      <c r="O442" s="179">
        <f t="shared" si="49"/>
        <v>313</v>
      </c>
      <c r="P442" s="180">
        <f t="shared" si="44"/>
        <v>552</v>
      </c>
      <c r="Q442" s="181">
        <f t="shared" si="45"/>
        <v>0.66506024096385541</v>
      </c>
      <c r="R442" s="122">
        <f t="shared" si="46"/>
        <v>110.4</v>
      </c>
      <c r="S442" s="122">
        <f t="shared" si="47"/>
        <v>0.53204819277108439</v>
      </c>
      <c r="T442" s="133">
        <v>0.55000000000000004</v>
      </c>
    </row>
    <row r="443" spans="1:20" ht="15.75" hidden="1" customHeight="1" x14ac:dyDescent="0.3">
      <c r="A443" s="175" t="s">
        <v>58</v>
      </c>
      <c r="B443" s="176" t="s">
        <v>341</v>
      </c>
      <c r="C443" s="176" t="s">
        <v>341</v>
      </c>
      <c r="D443" s="176" t="s">
        <v>657</v>
      </c>
      <c r="E443" s="177">
        <v>25</v>
      </c>
      <c r="F443" s="176"/>
      <c r="G443" s="178"/>
      <c r="H443" s="176" t="s">
        <v>642</v>
      </c>
      <c r="I443" s="176" t="s">
        <v>572</v>
      </c>
      <c r="J443" s="176"/>
      <c r="K443" s="176" t="s">
        <v>593</v>
      </c>
      <c r="L443" s="176"/>
      <c r="M443" s="176" t="s">
        <v>713</v>
      </c>
      <c r="N443" s="179">
        <f t="shared" si="48"/>
        <v>410</v>
      </c>
      <c r="O443" s="179">
        <f t="shared" si="49"/>
        <v>260</v>
      </c>
      <c r="P443" s="180">
        <f t="shared" si="44"/>
        <v>670</v>
      </c>
      <c r="Q443" s="181">
        <f t="shared" si="45"/>
        <v>0.80722891566265065</v>
      </c>
      <c r="R443" s="122">
        <f t="shared" si="46"/>
        <v>134</v>
      </c>
      <c r="S443" s="122">
        <f t="shared" si="47"/>
        <v>0.64578313253012054</v>
      </c>
      <c r="T443" s="133">
        <v>0.55000000000000004</v>
      </c>
    </row>
    <row r="444" spans="1:20" ht="15.75" hidden="1" customHeight="1" x14ac:dyDescent="0.3">
      <c r="A444" s="175" t="s">
        <v>58</v>
      </c>
      <c r="B444" s="182" t="s">
        <v>341</v>
      </c>
      <c r="C444" s="182" t="s">
        <v>341</v>
      </c>
      <c r="D444" s="182" t="s">
        <v>647</v>
      </c>
      <c r="E444" s="183">
        <v>25</v>
      </c>
      <c r="F444" s="182"/>
      <c r="G444" s="187"/>
      <c r="H444" s="182" t="s">
        <v>598</v>
      </c>
      <c r="I444" s="182" t="s">
        <v>510</v>
      </c>
      <c r="J444" s="176"/>
      <c r="K444" s="176" t="s">
        <v>565</v>
      </c>
      <c r="L444" s="176"/>
      <c r="M444" s="176" t="s">
        <v>714</v>
      </c>
      <c r="N444" s="179">
        <f t="shared" si="48"/>
        <v>337</v>
      </c>
      <c r="O444" s="179">
        <f t="shared" si="49"/>
        <v>205</v>
      </c>
      <c r="P444" s="180">
        <f t="shared" si="44"/>
        <v>542</v>
      </c>
      <c r="Q444" s="181">
        <f t="shared" si="45"/>
        <v>0.65301204819277103</v>
      </c>
      <c r="R444" s="122">
        <f t="shared" si="46"/>
        <v>108.4</v>
      </c>
      <c r="S444" s="122">
        <f t="shared" si="47"/>
        <v>0.52240963855421685</v>
      </c>
      <c r="T444" s="133">
        <v>0.65</v>
      </c>
    </row>
    <row r="445" spans="1:20" ht="15.75" hidden="1" customHeight="1" x14ac:dyDescent="0.3">
      <c r="A445" s="175" t="s">
        <v>58</v>
      </c>
      <c r="B445" s="176" t="s">
        <v>341</v>
      </c>
      <c r="C445" s="176" t="s">
        <v>341</v>
      </c>
      <c r="D445" s="176" t="s">
        <v>679</v>
      </c>
      <c r="E445" s="177">
        <v>50</v>
      </c>
      <c r="F445" s="176"/>
      <c r="G445" s="178"/>
      <c r="H445" s="176" t="s">
        <v>642</v>
      </c>
      <c r="I445" s="176" t="s">
        <v>572</v>
      </c>
      <c r="J445" s="176"/>
      <c r="K445" s="176" t="s">
        <v>593</v>
      </c>
      <c r="L445" s="176"/>
      <c r="M445" s="176" t="s">
        <v>681</v>
      </c>
      <c r="N445" s="179">
        <f t="shared" si="48"/>
        <v>410</v>
      </c>
      <c r="O445" s="179">
        <f t="shared" si="49"/>
        <v>260</v>
      </c>
      <c r="P445" s="180">
        <f t="shared" si="44"/>
        <v>670</v>
      </c>
      <c r="Q445" s="181">
        <f t="shared" si="45"/>
        <v>0.80722891566265065</v>
      </c>
      <c r="R445" s="122">
        <f t="shared" si="46"/>
        <v>134</v>
      </c>
      <c r="S445" s="122">
        <f t="shared" si="47"/>
        <v>0.64578313253012054</v>
      </c>
      <c r="T445" s="133">
        <v>0.55000000000000004</v>
      </c>
    </row>
    <row r="446" spans="1:20" ht="15.75" hidden="1" customHeight="1" x14ac:dyDescent="0.3">
      <c r="A446" s="175" t="s">
        <v>58</v>
      </c>
      <c r="B446" s="176" t="s">
        <v>341</v>
      </c>
      <c r="C446" s="176" t="s">
        <v>341</v>
      </c>
      <c r="D446" s="176" t="s">
        <v>679</v>
      </c>
      <c r="E446" s="177">
        <v>50</v>
      </c>
      <c r="F446" s="176"/>
      <c r="G446" s="178"/>
      <c r="H446" s="176" t="s">
        <v>682</v>
      </c>
      <c r="I446" s="176" t="s">
        <v>497</v>
      </c>
      <c r="J446" s="176"/>
      <c r="K446" s="176" t="s">
        <v>565</v>
      </c>
      <c r="L446" s="176"/>
      <c r="M446" s="176" t="s">
        <v>683</v>
      </c>
      <c r="N446" s="179">
        <f t="shared" si="48"/>
        <v>180</v>
      </c>
      <c r="O446" s="179">
        <f t="shared" si="49"/>
        <v>129</v>
      </c>
      <c r="P446" s="180">
        <f t="shared" si="44"/>
        <v>309</v>
      </c>
      <c r="Q446" s="181">
        <f t="shared" si="45"/>
        <v>0.37228915662650602</v>
      </c>
      <c r="R446" s="122">
        <f t="shared" si="46"/>
        <v>61.800000000000004</v>
      </c>
      <c r="S446" s="122">
        <f t="shared" si="47"/>
        <v>0.29783132530120482</v>
      </c>
      <c r="T446" s="133">
        <v>0.3</v>
      </c>
    </row>
    <row r="447" spans="1:20" ht="15.75" hidden="1" customHeight="1" x14ac:dyDescent="0.3">
      <c r="A447" s="175" t="s">
        <v>58</v>
      </c>
      <c r="B447" s="176" t="s">
        <v>341</v>
      </c>
      <c r="C447" s="176" t="s">
        <v>341</v>
      </c>
      <c r="D447" s="176" t="s">
        <v>670</v>
      </c>
      <c r="E447" s="177">
        <v>50</v>
      </c>
      <c r="F447" s="176"/>
      <c r="G447" s="178"/>
      <c r="H447" s="176" t="s">
        <v>604</v>
      </c>
      <c r="I447" s="176" t="s">
        <v>578</v>
      </c>
      <c r="J447" s="176"/>
      <c r="K447" s="176" t="s">
        <v>565</v>
      </c>
      <c r="L447" s="176"/>
      <c r="M447" s="176" t="s">
        <v>687</v>
      </c>
      <c r="N447" s="179">
        <f t="shared" si="48"/>
        <v>381</v>
      </c>
      <c r="O447" s="179">
        <f t="shared" si="49"/>
        <v>162</v>
      </c>
      <c r="P447" s="180">
        <f t="shared" si="44"/>
        <v>543</v>
      </c>
      <c r="Q447" s="181">
        <f t="shared" si="45"/>
        <v>0.6542168674698795</v>
      </c>
      <c r="R447" s="122">
        <f t="shared" si="46"/>
        <v>108.60000000000001</v>
      </c>
      <c r="S447" s="122">
        <f t="shared" si="47"/>
        <v>0.5233734939759036</v>
      </c>
      <c r="T447" s="133">
        <v>0.5</v>
      </c>
    </row>
    <row r="448" spans="1:20" ht="15.75" hidden="1" customHeight="1" x14ac:dyDescent="0.3">
      <c r="A448" s="175" t="s">
        <v>58</v>
      </c>
      <c r="B448" s="176" t="s">
        <v>341</v>
      </c>
      <c r="C448" s="176" t="s">
        <v>341</v>
      </c>
      <c r="D448" s="176" t="s">
        <v>673</v>
      </c>
      <c r="E448" s="177">
        <v>50</v>
      </c>
      <c r="F448" s="176"/>
      <c r="G448" s="178"/>
      <c r="H448" s="176" t="s">
        <v>622</v>
      </c>
      <c r="I448" s="176" t="s">
        <v>562</v>
      </c>
      <c r="J448" s="176"/>
      <c r="K448" s="176" t="s">
        <v>565</v>
      </c>
      <c r="L448" s="176"/>
      <c r="M448" s="176" t="s">
        <v>715</v>
      </c>
      <c r="N448" s="179">
        <f t="shared" si="48"/>
        <v>438</v>
      </c>
      <c r="O448" s="179">
        <f t="shared" si="49"/>
        <v>361</v>
      </c>
      <c r="P448" s="180">
        <f t="shared" si="44"/>
        <v>799</v>
      </c>
      <c r="Q448" s="181">
        <f t="shared" si="45"/>
        <v>0.96265060240963851</v>
      </c>
      <c r="R448" s="122">
        <f t="shared" si="46"/>
        <v>159.80000000000001</v>
      </c>
      <c r="S448" s="122">
        <f t="shared" si="47"/>
        <v>0.77012048192771088</v>
      </c>
      <c r="T448" s="133">
        <v>0.75</v>
      </c>
    </row>
    <row r="449" spans="1:20" ht="15.75" hidden="1" customHeight="1" x14ac:dyDescent="0.3">
      <c r="A449" s="175" t="s">
        <v>58</v>
      </c>
      <c r="B449" s="176" t="s">
        <v>341</v>
      </c>
      <c r="C449" s="176" t="s">
        <v>341</v>
      </c>
      <c r="D449" s="176" t="s">
        <v>676</v>
      </c>
      <c r="E449" s="177">
        <v>50</v>
      </c>
      <c r="F449" s="176"/>
      <c r="G449" s="178"/>
      <c r="H449" s="176" t="s">
        <v>646</v>
      </c>
      <c r="I449" s="176" t="s">
        <v>568</v>
      </c>
      <c r="J449" s="176"/>
      <c r="K449" s="176" t="s">
        <v>565</v>
      </c>
      <c r="L449" s="176"/>
      <c r="M449" s="176" t="s">
        <v>689</v>
      </c>
      <c r="N449" s="179">
        <f t="shared" si="48"/>
        <v>239</v>
      </c>
      <c r="O449" s="179">
        <f t="shared" si="49"/>
        <v>313</v>
      </c>
      <c r="P449" s="180">
        <f t="shared" si="44"/>
        <v>552</v>
      </c>
      <c r="Q449" s="181">
        <f t="shared" si="45"/>
        <v>0.66506024096385541</v>
      </c>
      <c r="R449" s="122">
        <f t="shared" si="46"/>
        <v>110.4</v>
      </c>
      <c r="S449" s="122">
        <f t="shared" si="47"/>
        <v>0.53204819277108439</v>
      </c>
      <c r="T449" s="133">
        <v>0.55000000000000004</v>
      </c>
    </row>
    <row r="450" spans="1:20" ht="15.75" hidden="1" customHeight="1" x14ac:dyDescent="0.3">
      <c r="A450" s="194" t="s">
        <v>59</v>
      </c>
      <c r="B450" s="176" t="s">
        <v>69</v>
      </c>
      <c r="C450" s="176" t="s">
        <v>69</v>
      </c>
      <c r="D450" s="176"/>
      <c r="E450" s="177">
        <v>30</v>
      </c>
      <c r="F450" s="176"/>
      <c r="G450" s="178"/>
      <c r="H450" s="176" t="s">
        <v>589</v>
      </c>
      <c r="I450" s="176" t="s">
        <v>569</v>
      </c>
      <c r="J450" s="176"/>
      <c r="K450" s="176" t="s">
        <v>593</v>
      </c>
      <c r="L450" s="176"/>
      <c r="M450" s="176"/>
      <c r="N450" s="179">
        <f t="shared" si="48"/>
        <v>105</v>
      </c>
      <c r="O450" s="179">
        <f t="shared" si="49"/>
        <v>102</v>
      </c>
      <c r="P450" s="180">
        <f t="shared" si="44"/>
        <v>207</v>
      </c>
      <c r="Q450" s="181">
        <f t="shared" si="45"/>
        <v>0.24939759036144579</v>
      </c>
      <c r="R450" s="122">
        <f t="shared" si="46"/>
        <v>41.400000000000006</v>
      </c>
      <c r="S450" s="122">
        <f t="shared" si="47"/>
        <v>0.19951807228915663</v>
      </c>
      <c r="T450" s="133">
        <v>0.2</v>
      </c>
    </row>
    <row r="451" spans="1:20" ht="15.75" hidden="1" customHeight="1" x14ac:dyDescent="0.3">
      <c r="A451" s="194" t="s">
        <v>59</v>
      </c>
      <c r="B451" s="176" t="s">
        <v>350</v>
      </c>
      <c r="C451" s="176" t="s">
        <v>73</v>
      </c>
      <c r="D451" s="176" t="s">
        <v>595</v>
      </c>
      <c r="E451" s="177">
        <v>16</v>
      </c>
      <c r="F451" s="176" t="s">
        <v>596</v>
      </c>
      <c r="G451" s="177">
        <v>16</v>
      </c>
      <c r="H451" s="176" t="s">
        <v>615</v>
      </c>
      <c r="I451" s="176" t="s">
        <v>570</v>
      </c>
      <c r="J451" s="176"/>
      <c r="K451" s="176" t="s">
        <v>593</v>
      </c>
      <c r="L451" s="176"/>
      <c r="M451" s="176"/>
      <c r="N451" s="179">
        <f t="shared" si="48"/>
        <v>279</v>
      </c>
      <c r="O451" s="179">
        <f t="shared" si="49"/>
        <v>431</v>
      </c>
      <c r="P451" s="180">
        <f t="shared" si="44"/>
        <v>710</v>
      </c>
      <c r="Q451" s="181">
        <f t="shared" si="45"/>
        <v>0.85542168674698793</v>
      </c>
      <c r="R451" s="122">
        <f t="shared" si="46"/>
        <v>142</v>
      </c>
      <c r="S451" s="122">
        <f t="shared" si="47"/>
        <v>0.68433734939759039</v>
      </c>
      <c r="T451" s="133">
        <v>0.65</v>
      </c>
    </row>
    <row r="452" spans="1:20" ht="15.75" hidden="1" customHeight="1" x14ac:dyDescent="0.3">
      <c r="A452" s="194" t="s">
        <v>59</v>
      </c>
      <c r="B452" s="176" t="s">
        <v>350</v>
      </c>
      <c r="C452" s="176" t="s">
        <v>100</v>
      </c>
      <c r="D452" s="176" t="s">
        <v>595</v>
      </c>
      <c r="E452" s="177">
        <v>32</v>
      </c>
      <c r="F452" s="176" t="s">
        <v>596</v>
      </c>
      <c r="G452" s="177">
        <v>32</v>
      </c>
      <c r="H452" s="176" t="s">
        <v>615</v>
      </c>
      <c r="I452" s="176" t="s">
        <v>570</v>
      </c>
      <c r="J452" s="176"/>
      <c r="K452" s="176" t="s">
        <v>593</v>
      </c>
      <c r="L452" s="176"/>
      <c r="M452" s="176"/>
      <c r="N452" s="179">
        <f t="shared" si="48"/>
        <v>279</v>
      </c>
      <c r="O452" s="179">
        <f t="shared" si="49"/>
        <v>431</v>
      </c>
      <c r="P452" s="180">
        <f t="shared" si="44"/>
        <v>710</v>
      </c>
      <c r="Q452" s="181">
        <f t="shared" si="45"/>
        <v>0.85542168674698793</v>
      </c>
      <c r="R452" s="122">
        <f t="shared" si="46"/>
        <v>142</v>
      </c>
      <c r="S452" s="122">
        <f t="shared" si="47"/>
        <v>0.68433734939759039</v>
      </c>
      <c r="T452" s="133">
        <v>0.65</v>
      </c>
    </row>
    <row r="453" spans="1:20" ht="15.75" hidden="1" customHeight="1" x14ac:dyDescent="0.3">
      <c r="A453" s="194" t="s">
        <v>59</v>
      </c>
      <c r="B453" s="176" t="s">
        <v>350</v>
      </c>
      <c r="C453" s="176" t="s">
        <v>142</v>
      </c>
      <c r="D453" s="176" t="s">
        <v>595</v>
      </c>
      <c r="E453" s="177">
        <v>2</v>
      </c>
      <c r="F453" s="176" t="s">
        <v>596</v>
      </c>
      <c r="G453" s="178"/>
      <c r="H453" s="176" t="s">
        <v>615</v>
      </c>
      <c r="I453" s="176" t="s">
        <v>570</v>
      </c>
      <c r="J453" s="176"/>
      <c r="K453" s="176" t="s">
        <v>593</v>
      </c>
      <c r="L453" s="176"/>
      <c r="M453" s="176"/>
      <c r="N453" s="179">
        <f t="shared" si="48"/>
        <v>279</v>
      </c>
      <c r="O453" s="179">
        <f t="shared" si="49"/>
        <v>431</v>
      </c>
      <c r="P453" s="180">
        <f t="shared" si="44"/>
        <v>710</v>
      </c>
      <c r="Q453" s="181">
        <f t="shared" si="45"/>
        <v>0.85542168674698793</v>
      </c>
      <c r="R453" s="122">
        <f t="shared" si="46"/>
        <v>142</v>
      </c>
      <c r="S453" s="122">
        <f t="shared" si="47"/>
        <v>0.68433734939759039</v>
      </c>
      <c r="T453" s="133">
        <v>0.65</v>
      </c>
    </row>
    <row r="454" spans="1:20" ht="15.75" hidden="1" customHeight="1" x14ac:dyDescent="0.3">
      <c r="A454" s="194" t="s">
        <v>59</v>
      </c>
      <c r="B454" s="176" t="s">
        <v>350</v>
      </c>
      <c r="C454" s="176" t="s">
        <v>80</v>
      </c>
      <c r="D454" s="176" t="s">
        <v>595</v>
      </c>
      <c r="E454" s="177">
        <v>1</v>
      </c>
      <c r="F454" s="176" t="s">
        <v>596</v>
      </c>
      <c r="G454" s="178"/>
      <c r="H454" s="176" t="s">
        <v>615</v>
      </c>
      <c r="I454" s="176" t="s">
        <v>570</v>
      </c>
      <c r="J454" s="176"/>
      <c r="K454" s="176" t="s">
        <v>593</v>
      </c>
      <c r="L454" s="176"/>
      <c r="M454" s="176"/>
      <c r="N454" s="179">
        <f t="shared" si="48"/>
        <v>279</v>
      </c>
      <c r="O454" s="179">
        <f t="shared" si="49"/>
        <v>431</v>
      </c>
      <c r="P454" s="180">
        <f t="shared" si="44"/>
        <v>710</v>
      </c>
      <c r="Q454" s="181">
        <f t="shared" si="45"/>
        <v>0.85542168674698793</v>
      </c>
      <c r="R454" s="122">
        <f t="shared" si="46"/>
        <v>142</v>
      </c>
      <c r="S454" s="122">
        <f t="shared" si="47"/>
        <v>0.68433734939759039</v>
      </c>
      <c r="T454" s="133">
        <v>0.65</v>
      </c>
    </row>
    <row r="455" spans="1:20" ht="15.75" hidden="1" customHeight="1" x14ac:dyDescent="0.3">
      <c r="A455" s="194" t="s">
        <v>59</v>
      </c>
      <c r="B455" s="176" t="s">
        <v>356</v>
      </c>
      <c r="C455" s="176" t="s">
        <v>73</v>
      </c>
      <c r="D455" s="176" t="s">
        <v>651</v>
      </c>
      <c r="E455" s="177">
        <v>8</v>
      </c>
      <c r="F455" s="176" t="s">
        <v>652</v>
      </c>
      <c r="G455" s="177">
        <v>16</v>
      </c>
      <c r="H455" s="176" t="s">
        <v>598</v>
      </c>
      <c r="I455" s="176" t="s">
        <v>104</v>
      </c>
      <c r="J455" s="176"/>
      <c r="K455" s="176" t="s">
        <v>593</v>
      </c>
      <c r="L455" s="176"/>
      <c r="M455" s="176"/>
      <c r="N455" s="179">
        <f t="shared" si="48"/>
        <v>188</v>
      </c>
      <c r="O455" s="179">
        <f t="shared" si="49"/>
        <v>294</v>
      </c>
      <c r="P455" s="180">
        <f t="shared" si="44"/>
        <v>482</v>
      </c>
      <c r="Q455" s="181">
        <f t="shared" si="45"/>
        <v>0.58072289156626511</v>
      </c>
      <c r="R455" s="122">
        <f t="shared" si="46"/>
        <v>96.4</v>
      </c>
      <c r="S455" s="122">
        <f t="shared" si="47"/>
        <v>0.46457831325301213</v>
      </c>
      <c r="T455" s="133">
        <v>0.5</v>
      </c>
    </row>
    <row r="456" spans="1:20" ht="15.75" hidden="1" customHeight="1" x14ac:dyDescent="0.3">
      <c r="A456" s="194" t="s">
        <v>59</v>
      </c>
      <c r="B456" s="176" t="s">
        <v>356</v>
      </c>
      <c r="C456" s="176" t="s">
        <v>73</v>
      </c>
      <c r="D456" s="176" t="s">
        <v>651</v>
      </c>
      <c r="E456" s="177">
        <v>8</v>
      </c>
      <c r="F456" s="176" t="s">
        <v>652</v>
      </c>
      <c r="G456" s="177">
        <v>16</v>
      </c>
      <c r="H456" s="176" t="s">
        <v>643</v>
      </c>
      <c r="I456" s="176" t="s">
        <v>579</v>
      </c>
      <c r="J456" s="176"/>
      <c r="K456" s="176" t="s">
        <v>593</v>
      </c>
      <c r="L456" s="176"/>
      <c r="M456" s="176"/>
      <c r="N456" s="179">
        <f t="shared" si="48"/>
        <v>297</v>
      </c>
      <c r="O456" s="179">
        <f t="shared" si="49"/>
        <v>310</v>
      </c>
      <c r="P456" s="180">
        <f t="shared" si="44"/>
        <v>607</v>
      </c>
      <c r="Q456" s="181">
        <f t="shared" si="45"/>
        <v>0.73132530120481931</v>
      </c>
      <c r="R456" s="122">
        <f t="shared" si="46"/>
        <v>121.4</v>
      </c>
      <c r="S456" s="122">
        <f t="shared" si="47"/>
        <v>0.58506024096385545</v>
      </c>
      <c r="T456" s="133">
        <v>0.6</v>
      </c>
    </row>
    <row r="457" spans="1:20" ht="15.75" hidden="1" customHeight="1" x14ac:dyDescent="0.3">
      <c r="A457" s="194" t="s">
        <v>59</v>
      </c>
      <c r="B457" s="176" t="s">
        <v>356</v>
      </c>
      <c r="C457" s="176" t="s">
        <v>123</v>
      </c>
      <c r="D457" s="176" t="s">
        <v>608</v>
      </c>
      <c r="E457" s="177">
        <v>24</v>
      </c>
      <c r="F457" s="176" t="s">
        <v>652</v>
      </c>
      <c r="G457" s="178"/>
      <c r="H457" s="176" t="s">
        <v>598</v>
      </c>
      <c r="I457" s="176" t="s">
        <v>104</v>
      </c>
      <c r="J457" s="176"/>
      <c r="K457" s="176" t="s">
        <v>593</v>
      </c>
      <c r="L457" s="176"/>
      <c r="M457" s="176"/>
      <c r="N457" s="179">
        <f t="shared" si="48"/>
        <v>188</v>
      </c>
      <c r="O457" s="179">
        <f t="shared" si="49"/>
        <v>294</v>
      </c>
      <c r="P457" s="180">
        <f t="shared" si="44"/>
        <v>482</v>
      </c>
      <c r="Q457" s="181">
        <f t="shared" si="45"/>
        <v>0.58072289156626511</v>
      </c>
      <c r="R457" s="122">
        <f t="shared" si="46"/>
        <v>96.4</v>
      </c>
      <c r="S457" s="122">
        <f t="shared" si="47"/>
        <v>0.46457831325301213</v>
      </c>
      <c r="T457" s="133">
        <v>0.5</v>
      </c>
    </row>
    <row r="458" spans="1:20" ht="15.75" hidden="1" customHeight="1" x14ac:dyDescent="0.3">
      <c r="A458" s="194" t="s">
        <v>59</v>
      </c>
      <c r="B458" s="176" t="s">
        <v>356</v>
      </c>
      <c r="C458" s="176" t="s">
        <v>123</v>
      </c>
      <c r="D458" s="176" t="s">
        <v>636</v>
      </c>
      <c r="E458" s="177">
        <v>14</v>
      </c>
      <c r="F458" s="176" t="s">
        <v>652</v>
      </c>
      <c r="G458" s="178"/>
      <c r="H458" s="176" t="s">
        <v>643</v>
      </c>
      <c r="I458" s="176" t="s">
        <v>579</v>
      </c>
      <c r="J458" s="176"/>
      <c r="K458" s="176" t="s">
        <v>593</v>
      </c>
      <c r="L458" s="176"/>
      <c r="M458" s="176"/>
      <c r="N458" s="179">
        <f t="shared" si="48"/>
        <v>297</v>
      </c>
      <c r="O458" s="179">
        <f t="shared" si="49"/>
        <v>310</v>
      </c>
      <c r="P458" s="180">
        <f t="shared" ref="P458:P521" si="50">N458+O458</f>
        <v>607</v>
      </c>
      <c r="Q458" s="181">
        <f t="shared" ref="Q458:Q521" si="51">P458/$Q$1</f>
        <v>0.73132530120481931</v>
      </c>
      <c r="R458" s="122">
        <f t="shared" ref="R458:R521" si="52">P458*0.2</f>
        <v>121.4</v>
      </c>
      <c r="S458" s="122">
        <f t="shared" ref="S458:S521" si="53">Q458*0.8</f>
        <v>0.58506024096385545</v>
      </c>
      <c r="T458" s="133">
        <v>0.6</v>
      </c>
    </row>
    <row r="459" spans="1:20" ht="15.75" hidden="1" customHeight="1" x14ac:dyDescent="0.3">
      <c r="A459" s="194" t="s">
        <v>59</v>
      </c>
      <c r="B459" s="176" t="s">
        <v>356</v>
      </c>
      <c r="C459" s="176" t="s">
        <v>79</v>
      </c>
      <c r="D459" s="176" t="s">
        <v>608</v>
      </c>
      <c r="E459" s="177">
        <v>22</v>
      </c>
      <c r="F459" s="176" t="s">
        <v>652</v>
      </c>
      <c r="G459" s="177">
        <v>44</v>
      </c>
      <c r="H459" s="176" t="s">
        <v>598</v>
      </c>
      <c r="I459" s="176" t="s">
        <v>104</v>
      </c>
      <c r="J459" s="176"/>
      <c r="K459" s="176" t="s">
        <v>593</v>
      </c>
      <c r="L459" s="176"/>
      <c r="M459" s="176"/>
      <c r="N459" s="179">
        <f t="shared" si="48"/>
        <v>188</v>
      </c>
      <c r="O459" s="179">
        <f t="shared" si="49"/>
        <v>294</v>
      </c>
      <c r="P459" s="180">
        <f t="shared" si="50"/>
        <v>482</v>
      </c>
      <c r="Q459" s="181">
        <f t="shared" si="51"/>
        <v>0.58072289156626511</v>
      </c>
      <c r="R459" s="122">
        <f t="shared" si="52"/>
        <v>96.4</v>
      </c>
      <c r="S459" s="122">
        <f t="shared" si="53"/>
        <v>0.46457831325301213</v>
      </c>
      <c r="T459" s="133">
        <v>0.5</v>
      </c>
    </row>
    <row r="460" spans="1:20" ht="15.75" hidden="1" customHeight="1" x14ac:dyDescent="0.3">
      <c r="A460" s="194" t="s">
        <v>59</v>
      </c>
      <c r="B460" s="176" t="s">
        <v>356</v>
      </c>
      <c r="C460" s="176" t="s">
        <v>79</v>
      </c>
      <c r="D460" s="176" t="s">
        <v>608</v>
      </c>
      <c r="E460" s="177">
        <v>22</v>
      </c>
      <c r="F460" s="176" t="s">
        <v>652</v>
      </c>
      <c r="G460" s="177">
        <v>44</v>
      </c>
      <c r="H460" s="176" t="s">
        <v>643</v>
      </c>
      <c r="I460" s="176" t="s">
        <v>579</v>
      </c>
      <c r="J460" s="176"/>
      <c r="K460" s="176" t="s">
        <v>593</v>
      </c>
      <c r="L460" s="176"/>
      <c r="M460" s="176"/>
      <c r="N460" s="179">
        <f t="shared" si="48"/>
        <v>297</v>
      </c>
      <c r="O460" s="179">
        <f t="shared" si="49"/>
        <v>310</v>
      </c>
      <c r="P460" s="180">
        <f t="shared" si="50"/>
        <v>607</v>
      </c>
      <c r="Q460" s="181">
        <f t="shared" si="51"/>
        <v>0.73132530120481931</v>
      </c>
      <c r="R460" s="122">
        <f t="shared" si="52"/>
        <v>121.4</v>
      </c>
      <c r="S460" s="122">
        <f t="shared" si="53"/>
        <v>0.58506024096385545</v>
      </c>
      <c r="T460" s="133">
        <v>0.6</v>
      </c>
    </row>
    <row r="461" spans="1:20" ht="15.75" hidden="1" customHeight="1" x14ac:dyDescent="0.3">
      <c r="A461" s="194" t="s">
        <v>59</v>
      </c>
      <c r="B461" s="176" t="s">
        <v>356</v>
      </c>
      <c r="C461" s="176" t="s">
        <v>79</v>
      </c>
      <c r="D461" s="176" t="s">
        <v>636</v>
      </c>
      <c r="E461" s="177">
        <v>22</v>
      </c>
      <c r="F461" s="176" t="s">
        <v>652</v>
      </c>
      <c r="G461" s="177">
        <v>44</v>
      </c>
      <c r="H461" s="176" t="s">
        <v>643</v>
      </c>
      <c r="I461" s="176" t="s">
        <v>579</v>
      </c>
      <c r="J461" s="176"/>
      <c r="K461" s="176" t="s">
        <v>593</v>
      </c>
      <c r="L461" s="176"/>
      <c r="M461" s="176"/>
      <c r="N461" s="179">
        <f t="shared" si="48"/>
        <v>297</v>
      </c>
      <c r="O461" s="179">
        <f t="shared" si="49"/>
        <v>310</v>
      </c>
      <c r="P461" s="180">
        <f t="shared" si="50"/>
        <v>607</v>
      </c>
      <c r="Q461" s="181">
        <f t="shared" si="51"/>
        <v>0.73132530120481931</v>
      </c>
      <c r="R461" s="122">
        <f t="shared" si="52"/>
        <v>121.4</v>
      </c>
      <c r="S461" s="122">
        <f t="shared" si="53"/>
        <v>0.58506024096385545</v>
      </c>
      <c r="T461" s="133">
        <v>0.6</v>
      </c>
    </row>
    <row r="462" spans="1:20" ht="15.75" hidden="1" customHeight="1" x14ac:dyDescent="0.3">
      <c r="A462" s="194" t="s">
        <v>59</v>
      </c>
      <c r="B462" s="176" t="s">
        <v>356</v>
      </c>
      <c r="C462" s="176" t="s">
        <v>79</v>
      </c>
      <c r="D462" s="176" t="s">
        <v>636</v>
      </c>
      <c r="E462" s="177">
        <v>22</v>
      </c>
      <c r="F462" s="176" t="s">
        <v>652</v>
      </c>
      <c r="G462" s="177">
        <v>44</v>
      </c>
      <c r="H462" s="176" t="s">
        <v>598</v>
      </c>
      <c r="I462" s="176" t="s">
        <v>104</v>
      </c>
      <c r="J462" s="176"/>
      <c r="K462" s="176" t="s">
        <v>593</v>
      </c>
      <c r="L462" s="176"/>
      <c r="M462" s="176"/>
      <c r="N462" s="179">
        <f t="shared" si="48"/>
        <v>188</v>
      </c>
      <c r="O462" s="179">
        <f t="shared" si="49"/>
        <v>294</v>
      </c>
      <c r="P462" s="180">
        <f t="shared" si="50"/>
        <v>482</v>
      </c>
      <c r="Q462" s="181">
        <f t="shared" si="51"/>
        <v>0.58072289156626511</v>
      </c>
      <c r="R462" s="122">
        <f t="shared" si="52"/>
        <v>96.4</v>
      </c>
      <c r="S462" s="122">
        <f t="shared" si="53"/>
        <v>0.46457831325301213</v>
      </c>
      <c r="T462" s="133">
        <v>0.5</v>
      </c>
    </row>
    <row r="463" spans="1:20" ht="15.75" hidden="1" customHeight="1" x14ac:dyDescent="0.3">
      <c r="A463" s="194" t="s">
        <v>59</v>
      </c>
      <c r="B463" s="176" t="s">
        <v>356</v>
      </c>
      <c r="C463" s="176" t="s">
        <v>111</v>
      </c>
      <c r="D463" s="176" t="s">
        <v>608</v>
      </c>
      <c r="E463" s="177">
        <v>2</v>
      </c>
      <c r="F463" s="176" t="s">
        <v>652</v>
      </c>
      <c r="G463" s="178"/>
      <c r="H463" s="176" t="s">
        <v>643</v>
      </c>
      <c r="I463" s="176" t="s">
        <v>579</v>
      </c>
      <c r="J463" s="176"/>
      <c r="K463" s="176" t="s">
        <v>593</v>
      </c>
      <c r="L463" s="176"/>
      <c r="M463" s="176"/>
      <c r="N463" s="179">
        <f t="shared" si="48"/>
        <v>297</v>
      </c>
      <c r="O463" s="179">
        <f t="shared" si="49"/>
        <v>310</v>
      </c>
      <c r="P463" s="180">
        <f t="shared" si="50"/>
        <v>607</v>
      </c>
      <c r="Q463" s="181">
        <f t="shared" si="51"/>
        <v>0.73132530120481931</v>
      </c>
      <c r="R463" s="122">
        <f t="shared" si="52"/>
        <v>121.4</v>
      </c>
      <c r="S463" s="122">
        <f t="shared" si="53"/>
        <v>0.58506024096385545</v>
      </c>
      <c r="T463" s="133">
        <v>0.6</v>
      </c>
    </row>
    <row r="464" spans="1:20" ht="15.75" hidden="1" customHeight="1" x14ac:dyDescent="0.3">
      <c r="A464" s="194" t="s">
        <v>59</v>
      </c>
      <c r="B464" s="176" t="s">
        <v>356</v>
      </c>
      <c r="C464" s="176" t="s">
        <v>111</v>
      </c>
      <c r="D464" s="176" t="s">
        <v>608</v>
      </c>
      <c r="E464" s="177">
        <v>2</v>
      </c>
      <c r="F464" s="176" t="s">
        <v>652</v>
      </c>
      <c r="G464" s="178"/>
      <c r="H464" s="176" t="s">
        <v>598</v>
      </c>
      <c r="I464" s="176" t="s">
        <v>104</v>
      </c>
      <c r="J464" s="176"/>
      <c r="K464" s="176" t="s">
        <v>593</v>
      </c>
      <c r="L464" s="176"/>
      <c r="M464" s="176"/>
      <c r="N464" s="179">
        <f t="shared" si="48"/>
        <v>188</v>
      </c>
      <c r="O464" s="179">
        <f t="shared" si="49"/>
        <v>294</v>
      </c>
      <c r="P464" s="180">
        <f t="shared" si="50"/>
        <v>482</v>
      </c>
      <c r="Q464" s="181">
        <f t="shared" si="51"/>
        <v>0.58072289156626511</v>
      </c>
      <c r="R464" s="122">
        <f t="shared" si="52"/>
        <v>96.4</v>
      </c>
      <c r="S464" s="122">
        <f t="shared" si="53"/>
        <v>0.46457831325301213</v>
      </c>
      <c r="T464" s="133">
        <v>0.5</v>
      </c>
    </row>
    <row r="465" spans="1:20" ht="15.75" customHeight="1" x14ac:dyDescent="0.3">
      <c r="A465" s="194" t="s">
        <v>59</v>
      </c>
      <c r="B465" s="176" t="s">
        <v>356</v>
      </c>
      <c r="C465" s="176" t="s">
        <v>111</v>
      </c>
      <c r="D465" s="176" t="s">
        <v>608</v>
      </c>
      <c r="E465" s="177">
        <v>2</v>
      </c>
      <c r="F465" s="176" t="s">
        <v>652</v>
      </c>
      <c r="G465" s="178"/>
      <c r="H465" s="176"/>
      <c r="I465" s="176" t="s">
        <v>500</v>
      </c>
      <c r="J465" s="176"/>
      <c r="K465" s="176" t="s">
        <v>593</v>
      </c>
      <c r="L465" s="176"/>
      <c r="M465" s="176"/>
      <c r="N465" s="179">
        <f t="shared" si="48"/>
        <v>14.5</v>
      </c>
      <c r="O465" s="179">
        <f t="shared" si="49"/>
        <v>78</v>
      </c>
      <c r="P465" s="180">
        <f t="shared" si="50"/>
        <v>92.5</v>
      </c>
      <c r="Q465" s="181">
        <f t="shared" si="51"/>
        <v>0.11144578313253012</v>
      </c>
      <c r="R465" s="122">
        <f t="shared" si="52"/>
        <v>18.5</v>
      </c>
      <c r="S465" s="122">
        <f t="shared" si="53"/>
        <v>8.91566265060241E-2</v>
      </c>
      <c r="T465" s="133">
        <v>0</v>
      </c>
    </row>
    <row r="466" spans="1:20" ht="15.75" hidden="1" customHeight="1" x14ac:dyDescent="0.3">
      <c r="A466" s="194" t="s">
        <v>59</v>
      </c>
      <c r="B466" s="176" t="s">
        <v>356</v>
      </c>
      <c r="C466" s="176" t="s">
        <v>111</v>
      </c>
      <c r="D466" s="176" t="s">
        <v>636</v>
      </c>
      <c r="E466" s="177">
        <v>2</v>
      </c>
      <c r="F466" s="176" t="s">
        <v>652</v>
      </c>
      <c r="G466" s="178"/>
      <c r="H466" s="176" t="s">
        <v>643</v>
      </c>
      <c r="I466" s="176" t="s">
        <v>579</v>
      </c>
      <c r="J466" s="176"/>
      <c r="K466" s="176" t="s">
        <v>593</v>
      </c>
      <c r="L466" s="176"/>
      <c r="M466" s="176"/>
      <c r="N466" s="179">
        <f t="shared" si="48"/>
        <v>297</v>
      </c>
      <c r="O466" s="179">
        <f t="shared" si="49"/>
        <v>310</v>
      </c>
      <c r="P466" s="180">
        <f t="shared" si="50"/>
        <v>607</v>
      </c>
      <c r="Q466" s="181">
        <f t="shared" si="51"/>
        <v>0.73132530120481931</v>
      </c>
      <c r="R466" s="122">
        <f t="shared" si="52"/>
        <v>121.4</v>
      </c>
      <c r="S466" s="122">
        <f t="shared" si="53"/>
        <v>0.58506024096385545</v>
      </c>
      <c r="T466" s="133">
        <v>0.6</v>
      </c>
    </row>
    <row r="467" spans="1:20" ht="15.75" hidden="1" customHeight="1" x14ac:dyDescent="0.3">
      <c r="A467" s="194" t="s">
        <v>59</v>
      </c>
      <c r="B467" s="176" t="s">
        <v>356</v>
      </c>
      <c r="C467" s="176" t="s">
        <v>111</v>
      </c>
      <c r="D467" s="176" t="s">
        <v>636</v>
      </c>
      <c r="E467" s="177">
        <v>2</v>
      </c>
      <c r="F467" s="176" t="s">
        <v>652</v>
      </c>
      <c r="G467" s="178"/>
      <c r="H467" s="176" t="s">
        <v>598</v>
      </c>
      <c r="I467" s="176" t="s">
        <v>104</v>
      </c>
      <c r="J467" s="176"/>
      <c r="K467" s="176" t="s">
        <v>593</v>
      </c>
      <c r="L467" s="176"/>
      <c r="M467" s="176"/>
      <c r="N467" s="179">
        <f t="shared" si="48"/>
        <v>188</v>
      </c>
      <c r="O467" s="179">
        <f t="shared" si="49"/>
        <v>294</v>
      </c>
      <c r="P467" s="180">
        <f t="shared" si="50"/>
        <v>482</v>
      </c>
      <c r="Q467" s="181">
        <f t="shared" si="51"/>
        <v>0.58072289156626511</v>
      </c>
      <c r="R467" s="122">
        <f t="shared" si="52"/>
        <v>96.4</v>
      </c>
      <c r="S467" s="122">
        <f t="shared" si="53"/>
        <v>0.46457831325301213</v>
      </c>
      <c r="T467" s="133">
        <v>0.5</v>
      </c>
    </row>
    <row r="468" spans="1:20" ht="15.75" hidden="1" customHeight="1" x14ac:dyDescent="0.3">
      <c r="A468" s="194" t="s">
        <v>59</v>
      </c>
      <c r="B468" s="176" t="s">
        <v>356</v>
      </c>
      <c r="C468" s="176" t="s">
        <v>80</v>
      </c>
      <c r="D468" s="176" t="s">
        <v>608</v>
      </c>
      <c r="E468" s="177">
        <v>1</v>
      </c>
      <c r="F468" s="176" t="s">
        <v>652</v>
      </c>
      <c r="G468" s="178"/>
      <c r="H468" s="176" t="s">
        <v>643</v>
      </c>
      <c r="I468" s="176" t="s">
        <v>579</v>
      </c>
      <c r="J468" s="176"/>
      <c r="K468" s="176" t="s">
        <v>593</v>
      </c>
      <c r="L468" s="176"/>
      <c r="M468" s="176"/>
      <c r="N468" s="179">
        <f t="shared" si="48"/>
        <v>297</v>
      </c>
      <c r="O468" s="179">
        <f t="shared" si="49"/>
        <v>310</v>
      </c>
      <c r="P468" s="180">
        <f t="shared" si="50"/>
        <v>607</v>
      </c>
      <c r="Q468" s="181">
        <f t="shared" si="51"/>
        <v>0.73132530120481931</v>
      </c>
      <c r="R468" s="122">
        <f t="shared" si="52"/>
        <v>121.4</v>
      </c>
      <c r="S468" s="122">
        <f t="shared" si="53"/>
        <v>0.58506024096385545</v>
      </c>
      <c r="T468" s="133">
        <v>0.6</v>
      </c>
    </row>
    <row r="469" spans="1:20" ht="15.75" hidden="1" customHeight="1" x14ac:dyDescent="0.3">
      <c r="A469" s="194" t="s">
        <v>59</v>
      </c>
      <c r="B469" s="176" t="s">
        <v>356</v>
      </c>
      <c r="C469" s="176" t="s">
        <v>80</v>
      </c>
      <c r="D469" s="176" t="s">
        <v>608</v>
      </c>
      <c r="E469" s="177">
        <v>1</v>
      </c>
      <c r="F469" s="176" t="s">
        <v>652</v>
      </c>
      <c r="G469" s="178"/>
      <c r="H469" s="176" t="s">
        <v>598</v>
      </c>
      <c r="I469" s="176" t="s">
        <v>104</v>
      </c>
      <c r="J469" s="176"/>
      <c r="K469" s="176" t="s">
        <v>593</v>
      </c>
      <c r="L469" s="176"/>
      <c r="M469" s="176"/>
      <c r="N469" s="179">
        <f t="shared" si="48"/>
        <v>188</v>
      </c>
      <c r="O469" s="179">
        <f t="shared" si="49"/>
        <v>294</v>
      </c>
      <c r="P469" s="180">
        <f t="shared" si="50"/>
        <v>482</v>
      </c>
      <c r="Q469" s="181">
        <f t="shared" si="51"/>
        <v>0.58072289156626511</v>
      </c>
      <c r="R469" s="122">
        <f t="shared" si="52"/>
        <v>96.4</v>
      </c>
      <c r="S469" s="122">
        <f t="shared" si="53"/>
        <v>0.46457831325301213</v>
      </c>
      <c r="T469" s="133">
        <v>0.5</v>
      </c>
    </row>
    <row r="470" spans="1:20" ht="15.75" hidden="1" customHeight="1" x14ac:dyDescent="0.3">
      <c r="A470" s="194" t="s">
        <v>59</v>
      </c>
      <c r="B470" s="176" t="s">
        <v>356</v>
      </c>
      <c r="C470" s="176" t="s">
        <v>80</v>
      </c>
      <c r="D470" s="176" t="s">
        <v>636</v>
      </c>
      <c r="E470" s="177">
        <v>1</v>
      </c>
      <c r="F470" s="176" t="s">
        <v>652</v>
      </c>
      <c r="G470" s="178"/>
      <c r="H470" s="176" t="s">
        <v>643</v>
      </c>
      <c r="I470" s="176" t="s">
        <v>579</v>
      </c>
      <c r="J470" s="176"/>
      <c r="K470" s="176" t="s">
        <v>593</v>
      </c>
      <c r="L470" s="176"/>
      <c r="M470" s="176"/>
      <c r="N470" s="179">
        <f t="shared" si="48"/>
        <v>297</v>
      </c>
      <c r="O470" s="179">
        <f t="shared" si="49"/>
        <v>310</v>
      </c>
      <c r="P470" s="180">
        <f t="shared" si="50"/>
        <v>607</v>
      </c>
      <c r="Q470" s="181">
        <f t="shared" si="51"/>
        <v>0.73132530120481931</v>
      </c>
      <c r="R470" s="122">
        <f t="shared" si="52"/>
        <v>121.4</v>
      </c>
      <c r="S470" s="122">
        <f t="shared" si="53"/>
        <v>0.58506024096385545</v>
      </c>
      <c r="T470" s="133">
        <v>0.6</v>
      </c>
    </row>
    <row r="471" spans="1:20" ht="15.75" hidden="1" customHeight="1" x14ac:dyDescent="0.3">
      <c r="A471" s="194" t="s">
        <v>59</v>
      </c>
      <c r="B471" s="176" t="s">
        <v>356</v>
      </c>
      <c r="C471" s="176" t="s">
        <v>80</v>
      </c>
      <c r="D471" s="176" t="s">
        <v>636</v>
      </c>
      <c r="E471" s="177">
        <v>1</v>
      </c>
      <c r="F471" s="176" t="s">
        <v>652</v>
      </c>
      <c r="G471" s="178"/>
      <c r="H471" s="176" t="s">
        <v>598</v>
      </c>
      <c r="I471" s="176" t="s">
        <v>104</v>
      </c>
      <c r="J471" s="176"/>
      <c r="K471" s="176" t="s">
        <v>593</v>
      </c>
      <c r="L471" s="176"/>
      <c r="M471" s="176"/>
      <c r="N471" s="179">
        <f t="shared" si="48"/>
        <v>188</v>
      </c>
      <c r="O471" s="179">
        <f t="shared" si="49"/>
        <v>294</v>
      </c>
      <c r="P471" s="180">
        <f t="shared" si="50"/>
        <v>482</v>
      </c>
      <c r="Q471" s="181">
        <f t="shared" si="51"/>
        <v>0.58072289156626511</v>
      </c>
      <c r="R471" s="122">
        <f t="shared" si="52"/>
        <v>96.4</v>
      </c>
      <c r="S471" s="122">
        <f t="shared" si="53"/>
        <v>0.46457831325301213</v>
      </c>
      <c r="T471" s="133">
        <v>0.5</v>
      </c>
    </row>
    <row r="472" spans="1:20" ht="15.75" hidden="1" customHeight="1" x14ac:dyDescent="0.3">
      <c r="A472" s="194" t="s">
        <v>59</v>
      </c>
      <c r="B472" s="176" t="s">
        <v>360</v>
      </c>
      <c r="C472" s="176" t="s">
        <v>73</v>
      </c>
      <c r="D472" s="176" t="s">
        <v>624</v>
      </c>
      <c r="E472" s="177">
        <v>16</v>
      </c>
      <c r="F472" s="176" t="s">
        <v>127</v>
      </c>
      <c r="G472" s="177">
        <v>16</v>
      </c>
      <c r="H472" s="176" t="s">
        <v>609</v>
      </c>
      <c r="I472" s="176" t="s">
        <v>582</v>
      </c>
      <c r="J472" s="176"/>
      <c r="K472" s="176" t="s">
        <v>593</v>
      </c>
      <c r="L472" s="176"/>
      <c r="M472" s="176"/>
      <c r="N472" s="179">
        <f t="shared" si="48"/>
        <v>298</v>
      </c>
      <c r="O472" s="179">
        <f t="shared" si="49"/>
        <v>310</v>
      </c>
      <c r="P472" s="180">
        <f t="shared" si="50"/>
        <v>608</v>
      </c>
      <c r="Q472" s="181">
        <f t="shared" si="51"/>
        <v>0.73253012048192767</v>
      </c>
      <c r="R472" s="122">
        <f t="shared" si="52"/>
        <v>121.60000000000001</v>
      </c>
      <c r="S472" s="122">
        <f t="shared" si="53"/>
        <v>0.5860240963855422</v>
      </c>
      <c r="T472" s="133">
        <v>0.7</v>
      </c>
    </row>
    <row r="473" spans="1:20" ht="15.75" hidden="1" customHeight="1" x14ac:dyDescent="0.3">
      <c r="A473" s="194" t="s">
        <v>59</v>
      </c>
      <c r="B473" s="176" t="s">
        <v>360</v>
      </c>
      <c r="C473" s="176" t="s">
        <v>79</v>
      </c>
      <c r="D473" s="176" t="s">
        <v>624</v>
      </c>
      <c r="E473" s="177">
        <v>16</v>
      </c>
      <c r="F473" s="176" t="s">
        <v>127</v>
      </c>
      <c r="G473" s="177">
        <v>16</v>
      </c>
      <c r="H473" s="176" t="s">
        <v>609</v>
      </c>
      <c r="I473" s="176" t="s">
        <v>582</v>
      </c>
      <c r="J473" s="176"/>
      <c r="K473" s="176" t="s">
        <v>593</v>
      </c>
      <c r="L473" s="176"/>
      <c r="M473" s="176"/>
      <c r="N473" s="179">
        <f t="shared" si="48"/>
        <v>298</v>
      </c>
      <c r="O473" s="179">
        <f t="shared" si="49"/>
        <v>310</v>
      </c>
      <c r="P473" s="180">
        <f t="shared" si="50"/>
        <v>608</v>
      </c>
      <c r="Q473" s="181">
        <f t="shared" si="51"/>
        <v>0.73253012048192767</v>
      </c>
      <c r="R473" s="122">
        <f t="shared" si="52"/>
        <v>121.60000000000001</v>
      </c>
      <c r="S473" s="122">
        <f t="shared" si="53"/>
        <v>0.5860240963855422</v>
      </c>
      <c r="T473" s="133">
        <v>0.7</v>
      </c>
    </row>
    <row r="474" spans="1:20" ht="15.75" hidden="1" customHeight="1" x14ac:dyDescent="0.3">
      <c r="A474" s="194" t="s">
        <v>59</v>
      </c>
      <c r="B474" s="176" t="s">
        <v>360</v>
      </c>
      <c r="C474" s="176" t="s">
        <v>142</v>
      </c>
      <c r="D474" s="176" t="s">
        <v>624</v>
      </c>
      <c r="E474" s="177">
        <v>1</v>
      </c>
      <c r="F474" s="176" t="s">
        <v>127</v>
      </c>
      <c r="G474" s="178"/>
      <c r="H474" s="176" t="s">
        <v>609</v>
      </c>
      <c r="I474" s="176" t="s">
        <v>582</v>
      </c>
      <c r="J474" s="176"/>
      <c r="K474" s="176" t="s">
        <v>593</v>
      </c>
      <c r="L474" s="176"/>
      <c r="M474" s="176"/>
      <c r="N474" s="179">
        <f t="shared" si="48"/>
        <v>298</v>
      </c>
      <c r="O474" s="179">
        <f t="shared" si="49"/>
        <v>310</v>
      </c>
      <c r="P474" s="180">
        <f t="shared" si="50"/>
        <v>608</v>
      </c>
      <c r="Q474" s="181">
        <f t="shared" si="51"/>
        <v>0.73253012048192767</v>
      </c>
      <c r="R474" s="122">
        <f t="shared" si="52"/>
        <v>121.60000000000001</v>
      </c>
      <c r="S474" s="122">
        <f t="shared" si="53"/>
        <v>0.5860240963855422</v>
      </c>
      <c r="T474" s="133">
        <v>0.7</v>
      </c>
    </row>
    <row r="475" spans="1:20" ht="15.75" customHeight="1" x14ac:dyDescent="0.3">
      <c r="A475" s="194" t="s">
        <v>59</v>
      </c>
      <c r="B475" s="176" t="s">
        <v>360</v>
      </c>
      <c r="C475" s="176" t="s">
        <v>142</v>
      </c>
      <c r="D475" s="176" t="s">
        <v>624</v>
      </c>
      <c r="E475" s="177">
        <v>1</v>
      </c>
      <c r="F475" s="176" t="s">
        <v>127</v>
      </c>
      <c r="G475" s="178"/>
      <c r="H475" s="176"/>
      <c r="I475" s="176" t="s">
        <v>500</v>
      </c>
      <c r="J475" s="176"/>
      <c r="K475" s="176" t="s">
        <v>593</v>
      </c>
      <c r="L475" s="176"/>
      <c r="M475" s="176"/>
      <c r="N475" s="179">
        <f t="shared" si="48"/>
        <v>14.5</v>
      </c>
      <c r="O475" s="179">
        <f t="shared" si="49"/>
        <v>78</v>
      </c>
      <c r="P475" s="180">
        <f t="shared" si="50"/>
        <v>92.5</v>
      </c>
      <c r="Q475" s="181">
        <f t="shared" si="51"/>
        <v>0.11144578313253012</v>
      </c>
      <c r="R475" s="122">
        <f t="shared" si="52"/>
        <v>18.5</v>
      </c>
      <c r="S475" s="122">
        <f t="shared" si="53"/>
        <v>8.91566265060241E-2</v>
      </c>
      <c r="T475" s="133">
        <v>0</v>
      </c>
    </row>
    <row r="476" spans="1:20" ht="15.75" hidden="1" customHeight="1" x14ac:dyDescent="0.3">
      <c r="A476" s="194" t="s">
        <v>59</v>
      </c>
      <c r="B476" s="176" t="s">
        <v>360</v>
      </c>
      <c r="C476" s="176" t="s">
        <v>80</v>
      </c>
      <c r="D476" s="176" t="s">
        <v>624</v>
      </c>
      <c r="E476" s="177">
        <v>1</v>
      </c>
      <c r="F476" s="176" t="s">
        <v>127</v>
      </c>
      <c r="G476" s="178"/>
      <c r="H476" s="176" t="s">
        <v>609</v>
      </c>
      <c r="I476" s="176" t="s">
        <v>582</v>
      </c>
      <c r="J476" s="176"/>
      <c r="K476" s="176" t="s">
        <v>593</v>
      </c>
      <c r="L476" s="176"/>
      <c r="M476" s="176"/>
      <c r="N476" s="179">
        <f t="shared" si="48"/>
        <v>298</v>
      </c>
      <c r="O476" s="179">
        <f t="shared" si="49"/>
        <v>310</v>
      </c>
      <c r="P476" s="180">
        <f t="shared" si="50"/>
        <v>608</v>
      </c>
      <c r="Q476" s="181">
        <f t="shared" si="51"/>
        <v>0.73253012048192767</v>
      </c>
      <c r="R476" s="122">
        <f t="shared" si="52"/>
        <v>121.60000000000001</v>
      </c>
      <c r="S476" s="122">
        <f t="shared" si="53"/>
        <v>0.5860240963855422</v>
      </c>
      <c r="T476" s="133">
        <v>0.7</v>
      </c>
    </row>
    <row r="477" spans="1:20" ht="15.75" hidden="1" customHeight="1" x14ac:dyDescent="0.3">
      <c r="A477" s="194" t="s">
        <v>59</v>
      </c>
      <c r="B477" s="176" t="s">
        <v>361</v>
      </c>
      <c r="C477" s="176" t="s">
        <v>73</v>
      </c>
      <c r="D477" s="176" t="s">
        <v>625</v>
      </c>
      <c r="E477" s="177">
        <v>16</v>
      </c>
      <c r="F477" s="176" t="s">
        <v>626</v>
      </c>
      <c r="G477" s="177">
        <v>16</v>
      </c>
      <c r="H477" s="176" t="s">
        <v>606</v>
      </c>
      <c r="I477" s="176" t="s">
        <v>510</v>
      </c>
      <c r="J477" s="176"/>
      <c r="K477" s="176" t="s">
        <v>593</v>
      </c>
      <c r="L477" s="176"/>
      <c r="M477" s="176"/>
      <c r="N477" s="179">
        <f t="shared" si="48"/>
        <v>337</v>
      </c>
      <c r="O477" s="179">
        <f t="shared" si="49"/>
        <v>205</v>
      </c>
      <c r="P477" s="180">
        <f t="shared" si="50"/>
        <v>542</v>
      </c>
      <c r="Q477" s="181">
        <f t="shared" si="51"/>
        <v>0.65301204819277103</v>
      </c>
      <c r="R477" s="122">
        <f t="shared" si="52"/>
        <v>108.4</v>
      </c>
      <c r="S477" s="122">
        <f t="shared" si="53"/>
        <v>0.52240963855421685</v>
      </c>
      <c r="T477" s="133">
        <v>0.65</v>
      </c>
    </row>
    <row r="478" spans="1:20" ht="15.75" hidden="1" customHeight="1" x14ac:dyDescent="0.3">
      <c r="A478" s="194" t="s">
        <v>59</v>
      </c>
      <c r="B478" s="176" t="s">
        <v>361</v>
      </c>
      <c r="C478" s="176" t="s">
        <v>79</v>
      </c>
      <c r="D478" s="176" t="s">
        <v>625</v>
      </c>
      <c r="E478" s="177">
        <v>16</v>
      </c>
      <c r="F478" s="176" t="s">
        <v>626</v>
      </c>
      <c r="G478" s="177">
        <v>16</v>
      </c>
      <c r="H478" s="176" t="s">
        <v>606</v>
      </c>
      <c r="I478" s="176" t="s">
        <v>510</v>
      </c>
      <c r="J478" s="176"/>
      <c r="K478" s="176" t="s">
        <v>593</v>
      </c>
      <c r="L478" s="176"/>
      <c r="M478" s="176"/>
      <c r="N478" s="179">
        <f t="shared" si="48"/>
        <v>337</v>
      </c>
      <c r="O478" s="179">
        <f t="shared" si="49"/>
        <v>205</v>
      </c>
      <c r="P478" s="180">
        <f t="shared" si="50"/>
        <v>542</v>
      </c>
      <c r="Q478" s="181">
        <f t="shared" si="51"/>
        <v>0.65301204819277103</v>
      </c>
      <c r="R478" s="122">
        <f t="shared" si="52"/>
        <v>108.4</v>
      </c>
      <c r="S478" s="122">
        <f t="shared" si="53"/>
        <v>0.52240963855421685</v>
      </c>
      <c r="T478" s="133">
        <v>0.65</v>
      </c>
    </row>
    <row r="479" spans="1:20" ht="15.75" hidden="1" customHeight="1" x14ac:dyDescent="0.3">
      <c r="A479" s="194" t="s">
        <v>59</v>
      </c>
      <c r="B479" s="176" t="s">
        <v>361</v>
      </c>
      <c r="C479" s="176" t="s">
        <v>142</v>
      </c>
      <c r="D479" s="176" t="s">
        <v>625</v>
      </c>
      <c r="E479" s="177">
        <v>3</v>
      </c>
      <c r="F479" s="176" t="s">
        <v>626</v>
      </c>
      <c r="G479" s="178"/>
      <c r="H479" s="176" t="s">
        <v>606</v>
      </c>
      <c r="I479" s="176" t="s">
        <v>510</v>
      </c>
      <c r="J479" s="176"/>
      <c r="K479" s="176" t="s">
        <v>593</v>
      </c>
      <c r="L479" s="176"/>
      <c r="M479" s="176"/>
      <c r="N479" s="179">
        <f t="shared" si="48"/>
        <v>337</v>
      </c>
      <c r="O479" s="179">
        <f t="shared" si="49"/>
        <v>205</v>
      </c>
      <c r="P479" s="180">
        <f t="shared" si="50"/>
        <v>542</v>
      </c>
      <c r="Q479" s="181">
        <f t="shared" si="51"/>
        <v>0.65301204819277103</v>
      </c>
      <c r="R479" s="122">
        <f t="shared" si="52"/>
        <v>108.4</v>
      </c>
      <c r="S479" s="122">
        <f t="shared" si="53"/>
        <v>0.52240963855421685</v>
      </c>
      <c r="T479" s="133">
        <v>0.65</v>
      </c>
    </row>
    <row r="480" spans="1:20" ht="15.75" hidden="1" customHeight="1" x14ac:dyDescent="0.3">
      <c r="A480" s="194" t="s">
        <v>59</v>
      </c>
      <c r="B480" s="188" t="s">
        <v>361</v>
      </c>
      <c r="C480" s="188" t="s">
        <v>142</v>
      </c>
      <c r="D480" s="188" t="s">
        <v>625</v>
      </c>
      <c r="E480" s="189">
        <v>1</v>
      </c>
      <c r="F480" s="188" t="s">
        <v>626</v>
      </c>
      <c r="G480" s="190"/>
      <c r="H480" s="188"/>
      <c r="I480" s="188" t="s">
        <v>510</v>
      </c>
      <c r="J480" s="176"/>
      <c r="K480" s="176" t="s">
        <v>593</v>
      </c>
      <c r="L480" s="176"/>
      <c r="M480" s="176"/>
      <c r="N480" s="179">
        <f t="shared" si="48"/>
        <v>337</v>
      </c>
      <c r="O480" s="179">
        <f t="shared" si="49"/>
        <v>205</v>
      </c>
      <c r="P480" s="180">
        <f t="shared" si="50"/>
        <v>542</v>
      </c>
      <c r="Q480" s="181">
        <f t="shared" si="51"/>
        <v>0.65301204819277103</v>
      </c>
      <c r="R480" s="122">
        <f t="shared" si="52"/>
        <v>108.4</v>
      </c>
      <c r="S480" s="122">
        <f t="shared" si="53"/>
        <v>0.52240963855421685</v>
      </c>
      <c r="T480" s="133">
        <v>0.65</v>
      </c>
    </row>
    <row r="481" spans="1:20" ht="15.75" hidden="1" customHeight="1" x14ac:dyDescent="0.3">
      <c r="A481" s="194" t="s">
        <v>59</v>
      </c>
      <c r="B481" s="176" t="s">
        <v>361</v>
      </c>
      <c r="C481" s="176" t="s">
        <v>80</v>
      </c>
      <c r="D481" s="176" t="s">
        <v>625</v>
      </c>
      <c r="E481" s="177">
        <v>1</v>
      </c>
      <c r="F481" s="176" t="s">
        <v>626</v>
      </c>
      <c r="G481" s="178"/>
      <c r="H481" s="176" t="s">
        <v>606</v>
      </c>
      <c r="I481" s="176" t="s">
        <v>510</v>
      </c>
      <c r="J481" s="176"/>
      <c r="K481" s="176" t="s">
        <v>593</v>
      </c>
      <c r="L481" s="176"/>
      <c r="M481" s="176"/>
      <c r="N481" s="179">
        <f t="shared" si="48"/>
        <v>337</v>
      </c>
      <c r="O481" s="179">
        <f t="shared" si="49"/>
        <v>205</v>
      </c>
      <c r="P481" s="180">
        <f t="shared" si="50"/>
        <v>542</v>
      </c>
      <c r="Q481" s="181">
        <f t="shared" si="51"/>
        <v>0.65301204819277103</v>
      </c>
      <c r="R481" s="122">
        <f t="shared" si="52"/>
        <v>108.4</v>
      </c>
      <c r="S481" s="122">
        <f t="shared" si="53"/>
        <v>0.52240963855421685</v>
      </c>
      <c r="T481" s="133">
        <v>0.65</v>
      </c>
    </row>
    <row r="482" spans="1:20" ht="15.75" hidden="1" customHeight="1" x14ac:dyDescent="0.3">
      <c r="A482" s="194" t="s">
        <v>59</v>
      </c>
      <c r="B482" s="176" t="s">
        <v>365</v>
      </c>
      <c r="C482" s="176" t="s">
        <v>73</v>
      </c>
      <c r="D482" s="176" t="s">
        <v>602</v>
      </c>
      <c r="E482" s="177">
        <v>32</v>
      </c>
      <c r="F482" s="176" t="s">
        <v>603</v>
      </c>
      <c r="G482" s="177">
        <v>32</v>
      </c>
      <c r="H482" s="176" t="s">
        <v>643</v>
      </c>
      <c r="I482" s="176" t="s">
        <v>579</v>
      </c>
      <c r="J482" s="176"/>
      <c r="K482" s="176" t="s">
        <v>593</v>
      </c>
      <c r="L482" s="176"/>
      <c r="M482" s="176"/>
      <c r="N482" s="179">
        <f t="shared" si="48"/>
        <v>297</v>
      </c>
      <c r="O482" s="179">
        <f t="shared" si="49"/>
        <v>310</v>
      </c>
      <c r="P482" s="180">
        <f t="shared" si="50"/>
        <v>607</v>
      </c>
      <c r="Q482" s="181">
        <f t="shared" si="51"/>
        <v>0.73132530120481931</v>
      </c>
      <c r="R482" s="122">
        <f t="shared" si="52"/>
        <v>121.4</v>
      </c>
      <c r="S482" s="122">
        <f t="shared" si="53"/>
        <v>0.58506024096385545</v>
      </c>
      <c r="T482" s="133">
        <v>0.6</v>
      </c>
    </row>
    <row r="483" spans="1:20" ht="15.75" hidden="1" customHeight="1" x14ac:dyDescent="0.3">
      <c r="A483" s="194" t="s">
        <v>59</v>
      </c>
      <c r="B483" s="176" t="s">
        <v>365</v>
      </c>
      <c r="C483" s="176" t="s">
        <v>79</v>
      </c>
      <c r="D483" s="176" t="s">
        <v>602</v>
      </c>
      <c r="E483" s="177">
        <v>20</v>
      </c>
      <c r="F483" s="176" t="s">
        <v>603</v>
      </c>
      <c r="G483" s="177">
        <v>20</v>
      </c>
      <c r="H483" s="176" t="s">
        <v>643</v>
      </c>
      <c r="I483" s="176" t="s">
        <v>579</v>
      </c>
      <c r="J483" s="176"/>
      <c r="K483" s="176" t="s">
        <v>593</v>
      </c>
      <c r="L483" s="176"/>
      <c r="M483" s="176"/>
      <c r="N483" s="179">
        <f t="shared" si="48"/>
        <v>297</v>
      </c>
      <c r="O483" s="179">
        <f t="shared" si="49"/>
        <v>310</v>
      </c>
      <c r="P483" s="180">
        <f t="shared" si="50"/>
        <v>607</v>
      </c>
      <c r="Q483" s="181">
        <f t="shared" si="51"/>
        <v>0.73132530120481931</v>
      </c>
      <c r="R483" s="122">
        <f t="shared" si="52"/>
        <v>121.4</v>
      </c>
      <c r="S483" s="122">
        <f t="shared" si="53"/>
        <v>0.58506024096385545</v>
      </c>
      <c r="T483" s="133">
        <v>0.6</v>
      </c>
    </row>
    <row r="484" spans="1:20" ht="15.75" hidden="1" customHeight="1" x14ac:dyDescent="0.3">
      <c r="A484" s="194" t="s">
        <v>59</v>
      </c>
      <c r="B484" s="176" t="s">
        <v>365</v>
      </c>
      <c r="C484" s="176" t="s">
        <v>100</v>
      </c>
      <c r="D484" s="176" t="s">
        <v>602</v>
      </c>
      <c r="E484" s="177">
        <v>16</v>
      </c>
      <c r="F484" s="176" t="s">
        <v>603</v>
      </c>
      <c r="G484" s="177">
        <v>16</v>
      </c>
      <c r="H484" s="176" t="s">
        <v>643</v>
      </c>
      <c r="I484" s="176" t="s">
        <v>579</v>
      </c>
      <c r="J484" s="176"/>
      <c r="K484" s="176" t="s">
        <v>593</v>
      </c>
      <c r="L484" s="176"/>
      <c r="M484" s="176"/>
      <c r="N484" s="179">
        <f t="shared" ref="N484:N547" si="54">SUMIFS($E$2:$E$896,$A$2:$A$896,"осень",$I$2:$I$896,I484)</f>
        <v>297</v>
      </c>
      <c r="O484" s="179">
        <f t="shared" ref="O484:O547" si="55">SUMIFS($E$2:$E$896,$A$2:$A$896,"весна",$I$2:$I$896,I484)</f>
        <v>310</v>
      </c>
      <c r="P484" s="180">
        <f t="shared" si="50"/>
        <v>607</v>
      </c>
      <c r="Q484" s="181">
        <f t="shared" si="51"/>
        <v>0.73132530120481931</v>
      </c>
      <c r="R484" s="122">
        <f t="shared" si="52"/>
        <v>121.4</v>
      </c>
      <c r="S484" s="122">
        <f t="shared" si="53"/>
        <v>0.58506024096385545</v>
      </c>
      <c r="T484" s="133">
        <v>0.6</v>
      </c>
    </row>
    <row r="485" spans="1:20" ht="15.75" hidden="1" customHeight="1" x14ac:dyDescent="0.3">
      <c r="A485" s="194" t="s">
        <v>59</v>
      </c>
      <c r="B485" s="176" t="s">
        <v>365</v>
      </c>
      <c r="C485" s="176" t="s">
        <v>111</v>
      </c>
      <c r="D485" s="176" t="s">
        <v>602</v>
      </c>
      <c r="E485" s="177">
        <v>3</v>
      </c>
      <c r="F485" s="176" t="s">
        <v>603</v>
      </c>
      <c r="G485" s="178"/>
      <c r="H485" s="176" t="s">
        <v>643</v>
      </c>
      <c r="I485" s="176" t="s">
        <v>579</v>
      </c>
      <c r="J485" s="176"/>
      <c r="K485" s="176" t="s">
        <v>593</v>
      </c>
      <c r="L485" s="176"/>
      <c r="M485" s="176"/>
      <c r="N485" s="179">
        <f t="shared" si="54"/>
        <v>297</v>
      </c>
      <c r="O485" s="179">
        <f t="shared" si="55"/>
        <v>310</v>
      </c>
      <c r="P485" s="180">
        <f t="shared" si="50"/>
        <v>607</v>
      </c>
      <c r="Q485" s="181">
        <f t="shared" si="51"/>
        <v>0.73132530120481931</v>
      </c>
      <c r="R485" s="122">
        <f t="shared" si="52"/>
        <v>121.4</v>
      </c>
      <c r="S485" s="122">
        <f t="shared" si="53"/>
        <v>0.58506024096385545</v>
      </c>
      <c r="T485" s="133">
        <v>0.6</v>
      </c>
    </row>
    <row r="486" spans="1:20" ht="15.75" customHeight="1" x14ac:dyDescent="0.3">
      <c r="A486" s="194" t="s">
        <v>59</v>
      </c>
      <c r="B486" s="176" t="s">
        <v>365</v>
      </c>
      <c r="C486" s="176" t="s">
        <v>111</v>
      </c>
      <c r="D486" s="176" t="s">
        <v>602</v>
      </c>
      <c r="E486" s="177">
        <v>2</v>
      </c>
      <c r="F486" s="176" t="s">
        <v>603</v>
      </c>
      <c r="G486" s="178"/>
      <c r="H486" s="176"/>
      <c r="I486" s="176" t="s">
        <v>500</v>
      </c>
      <c r="J486" s="176"/>
      <c r="K486" s="176" t="s">
        <v>593</v>
      </c>
      <c r="L486" s="176"/>
      <c r="M486" s="176"/>
      <c r="N486" s="179">
        <f t="shared" si="54"/>
        <v>14.5</v>
      </c>
      <c r="O486" s="179">
        <f t="shared" si="55"/>
        <v>78</v>
      </c>
      <c r="P486" s="180">
        <f t="shared" si="50"/>
        <v>92.5</v>
      </c>
      <c r="Q486" s="181">
        <f t="shared" si="51"/>
        <v>0.11144578313253012</v>
      </c>
      <c r="R486" s="122">
        <f t="shared" si="52"/>
        <v>18.5</v>
      </c>
      <c r="S486" s="122">
        <f t="shared" si="53"/>
        <v>8.91566265060241E-2</v>
      </c>
      <c r="T486" s="133">
        <v>0</v>
      </c>
    </row>
    <row r="487" spans="1:20" ht="15.75" hidden="1" customHeight="1" x14ac:dyDescent="0.3">
      <c r="A487" s="194" t="s">
        <v>59</v>
      </c>
      <c r="B487" s="176" t="s">
        <v>365</v>
      </c>
      <c r="C487" s="176" t="s">
        <v>80</v>
      </c>
      <c r="D487" s="176" t="s">
        <v>602</v>
      </c>
      <c r="E487" s="177">
        <v>2</v>
      </c>
      <c r="F487" s="176" t="s">
        <v>603</v>
      </c>
      <c r="G487" s="178"/>
      <c r="H487" s="176" t="s">
        <v>643</v>
      </c>
      <c r="I487" s="176" t="s">
        <v>579</v>
      </c>
      <c r="J487" s="176"/>
      <c r="K487" s="176" t="s">
        <v>593</v>
      </c>
      <c r="L487" s="176"/>
      <c r="M487" s="176"/>
      <c r="N487" s="179">
        <f t="shared" si="54"/>
        <v>297</v>
      </c>
      <c r="O487" s="179">
        <f t="shared" si="55"/>
        <v>310</v>
      </c>
      <c r="P487" s="180">
        <f t="shared" si="50"/>
        <v>607</v>
      </c>
      <c r="Q487" s="181">
        <f t="shared" si="51"/>
        <v>0.73132530120481931</v>
      </c>
      <c r="R487" s="122">
        <f t="shared" si="52"/>
        <v>121.4</v>
      </c>
      <c r="S487" s="122">
        <f t="shared" si="53"/>
        <v>0.58506024096385545</v>
      </c>
      <c r="T487" s="133">
        <v>0.6</v>
      </c>
    </row>
    <row r="488" spans="1:20" ht="15.75" customHeight="1" x14ac:dyDescent="0.3">
      <c r="A488" s="194" t="s">
        <v>59</v>
      </c>
      <c r="B488" s="176" t="s">
        <v>365</v>
      </c>
      <c r="C488" s="176" t="s">
        <v>80</v>
      </c>
      <c r="D488" s="176" t="s">
        <v>602</v>
      </c>
      <c r="E488" s="177">
        <v>1</v>
      </c>
      <c r="F488" s="176" t="s">
        <v>603</v>
      </c>
      <c r="G488" s="178"/>
      <c r="H488" s="176"/>
      <c r="I488" s="176" t="s">
        <v>500</v>
      </c>
      <c r="J488" s="176"/>
      <c r="K488" s="176" t="s">
        <v>593</v>
      </c>
      <c r="L488" s="176"/>
      <c r="M488" s="176"/>
      <c r="N488" s="179">
        <f t="shared" si="54"/>
        <v>14.5</v>
      </c>
      <c r="O488" s="179">
        <f t="shared" si="55"/>
        <v>78</v>
      </c>
      <c r="P488" s="180">
        <f t="shared" si="50"/>
        <v>92.5</v>
      </c>
      <c r="Q488" s="181">
        <f t="shared" si="51"/>
        <v>0.11144578313253012</v>
      </c>
      <c r="R488" s="122">
        <f t="shared" si="52"/>
        <v>18.5</v>
      </c>
      <c r="S488" s="122">
        <f t="shared" si="53"/>
        <v>8.91566265060241E-2</v>
      </c>
      <c r="T488" s="133">
        <v>0</v>
      </c>
    </row>
    <row r="489" spans="1:20" ht="15.75" hidden="1" customHeight="1" x14ac:dyDescent="0.3">
      <c r="A489" s="194" t="s">
        <v>59</v>
      </c>
      <c r="B489" s="176" t="s">
        <v>366</v>
      </c>
      <c r="C489" s="176" t="s">
        <v>73</v>
      </c>
      <c r="D489" s="176" t="s">
        <v>595</v>
      </c>
      <c r="E489" s="177">
        <v>24</v>
      </c>
      <c r="F489" s="176" t="s">
        <v>596</v>
      </c>
      <c r="G489" s="177">
        <v>24</v>
      </c>
      <c r="H489" s="176" t="s">
        <v>597</v>
      </c>
      <c r="I489" s="176" t="s">
        <v>109</v>
      </c>
      <c r="J489" s="176"/>
      <c r="K489" s="176" t="s">
        <v>593</v>
      </c>
      <c r="L489" s="176"/>
      <c r="M489" s="176"/>
      <c r="N489" s="179">
        <f t="shared" si="54"/>
        <v>169</v>
      </c>
      <c r="O489" s="179">
        <f t="shared" si="55"/>
        <v>340</v>
      </c>
      <c r="P489" s="180">
        <f t="shared" si="50"/>
        <v>509</v>
      </c>
      <c r="Q489" s="181">
        <f t="shared" si="51"/>
        <v>0.61325301204819282</v>
      </c>
      <c r="R489" s="122">
        <f t="shared" si="52"/>
        <v>101.80000000000001</v>
      </c>
      <c r="S489" s="122">
        <f t="shared" si="53"/>
        <v>0.49060240963855428</v>
      </c>
      <c r="T489" s="133">
        <v>0.4</v>
      </c>
    </row>
    <row r="490" spans="1:20" ht="15.75" hidden="1" customHeight="1" x14ac:dyDescent="0.3">
      <c r="A490" s="194" t="s">
        <v>59</v>
      </c>
      <c r="B490" s="176" t="s">
        <v>366</v>
      </c>
      <c r="C490" s="176" t="s">
        <v>79</v>
      </c>
      <c r="D490" s="176" t="s">
        <v>595</v>
      </c>
      <c r="E490" s="177">
        <v>12</v>
      </c>
      <c r="F490" s="176" t="s">
        <v>596</v>
      </c>
      <c r="G490" s="177">
        <v>12</v>
      </c>
      <c r="H490" s="176" t="s">
        <v>597</v>
      </c>
      <c r="I490" s="176" t="s">
        <v>109</v>
      </c>
      <c r="J490" s="176"/>
      <c r="K490" s="176" t="s">
        <v>593</v>
      </c>
      <c r="L490" s="176"/>
      <c r="M490" s="176"/>
      <c r="N490" s="179">
        <f t="shared" si="54"/>
        <v>169</v>
      </c>
      <c r="O490" s="179">
        <f t="shared" si="55"/>
        <v>340</v>
      </c>
      <c r="P490" s="180">
        <f t="shared" si="50"/>
        <v>509</v>
      </c>
      <c r="Q490" s="181">
        <f t="shared" si="51"/>
        <v>0.61325301204819282</v>
      </c>
      <c r="R490" s="122">
        <f t="shared" si="52"/>
        <v>101.80000000000001</v>
      </c>
      <c r="S490" s="122">
        <f t="shared" si="53"/>
        <v>0.49060240963855428</v>
      </c>
      <c r="T490" s="133">
        <v>0.4</v>
      </c>
    </row>
    <row r="491" spans="1:20" ht="15.75" hidden="1" customHeight="1" x14ac:dyDescent="0.3">
      <c r="A491" s="194" t="s">
        <v>59</v>
      </c>
      <c r="B491" s="176" t="s">
        <v>366</v>
      </c>
      <c r="C491" s="176" t="s">
        <v>100</v>
      </c>
      <c r="D491" s="176" t="s">
        <v>595</v>
      </c>
      <c r="E491" s="177">
        <v>28</v>
      </c>
      <c r="F491" s="176" t="s">
        <v>596</v>
      </c>
      <c r="G491" s="177">
        <v>28</v>
      </c>
      <c r="H491" s="176" t="s">
        <v>597</v>
      </c>
      <c r="I491" s="176" t="s">
        <v>109</v>
      </c>
      <c r="J491" s="176"/>
      <c r="K491" s="176" t="s">
        <v>593</v>
      </c>
      <c r="L491" s="176"/>
      <c r="M491" s="176"/>
      <c r="N491" s="179">
        <f t="shared" si="54"/>
        <v>169</v>
      </c>
      <c r="O491" s="179">
        <f t="shared" si="55"/>
        <v>340</v>
      </c>
      <c r="P491" s="180">
        <f t="shared" si="50"/>
        <v>509</v>
      </c>
      <c r="Q491" s="181">
        <f t="shared" si="51"/>
        <v>0.61325301204819282</v>
      </c>
      <c r="R491" s="122">
        <f t="shared" si="52"/>
        <v>101.80000000000001</v>
      </c>
      <c r="S491" s="122">
        <f t="shared" si="53"/>
        <v>0.49060240963855428</v>
      </c>
      <c r="T491" s="133">
        <v>0.4</v>
      </c>
    </row>
    <row r="492" spans="1:20" ht="15.75" hidden="1" customHeight="1" x14ac:dyDescent="0.3">
      <c r="A492" s="194" t="s">
        <v>59</v>
      </c>
      <c r="B492" s="176" t="s">
        <v>366</v>
      </c>
      <c r="C492" s="176" t="s">
        <v>111</v>
      </c>
      <c r="D492" s="176" t="s">
        <v>595</v>
      </c>
      <c r="E492" s="177">
        <v>4</v>
      </c>
      <c r="F492" s="176" t="s">
        <v>596</v>
      </c>
      <c r="G492" s="178"/>
      <c r="H492" s="176" t="s">
        <v>597</v>
      </c>
      <c r="I492" s="176" t="s">
        <v>109</v>
      </c>
      <c r="J492" s="176"/>
      <c r="K492" s="176" t="s">
        <v>593</v>
      </c>
      <c r="L492" s="176"/>
      <c r="M492" s="176"/>
      <c r="N492" s="179">
        <f t="shared" si="54"/>
        <v>169</v>
      </c>
      <c r="O492" s="179">
        <f t="shared" si="55"/>
        <v>340</v>
      </c>
      <c r="P492" s="180">
        <f t="shared" si="50"/>
        <v>509</v>
      </c>
      <c r="Q492" s="181">
        <f t="shared" si="51"/>
        <v>0.61325301204819282</v>
      </c>
      <c r="R492" s="122">
        <f t="shared" si="52"/>
        <v>101.80000000000001</v>
      </c>
      <c r="S492" s="122">
        <f t="shared" si="53"/>
        <v>0.49060240963855428</v>
      </c>
      <c r="T492" s="133">
        <v>0.4</v>
      </c>
    </row>
    <row r="493" spans="1:20" ht="15.75" customHeight="1" x14ac:dyDescent="0.3">
      <c r="A493" s="194" t="s">
        <v>59</v>
      </c>
      <c r="B493" s="176" t="s">
        <v>366</v>
      </c>
      <c r="C493" s="176" t="s">
        <v>111</v>
      </c>
      <c r="D493" s="176" t="s">
        <v>595</v>
      </c>
      <c r="E493" s="177">
        <v>2</v>
      </c>
      <c r="F493" s="176" t="s">
        <v>596</v>
      </c>
      <c r="G493" s="178"/>
      <c r="H493" s="176"/>
      <c r="I493" s="176" t="s">
        <v>500</v>
      </c>
      <c r="J493" s="176"/>
      <c r="K493" s="176" t="s">
        <v>593</v>
      </c>
      <c r="L493" s="176"/>
      <c r="M493" s="176"/>
      <c r="N493" s="179">
        <f t="shared" si="54"/>
        <v>14.5</v>
      </c>
      <c r="O493" s="179">
        <f t="shared" si="55"/>
        <v>78</v>
      </c>
      <c r="P493" s="180">
        <f t="shared" si="50"/>
        <v>92.5</v>
      </c>
      <c r="Q493" s="181">
        <f t="shared" si="51"/>
        <v>0.11144578313253012</v>
      </c>
      <c r="R493" s="122">
        <f t="shared" si="52"/>
        <v>18.5</v>
      </c>
      <c r="S493" s="122">
        <f t="shared" si="53"/>
        <v>8.91566265060241E-2</v>
      </c>
      <c r="T493" s="133">
        <v>0</v>
      </c>
    </row>
    <row r="494" spans="1:20" ht="15.75" hidden="1" customHeight="1" x14ac:dyDescent="0.3">
      <c r="A494" s="194" t="s">
        <v>59</v>
      </c>
      <c r="B494" s="176" t="s">
        <v>366</v>
      </c>
      <c r="C494" s="176" t="s">
        <v>80</v>
      </c>
      <c r="D494" s="176" t="s">
        <v>595</v>
      </c>
      <c r="E494" s="177">
        <v>2</v>
      </c>
      <c r="F494" s="176" t="s">
        <v>596</v>
      </c>
      <c r="G494" s="178"/>
      <c r="H494" s="176" t="s">
        <v>597</v>
      </c>
      <c r="I494" s="176" t="s">
        <v>109</v>
      </c>
      <c r="J494" s="176"/>
      <c r="K494" s="176" t="s">
        <v>593</v>
      </c>
      <c r="L494" s="176"/>
      <c r="M494" s="176"/>
      <c r="N494" s="179">
        <f t="shared" si="54"/>
        <v>169</v>
      </c>
      <c r="O494" s="179">
        <f t="shared" si="55"/>
        <v>340</v>
      </c>
      <c r="P494" s="180">
        <f t="shared" si="50"/>
        <v>509</v>
      </c>
      <c r="Q494" s="181">
        <f t="shared" si="51"/>
        <v>0.61325301204819282</v>
      </c>
      <c r="R494" s="122">
        <f t="shared" si="52"/>
        <v>101.80000000000001</v>
      </c>
      <c r="S494" s="122">
        <f t="shared" si="53"/>
        <v>0.49060240963855428</v>
      </c>
      <c r="T494" s="133">
        <v>0.4</v>
      </c>
    </row>
    <row r="495" spans="1:20" ht="15.75" customHeight="1" x14ac:dyDescent="0.3">
      <c r="A495" s="194" t="s">
        <v>59</v>
      </c>
      <c r="B495" s="176" t="s">
        <v>366</v>
      </c>
      <c r="C495" s="176" t="s">
        <v>80</v>
      </c>
      <c r="D495" s="176" t="s">
        <v>595</v>
      </c>
      <c r="E495" s="177">
        <v>1</v>
      </c>
      <c r="F495" s="176" t="s">
        <v>596</v>
      </c>
      <c r="G495" s="178"/>
      <c r="H495" s="176"/>
      <c r="I495" s="176" t="s">
        <v>500</v>
      </c>
      <c r="J495" s="176"/>
      <c r="K495" s="176" t="s">
        <v>593</v>
      </c>
      <c r="L495" s="176"/>
      <c r="M495" s="176"/>
      <c r="N495" s="179">
        <f t="shared" si="54"/>
        <v>14.5</v>
      </c>
      <c r="O495" s="179">
        <f t="shared" si="55"/>
        <v>78</v>
      </c>
      <c r="P495" s="180">
        <f t="shared" si="50"/>
        <v>92.5</v>
      </c>
      <c r="Q495" s="181">
        <f t="shared" si="51"/>
        <v>0.11144578313253012</v>
      </c>
      <c r="R495" s="122">
        <f t="shared" si="52"/>
        <v>18.5</v>
      </c>
      <c r="S495" s="122">
        <f t="shared" si="53"/>
        <v>8.91566265060241E-2</v>
      </c>
      <c r="T495" s="133">
        <v>0</v>
      </c>
    </row>
    <row r="496" spans="1:20" ht="15.75" hidden="1" customHeight="1" x14ac:dyDescent="0.3">
      <c r="A496" s="194" t="s">
        <v>59</v>
      </c>
      <c r="B496" s="176" t="s">
        <v>367</v>
      </c>
      <c r="C496" s="176" t="s">
        <v>73</v>
      </c>
      <c r="D496" s="176" t="s">
        <v>633</v>
      </c>
      <c r="E496" s="177">
        <v>32</v>
      </c>
      <c r="F496" s="176" t="s">
        <v>603</v>
      </c>
      <c r="G496" s="177">
        <v>32</v>
      </c>
      <c r="H496" s="176" t="s">
        <v>594</v>
      </c>
      <c r="I496" s="176" t="s">
        <v>358</v>
      </c>
      <c r="J496" s="176"/>
      <c r="K496" s="176" t="s">
        <v>593</v>
      </c>
      <c r="L496" s="176"/>
      <c r="M496" s="176"/>
      <c r="N496" s="179">
        <f t="shared" si="54"/>
        <v>111</v>
      </c>
      <c r="O496" s="179">
        <f t="shared" si="55"/>
        <v>265</v>
      </c>
      <c r="P496" s="180">
        <f t="shared" si="50"/>
        <v>376</v>
      </c>
      <c r="Q496" s="181">
        <f t="shared" si="51"/>
        <v>0.45301204819277108</v>
      </c>
      <c r="R496" s="122">
        <f t="shared" si="52"/>
        <v>75.2</v>
      </c>
      <c r="S496" s="122">
        <f t="shared" si="53"/>
        <v>0.36240963855421687</v>
      </c>
      <c r="T496" s="133">
        <v>0.45</v>
      </c>
    </row>
    <row r="497" spans="1:20" ht="15.75" hidden="1" customHeight="1" x14ac:dyDescent="0.3">
      <c r="A497" s="194" t="s">
        <v>59</v>
      </c>
      <c r="B497" s="176" t="s">
        <v>367</v>
      </c>
      <c r="C497" s="176" t="s">
        <v>87</v>
      </c>
      <c r="D497" s="176" t="s">
        <v>633</v>
      </c>
      <c r="E497" s="177">
        <v>3</v>
      </c>
      <c r="F497" s="176" t="s">
        <v>603</v>
      </c>
      <c r="G497" s="178"/>
      <c r="H497" s="176" t="s">
        <v>594</v>
      </c>
      <c r="I497" s="176" t="s">
        <v>358</v>
      </c>
      <c r="J497" s="176"/>
      <c r="K497" s="176" t="s">
        <v>593</v>
      </c>
      <c r="L497" s="176"/>
      <c r="M497" s="176"/>
      <c r="N497" s="179">
        <f t="shared" si="54"/>
        <v>111</v>
      </c>
      <c r="O497" s="179">
        <f t="shared" si="55"/>
        <v>265</v>
      </c>
      <c r="P497" s="180">
        <f t="shared" si="50"/>
        <v>376</v>
      </c>
      <c r="Q497" s="181">
        <f t="shared" si="51"/>
        <v>0.45301204819277108</v>
      </c>
      <c r="R497" s="122">
        <f t="shared" si="52"/>
        <v>75.2</v>
      </c>
      <c r="S497" s="122">
        <f t="shared" si="53"/>
        <v>0.36240963855421687</v>
      </c>
      <c r="T497" s="133">
        <v>0.45</v>
      </c>
    </row>
    <row r="498" spans="1:20" ht="15.75" customHeight="1" x14ac:dyDescent="0.3">
      <c r="A498" s="194" t="s">
        <v>59</v>
      </c>
      <c r="B498" s="176" t="s">
        <v>367</v>
      </c>
      <c r="C498" s="176" t="s">
        <v>87</v>
      </c>
      <c r="D498" s="176" t="s">
        <v>633</v>
      </c>
      <c r="E498" s="177">
        <v>2</v>
      </c>
      <c r="F498" s="176" t="s">
        <v>603</v>
      </c>
      <c r="G498" s="178"/>
      <c r="H498" s="176"/>
      <c r="I498" s="176" t="s">
        <v>500</v>
      </c>
      <c r="J498" s="176"/>
      <c r="K498" s="176" t="s">
        <v>593</v>
      </c>
      <c r="L498" s="176"/>
      <c r="M498" s="176"/>
      <c r="N498" s="179">
        <f t="shared" si="54"/>
        <v>14.5</v>
      </c>
      <c r="O498" s="179">
        <f t="shared" si="55"/>
        <v>78</v>
      </c>
      <c r="P498" s="180">
        <f t="shared" si="50"/>
        <v>92.5</v>
      </c>
      <c r="Q498" s="181">
        <f t="shared" si="51"/>
        <v>0.11144578313253012</v>
      </c>
      <c r="R498" s="122">
        <f t="shared" si="52"/>
        <v>18.5</v>
      </c>
      <c r="S498" s="122">
        <f t="shared" si="53"/>
        <v>8.91566265060241E-2</v>
      </c>
      <c r="T498" s="133">
        <v>0</v>
      </c>
    </row>
    <row r="499" spans="1:20" ht="15.75" hidden="1" customHeight="1" x14ac:dyDescent="0.3">
      <c r="A499" s="194" t="s">
        <v>59</v>
      </c>
      <c r="B499" s="176" t="s">
        <v>367</v>
      </c>
      <c r="C499" s="176" t="s">
        <v>79</v>
      </c>
      <c r="D499" s="176" t="s">
        <v>633</v>
      </c>
      <c r="E499" s="177">
        <v>16</v>
      </c>
      <c r="F499" s="176" t="s">
        <v>603</v>
      </c>
      <c r="G499" s="177">
        <v>16</v>
      </c>
      <c r="H499" s="176" t="s">
        <v>594</v>
      </c>
      <c r="I499" s="176" t="s">
        <v>358</v>
      </c>
      <c r="J499" s="176"/>
      <c r="K499" s="176" t="s">
        <v>593</v>
      </c>
      <c r="L499" s="176"/>
      <c r="M499" s="176"/>
      <c r="N499" s="179">
        <f t="shared" si="54"/>
        <v>111</v>
      </c>
      <c r="O499" s="179">
        <f t="shared" si="55"/>
        <v>265</v>
      </c>
      <c r="P499" s="180">
        <f t="shared" si="50"/>
        <v>376</v>
      </c>
      <c r="Q499" s="181">
        <f t="shared" si="51"/>
        <v>0.45301204819277108</v>
      </c>
      <c r="R499" s="122">
        <f t="shared" si="52"/>
        <v>75.2</v>
      </c>
      <c r="S499" s="122">
        <f t="shared" si="53"/>
        <v>0.36240963855421687</v>
      </c>
      <c r="T499" s="133">
        <v>0.45</v>
      </c>
    </row>
    <row r="500" spans="1:20" ht="15.75" hidden="1" customHeight="1" x14ac:dyDescent="0.3">
      <c r="A500" s="194" t="s">
        <v>59</v>
      </c>
      <c r="B500" s="176" t="s">
        <v>367</v>
      </c>
      <c r="C500" s="176" t="s">
        <v>100</v>
      </c>
      <c r="D500" s="176" t="s">
        <v>633</v>
      </c>
      <c r="E500" s="177">
        <v>32</v>
      </c>
      <c r="F500" s="176" t="s">
        <v>603</v>
      </c>
      <c r="G500" s="177">
        <v>16</v>
      </c>
      <c r="H500" s="176" t="s">
        <v>594</v>
      </c>
      <c r="I500" s="176" t="s">
        <v>358</v>
      </c>
      <c r="J500" s="176"/>
      <c r="K500" s="176" t="s">
        <v>593</v>
      </c>
      <c r="L500" s="176"/>
      <c r="M500" s="176"/>
      <c r="N500" s="179">
        <f t="shared" si="54"/>
        <v>111</v>
      </c>
      <c r="O500" s="179">
        <f t="shared" si="55"/>
        <v>265</v>
      </c>
      <c r="P500" s="180">
        <f t="shared" si="50"/>
        <v>376</v>
      </c>
      <c r="Q500" s="181">
        <f t="shared" si="51"/>
        <v>0.45301204819277108</v>
      </c>
      <c r="R500" s="122">
        <f t="shared" si="52"/>
        <v>75.2</v>
      </c>
      <c r="S500" s="122">
        <f t="shared" si="53"/>
        <v>0.36240963855421687</v>
      </c>
      <c r="T500" s="133">
        <v>0.45</v>
      </c>
    </row>
    <row r="501" spans="1:20" ht="15.75" hidden="1" customHeight="1" x14ac:dyDescent="0.3">
      <c r="A501" s="194" t="s">
        <v>59</v>
      </c>
      <c r="B501" s="176" t="s">
        <v>367</v>
      </c>
      <c r="C501" s="176" t="s">
        <v>80</v>
      </c>
      <c r="D501" s="176" t="s">
        <v>633</v>
      </c>
      <c r="E501" s="177">
        <v>1</v>
      </c>
      <c r="F501" s="176" t="s">
        <v>603</v>
      </c>
      <c r="G501" s="178"/>
      <c r="H501" s="176" t="s">
        <v>594</v>
      </c>
      <c r="I501" s="176" t="s">
        <v>358</v>
      </c>
      <c r="J501" s="176"/>
      <c r="K501" s="176" t="s">
        <v>593</v>
      </c>
      <c r="L501" s="176"/>
      <c r="M501" s="176"/>
      <c r="N501" s="179">
        <f t="shared" si="54"/>
        <v>111</v>
      </c>
      <c r="O501" s="179">
        <f t="shared" si="55"/>
        <v>265</v>
      </c>
      <c r="P501" s="180">
        <f t="shared" si="50"/>
        <v>376</v>
      </c>
      <c r="Q501" s="181">
        <f t="shared" si="51"/>
        <v>0.45301204819277108</v>
      </c>
      <c r="R501" s="122">
        <f t="shared" si="52"/>
        <v>75.2</v>
      </c>
      <c r="S501" s="122">
        <f t="shared" si="53"/>
        <v>0.36240963855421687</v>
      </c>
      <c r="T501" s="133">
        <v>0.45</v>
      </c>
    </row>
    <row r="502" spans="1:20" ht="15.75" customHeight="1" x14ac:dyDescent="0.3">
      <c r="A502" s="194" t="s">
        <v>59</v>
      </c>
      <c r="B502" s="176" t="s">
        <v>367</v>
      </c>
      <c r="C502" s="176" t="s">
        <v>80</v>
      </c>
      <c r="D502" s="176" t="s">
        <v>633</v>
      </c>
      <c r="E502" s="177">
        <v>1</v>
      </c>
      <c r="F502" s="176" t="s">
        <v>603</v>
      </c>
      <c r="G502" s="178"/>
      <c r="H502" s="176"/>
      <c r="I502" s="176" t="s">
        <v>500</v>
      </c>
      <c r="J502" s="176"/>
      <c r="K502" s="176" t="s">
        <v>593</v>
      </c>
      <c r="L502" s="176"/>
      <c r="M502" s="176"/>
      <c r="N502" s="179">
        <f t="shared" si="54"/>
        <v>14.5</v>
      </c>
      <c r="O502" s="179">
        <f t="shared" si="55"/>
        <v>78</v>
      </c>
      <c r="P502" s="180">
        <f t="shared" si="50"/>
        <v>92.5</v>
      </c>
      <c r="Q502" s="181">
        <f t="shared" si="51"/>
        <v>0.11144578313253012</v>
      </c>
      <c r="R502" s="122">
        <f t="shared" si="52"/>
        <v>18.5</v>
      </c>
      <c r="S502" s="122">
        <f t="shared" si="53"/>
        <v>8.91566265060241E-2</v>
      </c>
      <c r="T502" s="133">
        <v>0</v>
      </c>
    </row>
    <row r="503" spans="1:20" ht="15.75" hidden="1" customHeight="1" x14ac:dyDescent="0.3">
      <c r="A503" s="194" t="s">
        <v>59</v>
      </c>
      <c r="B503" s="176" t="s">
        <v>368</v>
      </c>
      <c r="C503" s="176" t="s">
        <v>73</v>
      </c>
      <c r="D503" s="176" t="s">
        <v>602</v>
      </c>
      <c r="E503" s="177">
        <v>32</v>
      </c>
      <c r="F503" s="176" t="s">
        <v>603</v>
      </c>
      <c r="G503" s="177">
        <v>32</v>
      </c>
      <c r="H503" s="176" t="s">
        <v>589</v>
      </c>
      <c r="I503" s="176" t="s">
        <v>569</v>
      </c>
      <c r="J503" s="176"/>
      <c r="K503" s="176" t="s">
        <v>593</v>
      </c>
      <c r="L503" s="176"/>
      <c r="M503" s="176"/>
      <c r="N503" s="179">
        <f t="shared" si="54"/>
        <v>105</v>
      </c>
      <c r="O503" s="179">
        <f t="shared" si="55"/>
        <v>102</v>
      </c>
      <c r="P503" s="180">
        <f t="shared" si="50"/>
        <v>207</v>
      </c>
      <c r="Q503" s="181">
        <f t="shared" si="51"/>
        <v>0.24939759036144579</v>
      </c>
      <c r="R503" s="122">
        <f t="shared" si="52"/>
        <v>41.400000000000006</v>
      </c>
      <c r="S503" s="122">
        <f t="shared" si="53"/>
        <v>0.19951807228915663</v>
      </c>
      <c r="T503" s="133">
        <v>0.2</v>
      </c>
    </row>
    <row r="504" spans="1:20" ht="15.75" hidden="1" customHeight="1" x14ac:dyDescent="0.3">
      <c r="A504" s="194" t="s">
        <v>59</v>
      </c>
      <c r="B504" s="176" t="s">
        <v>368</v>
      </c>
      <c r="C504" s="176" t="s">
        <v>79</v>
      </c>
      <c r="D504" s="176" t="s">
        <v>602</v>
      </c>
      <c r="E504" s="177">
        <v>20</v>
      </c>
      <c r="F504" s="176" t="s">
        <v>603</v>
      </c>
      <c r="G504" s="177">
        <v>20</v>
      </c>
      <c r="H504" s="176" t="s">
        <v>589</v>
      </c>
      <c r="I504" s="176" t="s">
        <v>569</v>
      </c>
      <c r="J504" s="176"/>
      <c r="K504" s="176" t="s">
        <v>593</v>
      </c>
      <c r="L504" s="176"/>
      <c r="M504" s="176"/>
      <c r="N504" s="179">
        <f t="shared" si="54"/>
        <v>105</v>
      </c>
      <c r="O504" s="179">
        <f t="shared" si="55"/>
        <v>102</v>
      </c>
      <c r="P504" s="180">
        <f t="shared" si="50"/>
        <v>207</v>
      </c>
      <c r="Q504" s="181">
        <f t="shared" si="51"/>
        <v>0.24939759036144579</v>
      </c>
      <c r="R504" s="122">
        <f t="shared" si="52"/>
        <v>41.400000000000006</v>
      </c>
      <c r="S504" s="122">
        <f t="shared" si="53"/>
        <v>0.19951807228915663</v>
      </c>
      <c r="T504" s="133">
        <v>0.2</v>
      </c>
    </row>
    <row r="505" spans="1:20" ht="15.75" hidden="1" customHeight="1" x14ac:dyDescent="0.3">
      <c r="A505" s="194" t="s">
        <v>59</v>
      </c>
      <c r="B505" s="182" t="s">
        <v>368</v>
      </c>
      <c r="C505" s="182" t="s">
        <v>100</v>
      </c>
      <c r="D505" s="182" t="s">
        <v>602</v>
      </c>
      <c r="E505" s="183">
        <v>16</v>
      </c>
      <c r="F505" s="182" t="s">
        <v>603</v>
      </c>
      <c r="G505" s="183">
        <v>16</v>
      </c>
      <c r="H505" s="182" t="s">
        <v>589</v>
      </c>
      <c r="I505" s="182" t="s">
        <v>575</v>
      </c>
      <c r="J505" s="176"/>
      <c r="K505" s="176" t="s">
        <v>593</v>
      </c>
      <c r="L505" s="176"/>
      <c r="M505" s="176"/>
      <c r="N505" s="179">
        <f t="shared" si="54"/>
        <v>78</v>
      </c>
      <c r="O505" s="179">
        <f t="shared" si="55"/>
        <v>240.5</v>
      </c>
      <c r="P505" s="180">
        <f t="shared" si="50"/>
        <v>318.5</v>
      </c>
      <c r="Q505" s="181">
        <f t="shared" si="51"/>
        <v>0.38373493975903616</v>
      </c>
      <c r="R505" s="122">
        <f t="shared" si="52"/>
        <v>63.7</v>
      </c>
      <c r="S505" s="122">
        <f t="shared" si="53"/>
        <v>0.30698795180722893</v>
      </c>
      <c r="T505" s="133">
        <v>0.35</v>
      </c>
    </row>
    <row r="506" spans="1:20" ht="15.75" hidden="1" customHeight="1" x14ac:dyDescent="0.3">
      <c r="A506" s="194" t="s">
        <v>59</v>
      </c>
      <c r="B506" s="176" t="s">
        <v>368</v>
      </c>
      <c r="C506" s="176" t="s">
        <v>111</v>
      </c>
      <c r="D506" s="176" t="s">
        <v>602</v>
      </c>
      <c r="E506" s="177">
        <v>3</v>
      </c>
      <c r="F506" s="176" t="s">
        <v>603</v>
      </c>
      <c r="G506" s="178"/>
      <c r="H506" s="176" t="s">
        <v>589</v>
      </c>
      <c r="I506" s="176" t="s">
        <v>569</v>
      </c>
      <c r="J506" s="176"/>
      <c r="K506" s="176" t="s">
        <v>593</v>
      </c>
      <c r="L506" s="176"/>
      <c r="M506" s="176"/>
      <c r="N506" s="179">
        <f t="shared" si="54"/>
        <v>105</v>
      </c>
      <c r="O506" s="179">
        <f t="shared" si="55"/>
        <v>102</v>
      </c>
      <c r="P506" s="180">
        <f t="shared" si="50"/>
        <v>207</v>
      </c>
      <c r="Q506" s="181">
        <f t="shared" si="51"/>
        <v>0.24939759036144579</v>
      </c>
      <c r="R506" s="122">
        <f t="shared" si="52"/>
        <v>41.400000000000006</v>
      </c>
      <c r="S506" s="122">
        <f t="shared" si="53"/>
        <v>0.19951807228915663</v>
      </c>
      <c r="T506" s="133">
        <v>0.2</v>
      </c>
    </row>
    <row r="507" spans="1:20" ht="15.75" customHeight="1" x14ac:dyDescent="0.3">
      <c r="A507" s="194" t="s">
        <v>59</v>
      </c>
      <c r="B507" s="176" t="s">
        <v>368</v>
      </c>
      <c r="C507" s="176" t="s">
        <v>111</v>
      </c>
      <c r="D507" s="176" t="s">
        <v>602</v>
      </c>
      <c r="E507" s="177">
        <v>2</v>
      </c>
      <c r="F507" s="176" t="s">
        <v>603</v>
      </c>
      <c r="G507" s="178"/>
      <c r="H507" s="176"/>
      <c r="I507" s="176" t="s">
        <v>500</v>
      </c>
      <c r="J507" s="176"/>
      <c r="K507" s="176" t="s">
        <v>593</v>
      </c>
      <c r="L507" s="176"/>
      <c r="M507" s="176"/>
      <c r="N507" s="179">
        <f t="shared" si="54"/>
        <v>14.5</v>
      </c>
      <c r="O507" s="179">
        <f t="shared" si="55"/>
        <v>78</v>
      </c>
      <c r="P507" s="180">
        <f t="shared" si="50"/>
        <v>92.5</v>
      </c>
      <c r="Q507" s="181">
        <f t="shared" si="51"/>
        <v>0.11144578313253012</v>
      </c>
      <c r="R507" s="122">
        <f t="shared" si="52"/>
        <v>18.5</v>
      </c>
      <c r="S507" s="122">
        <f t="shared" si="53"/>
        <v>8.91566265060241E-2</v>
      </c>
      <c r="T507" s="133">
        <v>0</v>
      </c>
    </row>
    <row r="508" spans="1:20" ht="15.75" hidden="1" customHeight="1" x14ac:dyDescent="0.3">
      <c r="A508" s="194" t="s">
        <v>59</v>
      </c>
      <c r="B508" s="176" t="s">
        <v>368</v>
      </c>
      <c r="C508" s="176" t="s">
        <v>80</v>
      </c>
      <c r="D508" s="176" t="s">
        <v>602</v>
      </c>
      <c r="E508" s="177">
        <v>2</v>
      </c>
      <c r="F508" s="176" t="s">
        <v>603</v>
      </c>
      <c r="G508" s="178"/>
      <c r="H508" s="176" t="s">
        <v>589</v>
      </c>
      <c r="I508" s="176" t="s">
        <v>569</v>
      </c>
      <c r="J508" s="176"/>
      <c r="K508" s="176" t="s">
        <v>593</v>
      </c>
      <c r="L508" s="176"/>
      <c r="M508" s="176"/>
      <c r="N508" s="179">
        <f t="shared" si="54"/>
        <v>105</v>
      </c>
      <c r="O508" s="179">
        <f t="shared" si="55"/>
        <v>102</v>
      </c>
      <c r="P508" s="180">
        <f t="shared" si="50"/>
        <v>207</v>
      </c>
      <c r="Q508" s="181">
        <f t="shared" si="51"/>
        <v>0.24939759036144579</v>
      </c>
      <c r="R508" s="122">
        <f t="shared" si="52"/>
        <v>41.400000000000006</v>
      </c>
      <c r="S508" s="122">
        <f t="shared" si="53"/>
        <v>0.19951807228915663</v>
      </c>
      <c r="T508" s="133">
        <v>0.2</v>
      </c>
    </row>
    <row r="509" spans="1:20" ht="15.75" customHeight="1" x14ac:dyDescent="0.3">
      <c r="A509" s="194" t="s">
        <v>59</v>
      </c>
      <c r="B509" s="176" t="s">
        <v>368</v>
      </c>
      <c r="C509" s="176" t="s">
        <v>80</v>
      </c>
      <c r="D509" s="176" t="s">
        <v>602</v>
      </c>
      <c r="E509" s="177">
        <v>1</v>
      </c>
      <c r="F509" s="176" t="s">
        <v>603</v>
      </c>
      <c r="G509" s="178"/>
      <c r="H509" s="176"/>
      <c r="I509" s="176" t="s">
        <v>500</v>
      </c>
      <c r="J509" s="176"/>
      <c r="K509" s="176" t="s">
        <v>593</v>
      </c>
      <c r="L509" s="176"/>
      <c r="M509" s="176"/>
      <c r="N509" s="179">
        <f t="shared" si="54"/>
        <v>14.5</v>
      </c>
      <c r="O509" s="179">
        <f t="shared" si="55"/>
        <v>78</v>
      </c>
      <c r="P509" s="180">
        <f t="shared" si="50"/>
        <v>92.5</v>
      </c>
      <c r="Q509" s="181">
        <f t="shared" si="51"/>
        <v>0.11144578313253012</v>
      </c>
      <c r="R509" s="122">
        <f t="shared" si="52"/>
        <v>18.5</v>
      </c>
      <c r="S509" s="122">
        <f t="shared" si="53"/>
        <v>8.91566265060241E-2</v>
      </c>
      <c r="T509" s="133">
        <v>0</v>
      </c>
    </row>
    <row r="510" spans="1:20" ht="15.75" hidden="1" customHeight="1" x14ac:dyDescent="0.3">
      <c r="A510" s="194" t="s">
        <v>59</v>
      </c>
      <c r="B510" s="176" t="s">
        <v>369</v>
      </c>
      <c r="C510" s="176" t="s">
        <v>73</v>
      </c>
      <c r="D510" s="176" t="s">
        <v>595</v>
      </c>
      <c r="E510" s="177">
        <v>24</v>
      </c>
      <c r="F510" s="176" t="s">
        <v>596</v>
      </c>
      <c r="G510" s="177">
        <v>24</v>
      </c>
      <c r="H510" s="176" t="s">
        <v>642</v>
      </c>
      <c r="I510" s="176" t="s">
        <v>572</v>
      </c>
      <c r="J510" s="176"/>
      <c r="K510" s="176" t="s">
        <v>593</v>
      </c>
      <c r="L510" s="176"/>
      <c r="M510" s="176"/>
      <c r="N510" s="179">
        <f t="shared" si="54"/>
        <v>410</v>
      </c>
      <c r="O510" s="179">
        <f t="shared" si="55"/>
        <v>260</v>
      </c>
      <c r="P510" s="180">
        <f t="shared" si="50"/>
        <v>670</v>
      </c>
      <c r="Q510" s="181">
        <f t="shared" si="51"/>
        <v>0.80722891566265065</v>
      </c>
      <c r="R510" s="122">
        <f t="shared" si="52"/>
        <v>134</v>
      </c>
      <c r="S510" s="122">
        <f t="shared" si="53"/>
        <v>0.64578313253012054</v>
      </c>
      <c r="T510" s="133">
        <v>0.55000000000000004</v>
      </c>
    </row>
    <row r="511" spans="1:20" ht="15.75" hidden="1" customHeight="1" x14ac:dyDescent="0.3">
      <c r="A511" s="194" t="s">
        <v>59</v>
      </c>
      <c r="B511" s="176" t="s">
        <v>369</v>
      </c>
      <c r="C511" s="176" t="s">
        <v>79</v>
      </c>
      <c r="D511" s="176" t="s">
        <v>595</v>
      </c>
      <c r="E511" s="177">
        <v>12</v>
      </c>
      <c r="F511" s="176" t="s">
        <v>596</v>
      </c>
      <c r="G511" s="177">
        <v>12</v>
      </c>
      <c r="H511" s="176" t="s">
        <v>642</v>
      </c>
      <c r="I511" s="176" t="s">
        <v>572</v>
      </c>
      <c r="J511" s="176"/>
      <c r="K511" s="176" t="s">
        <v>593</v>
      </c>
      <c r="L511" s="176"/>
      <c r="M511" s="176"/>
      <c r="N511" s="179">
        <f t="shared" si="54"/>
        <v>410</v>
      </c>
      <c r="O511" s="179">
        <f t="shared" si="55"/>
        <v>260</v>
      </c>
      <c r="P511" s="180">
        <f t="shared" si="50"/>
        <v>670</v>
      </c>
      <c r="Q511" s="181">
        <f t="shared" si="51"/>
        <v>0.80722891566265065</v>
      </c>
      <c r="R511" s="122">
        <f t="shared" si="52"/>
        <v>134</v>
      </c>
      <c r="S511" s="122">
        <f t="shared" si="53"/>
        <v>0.64578313253012054</v>
      </c>
      <c r="T511" s="133">
        <v>0.55000000000000004</v>
      </c>
    </row>
    <row r="512" spans="1:20" ht="15.75" hidden="1" customHeight="1" x14ac:dyDescent="0.3">
      <c r="A512" s="194" t="s">
        <v>59</v>
      </c>
      <c r="B512" s="176" t="s">
        <v>369</v>
      </c>
      <c r="C512" s="176" t="s">
        <v>100</v>
      </c>
      <c r="D512" s="176" t="s">
        <v>595</v>
      </c>
      <c r="E512" s="177">
        <v>28</v>
      </c>
      <c r="F512" s="176" t="s">
        <v>596</v>
      </c>
      <c r="G512" s="177">
        <v>28</v>
      </c>
      <c r="H512" s="176" t="s">
        <v>642</v>
      </c>
      <c r="I512" s="176" t="s">
        <v>572</v>
      </c>
      <c r="J512" s="176"/>
      <c r="K512" s="176" t="s">
        <v>593</v>
      </c>
      <c r="L512" s="176"/>
      <c r="M512" s="176"/>
      <c r="N512" s="179">
        <f t="shared" si="54"/>
        <v>410</v>
      </c>
      <c r="O512" s="179">
        <f t="shared" si="55"/>
        <v>260</v>
      </c>
      <c r="P512" s="180">
        <f t="shared" si="50"/>
        <v>670</v>
      </c>
      <c r="Q512" s="181">
        <f t="shared" si="51"/>
        <v>0.80722891566265065</v>
      </c>
      <c r="R512" s="122">
        <f t="shared" si="52"/>
        <v>134</v>
      </c>
      <c r="S512" s="122">
        <f t="shared" si="53"/>
        <v>0.64578313253012054</v>
      </c>
      <c r="T512" s="133">
        <v>0.55000000000000004</v>
      </c>
    </row>
    <row r="513" spans="1:20" ht="15.75" hidden="1" customHeight="1" x14ac:dyDescent="0.3">
      <c r="A513" s="194" t="s">
        <v>59</v>
      </c>
      <c r="B513" s="176" t="s">
        <v>369</v>
      </c>
      <c r="C513" s="176" t="s">
        <v>111</v>
      </c>
      <c r="D513" s="176" t="s">
        <v>595</v>
      </c>
      <c r="E513" s="177">
        <v>4</v>
      </c>
      <c r="F513" s="176" t="s">
        <v>596</v>
      </c>
      <c r="G513" s="178"/>
      <c r="H513" s="176" t="s">
        <v>642</v>
      </c>
      <c r="I513" s="176" t="s">
        <v>572</v>
      </c>
      <c r="J513" s="176"/>
      <c r="K513" s="176" t="s">
        <v>593</v>
      </c>
      <c r="L513" s="176"/>
      <c r="M513" s="176"/>
      <c r="N513" s="179">
        <f t="shared" si="54"/>
        <v>410</v>
      </c>
      <c r="O513" s="179">
        <f t="shared" si="55"/>
        <v>260</v>
      </c>
      <c r="P513" s="180">
        <f t="shared" si="50"/>
        <v>670</v>
      </c>
      <c r="Q513" s="181">
        <f t="shared" si="51"/>
        <v>0.80722891566265065</v>
      </c>
      <c r="R513" s="122">
        <f t="shared" si="52"/>
        <v>134</v>
      </c>
      <c r="S513" s="122">
        <f t="shared" si="53"/>
        <v>0.64578313253012054</v>
      </c>
      <c r="T513" s="133">
        <v>0.55000000000000004</v>
      </c>
    </row>
    <row r="514" spans="1:20" ht="15.75" customHeight="1" x14ac:dyDescent="0.3">
      <c r="A514" s="194" t="s">
        <v>59</v>
      </c>
      <c r="B514" s="176" t="s">
        <v>369</v>
      </c>
      <c r="C514" s="176" t="s">
        <v>111</v>
      </c>
      <c r="D514" s="176" t="s">
        <v>595</v>
      </c>
      <c r="E514" s="177">
        <v>2</v>
      </c>
      <c r="F514" s="176" t="s">
        <v>596</v>
      </c>
      <c r="G514" s="178"/>
      <c r="H514" s="176"/>
      <c r="I514" s="176" t="s">
        <v>500</v>
      </c>
      <c r="J514" s="176"/>
      <c r="K514" s="176" t="s">
        <v>593</v>
      </c>
      <c r="L514" s="176"/>
      <c r="M514" s="176"/>
      <c r="N514" s="179">
        <f t="shared" si="54"/>
        <v>14.5</v>
      </c>
      <c r="O514" s="179">
        <f t="shared" si="55"/>
        <v>78</v>
      </c>
      <c r="P514" s="180">
        <f t="shared" si="50"/>
        <v>92.5</v>
      </c>
      <c r="Q514" s="181">
        <f t="shared" si="51"/>
        <v>0.11144578313253012</v>
      </c>
      <c r="R514" s="122">
        <f t="shared" si="52"/>
        <v>18.5</v>
      </c>
      <c r="S514" s="122">
        <f t="shared" si="53"/>
        <v>8.91566265060241E-2</v>
      </c>
      <c r="T514" s="133">
        <v>0</v>
      </c>
    </row>
    <row r="515" spans="1:20" ht="15.75" hidden="1" customHeight="1" x14ac:dyDescent="0.3">
      <c r="A515" s="194" t="s">
        <v>59</v>
      </c>
      <c r="B515" s="176" t="s">
        <v>369</v>
      </c>
      <c r="C515" s="176" t="s">
        <v>80</v>
      </c>
      <c r="D515" s="176" t="s">
        <v>595</v>
      </c>
      <c r="E515" s="177">
        <v>2</v>
      </c>
      <c r="F515" s="176" t="s">
        <v>596</v>
      </c>
      <c r="G515" s="178"/>
      <c r="H515" s="176" t="s">
        <v>642</v>
      </c>
      <c r="I515" s="176" t="s">
        <v>572</v>
      </c>
      <c r="J515" s="176"/>
      <c r="K515" s="176" t="s">
        <v>593</v>
      </c>
      <c r="L515" s="176"/>
      <c r="M515" s="176"/>
      <c r="N515" s="179">
        <f t="shared" si="54"/>
        <v>410</v>
      </c>
      <c r="O515" s="179">
        <f t="shared" si="55"/>
        <v>260</v>
      </c>
      <c r="P515" s="180">
        <f t="shared" si="50"/>
        <v>670</v>
      </c>
      <c r="Q515" s="181">
        <f t="shared" si="51"/>
        <v>0.80722891566265065</v>
      </c>
      <c r="R515" s="122">
        <f t="shared" si="52"/>
        <v>134</v>
      </c>
      <c r="S515" s="122">
        <f t="shared" si="53"/>
        <v>0.64578313253012054</v>
      </c>
      <c r="T515" s="133">
        <v>0.55000000000000004</v>
      </c>
    </row>
    <row r="516" spans="1:20" ht="15.75" customHeight="1" x14ac:dyDescent="0.3">
      <c r="A516" s="194" t="s">
        <v>59</v>
      </c>
      <c r="B516" s="176" t="s">
        <v>369</v>
      </c>
      <c r="C516" s="176" t="s">
        <v>80</v>
      </c>
      <c r="D516" s="176" t="s">
        <v>595</v>
      </c>
      <c r="E516" s="177">
        <v>1</v>
      </c>
      <c r="F516" s="176" t="s">
        <v>596</v>
      </c>
      <c r="G516" s="178"/>
      <c r="H516" s="176"/>
      <c r="I516" s="176" t="s">
        <v>500</v>
      </c>
      <c r="J516" s="176"/>
      <c r="K516" s="176" t="s">
        <v>593</v>
      </c>
      <c r="L516" s="176"/>
      <c r="M516" s="176"/>
      <c r="N516" s="179">
        <f t="shared" si="54"/>
        <v>14.5</v>
      </c>
      <c r="O516" s="179">
        <f t="shared" si="55"/>
        <v>78</v>
      </c>
      <c r="P516" s="180">
        <f t="shared" si="50"/>
        <v>92.5</v>
      </c>
      <c r="Q516" s="181">
        <f t="shared" si="51"/>
        <v>0.11144578313253012</v>
      </c>
      <c r="R516" s="122">
        <f t="shared" si="52"/>
        <v>18.5</v>
      </c>
      <c r="S516" s="122">
        <f t="shared" si="53"/>
        <v>8.91566265060241E-2</v>
      </c>
      <c r="T516" s="133">
        <v>0</v>
      </c>
    </row>
    <row r="517" spans="1:20" ht="15.75" hidden="1" customHeight="1" x14ac:dyDescent="0.3">
      <c r="A517" s="194" t="s">
        <v>59</v>
      </c>
      <c r="B517" s="176" t="s">
        <v>370</v>
      </c>
      <c r="C517" s="176" t="s">
        <v>73</v>
      </c>
      <c r="D517" s="176" t="s">
        <v>624</v>
      </c>
      <c r="E517" s="177">
        <v>24</v>
      </c>
      <c r="F517" s="176" t="s">
        <v>127</v>
      </c>
      <c r="G517" s="177">
        <v>24</v>
      </c>
      <c r="H517" s="176" t="s">
        <v>623</v>
      </c>
      <c r="I517" s="176" t="s">
        <v>564</v>
      </c>
      <c r="J517" s="176"/>
      <c r="K517" s="176" t="s">
        <v>593</v>
      </c>
      <c r="L517" s="176"/>
      <c r="M517" s="176"/>
      <c r="N517" s="179">
        <f t="shared" si="54"/>
        <v>456</v>
      </c>
      <c r="O517" s="179">
        <f t="shared" si="55"/>
        <v>384</v>
      </c>
      <c r="P517" s="180">
        <f t="shared" si="50"/>
        <v>840</v>
      </c>
      <c r="Q517" s="181">
        <f t="shared" si="51"/>
        <v>1.0120481927710843</v>
      </c>
      <c r="R517" s="122">
        <f t="shared" si="52"/>
        <v>168</v>
      </c>
      <c r="S517" s="122">
        <f t="shared" si="53"/>
        <v>0.80963855421686748</v>
      </c>
      <c r="T517" s="133">
        <v>0.8</v>
      </c>
    </row>
    <row r="518" spans="1:20" ht="15.75" hidden="1" customHeight="1" x14ac:dyDescent="0.3">
      <c r="A518" s="194" t="s">
        <v>59</v>
      </c>
      <c r="B518" s="176" t="s">
        <v>370</v>
      </c>
      <c r="C518" s="176" t="s">
        <v>87</v>
      </c>
      <c r="D518" s="176" t="s">
        <v>624</v>
      </c>
      <c r="E518" s="177">
        <v>3</v>
      </c>
      <c r="F518" s="176" t="s">
        <v>127</v>
      </c>
      <c r="G518" s="178"/>
      <c r="H518" s="176" t="s">
        <v>623</v>
      </c>
      <c r="I518" s="176" t="s">
        <v>564</v>
      </c>
      <c r="J518" s="176"/>
      <c r="K518" s="176" t="s">
        <v>593</v>
      </c>
      <c r="L518" s="176"/>
      <c r="M518" s="176"/>
      <c r="N518" s="179">
        <f t="shared" si="54"/>
        <v>456</v>
      </c>
      <c r="O518" s="179">
        <f t="shared" si="55"/>
        <v>384</v>
      </c>
      <c r="P518" s="180">
        <f t="shared" si="50"/>
        <v>840</v>
      </c>
      <c r="Q518" s="181">
        <f t="shared" si="51"/>
        <v>1.0120481927710843</v>
      </c>
      <c r="R518" s="122">
        <f t="shared" si="52"/>
        <v>168</v>
      </c>
      <c r="S518" s="122">
        <f t="shared" si="53"/>
        <v>0.80963855421686748</v>
      </c>
      <c r="T518" s="133">
        <v>0.8</v>
      </c>
    </row>
    <row r="519" spans="1:20" ht="15.75" customHeight="1" x14ac:dyDescent="0.3">
      <c r="A519" s="194" t="s">
        <v>59</v>
      </c>
      <c r="B519" s="176" t="s">
        <v>370</v>
      </c>
      <c r="C519" s="176" t="s">
        <v>87</v>
      </c>
      <c r="D519" s="176" t="s">
        <v>624</v>
      </c>
      <c r="E519" s="177">
        <v>1</v>
      </c>
      <c r="F519" s="176" t="s">
        <v>127</v>
      </c>
      <c r="G519" s="178"/>
      <c r="H519" s="176"/>
      <c r="I519" s="176" t="s">
        <v>500</v>
      </c>
      <c r="J519" s="176"/>
      <c r="K519" s="176" t="s">
        <v>593</v>
      </c>
      <c r="L519" s="176"/>
      <c r="M519" s="176"/>
      <c r="N519" s="179">
        <f t="shared" si="54"/>
        <v>14.5</v>
      </c>
      <c r="O519" s="179">
        <f t="shared" si="55"/>
        <v>78</v>
      </c>
      <c r="P519" s="180">
        <f t="shared" si="50"/>
        <v>92.5</v>
      </c>
      <c r="Q519" s="181">
        <f t="shared" si="51"/>
        <v>0.11144578313253012</v>
      </c>
      <c r="R519" s="122">
        <f t="shared" si="52"/>
        <v>18.5</v>
      </c>
      <c r="S519" s="122">
        <f t="shared" si="53"/>
        <v>8.91566265060241E-2</v>
      </c>
      <c r="T519" s="133">
        <v>0</v>
      </c>
    </row>
    <row r="520" spans="1:20" ht="15.75" hidden="1" customHeight="1" x14ac:dyDescent="0.3">
      <c r="A520" s="194" t="s">
        <v>59</v>
      </c>
      <c r="B520" s="176" t="s">
        <v>370</v>
      </c>
      <c r="C520" s="176" t="s">
        <v>79</v>
      </c>
      <c r="D520" s="176" t="s">
        <v>624</v>
      </c>
      <c r="E520" s="177">
        <v>16</v>
      </c>
      <c r="F520" s="176" t="s">
        <v>127</v>
      </c>
      <c r="G520" s="177">
        <v>16</v>
      </c>
      <c r="H520" s="176" t="s">
        <v>623</v>
      </c>
      <c r="I520" s="176" t="s">
        <v>564</v>
      </c>
      <c r="J520" s="176"/>
      <c r="K520" s="176" t="s">
        <v>593</v>
      </c>
      <c r="L520" s="176"/>
      <c r="M520" s="176"/>
      <c r="N520" s="179">
        <f t="shared" si="54"/>
        <v>456</v>
      </c>
      <c r="O520" s="179">
        <f t="shared" si="55"/>
        <v>384</v>
      </c>
      <c r="P520" s="180">
        <f t="shared" si="50"/>
        <v>840</v>
      </c>
      <c r="Q520" s="181">
        <f t="shared" si="51"/>
        <v>1.0120481927710843</v>
      </c>
      <c r="R520" s="122">
        <f t="shared" si="52"/>
        <v>168</v>
      </c>
      <c r="S520" s="122">
        <f t="shared" si="53"/>
        <v>0.80963855421686748</v>
      </c>
      <c r="T520" s="133">
        <v>0.8</v>
      </c>
    </row>
    <row r="521" spans="1:20" ht="15.75" hidden="1" customHeight="1" x14ac:dyDescent="0.3">
      <c r="A521" s="194" t="s">
        <v>59</v>
      </c>
      <c r="B521" s="176" t="s">
        <v>370</v>
      </c>
      <c r="C521" s="176" t="s">
        <v>100</v>
      </c>
      <c r="D521" s="176" t="s">
        <v>624</v>
      </c>
      <c r="E521" s="177">
        <v>16</v>
      </c>
      <c r="F521" s="176" t="s">
        <v>127</v>
      </c>
      <c r="G521" s="177">
        <v>16</v>
      </c>
      <c r="H521" s="176" t="s">
        <v>623</v>
      </c>
      <c r="I521" s="176" t="s">
        <v>564</v>
      </c>
      <c r="J521" s="176"/>
      <c r="K521" s="176" t="s">
        <v>593</v>
      </c>
      <c r="L521" s="176"/>
      <c r="M521" s="176"/>
      <c r="N521" s="179">
        <f t="shared" si="54"/>
        <v>456</v>
      </c>
      <c r="O521" s="179">
        <f t="shared" si="55"/>
        <v>384</v>
      </c>
      <c r="P521" s="180">
        <f t="shared" si="50"/>
        <v>840</v>
      </c>
      <c r="Q521" s="181">
        <f t="shared" si="51"/>
        <v>1.0120481927710843</v>
      </c>
      <c r="R521" s="122">
        <f t="shared" si="52"/>
        <v>168</v>
      </c>
      <c r="S521" s="122">
        <f t="shared" si="53"/>
        <v>0.80963855421686748</v>
      </c>
      <c r="T521" s="133">
        <v>0.8</v>
      </c>
    </row>
    <row r="522" spans="1:20" ht="15.75" hidden="1" customHeight="1" x14ac:dyDescent="0.3">
      <c r="A522" s="194" t="s">
        <v>59</v>
      </c>
      <c r="B522" s="176" t="s">
        <v>370</v>
      </c>
      <c r="C522" s="176" t="s">
        <v>80</v>
      </c>
      <c r="D522" s="176" t="s">
        <v>624</v>
      </c>
      <c r="E522" s="177">
        <v>1</v>
      </c>
      <c r="F522" s="176" t="s">
        <v>127</v>
      </c>
      <c r="G522" s="178"/>
      <c r="H522" s="176" t="s">
        <v>623</v>
      </c>
      <c r="I522" s="176" t="s">
        <v>564</v>
      </c>
      <c r="J522" s="176"/>
      <c r="K522" s="176" t="s">
        <v>593</v>
      </c>
      <c r="L522" s="176"/>
      <c r="M522" s="176"/>
      <c r="N522" s="179">
        <f t="shared" si="54"/>
        <v>456</v>
      </c>
      <c r="O522" s="179">
        <f t="shared" si="55"/>
        <v>384</v>
      </c>
      <c r="P522" s="180">
        <f t="shared" ref="P522:P585" si="56">N522+O522</f>
        <v>840</v>
      </c>
      <c r="Q522" s="181">
        <f t="shared" ref="Q522:Q585" si="57">P522/$Q$1</f>
        <v>1.0120481927710843</v>
      </c>
      <c r="R522" s="122">
        <f t="shared" ref="R522:R585" si="58">P522*0.2</f>
        <v>168</v>
      </c>
      <c r="S522" s="122">
        <f t="shared" ref="S522:S585" si="59">Q522*0.8</f>
        <v>0.80963855421686748</v>
      </c>
      <c r="T522" s="133">
        <v>0.8</v>
      </c>
    </row>
    <row r="523" spans="1:20" ht="15.75" hidden="1" customHeight="1" x14ac:dyDescent="0.3">
      <c r="A523" s="194" t="s">
        <v>59</v>
      </c>
      <c r="B523" s="176" t="s">
        <v>371</v>
      </c>
      <c r="C523" s="176" t="s">
        <v>73</v>
      </c>
      <c r="D523" s="176" t="s">
        <v>590</v>
      </c>
      <c r="E523" s="177">
        <v>34</v>
      </c>
      <c r="F523" s="176" t="s">
        <v>591</v>
      </c>
      <c r="G523" s="177">
        <v>34</v>
      </c>
      <c r="H523" s="176" t="s">
        <v>601</v>
      </c>
      <c r="I523" s="176" t="s">
        <v>116</v>
      </c>
      <c r="J523" s="176"/>
      <c r="K523" s="176" t="s">
        <v>593</v>
      </c>
      <c r="L523" s="176"/>
      <c r="M523" s="176"/>
      <c r="N523" s="179">
        <f t="shared" si="54"/>
        <v>233</v>
      </c>
      <c r="O523" s="179">
        <f t="shared" si="55"/>
        <v>200</v>
      </c>
      <c r="P523" s="180">
        <f t="shared" si="56"/>
        <v>433</v>
      </c>
      <c r="Q523" s="181">
        <f t="shared" si="57"/>
        <v>0.52168674698795181</v>
      </c>
      <c r="R523" s="122">
        <f t="shared" si="58"/>
        <v>86.600000000000009</v>
      </c>
      <c r="S523" s="122">
        <f t="shared" si="59"/>
        <v>0.41734939759036149</v>
      </c>
      <c r="T523" s="185">
        <v>0.5</v>
      </c>
    </row>
    <row r="524" spans="1:20" ht="15.75" hidden="1" customHeight="1" x14ac:dyDescent="0.3">
      <c r="A524" s="194" t="s">
        <v>59</v>
      </c>
      <c r="B524" s="176" t="s">
        <v>371</v>
      </c>
      <c r="C524" s="176" t="s">
        <v>87</v>
      </c>
      <c r="D524" s="176" t="s">
        <v>590</v>
      </c>
      <c r="E524" s="177">
        <v>3</v>
      </c>
      <c r="F524" s="176" t="s">
        <v>591</v>
      </c>
      <c r="G524" s="178"/>
      <c r="H524" s="176" t="s">
        <v>601</v>
      </c>
      <c r="I524" s="176" t="s">
        <v>116</v>
      </c>
      <c r="J524" s="176"/>
      <c r="K524" s="176" t="s">
        <v>593</v>
      </c>
      <c r="L524" s="176"/>
      <c r="M524" s="176"/>
      <c r="N524" s="179">
        <f t="shared" si="54"/>
        <v>233</v>
      </c>
      <c r="O524" s="179">
        <f t="shared" si="55"/>
        <v>200</v>
      </c>
      <c r="P524" s="180">
        <f t="shared" si="56"/>
        <v>433</v>
      </c>
      <c r="Q524" s="181">
        <f t="shared" si="57"/>
        <v>0.52168674698795181</v>
      </c>
      <c r="R524" s="122">
        <f t="shared" si="58"/>
        <v>86.600000000000009</v>
      </c>
      <c r="S524" s="122">
        <f t="shared" si="59"/>
        <v>0.41734939759036149</v>
      </c>
      <c r="T524" s="185">
        <v>0.5</v>
      </c>
    </row>
    <row r="525" spans="1:20" ht="15.75" customHeight="1" x14ac:dyDescent="0.3">
      <c r="A525" s="194" t="s">
        <v>59</v>
      </c>
      <c r="B525" s="176" t="s">
        <v>371</v>
      </c>
      <c r="C525" s="176" t="s">
        <v>87</v>
      </c>
      <c r="D525" s="176" t="s">
        <v>590</v>
      </c>
      <c r="E525" s="177">
        <v>1</v>
      </c>
      <c r="F525" s="176" t="s">
        <v>591</v>
      </c>
      <c r="G525" s="178"/>
      <c r="H525" s="176"/>
      <c r="I525" s="176" t="s">
        <v>500</v>
      </c>
      <c r="J525" s="176"/>
      <c r="K525" s="176" t="s">
        <v>593</v>
      </c>
      <c r="L525" s="176"/>
      <c r="M525" s="176"/>
      <c r="N525" s="179">
        <f t="shared" si="54"/>
        <v>14.5</v>
      </c>
      <c r="O525" s="179">
        <f t="shared" si="55"/>
        <v>78</v>
      </c>
      <c r="P525" s="180">
        <f t="shared" si="56"/>
        <v>92.5</v>
      </c>
      <c r="Q525" s="181">
        <f t="shared" si="57"/>
        <v>0.11144578313253012</v>
      </c>
      <c r="R525" s="122">
        <f t="shared" si="58"/>
        <v>18.5</v>
      </c>
      <c r="S525" s="122">
        <f t="shared" si="59"/>
        <v>8.91566265060241E-2</v>
      </c>
      <c r="T525" s="133">
        <v>0</v>
      </c>
    </row>
    <row r="526" spans="1:20" ht="15.75" hidden="1" customHeight="1" x14ac:dyDescent="0.3">
      <c r="A526" s="194" t="s">
        <v>59</v>
      </c>
      <c r="B526" s="176" t="s">
        <v>371</v>
      </c>
      <c r="C526" s="176" t="s">
        <v>79</v>
      </c>
      <c r="D526" s="176" t="s">
        <v>590</v>
      </c>
      <c r="E526" s="177">
        <v>34</v>
      </c>
      <c r="F526" s="176" t="s">
        <v>591</v>
      </c>
      <c r="G526" s="177">
        <v>34</v>
      </c>
      <c r="H526" s="176" t="s">
        <v>601</v>
      </c>
      <c r="I526" s="176" t="s">
        <v>116</v>
      </c>
      <c r="J526" s="176"/>
      <c r="K526" s="176" t="s">
        <v>593</v>
      </c>
      <c r="L526" s="176"/>
      <c r="M526" s="176"/>
      <c r="N526" s="179">
        <f t="shared" si="54"/>
        <v>233</v>
      </c>
      <c r="O526" s="179">
        <f t="shared" si="55"/>
        <v>200</v>
      </c>
      <c r="P526" s="180">
        <f t="shared" si="56"/>
        <v>433</v>
      </c>
      <c r="Q526" s="181">
        <f t="shared" si="57"/>
        <v>0.52168674698795181</v>
      </c>
      <c r="R526" s="122">
        <f t="shared" si="58"/>
        <v>86.600000000000009</v>
      </c>
      <c r="S526" s="122">
        <f t="shared" si="59"/>
        <v>0.41734939759036149</v>
      </c>
      <c r="T526" s="185">
        <v>0.5</v>
      </c>
    </row>
    <row r="527" spans="1:20" ht="15.75" hidden="1" customHeight="1" x14ac:dyDescent="0.3">
      <c r="A527" s="194" t="s">
        <v>59</v>
      </c>
      <c r="B527" s="176" t="s">
        <v>371</v>
      </c>
      <c r="C527" s="176" t="s">
        <v>80</v>
      </c>
      <c r="D527" s="176" t="s">
        <v>590</v>
      </c>
      <c r="E527" s="177">
        <v>1</v>
      </c>
      <c r="F527" s="176" t="s">
        <v>591</v>
      </c>
      <c r="G527" s="178"/>
      <c r="H527" s="176" t="s">
        <v>601</v>
      </c>
      <c r="I527" s="176" t="s">
        <v>116</v>
      </c>
      <c r="J527" s="176"/>
      <c r="K527" s="176" t="s">
        <v>593</v>
      </c>
      <c r="L527" s="176"/>
      <c r="M527" s="176"/>
      <c r="N527" s="179">
        <f t="shared" si="54"/>
        <v>233</v>
      </c>
      <c r="O527" s="179">
        <f t="shared" si="55"/>
        <v>200</v>
      </c>
      <c r="P527" s="180">
        <f t="shared" si="56"/>
        <v>433</v>
      </c>
      <c r="Q527" s="181">
        <f t="shared" si="57"/>
        <v>0.52168674698795181</v>
      </c>
      <c r="R527" s="122">
        <f t="shared" si="58"/>
        <v>86.600000000000009</v>
      </c>
      <c r="S527" s="122">
        <f t="shared" si="59"/>
        <v>0.41734939759036149</v>
      </c>
      <c r="T527" s="185">
        <v>0.5</v>
      </c>
    </row>
    <row r="528" spans="1:20" ht="15.75" customHeight="1" x14ac:dyDescent="0.3">
      <c r="A528" s="194" t="s">
        <v>59</v>
      </c>
      <c r="B528" s="176" t="s">
        <v>371</v>
      </c>
      <c r="C528" s="176" t="s">
        <v>80</v>
      </c>
      <c r="D528" s="176" t="s">
        <v>590</v>
      </c>
      <c r="E528" s="177">
        <v>1</v>
      </c>
      <c r="F528" s="176" t="s">
        <v>591</v>
      </c>
      <c r="G528" s="178"/>
      <c r="H528" s="176"/>
      <c r="I528" s="176" t="s">
        <v>500</v>
      </c>
      <c r="J528" s="176"/>
      <c r="K528" s="176" t="s">
        <v>593</v>
      </c>
      <c r="L528" s="176"/>
      <c r="M528" s="176"/>
      <c r="N528" s="179">
        <f t="shared" si="54"/>
        <v>14.5</v>
      </c>
      <c r="O528" s="179">
        <f t="shared" si="55"/>
        <v>78</v>
      </c>
      <c r="P528" s="180">
        <f t="shared" si="56"/>
        <v>92.5</v>
      </c>
      <c r="Q528" s="181">
        <f t="shared" si="57"/>
        <v>0.11144578313253012</v>
      </c>
      <c r="R528" s="122">
        <f t="shared" si="58"/>
        <v>18.5</v>
      </c>
      <c r="S528" s="122">
        <f t="shared" si="59"/>
        <v>8.91566265060241E-2</v>
      </c>
      <c r="T528" s="133">
        <v>0</v>
      </c>
    </row>
    <row r="529" spans="1:20" ht="15.75" hidden="1" customHeight="1" x14ac:dyDescent="0.3">
      <c r="A529" s="194" t="s">
        <v>59</v>
      </c>
      <c r="B529" s="176" t="s">
        <v>143</v>
      </c>
      <c r="C529" s="176" t="s">
        <v>73</v>
      </c>
      <c r="D529" s="176" t="s">
        <v>590</v>
      </c>
      <c r="E529" s="177">
        <v>24</v>
      </c>
      <c r="F529" s="176" t="s">
        <v>591</v>
      </c>
      <c r="G529" s="177">
        <v>24</v>
      </c>
      <c r="H529" s="176" t="s">
        <v>597</v>
      </c>
      <c r="I529" s="176" t="s">
        <v>109</v>
      </c>
      <c r="J529" s="176"/>
      <c r="K529" s="176" t="s">
        <v>593</v>
      </c>
      <c r="L529" s="176"/>
      <c r="M529" s="176"/>
      <c r="N529" s="179">
        <f t="shared" si="54"/>
        <v>169</v>
      </c>
      <c r="O529" s="179">
        <f t="shared" si="55"/>
        <v>340</v>
      </c>
      <c r="P529" s="180">
        <f t="shared" si="56"/>
        <v>509</v>
      </c>
      <c r="Q529" s="181">
        <f t="shared" si="57"/>
        <v>0.61325301204819282</v>
      </c>
      <c r="R529" s="122">
        <f t="shared" si="58"/>
        <v>101.80000000000001</v>
      </c>
      <c r="S529" s="122">
        <f t="shared" si="59"/>
        <v>0.49060240963855428</v>
      </c>
      <c r="T529" s="133">
        <v>0.4</v>
      </c>
    </row>
    <row r="530" spans="1:20" ht="15.75" hidden="1" customHeight="1" x14ac:dyDescent="0.3">
      <c r="A530" s="194" t="s">
        <v>59</v>
      </c>
      <c r="B530" s="176" t="s">
        <v>143</v>
      </c>
      <c r="C530" s="176" t="s">
        <v>123</v>
      </c>
      <c r="D530" s="176" t="s">
        <v>590</v>
      </c>
      <c r="E530" s="177">
        <v>26</v>
      </c>
      <c r="F530" s="176" t="s">
        <v>591</v>
      </c>
      <c r="G530" s="178"/>
      <c r="H530" s="176" t="s">
        <v>597</v>
      </c>
      <c r="I530" s="176" t="s">
        <v>109</v>
      </c>
      <c r="J530" s="176"/>
      <c r="K530" s="176" t="s">
        <v>593</v>
      </c>
      <c r="L530" s="176"/>
      <c r="M530" s="176"/>
      <c r="N530" s="179">
        <f t="shared" si="54"/>
        <v>169</v>
      </c>
      <c r="O530" s="179">
        <f t="shared" si="55"/>
        <v>340</v>
      </c>
      <c r="P530" s="180">
        <f t="shared" si="56"/>
        <v>509</v>
      </c>
      <c r="Q530" s="181">
        <f t="shared" si="57"/>
        <v>0.61325301204819282</v>
      </c>
      <c r="R530" s="122">
        <f t="shared" si="58"/>
        <v>101.80000000000001</v>
      </c>
      <c r="S530" s="122">
        <f t="shared" si="59"/>
        <v>0.49060240963855428</v>
      </c>
      <c r="T530" s="133">
        <v>0.4</v>
      </c>
    </row>
    <row r="531" spans="1:20" ht="15.75" hidden="1" customHeight="1" x14ac:dyDescent="0.3">
      <c r="A531" s="194" t="s">
        <v>59</v>
      </c>
      <c r="B531" s="176" t="s">
        <v>143</v>
      </c>
      <c r="C531" s="176" t="s">
        <v>87</v>
      </c>
      <c r="D531" s="176" t="s">
        <v>590</v>
      </c>
      <c r="E531" s="177">
        <v>3</v>
      </c>
      <c r="F531" s="176" t="s">
        <v>591</v>
      </c>
      <c r="G531" s="178"/>
      <c r="H531" s="176" t="s">
        <v>597</v>
      </c>
      <c r="I531" s="176" t="s">
        <v>109</v>
      </c>
      <c r="J531" s="176"/>
      <c r="K531" s="176" t="s">
        <v>593</v>
      </c>
      <c r="L531" s="176"/>
      <c r="M531" s="176"/>
      <c r="N531" s="179">
        <f t="shared" si="54"/>
        <v>169</v>
      </c>
      <c r="O531" s="179">
        <f t="shared" si="55"/>
        <v>340</v>
      </c>
      <c r="P531" s="180">
        <f t="shared" si="56"/>
        <v>509</v>
      </c>
      <c r="Q531" s="181">
        <f t="shared" si="57"/>
        <v>0.61325301204819282</v>
      </c>
      <c r="R531" s="122">
        <f t="shared" si="58"/>
        <v>101.80000000000001</v>
      </c>
      <c r="S531" s="122">
        <f t="shared" si="59"/>
        <v>0.49060240963855428</v>
      </c>
      <c r="T531" s="133">
        <v>0.4</v>
      </c>
    </row>
    <row r="532" spans="1:20" ht="15.75" hidden="1" customHeight="1" x14ac:dyDescent="0.3">
      <c r="A532" s="194" t="s">
        <v>59</v>
      </c>
      <c r="B532" s="176" t="s">
        <v>143</v>
      </c>
      <c r="C532" s="176" t="s">
        <v>87</v>
      </c>
      <c r="D532" s="176" t="s">
        <v>590</v>
      </c>
      <c r="E532" s="177">
        <v>1</v>
      </c>
      <c r="F532" s="176" t="s">
        <v>591</v>
      </c>
      <c r="G532" s="178"/>
      <c r="H532" s="176" t="s">
        <v>597</v>
      </c>
      <c r="I532" s="176" t="s">
        <v>109</v>
      </c>
      <c r="J532" s="176"/>
      <c r="K532" s="176" t="s">
        <v>593</v>
      </c>
      <c r="L532" s="176"/>
      <c r="M532" s="176"/>
      <c r="N532" s="179">
        <f t="shared" si="54"/>
        <v>169</v>
      </c>
      <c r="O532" s="179">
        <f t="shared" si="55"/>
        <v>340</v>
      </c>
      <c r="P532" s="180">
        <f t="shared" si="56"/>
        <v>509</v>
      </c>
      <c r="Q532" s="181">
        <f t="shared" si="57"/>
        <v>0.61325301204819282</v>
      </c>
      <c r="R532" s="122">
        <f t="shared" si="58"/>
        <v>101.80000000000001</v>
      </c>
      <c r="S532" s="122">
        <f t="shared" si="59"/>
        <v>0.49060240963855428</v>
      </c>
      <c r="T532" s="133">
        <v>0.4</v>
      </c>
    </row>
    <row r="533" spans="1:20" ht="15.75" hidden="1" customHeight="1" x14ac:dyDescent="0.3">
      <c r="A533" s="194" t="s">
        <v>59</v>
      </c>
      <c r="B533" s="176" t="s">
        <v>143</v>
      </c>
      <c r="C533" s="176" t="s">
        <v>79</v>
      </c>
      <c r="D533" s="176" t="s">
        <v>590</v>
      </c>
      <c r="E533" s="177">
        <v>40</v>
      </c>
      <c r="F533" s="176" t="s">
        <v>591</v>
      </c>
      <c r="G533" s="177">
        <v>40</v>
      </c>
      <c r="H533" s="176" t="s">
        <v>597</v>
      </c>
      <c r="I533" s="176" t="s">
        <v>109</v>
      </c>
      <c r="J533" s="176"/>
      <c r="K533" s="176" t="s">
        <v>593</v>
      </c>
      <c r="L533" s="176"/>
      <c r="M533" s="176"/>
      <c r="N533" s="179">
        <f t="shared" si="54"/>
        <v>169</v>
      </c>
      <c r="O533" s="179">
        <f t="shared" si="55"/>
        <v>340</v>
      </c>
      <c r="P533" s="180">
        <f t="shared" si="56"/>
        <v>509</v>
      </c>
      <c r="Q533" s="181">
        <f t="shared" si="57"/>
        <v>0.61325301204819282</v>
      </c>
      <c r="R533" s="122">
        <f t="shared" si="58"/>
        <v>101.80000000000001</v>
      </c>
      <c r="S533" s="122">
        <f t="shared" si="59"/>
        <v>0.49060240963855428</v>
      </c>
      <c r="T533" s="133">
        <v>0.4</v>
      </c>
    </row>
    <row r="534" spans="1:20" ht="15.75" hidden="1" customHeight="1" x14ac:dyDescent="0.3">
      <c r="A534" s="194" t="s">
        <v>59</v>
      </c>
      <c r="B534" s="176" t="s">
        <v>143</v>
      </c>
      <c r="C534" s="176" t="s">
        <v>80</v>
      </c>
      <c r="D534" s="176" t="s">
        <v>590</v>
      </c>
      <c r="E534" s="177">
        <v>1</v>
      </c>
      <c r="F534" s="176" t="s">
        <v>591</v>
      </c>
      <c r="G534" s="178"/>
      <c r="H534" s="176" t="s">
        <v>597</v>
      </c>
      <c r="I534" s="176" t="s">
        <v>109</v>
      </c>
      <c r="J534" s="176"/>
      <c r="K534" s="176" t="s">
        <v>593</v>
      </c>
      <c r="L534" s="176"/>
      <c r="M534" s="176"/>
      <c r="N534" s="179">
        <f t="shared" si="54"/>
        <v>169</v>
      </c>
      <c r="O534" s="179">
        <f t="shared" si="55"/>
        <v>340</v>
      </c>
      <c r="P534" s="180">
        <f t="shared" si="56"/>
        <v>509</v>
      </c>
      <c r="Q534" s="181">
        <f t="shared" si="57"/>
        <v>0.61325301204819282</v>
      </c>
      <c r="R534" s="122">
        <f t="shared" si="58"/>
        <v>101.80000000000001</v>
      </c>
      <c r="S534" s="122">
        <f t="shared" si="59"/>
        <v>0.49060240963855428</v>
      </c>
      <c r="T534" s="133">
        <v>0.4</v>
      </c>
    </row>
    <row r="535" spans="1:20" ht="15.75" hidden="1" customHeight="1" x14ac:dyDescent="0.3">
      <c r="A535" s="194" t="s">
        <v>59</v>
      </c>
      <c r="B535" s="176" t="s">
        <v>373</v>
      </c>
      <c r="C535" s="176" t="s">
        <v>73</v>
      </c>
      <c r="D535" s="176" t="s">
        <v>599</v>
      </c>
      <c r="E535" s="177">
        <v>16</v>
      </c>
      <c r="F535" s="176" t="s">
        <v>600</v>
      </c>
      <c r="G535" s="177">
        <v>16</v>
      </c>
      <c r="H535" s="176" t="s">
        <v>601</v>
      </c>
      <c r="I535" s="176" t="s">
        <v>116</v>
      </c>
      <c r="J535" s="176"/>
      <c r="K535" s="176" t="s">
        <v>593</v>
      </c>
      <c r="L535" s="176"/>
      <c r="M535" s="176"/>
      <c r="N535" s="179">
        <f t="shared" si="54"/>
        <v>233</v>
      </c>
      <c r="O535" s="179">
        <f t="shared" si="55"/>
        <v>200</v>
      </c>
      <c r="P535" s="180">
        <f t="shared" si="56"/>
        <v>433</v>
      </c>
      <c r="Q535" s="181">
        <f t="shared" si="57"/>
        <v>0.52168674698795181</v>
      </c>
      <c r="R535" s="122">
        <f t="shared" si="58"/>
        <v>86.600000000000009</v>
      </c>
      <c r="S535" s="122">
        <f t="shared" si="59"/>
        <v>0.41734939759036149</v>
      </c>
      <c r="T535" s="185">
        <v>0.5</v>
      </c>
    </row>
    <row r="536" spans="1:20" ht="15.75" hidden="1" customHeight="1" x14ac:dyDescent="0.3">
      <c r="A536" s="194" t="s">
        <v>59</v>
      </c>
      <c r="B536" s="176" t="s">
        <v>373</v>
      </c>
      <c r="C536" s="176" t="s">
        <v>87</v>
      </c>
      <c r="D536" s="176" t="s">
        <v>599</v>
      </c>
      <c r="E536" s="177">
        <v>2</v>
      </c>
      <c r="F536" s="176" t="s">
        <v>600</v>
      </c>
      <c r="G536" s="178"/>
      <c r="H536" s="176" t="s">
        <v>601</v>
      </c>
      <c r="I536" s="176" t="s">
        <v>116</v>
      </c>
      <c r="J536" s="176"/>
      <c r="K536" s="176" t="s">
        <v>593</v>
      </c>
      <c r="L536" s="176"/>
      <c r="M536" s="176"/>
      <c r="N536" s="179">
        <f t="shared" si="54"/>
        <v>233</v>
      </c>
      <c r="O536" s="179">
        <f t="shared" si="55"/>
        <v>200</v>
      </c>
      <c r="P536" s="180">
        <f t="shared" si="56"/>
        <v>433</v>
      </c>
      <c r="Q536" s="181">
        <f t="shared" si="57"/>
        <v>0.52168674698795181</v>
      </c>
      <c r="R536" s="122">
        <f t="shared" si="58"/>
        <v>86.600000000000009</v>
      </c>
      <c r="S536" s="122">
        <f t="shared" si="59"/>
        <v>0.41734939759036149</v>
      </c>
      <c r="T536" s="185">
        <v>0.5</v>
      </c>
    </row>
    <row r="537" spans="1:20" ht="15.75" customHeight="1" x14ac:dyDescent="0.3">
      <c r="A537" s="194" t="s">
        <v>59</v>
      </c>
      <c r="B537" s="176" t="s">
        <v>373</v>
      </c>
      <c r="C537" s="176" t="s">
        <v>87</v>
      </c>
      <c r="D537" s="176" t="s">
        <v>599</v>
      </c>
      <c r="E537" s="177">
        <v>1</v>
      </c>
      <c r="F537" s="176" t="s">
        <v>600</v>
      </c>
      <c r="G537" s="178"/>
      <c r="H537" s="176"/>
      <c r="I537" s="176" t="s">
        <v>500</v>
      </c>
      <c r="J537" s="176"/>
      <c r="K537" s="176" t="s">
        <v>593</v>
      </c>
      <c r="L537" s="176"/>
      <c r="M537" s="176"/>
      <c r="N537" s="179">
        <f t="shared" si="54"/>
        <v>14.5</v>
      </c>
      <c r="O537" s="179">
        <f t="shared" si="55"/>
        <v>78</v>
      </c>
      <c r="P537" s="180">
        <f t="shared" si="56"/>
        <v>92.5</v>
      </c>
      <c r="Q537" s="181">
        <f t="shared" si="57"/>
        <v>0.11144578313253012</v>
      </c>
      <c r="R537" s="122">
        <f t="shared" si="58"/>
        <v>18.5</v>
      </c>
      <c r="S537" s="122">
        <f t="shared" si="59"/>
        <v>8.91566265060241E-2</v>
      </c>
      <c r="T537" s="133">
        <v>0</v>
      </c>
    </row>
    <row r="538" spans="1:20" ht="15.75" hidden="1" customHeight="1" x14ac:dyDescent="0.3">
      <c r="A538" s="194" t="s">
        <v>59</v>
      </c>
      <c r="B538" s="176" t="s">
        <v>373</v>
      </c>
      <c r="C538" s="176" t="s">
        <v>79</v>
      </c>
      <c r="D538" s="176" t="s">
        <v>599</v>
      </c>
      <c r="E538" s="177">
        <v>40</v>
      </c>
      <c r="F538" s="176" t="s">
        <v>600</v>
      </c>
      <c r="G538" s="177">
        <v>40</v>
      </c>
      <c r="H538" s="176" t="s">
        <v>601</v>
      </c>
      <c r="I538" s="176" t="s">
        <v>116</v>
      </c>
      <c r="J538" s="176"/>
      <c r="K538" s="176" t="s">
        <v>593</v>
      </c>
      <c r="L538" s="176"/>
      <c r="M538" s="176"/>
      <c r="N538" s="179">
        <f t="shared" si="54"/>
        <v>233</v>
      </c>
      <c r="O538" s="179">
        <f t="shared" si="55"/>
        <v>200</v>
      </c>
      <c r="P538" s="180">
        <f t="shared" si="56"/>
        <v>433</v>
      </c>
      <c r="Q538" s="181">
        <f t="shared" si="57"/>
        <v>0.52168674698795181</v>
      </c>
      <c r="R538" s="122">
        <f t="shared" si="58"/>
        <v>86.600000000000009</v>
      </c>
      <c r="S538" s="122">
        <f t="shared" si="59"/>
        <v>0.41734939759036149</v>
      </c>
      <c r="T538" s="185">
        <v>0.5</v>
      </c>
    </row>
    <row r="539" spans="1:20" ht="15.75" hidden="1" customHeight="1" x14ac:dyDescent="0.3">
      <c r="A539" s="194" t="s">
        <v>59</v>
      </c>
      <c r="B539" s="176" t="s">
        <v>373</v>
      </c>
      <c r="C539" s="176" t="s">
        <v>80</v>
      </c>
      <c r="D539" s="176" t="s">
        <v>599</v>
      </c>
      <c r="E539" s="177">
        <v>1</v>
      </c>
      <c r="F539" s="176" t="s">
        <v>600</v>
      </c>
      <c r="G539" s="178"/>
      <c r="H539" s="176" t="s">
        <v>601</v>
      </c>
      <c r="I539" s="176" t="s">
        <v>116</v>
      </c>
      <c r="J539" s="176"/>
      <c r="K539" s="176" t="s">
        <v>593</v>
      </c>
      <c r="L539" s="176"/>
      <c r="M539" s="176"/>
      <c r="N539" s="179">
        <f t="shared" si="54"/>
        <v>233</v>
      </c>
      <c r="O539" s="179">
        <f t="shared" si="55"/>
        <v>200</v>
      </c>
      <c r="P539" s="180">
        <f t="shared" si="56"/>
        <v>433</v>
      </c>
      <c r="Q539" s="181">
        <f t="shared" si="57"/>
        <v>0.52168674698795181</v>
      </c>
      <c r="R539" s="122">
        <f t="shared" si="58"/>
        <v>86.600000000000009</v>
      </c>
      <c r="S539" s="122">
        <f t="shared" si="59"/>
        <v>0.41734939759036149</v>
      </c>
      <c r="T539" s="185">
        <v>0.5</v>
      </c>
    </row>
    <row r="540" spans="1:20" ht="15.75" hidden="1" customHeight="1" x14ac:dyDescent="0.3">
      <c r="A540" s="194" t="s">
        <v>59</v>
      </c>
      <c r="B540" s="176" t="s">
        <v>374</v>
      </c>
      <c r="C540" s="176" t="s">
        <v>73</v>
      </c>
      <c r="D540" s="176" t="s">
        <v>595</v>
      </c>
      <c r="E540" s="177">
        <v>24</v>
      </c>
      <c r="F540" s="176" t="s">
        <v>596</v>
      </c>
      <c r="G540" s="177">
        <v>24</v>
      </c>
      <c r="H540" s="176" t="s">
        <v>597</v>
      </c>
      <c r="I540" s="176" t="s">
        <v>109</v>
      </c>
      <c r="J540" s="176"/>
      <c r="K540" s="176" t="s">
        <v>593</v>
      </c>
      <c r="L540" s="176"/>
      <c r="M540" s="176"/>
      <c r="N540" s="179">
        <f t="shared" si="54"/>
        <v>169</v>
      </c>
      <c r="O540" s="179">
        <f t="shared" si="55"/>
        <v>340</v>
      </c>
      <c r="P540" s="180">
        <f t="shared" si="56"/>
        <v>509</v>
      </c>
      <c r="Q540" s="181">
        <f t="shared" si="57"/>
        <v>0.61325301204819282</v>
      </c>
      <c r="R540" s="122">
        <f t="shared" si="58"/>
        <v>101.80000000000001</v>
      </c>
      <c r="S540" s="122">
        <f t="shared" si="59"/>
        <v>0.49060240963855428</v>
      </c>
      <c r="T540" s="133">
        <v>0.4</v>
      </c>
    </row>
    <row r="541" spans="1:20" ht="15.75" hidden="1" customHeight="1" x14ac:dyDescent="0.3">
      <c r="A541" s="194" t="s">
        <v>59</v>
      </c>
      <c r="B541" s="182" t="s">
        <v>374</v>
      </c>
      <c r="C541" s="182" t="s">
        <v>123</v>
      </c>
      <c r="D541" s="182" t="s">
        <v>595</v>
      </c>
      <c r="E541" s="183">
        <v>24</v>
      </c>
      <c r="F541" s="182" t="s">
        <v>596</v>
      </c>
      <c r="G541" s="187"/>
      <c r="H541" s="182" t="s">
        <v>597</v>
      </c>
      <c r="I541" s="182" t="s">
        <v>104</v>
      </c>
      <c r="J541" s="176"/>
      <c r="K541" s="176" t="s">
        <v>593</v>
      </c>
      <c r="L541" s="176"/>
      <c r="M541" s="176"/>
      <c r="N541" s="179">
        <f t="shared" si="54"/>
        <v>188</v>
      </c>
      <c r="O541" s="179">
        <f t="shared" si="55"/>
        <v>294</v>
      </c>
      <c r="P541" s="180">
        <f t="shared" si="56"/>
        <v>482</v>
      </c>
      <c r="Q541" s="181">
        <f t="shared" si="57"/>
        <v>0.58072289156626511</v>
      </c>
      <c r="R541" s="122">
        <f t="shared" si="58"/>
        <v>96.4</v>
      </c>
      <c r="S541" s="122">
        <f t="shared" si="59"/>
        <v>0.46457831325301213</v>
      </c>
      <c r="T541" s="133">
        <v>0.5</v>
      </c>
    </row>
    <row r="542" spans="1:20" ht="15.75" hidden="1" customHeight="1" x14ac:dyDescent="0.3">
      <c r="A542" s="194" t="s">
        <v>59</v>
      </c>
      <c r="B542" s="176" t="s">
        <v>374</v>
      </c>
      <c r="C542" s="176" t="s">
        <v>87</v>
      </c>
      <c r="D542" s="176" t="s">
        <v>595</v>
      </c>
      <c r="E542" s="177">
        <v>3</v>
      </c>
      <c r="F542" s="176" t="s">
        <v>596</v>
      </c>
      <c r="G542" s="178"/>
      <c r="H542" s="176" t="s">
        <v>597</v>
      </c>
      <c r="I542" s="176" t="s">
        <v>109</v>
      </c>
      <c r="J542" s="176"/>
      <c r="K542" s="176" t="s">
        <v>593</v>
      </c>
      <c r="L542" s="176"/>
      <c r="M542" s="176"/>
      <c r="N542" s="179">
        <f t="shared" si="54"/>
        <v>169</v>
      </c>
      <c r="O542" s="179">
        <f t="shared" si="55"/>
        <v>340</v>
      </c>
      <c r="P542" s="180">
        <f t="shared" si="56"/>
        <v>509</v>
      </c>
      <c r="Q542" s="181">
        <f t="shared" si="57"/>
        <v>0.61325301204819282</v>
      </c>
      <c r="R542" s="122">
        <f t="shared" si="58"/>
        <v>101.80000000000001</v>
      </c>
      <c r="S542" s="122">
        <f t="shared" si="59"/>
        <v>0.49060240963855428</v>
      </c>
      <c r="T542" s="133">
        <v>0.4</v>
      </c>
    </row>
    <row r="543" spans="1:20" ht="15.75" customHeight="1" x14ac:dyDescent="0.3">
      <c r="A543" s="194" t="s">
        <v>59</v>
      </c>
      <c r="B543" s="176" t="s">
        <v>374</v>
      </c>
      <c r="C543" s="176" t="s">
        <v>87</v>
      </c>
      <c r="D543" s="176" t="s">
        <v>595</v>
      </c>
      <c r="E543" s="177">
        <v>1</v>
      </c>
      <c r="F543" s="176" t="s">
        <v>596</v>
      </c>
      <c r="G543" s="178"/>
      <c r="H543" s="176"/>
      <c r="I543" s="176" t="s">
        <v>500</v>
      </c>
      <c r="J543" s="176"/>
      <c r="K543" s="176" t="s">
        <v>593</v>
      </c>
      <c r="L543" s="176"/>
      <c r="M543" s="176"/>
      <c r="N543" s="179">
        <f t="shared" si="54"/>
        <v>14.5</v>
      </c>
      <c r="O543" s="179">
        <f t="shared" si="55"/>
        <v>78</v>
      </c>
      <c r="P543" s="180">
        <f t="shared" si="56"/>
        <v>92.5</v>
      </c>
      <c r="Q543" s="181">
        <f t="shared" si="57"/>
        <v>0.11144578313253012</v>
      </c>
      <c r="R543" s="122">
        <f t="shared" si="58"/>
        <v>18.5</v>
      </c>
      <c r="S543" s="122">
        <f t="shared" si="59"/>
        <v>8.91566265060241E-2</v>
      </c>
      <c r="T543" s="133">
        <v>0</v>
      </c>
    </row>
    <row r="544" spans="1:20" ht="15.75" hidden="1" customHeight="1" x14ac:dyDescent="0.3">
      <c r="A544" s="194" t="s">
        <v>59</v>
      </c>
      <c r="B544" s="176" t="s">
        <v>374</v>
      </c>
      <c r="C544" s="176" t="s">
        <v>79</v>
      </c>
      <c r="D544" s="176" t="s">
        <v>595</v>
      </c>
      <c r="E544" s="177">
        <v>40</v>
      </c>
      <c r="F544" s="176" t="s">
        <v>596</v>
      </c>
      <c r="G544" s="177">
        <v>40</v>
      </c>
      <c r="H544" s="176" t="s">
        <v>597</v>
      </c>
      <c r="I544" s="176" t="s">
        <v>109</v>
      </c>
      <c r="J544" s="176"/>
      <c r="K544" s="176" t="s">
        <v>593</v>
      </c>
      <c r="L544" s="176"/>
      <c r="M544" s="176"/>
      <c r="N544" s="179">
        <f t="shared" si="54"/>
        <v>169</v>
      </c>
      <c r="O544" s="179">
        <f t="shared" si="55"/>
        <v>340</v>
      </c>
      <c r="P544" s="180">
        <f t="shared" si="56"/>
        <v>509</v>
      </c>
      <c r="Q544" s="181">
        <f t="shared" si="57"/>
        <v>0.61325301204819282</v>
      </c>
      <c r="R544" s="122">
        <f t="shared" si="58"/>
        <v>101.80000000000001</v>
      </c>
      <c r="S544" s="122">
        <f t="shared" si="59"/>
        <v>0.49060240963855428</v>
      </c>
      <c r="T544" s="133">
        <v>0.4</v>
      </c>
    </row>
    <row r="545" spans="1:20" ht="15.75" hidden="1" customHeight="1" x14ac:dyDescent="0.3">
      <c r="A545" s="194" t="s">
        <v>59</v>
      </c>
      <c r="B545" s="176" t="s">
        <v>374</v>
      </c>
      <c r="C545" s="176" t="s">
        <v>80</v>
      </c>
      <c r="D545" s="176" t="s">
        <v>595</v>
      </c>
      <c r="E545" s="177">
        <v>1</v>
      </c>
      <c r="F545" s="176" t="s">
        <v>596</v>
      </c>
      <c r="G545" s="178"/>
      <c r="H545" s="176" t="s">
        <v>597</v>
      </c>
      <c r="I545" s="176" t="s">
        <v>109</v>
      </c>
      <c r="J545" s="176"/>
      <c r="K545" s="176" t="s">
        <v>593</v>
      </c>
      <c r="L545" s="176"/>
      <c r="M545" s="176"/>
      <c r="N545" s="179">
        <f t="shared" si="54"/>
        <v>169</v>
      </c>
      <c r="O545" s="179">
        <f t="shared" si="55"/>
        <v>340</v>
      </c>
      <c r="P545" s="180">
        <f t="shared" si="56"/>
        <v>509</v>
      </c>
      <c r="Q545" s="181">
        <f t="shared" si="57"/>
        <v>0.61325301204819282</v>
      </c>
      <c r="R545" s="122">
        <f t="shared" si="58"/>
        <v>101.80000000000001</v>
      </c>
      <c r="S545" s="122">
        <f t="shared" si="59"/>
        <v>0.49060240963855428</v>
      </c>
      <c r="T545" s="133">
        <v>0.4</v>
      </c>
    </row>
    <row r="546" spans="1:20" ht="15.75" hidden="1" customHeight="1" x14ac:dyDescent="0.3">
      <c r="A546" s="194" t="s">
        <v>59</v>
      </c>
      <c r="B546" s="176" t="s">
        <v>375</v>
      </c>
      <c r="C546" s="176" t="s">
        <v>73</v>
      </c>
      <c r="D546" s="176" t="s">
        <v>599</v>
      </c>
      <c r="E546" s="177">
        <v>34</v>
      </c>
      <c r="F546" s="176" t="s">
        <v>600</v>
      </c>
      <c r="G546" s="177">
        <v>34</v>
      </c>
      <c r="H546" s="176" t="s">
        <v>716</v>
      </c>
      <c r="I546" s="176" t="s">
        <v>260</v>
      </c>
      <c r="J546" s="176"/>
      <c r="K546" s="176" t="s">
        <v>593</v>
      </c>
      <c r="L546" s="176"/>
      <c r="M546" s="176"/>
      <c r="N546" s="179">
        <f t="shared" si="54"/>
        <v>84</v>
      </c>
      <c r="O546" s="179">
        <f t="shared" si="55"/>
        <v>62</v>
      </c>
      <c r="P546" s="180">
        <f t="shared" si="56"/>
        <v>146</v>
      </c>
      <c r="Q546" s="181">
        <f t="shared" si="57"/>
        <v>0.17590361445783131</v>
      </c>
      <c r="R546" s="122">
        <f t="shared" si="58"/>
        <v>29.200000000000003</v>
      </c>
      <c r="S546" s="122">
        <f t="shared" si="59"/>
        <v>0.14072289156626505</v>
      </c>
      <c r="T546" s="133">
        <v>0.15</v>
      </c>
    </row>
    <row r="547" spans="1:20" ht="15.75" hidden="1" customHeight="1" x14ac:dyDescent="0.3">
      <c r="A547" s="194" t="s">
        <v>59</v>
      </c>
      <c r="B547" s="176" t="s">
        <v>375</v>
      </c>
      <c r="C547" s="176" t="s">
        <v>79</v>
      </c>
      <c r="D547" s="176" t="s">
        <v>599</v>
      </c>
      <c r="E547" s="177">
        <v>22</v>
      </c>
      <c r="F547" s="176" t="s">
        <v>600</v>
      </c>
      <c r="G547" s="177">
        <v>22</v>
      </c>
      <c r="H547" s="176" t="s">
        <v>716</v>
      </c>
      <c r="I547" s="176" t="s">
        <v>260</v>
      </c>
      <c r="J547" s="176"/>
      <c r="K547" s="176" t="s">
        <v>593</v>
      </c>
      <c r="L547" s="176"/>
      <c r="M547" s="176"/>
      <c r="N547" s="179">
        <f t="shared" si="54"/>
        <v>84</v>
      </c>
      <c r="O547" s="179">
        <f t="shared" si="55"/>
        <v>62</v>
      </c>
      <c r="P547" s="180">
        <f t="shared" si="56"/>
        <v>146</v>
      </c>
      <c r="Q547" s="181">
        <f t="shared" si="57"/>
        <v>0.17590361445783131</v>
      </c>
      <c r="R547" s="122">
        <f t="shared" si="58"/>
        <v>29.200000000000003</v>
      </c>
      <c r="S547" s="122">
        <f t="shared" si="59"/>
        <v>0.14072289156626505</v>
      </c>
      <c r="T547" s="133">
        <v>0.15</v>
      </c>
    </row>
    <row r="548" spans="1:20" ht="15.75" hidden="1" customHeight="1" x14ac:dyDescent="0.3">
      <c r="A548" s="194" t="s">
        <v>59</v>
      </c>
      <c r="B548" s="176" t="s">
        <v>375</v>
      </c>
      <c r="C548" s="176" t="s">
        <v>111</v>
      </c>
      <c r="D548" s="176" t="s">
        <v>599</v>
      </c>
      <c r="E548" s="177">
        <v>4</v>
      </c>
      <c r="F548" s="176" t="s">
        <v>600</v>
      </c>
      <c r="G548" s="178"/>
      <c r="H548" s="176" t="s">
        <v>716</v>
      </c>
      <c r="I548" s="176" t="s">
        <v>260</v>
      </c>
      <c r="J548" s="176"/>
      <c r="K548" s="176" t="s">
        <v>593</v>
      </c>
      <c r="L548" s="176"/>
      <c r="M548" s="176"/>
      <c r="N548" s="179">
        <f t="shared" ref="N548:N611" si="60">SUMIFS($E$2:$E$896,$A$2:$A$896,"осень",$I$2:$I$896,I548)</f>
        <v>84</v>
      </c>
      <c r="O548" s="179">
        <f t="shared" ref="O548:O611" si="61">SUMIFS($E$2:$E$896,$A$2:$A$896,"весна",$I$2:$I$896,I548)</f>
        <v>62</v>
      </c>
      <c r="P548" s="180">
        <f t="shared" si="56"/>
        <v>146</v>
      </c>
      <c r="Q548" s="181">
        <f t="shared" si="57"/>
        <v>0.17590361445783131</v>
      </c>
      <c r="R548" s="122">
        <f t="shared" si="58"/>
        <v>29.200000000000003</v>
      </c>
      <c r="S548" s="122">
        <f t="shared" si="59"/>
        <v>0.14072289156626505</v>
      </c>
      <c r="T548" s="133">
        <v>0.15</v>
      </c>
    </row>
    <row r="549" spans="1:20" ht="15.75" customHeight="1" x14ac:dyDescent="0.3">
      <c r="A549" s="194" t="s">
        <v>59</v>
      </c>
      <c r="B549" s="176" t="s">
        <v>375</v>
      </c>
      <c r="C549" s="176" t="s">
        <v>111</v>
      </c>
      <c r="D549" s="176" t="s">
        <v>599</v>
      </c>
      <c r="E549" s="177">
        <v>1</v>
      </c>
      <c r="F549" s="176" t="s">
        <v>600</v>
      </c>
      <c r="G549" s="178"/>
      <c r="H549" s="176"/>
      <c r="I549" s="176" t="s">
        <v>500</v>
      </c>
      <c r="J549" s="176"/>
      <c r="K549" s="176" t="s">
        <v>593</v>
      </c>
      <c r="L549" s="176"/>
      <c r="M549" s="176"/>
      <c r="N549" s="179">
        <f t="shared" si="60"/>
        <v>14.5</v>
      </c>
      <c r="O549" s="179">
        <f t="shared" si="61"/>
        <v>78</v>
      </c>
      <c r="P549" s="180">
        <f t="shared" si="56"/>
        <v>92.5</v>
      </c>
      <c r="Q549" s="181">
        <f t="shared" si="57"/>
        <v>0.11144578313253012</v>
      </c>
      <c r="R549" s="122">
        <f t="shared" si="58"/>
        <v>18.5</v>
      </c>
      <c r="S549" s="122">
        <f t="shared" si="59"/>
        <v>8.91566265060241E-2</v>
      </c>
      <c r="T549" s="133">
        <v>0</v>
      </c>
    </row>
    <row r="550" spans="1:20" ht="15.75" hidden="1" customHeight="1" x14ac:dyDescent="0.3">
      <c r="A550" s="194" t="s">
        <v>59</v>
      </c>
      <c r="B550" s="176" t="s">
        <v>375</v>
      </c>
      <c r="C550" s="176" t="s">
        <v>80</v>
      </c>
      <c r="D550" s="176" t="s">
        <v>599</v>
      </c>
      <c r="E550" s="177">
        <v>2</v>
      </c>
      <c r="F550" s="176" t="s">
        <v>600</v>
      </c>
      <c r="G550" s="178"/>
      <c r="H550" s="176" t="s">
        <v>716</v>
      </c>
      <c r="I550" s="176" t="s">
        <v>260</v>
      </c>
      <c r="J550" s="176"/>
      <c r="K550" s="176" t="s">
        <v>593</v>
      </c>
      <c r="L550" s="176"/>
      <c r="M550" s="176"/>
      <c r="N550" s="179">
        <f t="shared" si="60"/>
        <v>84</v>
      </c>
      <c r="O550" s="179">
        <f t="shared" si="61"/>
        <v>62</v>
      </c>
      <c r="P550" s="180">
        <f t="shared" si="56"/>
        <v>146</v>
      </c>
      <c r="Q550" s="181">
        <f t="shared" si="57"/>
        <v>0.17590361445783131</v>
      </c>
      <c r="R550" s="122">
        <f t="shared" si="58"/>
        <v>29.200000000000003</v>
      </c>
      <c r="S550" s="122">
        <f t="shared" si="59"/>
        <v>0.14072289156626505</v>
      </c>
      <c r="T550" s="133">
        <v>0.15</v>
      </c>
    </row>
    <row r="551" spans="1:20" ht="15.75" customHeight="1" x14ac:dyDescent="0.3">
      <c r="A551" s="194" t="s">
        <v>59</v>
      </c>
      <c r="B551" s="176" t="s">
        <v>375</v>
      </c>
      <c r="C551" s="176" t="s">
        <v>80</v>
      </c>
      <c r="D551" s="176" t="s">
        <v>599</v>
      </c>
      <c r="E551" s="177">
        <v>1</v>
      </c>
      <c r="F551" s="176" t="s">
        <v>600</v>
      </c>
      <c r="G551" s="178"/>
      <c r="H551" s="176"/>
      <c r="I551" s="176" t="s">
        <v>500</v>
      </c>
      <c r="J551" s="176"/>
      <c r="K551" s="176" t="s">
        <v>593</v>
      </c>
      <c r="L551" s="176"/>
      <c r="M551" s="176"/>
      <c r="N551" s="179">
        <f t="shared" si="60"/>
        <v>14.5</v>
      </c>
      <c r="O551" s="179">
        <f t="shared" si="61"/>
        <v>78</v>
      </c>
      <c r="P551" s="180">
        <f t="shared" si="56"/>
        <v>92.5</v>
      </c>
      <c r="Q551" s="181">
        <f t="shared" si="57"/>
        <v>0.11144578313253012</v>
      </c>
      <c r="R551" s="122">
        <f t="shared" si="58"/>
        <v>18.5</v>
      </c>
      <c r="S551" s="122">
        <f t="shared" si="59"/>
        <v>8.91566265060241E-2</v>
      </c>
      <c r="T551" s="133">
        <v>0</v>
      </c>
    </row>
    <row r="552" spans="1:20" ht="15.75" hidden="1" customHeight="1" x14ac:dyDescent="0.3">
      <c r="A552" s="194" t="s">
        <v>59</v>
      </c>
      <c r="B552" s="176" t="s">
        <v>376</v>
      </c>
      <c r="C552" s="176" t="s">
        <v>73</v>
      </c>
      <c r="D552" s="176" t="s">
        <v>590</v>
      </c>
      <c r="E552" s="177">
        <v>12</v>
      </c>
      <c r="F552" s="176" t="s">
        <v>591</v>
      </c>
      <c r="G552" s="177">
        <v>12</v>
      </c>
      <c r="H552" s="176" t="s">
        <v>622</v>
      </c>
      <c r="I552" s="176" t="s">
        <v>562</v>
      </c>
      <c r="J552" s="176"/>
      <c r="K552" s="176" t="s">
        <v>593</v>
      </c>
      <c r="L552" s="176"/>
      <c r="M552" s="176"/>
      <c r="N552" s="179">
        <f t="shared" si="60"/>
        <v>438</v>
      </c>
      <c r="O552" s="179">
        <f t="shared" si="61"/>
        <v>361</v>
      </c>
      <c r="P552" s="180">
        <f t="shared" si="56"/>
        <v>799</v>
      </c>
      <c r="Q552" s="181">
        <f t="shared" si="57"/>
        <v>0.96265060240963851</v>
      </c>
      <c r="R552" s="122">
        <f t="shared" si="58"/>
        <v>159.80000000000001</v>
      </c>
      <c r="S552" s="122">
        <f t="shared" si="59"/>
        <v>0.77012048192771088</v>
      </c>
      <c r="T552" s="133">
        <v>0.75</v>
      </c>
    </row>
    <row r="553" spans="1:20" ht="15.75" hidden="1" customHeight="1" x14ac:dyDescent="0.3">
      <c r="A553" s="194" t="s">
        <v>59</v>
      </c>
      <c r="B553" s="176" t="s">
        <v>376</v>
      </c>
      <c r="C553" s="176" t="s">
        <v>87</v>
      </c>
      <c r="D553" s="176" t="s">
        <v>590</v>
      </c>
      <c r="E553" s="177">
        <v>3</v>
      </c>
      <c r="F553" s="176" t="s">
        <v>591</v>
      </c>
      <c r="G553" s="178"/>
      <c r="H553" s="176" t="s">
        <v>622</v>
      </c>
      <c r="I553" s="176" t="s">
        <v>562</v>
      </c>
      <c r="J553" s="176"/>
      <c r="K553" s="176" t="s">
        <v>593</v>
      </c>
      <c r="L553" s="176"/>
      <c r="M553" s="176"/>
      <c r="N553" s="179">
        <f t="shared" si="60"/>
        <v>438</v>
      </c>
      <c r="O553" s="179">
        <f t="shared" si="61"/>
        <v>361</v>
      </c>
      <c r="P553" s="180">
        <f t="shared" si="56"/>
        <v>799</v>
      </c>
      <c r="Q553" s="181">
        <f t="shared" si="57"/>
        <v>0.96265060240963851</v>
      </c>
      <c r="R553" s="122">
        <f t="shared" si="58"/>
        <v>159.80000000000001</v>
      </c>
      <c r="S553" s="122">
        <f t="shared" si="59"/>
        <v>0.77012048192771088</v>
      </c>
      <c r="T553" s="133">
        <v>0.75</v>
      </c>
    </row>
    <row r="554" spans="1:20" ht="15.75" customHeight="1" x14ac:dyDescent="0.3">
      <c r="A554" s="194" t="s">
        <v>59</v>
      </c>
      <c r="B554" s="176" t="s">
        <v>376</v>
      </c>
      <c r="C554" s="176" t="s">
        <v>87</v>
      </c>
      <c r="D554" s="176" t="s">
        <v>590</v>
      </c>
      <c r="E554" s="177">
        <v>1</v>
      </c>
      <c r="F554" s="176" t="s">
        <v>591</v>
      </c>
      <c r="G554" s="178"/>
      <c r="H554" s="176"/>
      <c r="I554" s="176" t="s">
        <v>500</v>
      </c>
      <c r="J554" s="176"/>
      <c r="K554" s="176" t="s">
        <v>593</v>
      </c>
      <c r="L554" s="176"/>
      <c r="M554" s="176"/>
      <c r="N554" s="179">
        <f t="shared" si="60"/>
        <v>14.5</v>
      </c>
      <c r="O554" s="179">
        <f t="shared" si="61"/>
        <v>78</v>
      </c>
      <c r="P554" s="180">
        <f t="shared" si="56"/>
        <v>92.5</v>
      </c>
      <c r="Q554" s="181">
        <f t="shared" si="57"/>
        <v>0.11144578313253012</v>
      </c>
      <c r="R554" s="122">
        <f t="shared" si="58"/>
        <v>18.5</v>
      </c>
      <c r="S554" s="122">
        <f t="shared" si="59"/>
        <v>8.91566265060241E-2</v>
      </c>
      <c r="T554" s="133">
        <v>0</v>
      </c>
    </row>
    <row r="555" spans="1:20" ht="15.75" hidden="1" customHeight="1" x14ac:dyDescent="0.3">
      <c r="A555" s="194" t="s">
        <v>59</v>
      </c>
      <c r="B555" s="176" t="s">
        <v>376</v>
      </c>
      <c r="C555" s="176" t="s">
        <v>79</v>
      </c>
      <c r="D555" s="176" t="s">
        <v>590</v>
      </c>
      <c r="E555" s="177">
        <v>40</v>
      </c>
      <c r="F555" s="176" t="s">
        <v>591</v>
      </c>
      <c r="G555" s="177">
        <v>40</v>
      </c>
      <c r="H555" s="176" t="s">
        <v>622</v>
      </c>
      <c r="I555" s="176" t="s">
        <v>562</v>
      </c>
      <c r="J555" s="176"/>
      <c r="K555" s="176" t="s">
        <v>593</v>
      </c>
      <c r="L555" s="176"/>
      <c r="M555" s="176"/>
      <c r="N555" s="179">
        <f t="shared" si="60"/>
        <v>438</v>
      </c>
      <c r="O555" s="179">
        <f t="shared" si="61"/>
        <v>361</v>
      </c>
      <c r="P555" s="180">
        <f t="shared" si="56"/>
        <v>799</v>
      </c>
      <c r="Q555" s="181">
        <f t="shared" si="57"/>
        <v>0.96265060240963851</v>
      </c>
      <c r="R555" s="122">
        <f t="shared" si="58"/>
        <v>159.80000000000001</v>
      </c>
      <c r="S555" s="122">
        <f t="shared" si="59"/>
        <v>0.77012048192771088</v>
      </c>
      <c r="T555" s="133">
        <v>0.75</v>
      </c>
    </row>
    <row r="556" spans="1:20" ht="15.75" hidden="1" customHeight="1" x14ac:dyDescent="0.3">
      <c r="A556" s="194" t="s">
        <v>59</v>
      </c>
      <c r="B556" s="176" t="s">
        <v>376</v>
      </c>
      <c r="C556" s="176" t="s">
        <v>80</v>
      </c>
      <c r="D556" s="176" t="s">
        <v>590</v>
      </c>
      <c r="E556" s="177">
        <v>1</v>
      </c>
      <c r="F556" s="176" t="s">
        <v>591</v>
      </c>
      <c r="G556" s="178"/>
      <c r="H556" s="176" t="s">
        <v>622</v>
      </c>
      <c r="I556" s="176" t="s">
        <v>562</v>
      </c>
      <c r="J556" s="176"/>
      <c r="K556" s="176" t="s">
        <v>593</v>
      </c>
      <c r="L556" s="176"/>
      <c r="M556" s="176"/>
      <c r="N556" s="179">
        <f t="shared" si="60"/>
        <v>438</v>
      </c>
      <c r="O556" s="179">
        <f t="shared" si="61"/>
        <v>361</v>
      </c>
      <c r="P556" s="180">
        <f t="shared" si="56"/>
        <v>799</v>
      </c>
      <c r="Q556" s="181">
        <f t="shared" si="57"/>
        <v>0.96265060240963851</v>
      </c>
      <c r="R556" s="122">
        <f t="shared" si="58"/>
        <v>159.80000000000001</v>
      </c>
      <c r="S556" s="122">
        <f t="shared" si="59"/>
        <v>0.77012048192771088</v>
      </c>
      <c r="T556" s="133">
        <v>0.75</v>
      </c>
    </row>
    <row r="557" spans="1:20" ht="15.75" hidden="1" customHeight="1" x14ac:dyDescent="0.3">
      <c r="A557" s="194" t="s">
        <v>59</v>
      </c>
      <c r="B557" s="176" t="s">
        <v>193</v>
      </c>
      <c r="C557" s="176" t="s">
        <v>73</v>
      </c>
      <c r="D557" s="176" t="s">
        <v>620</v>
      </c>
      <c r="E557" s="177">
        <v>18</v>
      </c>
      <c r="F557" s="176" t="s">
        <v>621</v>
      </c>
      <c r="G557" s="177">
        <v>18</v>
      </c>
      <c r="H557" s="176" t="s">
        <v>622</v>
      </c>
      <c r="I557" s="176" t="s">
        <v>562</v>
      </c>
      <c r="J557" s="176"/>
      <c r="K557" s="176" t="s">
        <v>593</v>
      </c>
      <c r="L557" s="176"/>
      <c r="M557" s="176"/>
      <c r="N557" s="179">
        <f t="shared" si="60"/>
        <v>438</v>
      </c>
      <c r="O557" s="179">
        <f t="shared" si="61"/>
        <v>361</v>
      </c>
      <c r="P557" s="180">
        <f t="shared" si="56"/>
        <v>799</v>
      </c>
      <c r="Q557" s="181">
        <f t="shared" si="57"/>
        <v>0.96265060240963851</v>
      </c>
      <c r="R557" s="122">
        <f t="shared" si="58"/>
        <v>159.80000000000001</v>
      </c>
      <c r="S557" s="122">
        <f t="shared" si="59"/>
        <v>0.77012048192771088</v>
      </c>
      <c r="T557" s="133">
        <v>0.75</v>
      </c>
    </row>
    <row r="558" spans="1:20" ht="15.75" hidden="1" customHeight="1" x14ac:dyDescent="0.3">
      <c r="A558" s="194" t="s">
        <v>59</v>
      </c>
      <c r="B558" s="176" t="s">
        <v>193</v>
      </c>
      <c r="C558" s="176" t="s">
        <v>123</v>
      </c>
      <c r="D558" s="176" t="s">
        <v>620</v>
      </c>
      <c r="E558" s="177">
        <v>36</v>
      </c>
      <c r="F558" s="176" t="s">
        <v>621</v>
      </c>
      <c r="G558" s="178"/>
      <c r="H558" s="176" t="s">
        <v>622</v>
      </c>
      <c r="I558" s="176" t="s">
        <v>562</v>
      </c>
      <c r="J558" s="176"/>
      <c r="K558" s="176" t="s">
        <v>593</v>
      </c>
      <c r="L558" s="176"/>
      <c r="M558" s="176"/>
      <c r="N558" s="179">
        <f t="shared" si="60"/>
        <v>438</v>
      </c>
      <c r="O558" s="179">
        <f t="shared" si="61"/>
        <v>361</v>
      </c>
      <c r="P558" s="180">
        <f t="shared" si="56"/>
        <v>799</v>
      </c>
      <c r="Q558" s="181">
        <f t="shared" si="57"/>
        <v>0.96265060240963851</v>
      </c>
      <c r="R558" s="122">
        <f t="shared" si="58"/>
        <v>159.80000000000001</v>
      </c>
      <c r="S558" s="122">
        <f t="shared" si="59"/>
        <v>0.77012048192771088</v>
      </c>
      <c r="T558" s="133">
        <v>0.75</v>
      </c>
    </row>
    <row r="559" spans="1:20" ht="15.75" hidden="1" customHeight="1" x14ac:dyDescent="0.3">
      <c r="A559" s="194" t="s">
        <v>59</v>
      </c>
      <c r="B559" s="176" t="s">
        <v>193</v>
      </c>
      <c r="C559" s="176" t="s">
        <v>87</v>
      </c>
      <c r="D559" s="176" t="s">
        <v>620</v>
      </c>
      <c r="E559" s="177">
        <v>4</v>
      </c>
      <c r="F559" s="176" t="s">
        <v>621</v>
      </c>
      <c r="G559" s="178"/>
      <c r="H559" s="176" t="s">
        <v>622</v>
      </c>
      <c r="I559" s="176" t="s">
        <v>562</v>
      </c>
      <c r="J559" s="176"/>
      <c r="K559" s="176" t="s">
        <v>593</v>
      </c>
      <c r="L559" s="176"/>
      <c r="M559" s="176"/>
      <c r="N559" s="179">
        <f t="shared" si="60"/>
        <v>438</v>
      </c>
      <c r="O559" s="179">
        <f t="shared" si="61"/>
        <v>361</v>
      </c>
      <c r="P559" s="180">
        <f t="shared" si="56"/>
        <v>799</v>
      </c>
      <c r="Q559" s="181">
        <f t="shared" si="57"/>
        <v>0.96265060240963851</v>
      </c>
      <c r="R559" s="122">
        <f t="shared" si="58"/>
        <v>159.80000000000001</v>
      </c>
      <c r="S559" s="122">
        <f t="shared" si="59"/>
        <v>0.77012048192771088</v>
      </c>
      <c r="T559" s="133">
        <v>0.75</v>
      </c>
    </row>
    <row r="560" spans="1:20" ht="15.75" customHeight="1" x14ac:dyDescent="0.3">
      <c r="A560" s="194" t="s">
        <v>59</v>
      </c>
      <c r="B560" s="176" t="s">
        <v>193</v>
      </c>
      <c r="C560" s="176" t="s">
        <v>87</v>
      </c>
      <c r="D560" s="176" t="s">
        <v>620</v>
      </c>
      <c r="E560" s="177">
        <v>1</v>
      </c>
      <c r="F560" s="176" t="s">
        <v>621</v>
      </c>
      <c r="G560" s="178"/>
      <c r="H560" s="176"/>
      <c r="I560" s="176" t="s">
        <v>500</v>
      </c>
      <c r="J560" s="176"/>
      <c r="K560" s="176" t="s">
        <v>593</v>
      </c>
      <c r="L560" s="176"/>
      <c r="M560" s="176"/>
      <c r="N560" s="179">
        <f t="shared" si="60"/>
        <v>14.5</v>
      </c>
      <c r="O560" s="179">
        <f t="shared" si="61"/>
        <v>78</v>
      </c>
      <c r="P560" s="180">
        <f t="shared" si="56"/>
        <v>92.5</v>
      </c>
      <c r="Q560" s="181">
        <f t="shared" si="57"/>
        <v>0.11144578313253012</v>
      </c>
      <c r="R560" s="122">
        <f t="shared" si="58"/>
        <v>18.5</v>
      </c>
      <c r="S560" s="122">
        <f t="shared" si="59"/>
        <v>8.91566265060241E-2</v>
      </c>
      <c r="T560" s="133">
        <v>0</v>
      </c>
    </row>
    <row r="561" spans="1:20" ht="15.75" hidden="1" customHeight="1" x14ac:dyDescent="0.3">
      <c r="A561" s="194" t="s">
        <v>59</v>
      </c>
      <c r="B561" s="176" t="s">
        <v>193</v>
      </c>
      <c r="C561" s="176" t="s">
        <v>79</v>
      </c>
      <c r="D561" s="176" t="s">
        <v>620</v>
      </c>
      <c r="E561" s="177">
        <v>24</v>
      </c>
      <c r="F561" s="176" t="s">
        <v>621</v>
      </c>
      <c r="G561" s="177">
        <v>24</v>
      </c>
      <c r="H561" s="176" t="s">
        <v>622</v>
      </c>
      <c r="I561" s="176" t="s">
        <v>562</v>
      </c>
      <c r="J561" s="176"/>
      <c r="K561" s="176" t="s">
        <v>593</v>
      </c>
      <c r="L561" s="176"/>
      <c r="M561" s="176"/>
      <c r="N561" s="179">
        <f t="shared" si="60"/>
        <v>438</v>
      </c>
      <c r="O561" s="179">
        <f t="shared" si="61"/>
        <v>361</v>
      </c>
      <c r="P561" s="180">
        <f t="shared" si="56"/>
        <v>799</v>
      </c>
      <c r="Q561" s="181">
        <f t="shared" si="57"/>
        <v>0.96265060240963851</v>
      </c>
      <c r="R561" s="122">
        <f t="shared" si="58"/>
        <v>159.80000000000001</v>
      </c>
      <c r="S561" s="122">
        <f t="shared" si="59"/>
        <v>0.77012048192771088</v>
      </c>
      <c r="T561" s="133">
        <v>0.75</v>
      </c>
    </row>
    <row r="562" spans="1:20" ht="15.75" hidden="1" customHeight="1" x14ac:dyDescent="0.3">
      <c r="A562" s="194" t="s">
        <v>59</v>
      </c>
      <c r="B562" s="176" t="s">
        <v>193</v>
      </c>
      <c r="C562" s="176" t="s">
        <v>80</v>
      </c>
      <c r="D562" s="176" t="s">
        <v>620</v>
      </c>
      <c r="E562" s="177">
        <v>1</v>
      </c>
      <c r="F562" s="176" t="s">
        <v>621</v>
      </c>
      <c r="G562" s="178"/>
      <c r="H562" s="176" t="s">
        <v>622</v>
      </c>
      <c r="I562" s="176" t="s">
        <v>562</v>
      </c>
      <c r="J562" s="176"/>
      <c r="K562" s="176" t="s">
        <v>593</v>
      </c>
      <c r="L562" s="176"/>
      <c r="M562" s="176"/>
      <c r="N562" s="179">
        <f t="shared" si="60"/>
        <v>438</v>
      </c>
      <c r="O562" s="179">
        <f t="shared" si="61"/>
        <v>361</v>
      </c>
      <c r="P562" s="180">
        <f t="shared" si="56"/>
        <v>799</v>
      </c>
      <c r="Q562" s="181">
        <f t="shared" si="57"/>
        <v>0.96265060240963851</v>
      </c>
      <c r="R562" s="122">
        <f t="shared" si="58"/>
        <v>159.80000000000001</v>
      </c>
      <c r="S562" s="122">
        <f t="shared" si="59"/>
        <v>0.77012048192771088</v>
      </c>
      <c r="T562" s="133">
        <v>0.75</v>
      </c>
    </row>
    <row r="563" spans="1:20" ht="15.75" hidden="1" customHeight="1" x14ac:dyDescent="0.3">
      <c r="A563" s="194" t="s">
        <v>59</v>
      </c>
      <c r="B563" s="176" t="s">
        <v>380</v>
      </c>
      <c r="C563" s="176" t="s">
        <v>73</v>
      </c>
      <c r="D563" s="176" t="s">
        <v>624</v>
      </c>
      <c r="E563" s="177">
        <v>16</v>
      </c>
      <c r="F563" s="176" t="s">
        <v>127</v>
      </c>
      <c r="G563" s="177">
        <v>16</v>
      </c>
      <c r="H563" s="176" t="s">
        <v>623</v>
      </c>
      <c r="I563" s="176" t="s">
        <v>564</v>
      </c>
      <c r="J563" s="176"/>
      <c r="K563" s="176" t="s">
        <v>593</v>
      </c>
      <c r="L563" s="176"/>
      <c r="M563" s="176"/>
      <c r="N563" s="179">
        <f t="shared" si="60"/>
        <v>456</v>
      </c>
      <c r="O563" s="179">
        <f t="shared" si="61"/>
        <v>384</v>
      </c>
      <c r="P563" s="180">
        <f t="shared" si="56"/>
        <v>840</v>
      </c>
      <c r="Q563" s="181">
        <f t="shared" si="57"/>
        <v>1.0120481927710843</v>
      </c>
      <c r="R563" s="122">
        <f t="shared" si="58"/>
        <v>168</v>
      </c>
      <c r="S563" s="122">
        <f t="shared" si="59"/>
        <v>0.80963855421686748</v>
      </c>
      <c r="T563" s="133">
        <v>0.8</v>
      </c>
    </row>
    <row r="564" spans="1:20" ht="15.75" hidden="1" customHeight="1" x14ac:dyDescent="0.3">
      <c r="A564" s="194" t="s">
        <v>59</v>
      </c>
      <c r="B564" s="176" t="s">
        <v>380</v>
      </c>
      <c r="C564" s="176" t="s">
        <v>79</v>
      </c>
      <c r="D564" s="176" t="s">
        <v>624</v>
      </c>
      <c r="E564" s="177">
        <v>8</v>
      </c>
      <c r="F564" s="176" t="s">
        <v>127</v>
      </c>
      <c r="G564" s="177">
        <v>8</v>
      </c>
      <c r="H564" s="176" t="s">
        <v>623</v>
      </c>
      <c r="I564" s="176" t="s">
        <v>564</v>
      </c>
      <c r="J564" s="176"/>
      <c r="K564" s="176" t="s">
        <v>593</v>
      </c>
      <c r="L564" s="176"/>
      <c r="M564" s="176"/>
      <c r="N564" s="179">
        <f t="shared" si="60"/>
        <v>456</v>
      </c>
      <c r="O564" s="179">
        <f t="shared" si="61"/>
        <v>384</v>
      </c>
      <c r="P564" s="180">
        <f t="shared" si="56"/>
        <v>840</v>
      </c>
      <c r="Q564" s="181">
        <f t="shared" si="57"/>
        <v>1.0120481927710843</v>
      </c>
      <c r="R564" s="122">
        <f t="shared" si="58"/>
        <v>168</v>
      </c>
      <c r="S564" s="122">
        <f t="shared" si="59"/>
        <v>0.80963855421686748</v>
      </c>
      <c r="T564" s="133">
        <v>0.8</v>
      </c>
    </row>
    <row r="565" spans="1:20" ht="15.75" hidden="1" customHeight="1" x14ac:dyDescent="0.3">
      <c r="A565" s="194" t="s">
        <v>59</v>
      </c>
      <c r="B565" s="176" t="s">
        <v>380</v>
      </c>
      <c r="C565" s="176" t="s">
        <v>142</v>
      </c>
      <c r="D565" s="176" t="s">
        <v>624</v>
      </c>
      <c r="E565" s="177">
        <v>2</v>
      </c>
      <c r="F565" s="176" t="s">
        <v>127</v>
      </c>
      <c r="G565" s="178"/>
      <c r="H565" s="176" t="s">
        <v>623</v>
      </c>
      <c r="I565" s="176" t="s">
        <v>564</v>
      </c>
      <c r="J565" s="176"/>
      <c r="K565" s="176" t="s">
        <v>593</v>
      </c>
      <c r="L565" s="176"/>
      <c r="M565" s="176"/>
      <c r="N565" s="179">
        <f t="shared" si="60"/>
        <v>456</v>
      </c>
      <c r="O565" s="179">
        <f t="shared" si="61"/>
        <v>384</v>
      </c>
      <c r="P565" s="180">
        <f t="shared" si="56"/>
        <v>840</v>
      </c>
      <c r="Q565" s="181">
        <f t="shared" si="57"/>
        <v>1.0120481927710843</v>
      </c>
      <c r="R565" s="122">
        <f t="shared" si="58"/>
        <v>168</v>
      </c>
      <c r="S565" s="122">
        <f t="shared" si="59"/>
        <v>0.80963855421686748</v>
      </c>
      <c r="T565" s="133">
        <v>0.8</v>
      </c>
    </row>
    <row r="566" spans="1:20" ht="15.75" hidden="1" customHeight="1" x14ac:dyDescent="0.3">
      <c r="A566" s="194" t="s">
        <v>59</v>
      </c>
      <c r="B566" s="176" t="s">
        <v>380</v>
      </c>
      <c r="C566" s="176" t="s">
        <v>80</v>
      </c>
      <c r="D566" s="176" t="s">
        <v>624</v>
      </c>
      <c r="E566" s="177">
        <v>1</v>
      </c>
      <c r="F566" s="176" t="s">
        <v>127</v>
      </c>
      <c r="G566" s="178"/>
      <c r="H566" s="176" t="s">
        <v>623</v>
      </c>
      <c r="I566" s="176" t="s">
        <v>564</v>
      </c>
      <c r="J566" s="176"/>
      <c r="K566" s="176" t="s">
        <v>593</v>
      </c>
      <c r="L566" s="176"/>
      <c r="M566" s="176"/>
      <c r="N566" s="179">
        <f t="shared" si="60"/>
        <v>456</v>
      </c>
      <c r="O566" s="179">
        <f t="shared" si="61"/>
        <v>384</v>
      </c>
      <c r="P566" s="180">
        <f t="shared" si="56"/>
        <v>840</v>
      </c>
      <c r="Q566" s="181">
        <f t="shared" si="57"/>
        <v>1.0120481927710843</v>
      </c>
      <c r="R566" s="122">
        <f t="shared" si="58"/>
        <v>168</v>
      </c>
      <c r="S566" s="122">
        <f t="shared" si="59"/>
        <v>0.80963855421686748</v>
      </c>
      <c r="T566" s="133">
        <v>0.8</v>
      </c>
    </row>
    <row r="567" spans="1:20" ht="15.75" hidden="1" customHeight="1" x14ac:dyDescent="0.3">
      <c r="A567" s="194" t="s">
        <v>59</v>
      </c>
      <c r="B567" s="176" t="s">
        <v>198</v>
      </c>
      <c r="C567" s="176" t="s">
        <v>73</v>
      </c>
      <c r="D567" s="176" t="s">
        <v>624</v>
      </c>
      <c r="E567" s="177">
        <v>24</v>
      </c>
      <c r="F567" s="176" t="s">
        <v>127</v>
      </c>
      <c r="G567" s="177">
        <v>24</v>
      </c>
      <c r="H567" s="176" t="s">
        <v>623</v>
      </c>
      <c r="I567" s="176" t="s">
        <v>564</v>
      </c>
      <c r="J567" s="176"/>
      <c r="K567" s="176" t="s">
        <v>593</v>
      </c>
      <c r="L567" s="176"/>
      <c r="M567" s="176"/>
      <c r="N567" s="179">
        <f t="shared" si="60"/>
        <v>456</v>
      </c>
      <c r="O567" s="179">
        <f t="shared" si="61"/>
        <v>384</v>
      </c>
      <c r="P567" s="180">
        <f t="shared" si="56"/>
        <v>840</v>
      </c>
      <c r="Q567" s="181">
        <f t="shared" si="57"/>
        <v>1.0120481927710843</v>
      </c>
      <c r="R567" s="122">
        <f t="shared" si="58"/>
        <v>168</v>
      </c>
      <c r="S567" s="122">
        <f t="shared" si="59"/>
        <v>0.80963855421686748</v>
      </c>
      <c r="T567" s="133">
        <v>0.8</v>
      </c>
    </row>
    <row r="568" spans="1:20" ht="15.75" hidden="1" customHeight="1" x14ac:dyDescent="0.3">
      <c r="A568" s="194" t="s">
        <v>59</v>
      </c>
      <c r="B568" s="176" t="s">
        <v>198</v>
      </c>
      <c r="C568" s="176" t="s">
        <v>79</v>
      </c>
      <c r="D568" s="176" t="s">
        <v>624</v>
      </c>
      <c r="E568" s="177">
        <v>32</v>
      </c>
      <c r="F568" s="176" t="s">
        <v>127</v>
      </c>
      <c r="G568" s="177">
        <v>32</v>
      </c>
      <c r="H568" s="176" t="s">
        <v>623</v>
      </c>
      <c r="I568" s="176" t="s">
        <v>564</v>
      </c>
      <c r="J568" s="176"/>
      <c r="K568" s="176" t="s">
        <v>593</v>
      </c>
      <c r="L568" s="176"/>
      <c r="M568" s="176"/>
      <c r="N568" s="179">
        <f t="shared" si="60"/>
        <v>456</v>
      </c>
      <c r="O568" s="179">
        <f t="shared" si="61"/>
        <v>384</v>
      </c>
      <c r="P568" s="180">
        <f t="shared" si="56"/>
        <v>840</v>
      </c>
      <c r="Q568" s="181">
        <f t="shared" si="57"/>
        <v>1.0120481927710843</v>
      </c>
      <c r="R568" s="122">
        <f t="shared" si="58"/>
        <v>168</v>
      </c>
      <c r="S568" s="122">
        <f t="shared" si="59"/>
        <v>0.80963855421686748</v>
      </c>
      <c r="T568" s="133">
        <v>0.8</v>
      </c>
    </row>
    <row r="569" spans="1:20" ht="15.75" hidden="1" customHeight="1" x14ac:dyDescent="0.3">
      <c r="A569" s="194" t="s">
        <v>59</v>
      </c>
      <c r="B569" s="176" t="s">
        <v>198</v>
      </c>
      <c r="C569" s="176" t="s">
        <v>111</v>
      </c>
      <c r="D569" s="176" t="s">
        <v>624</v>
      </c>
      <c r="E569" s="177">
        <v>4</v>
      </c>
      <c r="F569" s="176" t="s">
        <v>127</v>
      </c>
      <c r="G569" s="178"/>
      <c r="H569" s="176" t="s">
        <v>623</v>
      </c>
      <c r="I569" s="176" t="s">
        <v>564</v>
      </c>
      <c r="J569" s="176"/>
      <c r="K569" s="176" t="s">
        <v>593</v>
      </c>
      <c r="L569" s="176"/>
      <c r="M569" s="176"/>
      <c r="N569" s="179">
        <f t="shared" si="60"/>
        <v>456</v>
      </c>
      <c r="O569" s="179">
        <f t="shared" si="61"/>
        <v>384</v>
      </c>
      <c r="P569" s="180">
        <f t="shared" si="56"/>
        <v>840</v>
      </c>
      <c r="Q569" s="181">
        <f t="shared" si="57"/>
        <v>1.0120481927710843</v>
      </c>
      <c r="R569" s="122">
        <f t="shared" si="58"/>
        <v>168</v>
      </c>
      <c r="S569" s="122">
        <f t="shared" si="59"/>
        <v>0.80963855421686748</v>
      </c>
      <c r="T569" s="133">
        <v>0.8</v>
      </c>
    </row>
    <row r="570" spans="1:20" ht="15.75" customHeight="1" x14ac:dyDescent="0.3">
      <c r="A570" s="194" t="s">
        <v>59</v>
      </c>
      <c r="B570" s="176" t="s">
        <v>198</v>
      </c>
      <c r="C570" s="176" t="s">
        <v>111</v>
      </c>
      <c r="D570" s="176" t="s">
        <v>624</v>
      </c>
      <c r="E570" s="177">
        <v>2</v>
      </c>
      <c r="F570" s="176" t="s">
        <v>127</v>
      </c>
      <c r="G570" s="178"/>
      <c r="H570" s="176"/>
      <c r="I570" s="176" t="s">
        <v>500</v>
      </c>
      <c r="J570" s="176"/>
      <c r="K570" s="176" t="s">
        <v>593</v>
      </c>
      <c r="L570" s="176"/>
      <c r="M570" s="176"/>
      <c r="N570" s="179">
        <f t="shared" si="60"/>
        <v>14.5</v>
      </c>
      <c r="O570" s="179">
        <f t="shared" si="61"/>
        <v>78</v>
      </c>
      <c r="P570" s="180">
        <f t="shared" si="56"/>
        <v>92.5</v>
      </c>
      <c r="Q570" s="181">
        <f t="shared" si="57"/>
        <v>0.11144578313253012</v>
      </c>
      <c r="R570" s="122">
        <f t="shared" si="58"/>
        <v>18.5</v>
      </c>
      <c r="S570" s="122">
        <f t="shared" si="59"/>
        <v>8.91566265060241E-2</v>
      </c>
      <c r="T570" s="133">
        <v>0</v>
      </c>
    </row>
    <row r="571" spans="1:20" ht="15.75" hidden="1" customHeight="1" x14ac:dyDescent="0.3">
      <c r="A571" s="194" t="s">
        <v>59</v>
      </c>
      <c r="B571" s="176" t="s">
        <v>198</v>
      </c>
      <c r="C571" s="176" t="s">
        <v>80</v>
      </c>
      <c r="D571" s="176" t="s">
        <v>624</v>
      </c>
      <c r="E571" s="177">
        <v>2</v>
      </c>
      <c r="F571" s="176" t="s">
        <v>127</v>
      </c>
      <c r="G571" s="178"/>
      <c r="H571" s="176" t="s">
        <v>623</v>
      </c>
      <c r="I571" s="176" t="s">
        <v>564</v>
      </c>
      <c r="J571" s="176"/>
      <c r="K571" s="176" t="s">
        <v>593</v>
      </c>
      <c r="L571" s="176"/>
      <c r="M571" s="176"/>
      <c r="N571" s="179">
        <f t="shared" si="60"/>
        <v>456</v>
      </c>
      <c r="O571" s="179">
        <f t="shared" si="61"/>
        <v>384</v>
      </c>
      <c r="P571" s="180">
        <f t="shared" si="56"/>
        <v>840</v>
      </c>
      <c r="Q571" s="181">
        <f t="shared" si="57"/>
        <v>1.0120481927710843</v>
      </c>
      <c r="R571" s="122">
        <f t="shared" si="58"/>
        <v>168</v>
      </c>
      <c r="S571" s="122">
        <f t="shared" si="59"/>
        <v>0.80963855421686748</v>
      </c>
      <c r="T571" s="133">
        <v>0.8</v>
      </c>
    </row>
    <row r="572" spans="1:20" ht="15.75" customHeight="1" x14ac:dyDescent="0.3">
      <c r="A572" s="194" t="s">
        <v>59</v>
      </c>
      <c r="B572" s="176" t="s">
        <v>198</v>
      </c>
      <c r="C572" s="176" t="s">
        <v>80</v>
      </c>
      <c r="D572" s="176" t="s">
        <v>624</v>
      </c>
      <c r="E572" s="177">
        <v>1</v>
      </c>
      <c r="F572" s="176" t="s">
        <v>127</v>
      </c>
      <c r="G572" s="178"/>
      <c r="H572" s="176"/>
      <c r="I572" s="176" t="s">
        <v>500</v>
      </c>
      <c r="J572" s="176"/>
      <c r="K572" s="176" t="s">
        <v>593</v>
      </c>
      <c r="L572" s="176"/>
      <c r="M572" s="176"/>
      <c r="N572" s="179">
        <f t="shared" si="60"/>
        <v>14.5</v>
      </c>
      <c r="O572" s="179">
        <f t="shared" si="61"/>
        <v>78</v>
      </c>
      <c r="P572" s="180">
        <f t="shared" si="56"/>
        <v>92.5</v>
      </c>
      <c r="Q572" s="181">
        <f t="shared" si="57"/>
        <v>0.11144578313253012</v>
      </c>
      <c r="R572" s="122">
        <f t="shared" si="58"/>
        <v>18.5</v>
      </c>
      <c r="S572" s="122">
        <f t="shared" si="59"/>
        <v>8.91566265060241E-2</v>
      </c>
      <c r="T572" s="133">
        <v>0</v>
      </c>
    </row>
    <row r="573" spans="1:20" ht="15.75" hidden="1" customHeight="1" x14ac:dyDescent="0.3">
      <c r="A573" s="194" t="s">
        <v>59</v>
      </c>
      <c r="B573" s="176" t="s">
        <v>381</v>
      </c>
      <c r="C573" s="176" t="s">
        <v>73</v>
      </c>
      <c r="D573" s="176" t="s">
        <v>624</v>
      </c>
      <c r="E573" s="177">
        <v>16</v>
      </c>
      <c r="F573" s="176" t="s">
        <v>127</v>
      </c>
      <c r="G573" s="177">
        <v>16</v>
      </c>
      <c r="H573" s="176" t="s">
        <v>609</v>
      </c>
      <c r="I573" s="176" t="s">
        <v>582</v>
      </c>
      <c r="J573" s="176"/>
      <c r="K573" s="176" t="s">
        <v>593</v>
      </c>
      <c r="L573" s="176"/>
      <c r="M573" s="176"/>
      <c r="N573" s="179">
        <f t="shared" si="60"/>
        <v>298</v>
      </c>
      <c r="O573" s="179">
        <f t="shared" si="61"/>
        <v>310</v>
      </c>
      <c r="P573" s="180">
        <f t="shared" si="56"/>
        <v>608</v>
      </c>
      <c r="Q573" s="181">
        <f t="shared" si="57"/>
        <v>0.73253012048192767</v>
      </c>
      <c r="R573" s="122">
        <f t="shared" si="58"/>
        <v>121.60000000000001</v>
      </c>
      <c r="S573" s="122">
        <f t="shared" si="59"/>
        <v>0.5860240963855422</v>
      </c>
      <c r="T573" s="133">
        <v>0.7</v>
      </c>
    </row>
    <row r="574" spans="1:20" ht="15.75" hidden="1" customHeight="1" x14ac:dyDescent="0.3">
      <c r="A574" s="194" t="s">
        <v>59</v>
      </c>
      <c r="B574" s="176" t="s">
        <v>381</v>
      </c>
      <c r="C574" s="176" t="s">
        <v>79</v>
      </c>
      <c r="D574" s="176" t="s">
        <v>624</v>
      </c>
      <c r="E574" s="177">
        <v>24</v>
      </c>
      <c r="F574" s="176" t="s">
        <v>127</v>
      </c>
      <c r="G574" s="177">
        <v>24</v>
      </c>
      <c r="H574" s="176" t="s">
        <v>609</v>
      </c>
      <c r="I574" s="176" t="s">
        <v>582</v>
      </c>
      <c r="J574" s="176"/>
      <c r="K574" s="176" t="s">
        <v>593</v>
      </c>
      <c r="L574" s="176"/>
      <c r="M574" s="176"/>
      <c r="N574" s="179">
        <f t="shared" si="60"/>
        <v>298</v>
      </c>
      <c r="O574" s="179">
        <f t="shared" si="61"/>
        <v>310</v>
      </c>
      <c r="P574" s="180">
        <f t="shared" si="56"/>
        <v>608</v>
      </c>
      <c r="Q574" s="181">
        <f t="shared" si="57"/>
        <v>0.73253012048192767</v>
      </c>
      <c r="R574" s="122">
        <f t="shared" si="58"/>
        <v>121.60000000000001</v>
      </c>
      <c r="S574" s="122">
        <f t="shared" si="59"/>
        <v>0.5860240963855422</v>
      </c>
      <c r="T574" s="133">
        <v>0.7</v>
      </c>
    </row>
    <row r="575" spans="1:20" ht="15.75" hidden="1" customHeight="1" x14ac:dyDescent="0.3">
      <c r="A575" s="194" t="s">
        <v>59</v>
      </c>
      <c r="B575" s="176" t="s">
        <v>381</v>
      </c>
      <c r="C575" s="176" t="s">
        <v>142</v>
      </c>
      <c r="D575" s="176" t="s">
        <v>624</v>
      </c>
      <c r="E575" s="177">
        <v>1</v>
      </c>
      <c r="F575" s="176" t="s">
        <v>127</v>
      </c>
      <c r="G575" s="178"/>
      <c r="H575" s="176" t="s">
        <v>609</v>
      </c>
      <c r="I575" s="176" t="s">
        <v>582</v>
      </c>
      <c r="J575" s="176"/>
      <c r="K575" s="176" t="s">
        <v>593</v>
      </c>
      <c r="L575" s="176"/>
      <c r="M575" s="176"/>
      <c r="N575" s="179">
        <f t="shared" si="60"/>
        <v>298</v>
      </c>
      <c r="O575" s="179">
        <f t="shared" si="61"/>
        <v>310</v>
      </c>
      <c r="P575" s="180">
        <f t="shared" si="56"/>
        <v>608</v>
      </c>
      <c r="Q575" s="181">
        <f t="shared" si="57"/>
        <v>0.73253012048192767</v>
      </c>
      <c r="R575" s="122">
        <f t="shared" si="58"/>
        <v>121.60000000000001</v>
      </c>
      <c r="S575" s="122">
        <f t="shared" si="59"/>
        <v>0.5860240963855422</v>
      </c>
      <c r="T575" s="133">
        <v>0.7</v>
      </c>
    </row>
    <row r="576" spans="1:20" ht="15.75" customHeight="1" x14ac:dyDescent="0.3">
      <c r="A576" s="194" t="s">
        <v>59</v>
      </c>
      <c r="B576" s="176" t="s">
        <v>381</v>
      </c>
      <c r="C576" s="176" t="s">
        <v>142</v>
      </c>
      <c r="D576" s="176" t="s">
        <v>624</v>
      </c>
      <c r="E576" s="177">
        <v>1</v>
      </c>
      <c r="F576" s="176" t="s">
        <v>127</v>
      </c>
      <c r="G576" s="178"/>
      <c r="H576" s="176"/>
      <c r="I576" s="176" t="s">
        <v>500</v>
      </c>
      <c r="J576" s="176"/>
      <c r="K576" s="176" t="s">
        <v>593</v>
      </c>
      <c r="L576" s="176"/>
      <c r="M576" s="176"/>
      <c r="N576" s="179">
        <f t="shared" si="60"/>
        <v>14.5</v>
      </c>
      <c r="O576" s="179">
        <f t="shared" si="61"/>
        <v>78</v>
      </c>
      <c r="P576" s="180">
        <f t="shared" si="56"/>
        <v>92.5</v>
      </c>
      <c r="Q576" s="181">
        <f t="shared" si="57"/>
        <v>0.11144578313253012</v>
      </c>
      <c r="R576" s="122">
        <f t="shared" si="58"/>
        <v>18.5</v>
      </c>
      <c r="S576" s="122">
        <f t="shared" si="59"/>
        <v>8.91566265060241E-2</v>
      </c>
      <c r="T576" s="133">
        <v>0</v>
      </c>
    </row>
    <row r="577" spans="1:20" ht="15.75" hidden="1" customHeight="1" x14ac:dyDescent="0.3">
      <c r="A577" s="194" t="s">
        <v>59</v>
      </c>
      <c r="B577" s="176" t="s">
        <v>381</v>
      </c>
      <c r="C577" s="176" t="s">
        <v>80</v>
      </c>
      <c r="D577" s="176" t="s">
        <v>624</v>
      </c>
      <c r="E577" s="177">
        <v>1</v>
      </c>
      <c r="F577" s="176" t="s">
        <v>127</v>
      </c>
      <c r="G577" s="178"/>
      <c r="H577" s="176" t="s">
        <v>609</v>
      </c>
      <c r="I577" s="176" t="s">
        <v>582</v>
      </c>
      <c r="J577" s="176"/>
      <c r="K577" s="176" t="s">
        <v>593</v>
      </c>
      <c r="L577" s="176"/>
      <c r="M577" s="176"/>
      <c r="N577" s="179">
        <f t="shared" si="60"/>
        <v>298</v>
      </c>
      <c r="O577" s="179">
        <f t="shared" si="61"/>
        <v>310</v>
      </c>
      <c r="P577" s="180">
        <f t="shared" si="56"/>
        <v>608</v>
      </c>
      <c r="Q577" s="181">
        <f t="shared" si="57"/>
        <v>0.73253012048192767</v>
      </c>
      <c r="R577" s="122">
        <f t="shared" si="58"/>
        <v>121.60000000000001</v>
      </c>
      <c r="S577" s="122">
        <f t="shared" si="59"/>
        <v>0.5860240963855422</v>
      </c>
      <c r="T577" s="133">
        <v>0.7</v>
      </c>
    </row>
    <row r="578" spans="1:20" ht="15.75" hidden="1" customHeight="1" x14ac:dyDescent="0.3">
      <c r="A578" s="194" t="s">
        <v>59</v>
      </c>
      <c r="B578" s="176" t="s">
        <v>717</v>
      </c>
      <c r="C578" s="176" t="s">
        <v>73</v>
      </c>
      <c r="D578" s="176" t="s">
        <v>625</v>
      </c>
      <c r="E578" s="177">
        <v>24</v>
      </c>
      <c r="F578" s="176" t="s">
        <v>626</v>
      </c>
      <c r="G578" s="177">
        <v>24</v>
      </c>
      <c r="H578" s="176" t="s">
        <v>609</v>
      </c>
      <c r="I578" s="176" t="s">
        <v>582</v>
      </c>
      <c r="J578" s="176"/>
      <c r="K578" s="176" t="s">
        <v>593</v>
      </c>
      <c r="L578" s="176"/>
      <c r="M578" s="176"/>
      <c r="N578" s="179">
        <f t="shared" si="60"/>
        <v>298</v>
      </c>
      <c r="O578" s="179">
        <f t="shared" si="61"/>
        <v>310</v>
      </c>
      <c r="P578" s="180">
        <f t="shared" si="56"/>
        <v>608</v>
      </c>
      <c r="Q578" s="181">
        <f t="shared" si="57"/>
        <v>0.73253012048192767</v>
      </c>
      <c r="R578" s="122">
        <f t="shared" si="58"/>
        <v>121.60000000000001</v>
      </c>
      <c r="S578" s="122">
        <f t="shared" si="59"/>
        <v>0.5860240963855422</v>
      </c>
      <c r="T578" s="133">
        <v>0.7</v>
      </c>
    </row>
    <row r="579" spans="1:20" ht="15.75" hidden="1" customHeight="1" x14ac:dyDescent="0.3">
      <c r="A579" s="194" t="s">
        <v>59</v>
      </c>
      <c r="B579" s="176" t="s">
        <v>717</v>
      </c>
      <c r="C579" s="176" t="s">
        <v>87</v>
      </c>
      <c r="D579" s="176" t="s">
        <v>625</v>
      </c>
      <c r="E579" s="177">
        <v>4</v>
      </c>
      <c r="F579" s="176" t="s">
        <v>626</v>
      </c>
      <c r="G579" s="178"/>
      <c r="H579" s="176" t="s">
        <v>609</v>
      </c>
      <c r="I579" s="176" t="s">
        <v>582</v>
      </c>
      <c r="J579" s="176"/>
      <c r="K579" s="176" t="s">
        <v>593</v>
      </c>
      <c r="L579" s="176"/>
      <c r="M579" s="176"/>
      <c r="N579" s="179">
        <f t="shared" si="60"/>
        <v>298</v>
      </c>
      <c r="O579" s="179">
        <f t="shared" si="61"/>
        <v>310</v>
      </c>
      <c r="P579" s="180">
        <f t="shared" si="56"/>
        <v>608</v>
      </c>
      <c r="Q579" s="181">
        <f t="shared" si="57"/>
        <v>0.73253012048192767</v>
      </c>
      <c r="R579" s="122">
        <f t="shared" si="58"/>
        <v>121.60000000000001</v>
      </c>
      <c r="S579" s="122">
        <f t="shared" si="59"/>
        <v>0.5860240963855422</v>
      </c>
      <c r="T579" s="133">
        <v>0.7</v>
      </c>
    </row>
    <row r="580" spans="1:20" ht="15.75" customHeight="1" x14ac:dyDescent="0.3">
      <c r="A580" s="194" t="s">
        <v>59</v>
      </c>
      <c r="B580" s="176" t="s">
        <v>717</v>
      </c>
      <c r="C580" s="176" t="s">
        <v>87</v>
      </c>
      <c r="D580" s="176" t="s">
        <v>625</v>
      </c>
      <c r="E580" s="177">
        <v>1</v>
      </c>
      <c r="F580" s="176" t="s">
        <v>626</v>
      </c>
      <c r="G580" s="178"/>
      <c r="H580" s="176"/>
      <c r="I580" s="176" t="s">
        <v>500</v>
      </c>
      <c r="J580" s="176"/>
      <c r="K580" s="176" t="s">
        <v>593</v>
      </c>
      <c r="L580" s="176"/>
      <c r="M580" s="176"/>
      <c r="N580" s="179">
        <f t="shared" si="60"/>
        <v>14.5</v>
      </c>
      <c r="O580" s="179">
        <f t="shared" si="61"/>
        <v>78</v>
      </c>
      <c r="P580" s="180">
        <f t="shared" si="56"/>
        <v>92.5</v>
      </c>
      <c r="Q580" s="181">
        <f t="shared" si="57"/>
        <v>0.11144578313253012</v>
      </c>
      <c r="R580" s="122">
        <f t="shared" si="58"/>
        <v>18.5</v>
      </c>
      <c r="S580" s="122">
        <f t="shared" si="59"/>
        <v>8.91566265060241E-2</v>
      </c>
      <c r="T580" s="133">
        <v>0</v>
      </c>
    </row>
    <row r="581" spans="1:20" ht="15.75" hidden="1" customHeight="1" x14ac:dyDescent="0.3">
      <c r="A581" s="194" t="s">
        <v>59</v>
      </c>
      <c r="B581" s="176" t="s">
        <v>717</v>
      </c>
      <c r="C581" s="176" t="s">
        <v>79</v>
      </c>
      <c r="D581" s="176" t="s">
        <v>625</v>
      </c>
      <c r="E581" s="177">
        <v>34</v>
      </c>
      <c r="F581" s="176" t="s">
        <v>626</v>
      </c>
      <c r="G581" s="177">
        <v>34</v>
      </c>
      <c r="H581" s="176" t="s">
        <v>609</v>
      </c>
      <c r="I581" s="176" t="s">
        <v>582</v>
      </c>
      <c r="J581" s="176"/>
      <c r="K581" s="176" t="s">
        <v>593</v>
      </c>
      <c r="L581" s="176"/>
      <c r="M581" s="176"/>
      <c r="N581" s="179">
        <f t="shared" si="60"/>
        <v>298</v>
      </c>
      <c r="O581" s="179">
        <f t="shared" si="61"/>
        <v>310</v>
      </c>
      <c r="P581" s="180">
        <f t="shared" si="56"/>
        <v>608</v>
      </c>
      <c r="Q581" s="181">
        <f t="shared" si="57"/>
        <v>0.73253012048192767</v>
      </c>
      <c r="R581" s="122">
        <f t="shared" si="58"/>
        <v>121.60000000000001</v>
      </c>
      <c r="S581" s="122">
        <f t="shared" si="59"/>
        <v>0.5860240963855422</v>
      </c>
      <c r="T581" s="133">
        <v>0.7</v>
      </c>
    </row>
    <row r="582" spans="1:20" ht="15.75" hidden="1" customHeight="1" x14ac:dyDescent="0.3">
      <c r="A582" s="194" t="s">
        <v>59</v>
      </c>
      <c r="B582" s="176" t="s">
        <v>717</v>
      </c>
      <c r="C582" s="176" t="s">
        <v>100</v>
      </c>
      <c r="D582" s="176" t="s">
        <v>625</v>
      </c>
      <c r="E582" s="177">
        <v>64</v>
      </c>
      <c r="F582" s="176" t="s">
        <v>626</v>
      </c>
      <c r="G582" s="177">
        <v>32</v>
      </c>
      <c r="H582" s="176" t="s">
        <v>609</v>
      </c>
      <c r="I582" s="176" t="s">
        <v>582</v>
      </c>
      <c r="J582" s="176"/>
      <c r="K582" s="176" t="s">
        <v>593</v>
      </c>
      <c r="L582" s="176"/>
      <c r="M582" s="176"/>
      <c r="N582" s="179">
        <f t="shared" si="60"/>
        <v>298</v>
      </c>
      <c r="O582" s="179">
        <f t="shared" si="61"/>
        <v>310</v>
      </c>
      <c r="P582" s="180">
        <f t="shared" si="56"/>
        <v>608</v>
      </c>
      <c r="Q582" s="181">
        <f t="shared" si="57"/>
        <v>0.73253012048192767</v>
      </c>
      <c r="R582" s="122">
        <f t="shared" si="58"/>
        <v>121.60000000000001</v>
      </c>
      <c r="S582" s="122">
        <f t="shared" si="59"/>
        <v>0.5860240963855422</v>
      </c>
      <c r="T582" s="133">
        <v>0.7</v>
      </c>
    </row>
    <row r="583" spans="1:20" ht="15.75" hidden="1" customHeight="1" x14ac:dyDescent="0.3">
      <c r="A583" s="194" t="s">
        <v>59</v>
      </c>
      <c r="B583" s="176" t="s">
        <v>717</v>
      </c>
      <c r="C583" s="176" t="s">
        <v>80</v>
      </c>
      <c r="D583" s="176" t="s">
        <v>625</v>
      </c>
      <c r="E583" s="177">
        <v>1</v>
      </c>
      <c r="F583" s="176" t="s">
        <v>626</v>
      </c>
      <c r="G583" s="178"/>
      <c r="H583" s="176" t="s">
        <v>609</v>
      </c>
      <c r="I583" s="176" t="s">
        <v>582</v>
      </c>
      <c r="J583" s="176"/>
      <c r="K583" s="176" t="s">
        <v>593</v>
      </c>
      <c r="L583" s="176"/>
      <c r="M583" s="176"/>
      <c r="N583" s="179">
        <f t="shared" si="60"/>
        <v>298</v>
      </c>
      <c r="O583" s="179">
        <f t="shared" si="61"/>
        <v>310</v>
      </c>
      <c r="P583" s="180">
        <f t="shared" si="56"/>
        <v>608</v>
      </c>
      <c r="Q583" s="181">
        <f t="shared" si="57"/>
        <v>0.73253012048192767</v>
      </c>
      <c r="R583" s="122">
        <f t="shared" si="58"/>
        <v>121.60000000000001</v>
      </c>
      <c r="S583" s="122">
        <f t="shared" si="59"/>
        <v>0.5860240963855422</v>
      </c>
      <c r="T583" s="133">
        <v>0.7</v>
      </c>
    </row>
    <row r="584" spans="1:20" ht="15.75" hidden="1" customHeight="1" x14ac:dyDescent="0.3">
      <c r="A584" s="194" t="s">
        <v>59</v>
      </c>
      <c r="B584" s="176" t="s">
        <v>384</v>
      </c>
      <c r="C584" s="176" t="s">
        <v>73</v>
      </c>
      <c r="D584" s="176" t="s">
        <v>602</v>
      </c>
      <c r="E584" s="177">
        <v>32</v>
      </c>
      <c r="F584" s="176" t="s">
        <v>603</v>
      </c>
      <c r="G584" s="177">
        <v>32</v>
      </c>
      <c r="H584" s="176" t="s">
        <v>615</v>
      </c>
      <c r="I584" s="176" t="s">
        <v>570</v>
      </c>
      <c r="J584" s="176"/>
      <c r="K584" s="176" t="s">
        <v>593</v>
      </c>
      <c r="L584" s="176"/>
      <c r="M584" s="176"/>
      <c r="N584" s="179">
        <f t="shared" si="60"/>
        <v>279</v>
      </c>
      <c r="O584" s="179">
        <f t="shared" si="61"/>
        <v>431</v>
      </c>
      <c r="P584" s="180">
        <f t="shared" si="56"/>
        <v>710</v>
      </c>
      <c r="Q584" s="181">
        <f t="shared" si="57"/>
        <v>0.85542168674698793</v>
      </c>
      <c r="R584" s="122">
        <f t="shared" si="58"/>
        <v>142</v>
      </c>
      <c r="S584" s="122">
        <f t="shared" si="59"/>
        <v>0.68433734939759039</v>
      </c>
      <c r="T584" s="133">
        <v>0.65</v>
      </c>
    </row>
    <row r="585" spans="1:20" ht="15.75" hidden="1" customHeight="1" x14ac:dyDescent="0.3">
      <c r="A585" s="194" t="s">
        <v>59</v>
      </c>
      <c r="B585" s="176" t="s">
        <v>384</v>
      </c>
      <c r="C585" s="176" t="s">
        <v>79</v>
      </c>
      <c r="D585" s="176" t="s">
        <v>602</v>
      </c>
      <c r="E585" s="177">
        <v>20</v>
      </c>
      <c r="F585" s="176" t="s">
        <v>603</v>
      </c>
      <c r="G585" s="177">
        <v>20</v>
      </c>
      <c r="H585" s="176" t="s">
        <v>615</v>
      </c>
      <c r="I585" s="176" t="s">
        <v>570</v>
      </c>
      <c r="J585" s="176"/>
      <c r="K585" s="176" t="s">
        <v>593</v>
      </c>
      <c r="L585" s="176"/>
      <c r="M585" s="176"/>
      <c r="N585" s="179">
        <f t="shared" si="60"/>
        <v>279</v>
      </c>
      <c r="O585" s="179">
        <f t="shared" si="61"/>
        <v>431</v>
      </c>
      <c r="P585" s="180">
        <f t="shared" si="56"/>
        <v>710</v>
      </c>
      <c r="Q585" s="181">
        <f t="shared" si="57"/>
        <v>0.85542168674698793</v>
      </c>
      <c r="R585" s="122">
        <f t="shared" si="58"/>
        <v>142</v>
      </c>
      <c r="S585" s="122">
        <f t="shared" si="59"/>
        <v>0.68433734939759039</v>
      </c>
      <c r="T585" s="133">
        <v>0.65</v>
      </c>
    </row>
    <row r="586" spans="1:20" ht="15.75" hidden="1" customHeight="1" x14ac:dyDescent="0.3">
      <c r="A586" s="194" t="s">
        <v>59</v>
      </c>
      <c r="B586" s="176" t="s">
        <v>384</v>
      </c>
      <c r="C586" s="176" t="s">
        <v>100</v>
      </c>
      <c r="D586" s="176" t="s">
        <v>602</v>
      </c>
      <c r="E586" s="177">
        <v>16</v>
      </c>
      <c r="F586" s="176" t="s">
        <v>603</v>
      </c>
      <c r="G586" s="177">
        <v>16</v>
      </c>
      <c r="H586" s="176" t="s">
        <v>615</v>
      </c>
      <c r="I586" s="176" t="s">
        <v>570</v>
      </c>
      <c r="J586" s="176"/>
      <c r="K586" s="176" t="s">
        <v>593</v>
      </c>
      <c r="L586" s="176"/>
      <c r="M586" s="176"/>
      <c r="N586" s="179">
        <f t="shared" si="60"/>
        <v>279</v>
      </c>
      <c r="O586" s="179">
        <f t="shared" si="61"/>
        <v>431</v>
      </c>
      <c r="P586" s="180">
        <f t="shared" ref="P586:P649" si="62">N586+O586</f>
        <v>710</v>
      </c>
      <c r="Q586" s="181">
        <f t="shared" ref="Q586:Q649" si="63">P586/$Q$1</f>
        <v>0.85542168674698793</v>
      </c>
      <c r="R586" s="122">
        <f t="shared" ref="R586:R649" si="64">P586*0.2</f>
        <v>142</v>
      </c>
      <c r="S586" s="122">
        <f t="shared" ref="S586:S649" si="65">Q586*0.8</f>
        <v>0.68433734939759039</v>
      </c>
      <c r="T586" s="133">
        <v>0.65</v>
      </c>
    </row>
    <row r="587" spans="1:20" ht="15.75" hidden="1" customHeight="1" x14ac:dyDescent="0.3">
      <c r="A587" s="194" t="s">
        <v>59</v>
      </c>
      <c r="B587" s="176" t="s">
        <v>384</v>
      </c>
      <c r="C587" s="176" t="s">
        <v>111</v>
      </c>
      <c r="D587" s="176" t="s">
        <v>602</v>
      </c>
      <c r="E587" s="177">
        <v>4</v>
      </c>
      <c r="F587" s="176" t="s">
        <v>603</v>
      </c>
      <c r="G587" s="178"/>
      <c r="H587" s="176" t="s">
        <v>615</v>
      </c>
      <c r="I587" s="176" t="s">
        <v>570</v>
      </c>
      <c r="J587" s="176"/>
      <c r="K587" s="176" t="s">
        <v>593</v>
      </c>
      <c r="L587" s="176"/>
      <c r="M587" s="176"/>
      <c r="N587" s="179">
        <f t="shared" si="60"/>
        <v>279</v>
      </c>
      <c r="O587" s="179">
        <f t="shared" si="61"/>
        <v>431</v>
      </c>
      <c r="P587" s="180">
        <f t="shared" si="62"/>
        <v>710</v>
      </c>
      <c r="Q587" s="181">
        <f t="shared" si="63"/>
        <v>0.85542168674698793</v>
      </c>
      <c r="R587" s="122">
        <f t="shared" si="64"/>
        <v>142</v>
      </c>
      <c r="S587" s="122">
        <f t="shared" si="65"/>
        <v>0.68433734939759039</v>
      </c>
      <c r="T587" s="133">
        <v>0.65</v>
      </c>
    </row>
    <row r="588" spans="1:20" ht="15.75" customHeight="1" x14ac:dyDescent="0.3">
      <c r="A588" s="194" t="s">
        <v>59</v>
      </c>
      <c r="B588" s="176" t="s">
        <v>384</v>
      </c>
      <c r="C588" s="176" t="s">
        <v>111</v>
      </c>
      <c r="D588" s="176" t="s">
        <v>602</v>
      </c>
      <c r="E588" s="177">
        <v>1</v>
      </c>
      <c r="F588" s="176" t="s">
        <v>603</v>
      </c>
      <c r="G588" s="178"/>
      <c r="H588" s="176"/>
      <c r="I588" s="176" t="s">
        <v>500</v>
      </c>
      <c r="J588" s="176"/>
      <c r="K588" s="176" t="s">
        <v>593</v>
      </c>
      <c r="L588" s="176"/>
      <c r="M588" s="176"/>
      <c r="N588" s="179">
        <f t="shared" si="60"/>
        <v>14.5</v>
      </c>
      <c r="O588" s="179">
        <f t="shared" si="61"/>
        <v>78</v>
      </c>
      <c r="P588" s="180">
        <f t="shared" si="62"/>
        <v>92.5</v>
      </c>
      <c r="Q588" s="181">
        <f t="shared" si="63"/>
        <v>0.11144578313253012</v>
      </c>
      <c r="R588" s="122">
        <f t="shared" si="64"/>
        <v>18.5</v>
      </c>
      <c r="S588" s="122">
        <f t="shared" si="65"/>
        <v>8.91566265060241E-2</v>
      </c>
      <c r="T588" s="133">
        <v>0</v>
      </c>
    </row>
    <row r="589" spans="1:20" ht="15.75" hidden="1" customHeight="1" x14ac:dyDescent="0.3">
      <c r="A589" s="194" t="s">
        <v>59</v>
      </c>
      <c r="B589" s="176" t="s">
        <v>384</v>
      </c>
      <c r="C589" s="176" t="s">
        <v>80</v>
      </c>
      <c r="D589" s="176" t="s">
        <v>602</v>
      </c>
      <c r="E589" s="177">
        <v>2</v>
      </c>
      <c r="F589" s="176" t="s">
        <v>603</v>
      </c>
      <c r="G589" s="178"/>
      <c r="H589" s="176" t="s">
        <v>615</v>
      </c>
      <c r="I589" s="176" t="s">
        <v>570</v>
      </c>
      <c r="J589" s="176"/>
      <c r="K589" s="176" t="s">
        <v>593</v>
      </c>
      <c r="L589" s="176"/>
      <c r="M589" s="176"/>
      <c r="N589" s="179">
        <f t="shared" si="60"/>
        <v>279</v>
      </c>
      <c r="O589" s="179">
        <f t="shared" si="61"/>
        <v>431</v>
      </c>
      <c r="P589" s="180">
        <f t="shared" si="62"/>
        <v>710</v>
      </c>
      <c r="Q589" s="181">
        <f t="shared" si="63"/>
        <v>0.85542168674698793</v>
      </c>
      <c r="R589" s="122">
        <f t="shared" si="64"/>
        <v>142</v>
      </c>
      <c r="S589" s="122">
        <f t="shared" si="65"/>
        <v>0.68433734939759039</v>
      </c>
      <c r="T589" s="133">
        <v>0.65</v>
      </c>
    </row>
    <row r="590" spans="1:20" ht="15.75" customHeight="1" x14ac:dyDescent="0.3">
      <c r="A590" s="194" t="s">
        <v>59</v>
      </c>
      <c r="B590" s="176" t="s">
        <v>384</v>
      </c>
      <c r="C590" s="176" t="s">
        <v>80</v>
      </c>
      <c r="D590" s="176" t="s">
        <v>602</v>
      </c>
      <c r="E590" s="177">
        <v>1</v>
      </c>
      <c r="F590" s="176" t="s">
        <v>603</v>
      </c>
      <c r="G590" s="178"/>
      <c r="H590" s="176"/>
      <c r="I590" s="176" t="s">
        <v>500</v>
      </c>
      <c r="J590" s="176"/>
      <c r="K590" s="176" t="s">
        <v>593</v>
      </c>
      <c r="L590" s="176"/>
      <c r="M590" s="176"/>
      <c r="N590" s="179">
        <f t="shared" si="60"/>
        <v>14.5</v>
      </c>
      <c r="O590" s="179">
        <f t="shared" si="61"/>
        <v>78</v>
      </c>
      <c r="P590" s="180">
        <f t="shared" si="62"/>
        <v>92.5</v>
      </c>
      <c r="Q590" s="181">
        <f t="shared" si="63"/>
        <v>0.11144578313253012</v>
      </c>
      <c r="R590" s="122">
        <f t="shared" si="64"/>
        <v>18.5</v>
      </c>
      <c r="S590" s="122">
        <f t="shared" si="65"/>
        <v>8.91566265060241E-2</v>
      </c>
      <c r="T590" s="133">
        <v>0</v>
      </c>
    </row>
    <row r="591" spans="1:20" ht="15.75" hidden="1" customHeight="1" x14ac:dyDescent="0.3">
      <c r="A591" s="194" t="s">
        <v>59</v>
      </c>
      <c r="B591" s="176" t="s">
        <v>224</v>
      </c>
      <c r="C591" s="176" t="s">
        <v>102</v>
      </c>
      <c r="D591" s="176" t="s">
        <v>595</v>
      </c>
      <c r="E591" s="177">
        <v>36</v>
      </c>
      <c r="F591" s="176" t="s">
        <v>596</v>
      </c>
      <c r="G591" s="178"/>
      <c r="H591" s="176" t="s">
        <v>619</v>
      </c>
      <c r="I591" s="176" t="s">
        <v>581</v>
      </c>
      <c r="J591" s="176"/>
      <c r="K591" s="176" t="s">
        <v>593</v>
      </c>
      <c r="L591" s="176"/>
      <c r="M591" s="176"/>
      <c r="N591" s="179">
        <f t="shared" si="60"/>
        <v>276</v>
      </c>
      <c r="O591" s="179">
        <f t="shared" si="61"/>
        <v>323</v>
      </c>
      <c r="P591" s="180">
        <f t="shared" si="62"/>
        <v>599</v>
      </c>
      <c r="Q591" s="181">
        <f t="shared" si="63"/>
        <v>0.72168674698795177</v>
      </c>
      <c r="R591" s="122">
        <f t="shared" si="64"/>
        <v>119.80000000000001</v>
      </c>
      <c r="S591" s="122">
        <f t="shared" si="65"/>
        <v>0.57734939759036141</v>
      </c>
      <c r="T591" s="133">
        <v>0.55000000000000004</v>
      </c>
    </row>
    <row r="592" spans="1:20" ht="15.75" hidden="1" customHeight="1" x14ac:dyDescent="0.3">
      <c r="A592" s="194" t="s">
        <v>59</v>
      </c>
      <c r="B592" s="176" t="s">
        <v>224</v>
      </c>
      <c r="C592" s="176" t="s">
        <v>73</v>
      </c>
      <c r="D592" s="176" t="s">
        <v>595</v>
      </c>
      <c r="E592" s="177">
        <v>20</v>
      </c>
      <c r="F592" s="176" t="s">
        <v>596</v>
      </c>
      <c r="G592" s="177">
        <v>20</v>
      </c>
      <c r="H592" s="176" t="s">
        <v>619</v>
      </c>
      <c r="I592" s="176" t="s">
        <v>581</v>
      </c>
      <c r="J592" s="176"/>
      <c r="K592" s="176" t="s">
        <v>593</v>
      </c>
      <c r="L592" s="176"/>
      <c r="M592" s="176"/>
      <c r="N592" s="179">
        <f t="shared" si="60"/>
        <v>276</v>
      </c>
      <c r="O592" s="179">
        <f t="shared" si="61"/>
        <v>323</v>
      </c>
      <c r="P592" s="180">
        <f t="shared" si="62"/>
        <v>599</v>
      </c>
      <c r="Q592" s="181">
        <f t="shared" si="63"/>
        <v>0.72168674698795177</v>
      </c>
      <c r="R592" s="122">
        <f t="shared" si="64"/>
        <v>119.80000000000001</v>
      </c>
      <c r="S592" s="122">
        <f t="shared" si="65"/>
        <v>0.57734939759036141</v>
      </c>
      <c r="T592" s="133">
        <v>0.55000000000000004</v>
      </c>
    </row>
    <row r="593" spans="1:20" ht="15.75" hidden="1" customHeight="1" x14ac:dyDescent="0.3">
      <c r="A593" s="194" t="s">
        <v>59</v>
      </c>
      <c r="B593" s="176" t="s">
        <v>224</v>
      </c>
      <c r="C593" s="176" t="s">
        <v>79</v>
      </c>
      <c r="D593" s="176" t="s">
        <v>595</v>
      </c>
      <c r="E593" s="177">
        <v>32</v>
      </c>
      <c r="F593" s="176" t="s">
        <v>596</v>
      </c>
      <c r="G593" s="177">
        <v>32</v>
      </c>
      <c r="H593" s="176" t="s">
        <v>619</v>
      </c>
      <c r="I593" s="176" t="s">
        <v>581</v>
      </c>
      <c r="J593" s="176"/>
      <c r="K593" s="176" t="s">
        <v>593</v>
      </c>
      <c r="L593" s="176"/>
      <c r="M593" s="176"/>
      <c r="N593" s="179">
        <f t="shared" si="60"/>
        <v>276</v>
      </c>
      <c r="O593" s="179">
        <f t="shared" si="61"/>
        <v>323</v>
      </c>
      <c r="P593" s="180">
        <f t="shared" si="62"/>
        <v>599</v>
      </c>
      <c r="Q593" s="181">
        <f t="shared" si="63"/>
        <v>0.72168674698795177</v>
      </c>
      <c r="R593" s="122">
        <f t="shared" si="64"/>
        <v>119.80000000000001</v>
      </c>
      <c r="S593" s="122">
        <f t="shared" si="65"/>
        <v>0.57734939759036141</v>
      </c>
      <c r="T593" s="133">
        <v>0.55000000000000004</v>
      </c>
    </row>
    <row r="594" spans="1:20" ht="15.75" hidden="1" customHeight="1" x14ac:dyDescent="0.3">
      <c r="A594" s="194" t="s">
        <v>59</v>
      </c>
      <c r="B594" s="176" t="s">
        <v>224</v>
      </c>
      <c r="C594" s="176" t="s">
        <v>111</v>
      </c>
      <c r="D594" s="176" t="s">
        <v>595</v>
      </c>
      <c r="E594" s="177">
        <v>4</v>
      </c>
      <c r="F594" s="176" t="s">
        <v>596</v>
      </c>
      <c r="G594" s="178"/>
      <c r="H594" s="176" t="s">
        <v>619</v>
      </c>
      <c r="I594" s="176" t="s">
        <v>581</v>
      </c>
      <c r="J594" s="176"/>
      <c r="K594" s="176" t="s">
        <v>593</v>
      </c>
      <c r="L594" s="176"/>
      <c r="M594" s="176"/>
      <c r="N594" s="179">
        <f t="shared" si="60"/>
        <v>276</v>
      </c>
      <c r="O594" s="179">
        <f t="shared" si="61"/>
        <v>323</v>
      </c>
      <c r="P594" s="180">
        <f t="shared" si="62"/>
        <v>599</v>
      </c>
      <c r="Q594" s="181">
        <f t="shared" si="63"/>
        <v>0.72168674698795177</v>
      </c>
      <c r="R594" s="122">
        <f t="shared" si="64"/>
        <v>119.80000000000001</v>
      </c>
      <c r="S594" s="122">
        <f t="shared" si="65"/>
        <v>0.57734939759036141</v>
      </c>
      <c r="T594" s="133">
        <v>0.55000000000000004</v>
      </c>
    </row>
    <row r="595" spans="1:20" ht="15.75" customHeight="1" x14ac:dyDescent="0.3">
      <c r="A595" s="194" t="s">
        <v>59</v>
      </c>
      <c r="B595" s="176" t="s">
        <v>224</v>
      </c>
      <c r="C595" s="176" t="s">
        <v>111</v>
      </c>
      <c r="D595" s="176" t="s">
        <v>595</v>
      </c>
      <c r="E595" s="177">
        <v>2</v>
      </c>
      <c r="F595" s="176" t="s">
        <v>596</v>
      </c>
      <c r="G595" s="178"/>
      <c r="H595" s="176"/>
      <c r="I595" s="176" t="s">
        <v>500</v>
      </c>
      <c r="J595" s="176"/>
      <c r="K595" s="176" t="s">
        <v>593</v>
      </c>
      <c r="L595" s="176"/>
      <c r="M595" s="176"/>
      <c r="N595" s="179">
        <f t="shared" si="60"/>
        <v>14.5</v>
      </c>
      <c r="O595" s="179">
        <f t="shared" si="61"/>
        <v>78</v>
      </c>
      <c r="P595" s="180">
        <f t="shared" si="62"/>
        <v>92.5</v>
      </c>
      <c r="Q595" s="181">
        <f t="shared" si="63"/>
        <v>0.11144578313253012</v>
      </c>
      <c r="R595" s="122">
        <f t="shared" si="64"/>
        <v>18.5</v>
      </c>
      <c r="S595" s="122">
        <f t="shared" si="65"/>
        <v>8.91566265060241E-2</v>
      </c>
      <c r="T595" s="133">
        <v>0</v>
      </c>
    </row>
    <row r="596" spans="1:20" ht="15.75" hidden="1" customHeight="1" x14ac:dyDescent="0.3">
      <c r="A596" s="194" t="s">
        <v>59</v>
      </c>
      <c r="B596" s="176" t="s">
        <v>224</v>
      </c>
      <c r="C596" s="176" t="s">
        <v>80</v>
      </c>
      <c r="D596" s="176" t="s">
        <v>595</v>
      </c>
      <c r="E596" s="177">
        <v>2</v>
      </c>
      <c r="F596" s="176" t="s">
        <v>596</v>
      </c>
      <c r="G596" s="178"/>
      <c r="H596" s="176" t="s">
        <v>619</v>
      </c>
      <c r="I596" s="176" t="s">
        <v>581</v>
      </c>
      <c r="J596" s="176"/>
      <c r="K596" s="176" t="s">
        <v>593</v>
      </c>
      <c r="L596" s="176"/>
      <c r="M596" s="176"/>
      <c r="N596" s="179">
        <f t="shared" si="60"/>
        <v>276</v>
      </c>
      <c r="O596" s="179">
        <f t="shared" si="61"/>
        <v>323</v>
      </c>
      <c r="P596" s="180">
        <f t="shared" si="62"/>
        <v>599</v>
      </c>
      <c r="Q596" s="181">
        <f t="shared" si="63"/>
        <v>0.72168674698795177</v>
      </c>
      <c r="R596" s="122">
        <f t="shared" si="64"/>
        <v>119.80000000000001</v>
      </c>
      <c r="S596" s="122">
        <f t="shared" si="65"/>
        <v>0.57734939759036141</v>
      </c>
      <c r="T596" s="133">
        <v>0.55000000000000004</v>
      </c>
    </row>
    <row r="597" spans="1:20" ht="15.75" customHeight="1" x14ac:dyDescent="0.3">
      <c r="A597" s="194" t="s">
        <v>59</v>
      </c>
      <c r="B597" s="176" t="s">
        <v>224</v>
      </c>
      <c r="C597" s="176" t="s">
        <v>80</v>
      </c>
      <c r="D597" s="176" t="s">
        <v>595</v>
      </c>
      <c r="E597" s="177">
        <v>1</v>
      </c>
      <c r="F597" s="176" t="s">
        <v>596</v>
      </c>
      <c r="G597" s="178"/>
      <c r="H597" s="176"/>
      <c r="I597" s="176" t="s">
        <v>500</v>
      </c>
      <c r="J597" s="176"/>
      <c r="K597" s="176" t="s">
        <v>593</v>
      </c>
      <c r="L597" s="176"/>
      <c r="M597" s="176"/>
      <c r="N597" s="179">
        <f t="shared" si="60"/>
        <v>14.5</v>
      </c>
      <c r="O597" s="179">
        <f t="shared" si="61"/>
        <v>78</v>
      </c>
      <c r="P597" s="180">
        <f t="shared" si="62"/>
        <v>92.5</v>
      </c>
      <c r="Q597" s="181">
        <f t="shared" si="63"/>
        <v>0.11144578313253012</v>
      </c>
      <c r="R597" s="122">
        <f t="shared" si="64"/>
        <v>18.5</v>
      </c>
      <c r="S597" s="122">
        <f t="shared" si="65"/>
        <v>8.91566265060241E-2</v>
      </c>
      <c r="T597" s="133">
        <v>0</v>
      </c>
    </row>
    <row r="598" spans="1:20" ht="15.75" hidden="1" customHeight="1" x14ac:dyDescent="0.3">
      <c r="A598" s="194" t="s">
        <v>59</v>
      </c>
      <c r="B598" s="176" t="s">
        <v>389</v>
      </c>
      <c r="C598" s="176" t="s">
        <v>73</v>
      </c>
      <c r="D598" s="176" t="s">
        <v>599</v>
      </c>
      <c r="E598" s="177">
        <v>34</v>
      </c>
      <c r="F598" s="176" t="s">
        <v>600</v>
      </c>
      <c r="G598" s="177">
        <v>34</v>
      </c>
      <c r="H598" s="176" t="s">
        <v>646</v>
      </c>
      <c r="I598" s="176" t="s">
        <v>568</v>
      </c>
      <c r="J598" s="176"/>
      <c r="K598" s="176" t="s">
        <v>593</v>
      </c>
      <c r="L598" s="176"/>
      <c r="M598" s="176"/>
      <c r="N598" s="179">
        <f t="shared" si="60"/>
        <v>239</v>
      </c>
      <c r="O598" s="179">
        <f t="shared" si="61"/>
        <v>313</v>
      </c>
      <c r="P598" s="180">
        <f t="shared" si="62"/>
        <v>552</v>
      </c>
      <c r="Q598" s="181">
        <f t="shared" si="63"/>
        <v>0.66506024096385541</v>
      </c>
      <c r="R598" s="122">
        <f t="shared" si="64"/>
        <v>110.4</v>
      </c>
      <c r="S598" s="122">
        <f t="shared" si="65"/>
        <v>0.53204819277108439</v>
      </c>
      <c r="T598" s="133">
        <v>0.55000000000000004</v>
      </c>
    </row>
    <row r="599" spans="1:20" ht="15.75" hidden="1" customHeight="1" x14ac:dyDescent="0.3">
      <c r="A599" s="194" t="s">
        <v>59</v>
      </c>
      <c r="B599" s="176" t="s">
        <v>389</v>
      </c>
      <c r="C599" s="176" t="s">
        <v>123</v>
      </c>
      <c r="D599" s="176" t="s">
        <v>599</v>
      </c>
      <c r="E599" s="177">
        <v>18</v>
      </c>
      <c r="F599" s="176" t="s">
        <v>600</v>
      </c>
      <c r="G599" s="178"/>
      <c r="H599" s="176" t="s">
        <v>646</v>
      </c>
      <c r="I599" s="176" t="s">
        <v>568</v>
      </c>
      <c r="J599" s="176"/>
      <c r="K599" s="176" t="s">
        <v>593</v>
      </c>
      <c r="L599" s="176"/>
      <c r="M599" s="176"/>
      <c r="N599" s="179">
        <f t="shared" si="60"/>
        <v>239</v>
      </c>
      <c r="O599" s="179">
        <f t="shared" si="61"/>
        <v>313</v>
      </c>
      <c r="P599" s="180">
        <f t="shared" si="62"/>
        <v>552</v>
      </c>
      <c r="Q599" s="181">
        <f t="shared" si="63"/>
        <v>0.66506024096385541</v>
      </c>
      <c r="R599" s="122">
        <f t="shared" si="64"/>
        <v>110.4</v>
      </c>
      <c r="S599" s="122">
        <f t="shared" si="65"/>
        <v>0.53204819277108439</v>
      </c>
      <c r="T599" s="133">
        <v>0.55000000000000004</v>
      </c>
    </row>
    <row r="600" spans="1:20" ht="15.75" hidden="1" customHeight="1" x14ac:dyDescent="0.3">
      <c r="A600" s="194" t="s">
        <v>59</v>
      </c>
      <c r="B600" s="176" t="s">
        <v>389</v>
      </c>
      <c r="C600" s="176" t="s">
        <v>87</v>
      </c>
      <c r="D600" s="176" t="s">
        <v>599</v>
      </c>
      <c r="E600" s="177">
        <v>2</v>
      </c>
      <c r="F600" s="176" t="s">
        <v>600</v>
      </c>
      <c r="G600" s="178"/>
      <c r="H600" s="176" t="s">
        <v>646</v>
      </c>
      <c r="I600" s="176" t="s">
        <v>568</v>
      </c>
      <c r="J600" s="176"/>
      <c r="K600" s="176" t="s">
        <v>593</v>
      </c>
      <c r="L600" s="176"/>
      <c r="M600" s="176"/>
      <c r="N600" s="179">
        <f t="shared" si="60"/>
        <v>239</v>
      </c>
      <c r="O600" s="179">
        <f t="shared" si="61"/>
        <v>313</v>
      </c>
      <c r="P600" s="180">
        <f t="shared" si="62"/>
        <v>552</v>
      </c>
      <c r="Q600" s="181">
        <f t="shared" si="63"/>
        <v>0.66506024096385541</v>
      </c>
      <c r="R600" s="122">
        <f t="shared" si="64"/>
        <v>110.4</v>
      </c>
      <c r="S600" s="122">
        <f t="shared" si="65"/>
        <v>0.53204819277108439</v>
      </c>
      <c r="T600" s="133">
        <v>0.55000000000000004</v>
      </c>
    </row>
    <row r="601" spans="1:20" ht="15.75" customHeight="1" x14ac:dyDescent="0.3">
      <c r="A601" s="194" t="s">
        <v>59</v>
      </c>
      <c r="B601" s="176" t="s">
        <v>389</v>
      </c>
      <c r="C601" s="176" t="s">
        <v>87</v>
      </c>
      <c r="D601" s="176" t="s">
        <v>599</v>
      </c>
      <c r="E601" s="177">
        <v>1</v>
      </c>
      <c r="F601" s="176" t="s">
        <v>600</v>
      </c>
      <c r="G601" s="178"/>
      <c r="H601" s="176"/>
      <c r="I601" s="176" t="s">
        <v>500</v>
      </c>
      <c r="J601" s="176"/>
      <c r="K601" s="176" t="s">
        <v>593</v>
      </c>
      <c r="L601" s="176"/>
      <c r="M601" s="176"/>
      <c r="N601" s="179">
        <f t="shared" si="60"/>
        <v>14.5</v>
      </c>
      <c r="O601" s="179">
        <f t="shared" si="61"/>
        <v>78</v>
      </c>
      <c r="P601" s="180">
        <f t="shared" si="62"/>
        <v>92.5</v>
      </c>
      <c r="Q601" s="181">
        <f t="shared" si="63"/>
        <v>0.11144578313253012</v>
      </c>
      <c r="R601" s="122">
        <f t="shared" si="64"/>
        <v>18.5</v>
      </c>
      <c r="S601" s="122">
        <f t="shared" si="65"/>
        <v>8.91566265060241E-2</v>
      </c>
      <c r="T601" s="133">
        <v>0</v>
      </c>
    </row>
    <row r="602" spans="1:20" ht="15.75" hidden="1" customHeight="1" x14ac:dyDescent="0.3">
      <c r="A602" s="194" t="s">
        <v>59</v>
      </c>
      <c r="B602" s="176" t="s">
        <v>389</v>
      </c>
      <c r="C602" s="176" t="s">
        <v>79</v>
      </c>
      <c r="D602" s="176" t="s">
        <v>599</v>
      </c>
      <c r="E602" s="177">
        <v>14</v>
      </c>
      <c r="F602" s="176" t="s">
        <v>600</v>
      </c>
      <c r="G602" s="177">
        <v>14</v>
      </c>
      <c r="H602" s="176" t="s">
        <v>646</v>
      </c>
      <c r="I602" s="176" t="s">
        <v>568</v>
      </c>
      <c r="J602" s="176"/>
      <c r="K602" s="176" t="s">
        <v>593</v>
      </c>
      <c r="L602" s="176"/>
      <c r="M602" s="176"/>
      <c r="N602" s="179">
        <f t="shared" si="60"/>
        <v>239</v>
      </c>
      <c r="O602" s="179">
        <f t="shared" si="61"/>
        <v>313</v>
      </c>
      <c r="P602" s="180">
        <f t="shared" si="62"/>
        <v>552</v>
      </c>
      <c r="Q602" s="181">
        <f t="shared" si="63"/>
        <v>0.66506024096385541</v>
      </c>
      <c r="R602" s="122">
        <f t="shared" si="64"/>
        <v>110.4</v>
      </c>
      <c r="S602" s="122">
        <f t="shared" si="65"/>
        <v>0.53204819277108439</v>
      </c>
      <c r="T602" s="133">
        <v>0.55000000000000004</v>
      </c>
    </row>
    <row r="603" spans="1:20" ht="15.75" hidden="1" customHeight="1" x14ac:dyDescent="0.3">
      <c r="A603" s="194" t="s">
        <v>59</v>
      </c>
      <c r="B603" s="176" t="s">
        <v>389</v>
      </c>
      <c r="C603" s="176" t="s">
        <v>100</v>
      </c>
      <c r="D603" s="176" t="s">
        <v>599</v>
      </c>
      <c r="E603" s="177">
        <v>8</v>
      </c>
      <c r="F603" s="176" t="s">
        <v>600</v>
      </c>
      <c r="G603" s="177">
        <v>8</v>
      </c>
      <c r="H603" s="176" t="s">
        <v>646</v>
      </c>
      <c r="I603" s="176" t="s">
        <v>568</v>
      </c>
      <c r="J603" s="176"/>
      <c r="K603" s="176" t="s">
        <v>593</v>
      </c>
      <c r="L603" s="176"/>
      <c r="M603" s="176"/>
      <c r="N603" s="179">
        <f t="shared" si="60"/>
        <v>239</v>
      </c>
      <c r="O603" s="179">
        <f t="shared" si="61"/>
        <v>313</v>
      </c>
      <c r="P603" s="180">
        <f t="shared" si="62"/>
        <v>552</v>
      </c>
      <c r="Q603" s="181">
        <f t="shared" si="63"/>
        <v>0.66506024096385541</v>
      </c>
      <c r="R603" s="122">
        <f t="shared" si="64"/>
        <v>110.4</v>
      </c>
      <c r="S603" s="122">
        <f t="shared" si="65"/>
        <v>0.53204819277108439</v>
      </c>
      <c r="T603" s="133">
        <v>0.55000000000000004</v>
      </c>
    </row>
    <row r="604" spans="1:20" ht="15.75" hidden="1" customHeight="1" x14ac:dyDescent="0.3">
      <c r="A604" s="194" t="s">
        <v>59</v>
      </c>
      <c r="B604" s="176" t="s">
        <v>389</v>
      </c>
      <c r="C604" s="176" t="s">
        <v>80</v>
      </c>
      <c r="D604" s="176" t="s">
        <v>599</v>
      </c>
      <c r="E604" s="177">
        <v>1</v>
      </c>
      <c r="F604" s="176" t="s">
        <v>600</v>
      </c>
      <c r="G604" s="178"/>
      <c r="H604" s="176" t="s">
        <v>646</v>
      </c>
      <c r="I604" s="176" t="s">
        <v>568</v>
      </c>
      <c r="J604" s="176"/>
      <c r="K604" s="176" t="s">
        <v>593</v>
      </c>
      <c r="L604" s="176"/>
      <c r="M604" s="176"/>
      <c r="N604" s="179">
        <f t="shared" si="60"/>
        <v>239</v>
      </c>
      <c r="O604" s="179">
        <f t="shared" si="61"/>
        <v>313</v>
      </c>
      <c r="P604" s="180">
        <f t="shared" si="62"/>
        <v>552</v>
      </c>
      <c r="Q604" s="181">
        <f t="shared" si="63"/>
        <v>0.66506024096385541</v>
      </c>
      <c r="R604" s="122">
        <f t="shared" si="64"/>
        <v>110.4</v>
      </c>
      <c r="S604" s="122">
        <f t="shared" si="65"/>
        <v>0.53204819277108439</v>
      </c>
      <c r="T604" s="133">
        <v>0.55000000000000004</v>
      </c>
    </row>
    <row r="605" spans="1:20" ht="15.75" customHeight="1" x14ac:dyDescent="0.3">
      <c r="A605" s="194" t="s">
        <v>59</v>
      </c>
      <c r="B605" s="176" t="s">
        <v>389</v>
      </c>
      <c r="C605" s="176" t="s">
        <v>80</v>
      </c>
      <c r="D605" s="176" t="s">
        <v>599</v>
      </c>
      <c r="E605" s="177">
        <v>1</v>
      </c>
      <c r="F605" s="176" t="s">
        <v>600</v>
      </c>
      <c r="G605" s="178"/>
      <c r="H605" s="176"/>
      <c r="I605" s="176" t="s">
        <v>500</v>
      </c>
      <c r="J605" s="176"/>
      <c r="K605" s="176" t="s">
        <v>593</v>
      </c>
      <c r="L605" s="176"/>
      <c r="M605" s="176"/>
      <c r="N605" s="179">
        <f t="shared" si="60"/>
        <v>14.5</v>
      </c>
      <c r="O605" s="179">
        <f t="shared" si="61"/>
        <v>78</v>
      </c>
      <c r="P605" s="180">
        <f t="shared" si="62"/>
        <v>92.5</v>
      </c>
      <c r="Q605" s="181">
        <f t="shared" si="63"/>
        <v>0.11144578313253012</v>
      </c>
      <c r="R605" s="122">
        <f t="shared" si="64"/>
        <v>18.5</v>
      </c>
      <c r="S605" s="122">
        <f t="shared" si="65"/>
        <v>8.91566265060241E-2</v>
      </c>
      <c r="T605" s="133">
        <v>0</v>
      </c>
    </row>
    <row r="606" spans="1:20" ht="15.75" hidden="1" customHeight="1" x14ac:dyDescent="0.3">
      <c r="A606" s="194" t="s">
        <v>59</v>
      </c>
      <c r="B606" s="176" t="s">
        <v>390</v>
      </c>
      <c r="C606" s="176" t="s">
        <v>73</v>
      </c>
      <c r="D606" s="176" t="s">
        <v>599</v>
      </c>
      <c r="E606" s="177">
        <v>24</v>
      </c>
      <c r="F606" s="176" t="s">
        <v>600</v>
      </c>
      <c r="G606" s="177">
        <v>24</v>
      </c>
      <c r="H606" s="176" t="s">
        <v>604</v>
      </c>
      <c r="I606" s="176" t="s">
        <v>578</v>
      </c>
      <c r="J606" s="176"/>
      <c r="K606" s="176" t="s">
        <v>593</v>
      </c>
      <c r="L606" s="176"/>
      <c r="M606" s="176"/>
      <c r="N606" s="179">
        <f t="shared" si="60"/>
        <v>381</v>
      </c>
      <c r="O606" s="179">
        <f t="shared" si="61"/>
        <v>162</v>
      </c>
      <c r="P606" s="180">
        <f t="shared" si="62"/>
        <v>543</v>
      </c>
      <c r="Q606" s="181">
        <f t="shared" si="63"/>
        <v>0.6542168674698795</v>
      </c>
      <c r="R606" s="122">
        <f t="shared" si="64"/>
        <v>108.60000000000001</v>
      </c>
      <c r="S606" s="122">
        <f t="shared" si="65"/>
        <v>0.5233734939759036</v>
      </c>
      <c r="T606" s="133">
        <v>0.5</v>
      </c>
    </row>
    <row r="607" spans="1:20" ht="15.75" hidden="1" customHeight="1" x14ac:dyDescent="0.3">
      <c r="A607" s="194" t="s">
        <v>59</v>
      </c>
      <c r="B607" s="176" t="s">
        <v>390</v>
      </c>
      <c r="C607" s="176" t="s">
        <v>123</v>
      </c>
      <c r="D607" s="176" t="s">
        <v>599</v>
      </c>
      <c r="E607" s="177">
        <v>18</v>
      </c>
      <c r="F607" s="176" t="s">
        <v>600</v>
      </c>
      <c r="G607" s="178"/>
      <c r="H607" s="176" t="s">
        <v>604</v>
      </c>
      <c r="I607" s="176" t="s">
        <v>578</v>
      </c>
      <c r="J607" s="176"/>
      <c r="K607" s="176" t="s">
        <v>593</v>
      </c>
      <c r="L607" s="176"/>
      <c r="M607" s="176"/>
      <c r="N607" s="179">
        <f t="shared" si="60"/>
        <v>381</v>
      </c>
      <c r="O607" s="179">
        <f t="shared" si="61"/>
        <v>162</v>
      </c>
      <c r="P607" s="180">
        <f t="shared" si="62"/>
        <v>543</v>
      </c>
      <c r="Q607" s="181">
        <f t="shared" si="63"/>
        <v>0.6542168674698795</v>
      </c>
      <c r="R607" s="122">
        <f t="shared" si="64"/>
        <v>108.60000000000001</v>
      </c>
      <c r="S607" s="122">
        <f t="shared" si="65"/>
        <v>0.5233734939759036</v>
      </c>
      <c r="T607" s="133">
        <v>0.5</v>
      </c>
    </row>
    <row r="608" spans="1:20" ht="15.75" hidden="1" customHeight="1" x14ac:dyDescent="0.3">
      <c r="A608" s="194" t="s">
        <v>59</v>
      </c>
      <c r="B608" s="176" t="s">
        <v>390</v>
      </c>
      <c r="C608" s="176" t="s">
        <v>87</v>
      </c>
      <c r="D608" s="176" t="s">
        <v>599</v>
      </c>
      <c r="E608" s="177">
        <v>3</v>
      </c>
      <c r="F608" s="176" t="s">
        <v>600</v>
      </c>
      <c r="G608" s="178"/>
      <c r="H608" s="176" t="s">
        <v>604</v>
      </c>
      <c r="I608" s="176" t="s">
        <v>578</v>
      </c>
      <c r="J608" s="176"/>
      <c r="K608" s="176" t="s">
        <v>593</v>
      </c>
      <c r="L608" s="176"/>
      <c r="M608" s="176"/>
      <c r="N608" s="179">
        <f t="shared" si="60"/>
        <v>381</v>
      </c>
      <c r="O608" s="179">
        <f t="shared" si="61"/>
        <v>162</v>
      </c>
      <c r="P608" s="180">
        <f t="shared" si="62"/>
        <v>543</v>
      </c>
      <c r="Q608" s="181">
        <f t="shared" si="63"/>
        <v>0.6542168674698795</v>
      </c>
      <c r="R608" s="122">
        <f t="shared" si="64"/>
        <v>108.60000000000001</v>
      </c>
      <c r="S608" s="122">
        <f t="shared" si="65"/>
        <v>0.5233734939759036</v>
      </c>
      <c r="T608" s="133">
        <v>0.5</v>
      </c>
    </row>
    <row r="609" spans="1:20" ht="15.75" hidden="1" customHeight="1" x14ac:dyDescent="0.3">
      <c r="A609" s="194" t="s">
        <v>59</v>
      </c>
      <c r="B609" s="176" t="s">
        <v>390</v>
      </c>
      <c r="C609" s="176" t="s">
        <v>100</v>
      </c>
      <c r="D609" s="176" t="s">
        <v>599</v>
      </c>
      <c r="E609" s="177">
        <v>16</v>
      </c>
      <c r="F609" s="176" t="s">
        <v>600</v>
      </c>
      <c r="G609" s="177">
        <v>32</v>
      </c>
      <c r="H609" s="176" t="s">
        <v>718</v>
      </c>
      <c r="I609" s="176" t="s">
        <v>575</v>
      </c>
      <c r="J609" s="176"/>
      <c r="K609" s="176" t="s">
        <v>593</v>
      </c>
      <c r="L609" s="176"/>
      <c r="M609" s="176"/>
      <c r="N609" s="179">
        <f t="shared" si="60"/>
        <v>78</v>
      </c>
      <c r="O609" s="179">
        <f t="shared" si="61"/>
        <v>240.5</v>
      </c>
      <c r="P609" s="180">
        <f t="shared" si="62"/>
        <v>318.5</v>
      </c>
      <c r="Q609" s="181">
        <f t="shared" si="63"/>
        <v>0.38373493975903616</v>
      </c>
      <c r="R609" s="122">
        <f t="shared" si="64"/>
        <v>63.7</v>
      </c>
      <c r="S609" s="122">
        <f t="shared" si="65"/>
        <v>0.30698795180722893</v>
      </c>
      <c r="T609" s="133">
        <v>0.35</v>
      </c>
    </row>
    <row r="610" spans="1:20" ht="15.75" hidden="1" customHeight="1" x14ac:dyDescent="0.3">
      <c r="A610" s="194" t="s">
        <v>59</v>
      </c>
      <c r="B610" s="176" t="s">
        <v>390</v>
      </c>
      <c r="C610" s="176" t="s">
        <v>100</v>
      </c>
      <c r="D610" s="176" t="s">
        <v>599</v>
      </c>
      <c r="E610" s="177">
        <v>16</v>
      </c>
      <c r="F610" s="176" t="s">
        <v>600</v>
      </c>
      <c r="G610" s="177">
        <v>32</v>
      </c>
      <c r="H610" s="176" t="s">
        <v>594</v>
      </c>
      <c r="I610" s="176" t="s">
        <v>358</v>
      </c>
      <c r="J610" s="176"/>
      <c r="K610" s="176" t="s">
        <v>593</v>
      </c>
      <c r="L610" s="176"/>
      <c r="M610" s="176"/>
      <c r="N610" s="179">
        <f t="shared" si="60"/>
        <v>111</v>
      </c>
      <c r="O610" s="179">
        <f t="shared" si="61"/>
        <v>265</v>
      </c>
      <c r="P610" s="180">
        <f t="shared" si="62"/>
        <v>376</v>
      </c>
      <c r="Q610" s="181">
        <f t="shared" si="63"/>
        <v>0.45301204819277108</v>
      </c>
      <c r="R610" s="122">
        <f t="shared" si="64"/>
        <v>75.2</v>
      </c>
      <c r="S610" s="122">
        <f t="shared" si="65"/>
        <v>0.36240963855421687</v>
      </c>
      <c r="T610" s="133">
        <v>0.45</v>
      </c>
    </row>
    <row r="611" spans="1:20" ht="15.75" hidden="1" customHeight="1" x14ac:dyDescent="0.3">
      <c r="A611" s="194" t="s">
        <v>59</v>
      </c>
      <c r="B611" s="176" t="s">
        <v>390</v>
      </c>
      <c r="C611" s="176" t="s">
        <v>80</v>
      </c>
      <c r="D611" s="176" t="s">
        <v>599</v>
      </c>
      <c r="E611" s="177">
        <v>1</v>
      </c>
      <c r="F611" s="176" t="s">
        <v>600</v>
      </c>
      <c r="G611" s="178"/>
      <c r="H611" s="176" t="s">
        <v>604</v>
      </c>
      <c r="I611" s="176" t="s">
        <v>578</v>
      </c>
      <c r="J611" s="176"/>
      <c r="K611" s="176" t="s">
        <v>593</v>
      </c>
      <c r="L611" s="176"/>
      <c r="M611" s="176"/>
      <c r="N611" s="179">
        <f t="shared" si="60"/>
        <v>381</v>
      </c>
      <c r="O611" s="179">
        <f t="shared" si="61"/>
        <v>162</v>
      </c>
      <c r="P611" s="180">
        <f t="shared" si="62"/>
        <v>543</v>
      </c>
      <c r="Q611" s="181">
        <f t="shared" si="63"/>
        <v>0.6542168674698795</v>
      </c>
      <c r="R611" s="122">
        <f t="shared" si="64"/>
        <v>108.60000000000001</v>
      </c>
      <c r="S611" s="122">
        <f t="shared" si="65"/>
        <v>0.5233734939759036</v>
      </c>
      <c r="T611" s="133">
        <v>0.5</v>
      </c>
    </row>
    <row r="612" spans="1:20" ht="15.75" hidden="1" customHeight="1" x14ac:dyDescent="0.3">
      <c r="A612" s="194" t="s">
        <v>59</v>
      </c>
      <c r="B612" s="176" t="s">
        <v>393</v>
      </c>
      <c r="C612" s="176" t="s">
        <v>73</v>
      </c>
      <c r="D612" s="176" t="s">
        <v>599</v>
      </c>
      <c r="E612" s="177">
        <v>32</v>
      </c>
      <c r="F612" s="176" t="s">
        <v>600</v>
      </c>
      <c r="G612" s="177">
        <v>32</v>
      </c>
      <c r="H612" s="176" t="s">
        <v>718</v>
      </c>
      <c r="I612" s="176" t="s">
        <v>575</v>
      </c>
      <c r="J612" s="176"/>
      <c r="K612" s="176" t="s">
        <v>593</v>
      </c>
      <c r="L612" s="176"/>
      <c r="M612" s="176"/>
      <c r="N612" s="179">
        <f t="shared" ref="N612:N675" si="66">SUMIFS($E$2:$E$896,$A$2:$A$896,"осень",$I$2:$I$896,I612)</f>
        <v>78</v>
      </c>
      <c r="O612" s="179">
        <f t="shared" ref="O612:O675" si="67">SUMIFS($E$2:$E$896,$A$2:$A$896,"весна",$I$2:$I$896,I612)</f>
        <v>240.5</v>
      </c>
      <c r="P612" s="180">
        <f t="shared" si="62"/>
        <v>318.5</v>
      </c>
      <c r="Q612" s="181">
        <f t="shared" si="63"/>
        <v>0.38373493975903616</v>
      </c>
      <c r="R612" s="122">
        <f t="shared" si="64"/>
        <v>63.7</v>
      </c>
      <c r="S612" s="122">
        <f t="shared" si="65"/>
        <v>0.30698795180722893</v>
      </c>
      <c r="T612" s="133">
        <v>0.35</v>
      </c>
    </row>
    <row r="613" spans="1:20" ht="15.75" hidden="1" customHeight="1" x14ac:dyDescent="0.3">
      <c r="A613" s="194" t="s">
        <v>59</v>
      </c>
      <c r="B613" s="176" t="s">
        <v>393</v>
      </c>
      <c r="C613" s="176" t="s">
        <v>100</v>
      </c>
      <c r="D613" s="176" t="s">
        <v>599</v>
      </c>
      <c r="E613" s="177">
        <v>24</v>
      </c>
      <c r="F613" s="176" t="s">
        <v>600</v>
      </c>
      <c r="G613" s="177">
        <v>24</v>
      </c>
      <c r="H613" s="176" t="s">
        <v>718</v>
      </c>
      <c r="I613" s="176" t="s">
        <v>575</v>
      </c>
      <c r="J613" s="176"/>
      <c r="K613" s="176" t="s">
        <v>593</v>
      </c>
      <c r="L613" s="176"/>
      <c r="M613" s="176"/>
      <c r="N613" s="179">
        <f t="shared" si="66"/>
        <v>78</v>
      </c>
      <c r="O613" s="179">
        <f t="shared" si="67"/>
        <v>240.5</v>
      </c>
      <c r="P613" s="180">
        <f t="shared" si="62"/>
        <v>318.5</v>
      </c>
      <c r="Q613" s="181">
        <f t="shared" si="63"/>
        <v>0.38373493975903616</v>
      </c>
      <c r="R613" s="122">
        <f t="shared" si="64"/>
        <v>63.7</v>
      </c>
      <c r="S613" s="122">
        <f t="shared" si="65"/>
        <v>0.30698795180722893</v>
      </c>
      <c r="T613" s="133">
        <v>0.35</v>
      </c>
    </row>
    <row r="614" spans="1:20" ht="15.75" hidden="1" customHeight="1" x14ac:dyDescent="0.3">
      <c r="A614" s="194" t="s">
        <v>59</v>
      </c>
      <c r="B614" s="176" t="s">
        <v>393</v>
      </c>
      <c r="C614" s="176" t="s">
        <v>111</v>
      </c>
      <c r="D614" s="176" t="s">
        <v>599</v>
      </c>
      <c r="E614" s="177">
        <v>4</v>
      </c>
      <c r="F614" s="176" t="s">
        <v>600</v>
      </c>
      <c r="G614" s="178"/>
      <c r="H614" s="176" t="s">
        <v>718</v>
      </c>
      <c r="I614" s="176" t="s">
        <v>575</v>
      </c>
      <c r="J614" s="176"/>
      <c r="K614" s="176" t="s">
        <v>593</v>
      </c>
      <c r="L614" s="176"/>
      <c r="M614" s="176"/>
      <c r="N614" s="179">
        <f t="shared" si="66"/>
        <v>78</v>
      </c>
      <c r="O614" s="179">
        <f t="shared" si="67"/>
        <v>240.5</v>
      </c>
      <c r="P614" s="180">
        <f t="shared" si="62"/>
        <v>318.5</v>
      </c>
      <c r="Q614" s="181">
        <f t="shared" si="63"/>
        <v>0.38373493975903616</v>
      </c>
      <c r="R614" s="122">
        <f t="shared" si="64"/>
        <v>63.7</v>
      </c>
      <c r="S614" s="122">
        <f t="shared" si="65"/>
        <v>0.30698795180722893</v>
      </c>
      <c r="T614" s="133">
        <v>0.35</v>
      </c>
    </row>
    <row r="615" spans="1:20" ht="15.75" customHeight="1" x14ac:dyDescent="0.3">
      <c r="A615" s="194" t="s">
        <v>59</v>
      </c>
      <c r="B615" s="176" t="s">
        <v>393</v>
      </c>
      <c r="C615" s="176" t="s">
        <v>111</v>
      </c>
      <c r="D615" s="176" t="s">
        <v>599</v>
      </c>
      <c r="E615" s="177">
        <v>1</v>
      </c>
      <c r="F615" s="176" t="s">
        <v>600</v>
      </c>
      <c r="G615" s="178"/>
      <c r="H615" s="176"/>
      <c r="I615" s="176" t="s">
        <v>500</v>
      </c>
      <c r="J615" s="176"/>
      <c r="K615" s="176" t="s">
        <v>593</v>
      </c>
      <c r="L615" s="176"/>
      <c r="M615" s="176"/>
      <c r="N615" s="179">
        <f t="shared" si="66"/>
        <v>14.5</v>
      </c>
      <c r="O615" s="179">
        <f t="shared" si="67"/>
        <v>78</v>
      </c>
      <c r="P615" s="180">
        <f t="shared" si="62"/>
        <v>92.5</v>
      </c>
      <c r="Q615" s="181">
        <f t="shared" si="63"/>
        <v>0.11144578313253012</v>
      </c>
      <c r="R615" s="122">
        <f t="shared" si="64"/>
        <v>18.5</v>
      </c>
      <c r="S615" s="122">
        <f t="shared" si="65"/>
        <v>8.91566265060241E-2</v>
      </c>
      <c r="T615" s="133">
        <v>0</v>
      </c>
    </row>
    <row r="616" spans="1:20" ht="15.75" hidden="1" customHeight="1" x14ac:dyDescent="0.3">
      <c r="A616" s="194" t="s">
        <v>59</v>
      </c>
      <c r="B616" s="176" t="s">
        <v>393</v>
      </c>
      <c r="C616" s="176" t="s">
        <v>80</v>
      </c>
      <c r="D616" s="176" t="s">
        <v>599</v>
      </c>
      <c r="E616" s="177">
        <v>2</v>
      </c>
      <c r="F616" s="176" t="s">
        <v>600</v>
      </c>
      <c r="G616" s="178"/>
      <c r="H616" s="176" t="s">
        <v>718</v>
      </c>
      <c r="I616" s="176" t="s">
        <v>575</v>
      </c>
      <c r="J616" s="176"/>
      <c r="K616" s="176" t="s">
        <v>593</v>
      </c>
      <c r="L616" s="176"/>
      <c r="M616" s="176"/>
      <c r="N616" s="179">
        <f t="shared" si="66"/>
        <v>78</v>
      </c>
      <c r="O616" s="179">
        <f t="shared" si="67"/>
        <v>240.5</v>
      </c>
      <c r="P616" s="180">
        <f t="shared" si="62"/>
        <v>318.5</v>
      </c>
      <c r="Q616" s="181">
        <f t="shared" si="63"/>
        <v>0.38373493975903616</v>
      </c>
      <c r="R616" s="122">
        <f t="shared" si="64"/>
        <v>63.7</v>
      </c>
      <c r="S616" s="122">
        <f t="shared" si="65"/>
        <v>0.30698795180722893</v>
      </c>
      <c r="T616" s="133">
        <v>0.35</v>
      </c>
    </row>
    <row r="617" spans="1:20" ht="15.75" customHeight="1" x14ac:dyDescent="0.3">
      <c r="A617" s="194" t="s">
        <v>59</v>
      </c>
      <c r="B617" s="176" t="s">
        <v>393</v>
      </c>
      <c r="C617" s="176" t="s">
        <v>80</v>
      </c>
      <c r="D617" s="176" t="s">
        <v>599</v>
      </c>
      <c r="E617" s="177">
        <v>1</v>
      </c>
      <c r="F617" s="176" t="s">
        <v>600</v>
      </c>
      <c r="G617" s="178"/>
      <c r="H617" s="176"/>
      <c r="I617" s="176" t="s">
        <v>500</v>
      </c>
      <c r="J617" s="176"/>
      <c r="K617" s="176" t="s">
        <v>593</v>
      </c>
      <c r="L617" s="176"/>
      <c r="M617" s="176"/>
      <c r="N617" s="179">
        <f t="shared" si="66"/>
        <v>14.5</v>
      </c>
      <c r="O617" s="179">
        <f t="shared" si="67"/>
        <v>78</v>
      </c>
      <c r="P617" s="180">
        <f t="shared" si="62"/>
        <v>92.5</v>
      </c>
      <c r="Q617" s="181">
        <f t="shared" si="63"/>
        <v>0.11144578313253012</v>
      </c>
      <c r="R617" s="122">
        <f t="shared" si="64"/>
        <v>18.5</v>
      </c>
      <c r="S617" s="122">
        <f t="shared" si="65"/>
        <v>8.91566265060241E-2</v>
      </c>
      <c r="T617" s="133">
        <v>0</v>
      </c>
    </row>
    <row r="618" spans="1:20" ht="15.75" hidden="1" customHeight="1" x14ac:dyDescent="0.3">
      <c r="A618" s="194" t="s">
        <v>59</v>
      </c>
      <c r="B618" s="176" t="s">
        <v>394</v>
      </c>
      <c r="C618" s="176" t="s">
        <v>73</v>
      </c>
      <c r="D618" s="176" t="s">
        <v>602</v>
      </c>
      <c r="E618" s="177">
        <v>32</v>
      </c>
      <c r="F618" s="176" t="s">
        <v>603</v>
      </c>
      <c r="G618" s="177">
        <v>32</v>
      </c>
      <c r="H618" s="176" t="s">
        <v>598</v>
      </c>
      <c r="I618" s="176" t="s">
        <v>104</v>
      </c>
      <c r="J618" s="176"/>
      <c r="K618" s="176" t="s">
        <v>593</v>
      </c>
      <c r="L618" s="176"/>
      <c r="M618" s="176"/>
      <c r="N618" s="179">
        <f t="shared" si="66"/>
        <v>188</v>
      </c>
      <c r="O618" s="179">
        <f t="shared" si="67"/>
        <v>294</v>
      </c>
      <c r="P618" s="180">
        <f t="shared" si="62"/>
        <v>482</v>
      </c>
      <c r="Q618" s="181">
        <f t="shared" si="63"/>
        <v>0.58072289156626511</v>
      </c>
      <c r="R618" s="122">
        <f t="shared" si="64"/>
        <v>96.4</v>
      </c>
      <c r="S618" s="122">
        <f t="shared" si="65"/>
        <v>0.46457831325301213</v>
      </c>
      <c r="T618" s="133">
        <v>0.5</v>
      </c>
    </row>
    <row r="619" spans="1:20" ht="15.75" hidden="1" customHeight="1" x14ac:dyDescent="0.3">
      <c r="A619" s="194" t="s">
        <v>59</v>
      </c>
      <c r="B619" s="176" t="s">
        <v>394</v>
      </c>
      <c r="C619" s="176" t="s">
        <v>79</v>
      </c>
      <c r="D619" s="176" t="s">
        <v>602</v>
      </c>
      <c r="E619" s="177">
        <v>20</v>
      </c>
      <c r="F619" s="176" t="s">
        <v>603</v>
      </c>
      <c r="G619" s="177">
        <v>20</v>
      </c>
      <c r="H619" s="176" t="s">
        <v>598</v>
      </c>
      <c r="I619" s="176" t="s">
        <v>104</v>
      </c>
      <c r="J619" s="176"/>
      <c r="K619" s="176" t="s">
        <v>593</v>
      </c>
      <c r="L619" s="176"/>
      <c r="M619" s="176"/>
      <c r="N619" s="179">
        <f t="shared" si="66"/>
        <v>188</v>
      </c>
      <c r="O619" s="179">
        <f t="shared" si="67"/>
        <v>294</v>
      </c>
      <c r="P619" s="180">
        <f t="shared" si="62"/>
        <v>482</v>
      </c>
      <c r="Q619" s="181">
        <f t="shared" si="63"/>
        <v>0.58072289156626511</v>
      </c>
      <c r="R619" s="122">
        <f t="shared" si="64"/>
        <v>96.4</v>
      </c>
      <c r="S619" s="122">
        <f t="shared" si="65"/>
        <v>0.46457831325301213</v>
      </c>
      <c r="T619" s="133">
        <v>0.5</v>
      </c>
    </row>
    <row r="620" spans="1:20" ht="15.75" hidden="1" customHeight="1" x14ac:dyDescent="0.3">
      <c r="A620" s="194" t="s">
        <v>59</v>
      </c>
      <c r="B620" s="176" t="s">
        <v>394</v>
      </c>
      <c r="C620" s="176" t="s">
        <v>100</v>
      </c>
      <c r="D620" s="176" t="s">
        <v>602</v>
      </c>
      <c r="E620" s="177">
        <v>16</v>
      </c>
      <c r="F620" s="176" t="s">
        <v>603</v>
      </c>
      <c r="G620" s="177">
        <v>16</v>
      </c>
      <c r="H620" s="176" t="s">
        <v>598</v>
      </c>
      <c r="I620" s="176" t="s">
        <v>104</v>
      </c>
      <c r="J620" s="176"/>
      <c r="K620" s="176" t="s">
        <v>593</v>
      </c>
      <c r="L620" s="176"/>
      <c r="M620" s="176"/>
      <c r="N620" s="179">
        <f t="shared" si="66"/>
        <v>188</v>
      </c>
      <c r="O620" s="179">
        <f t="shared" si="67"/>
        <v>294</v>
      </c>
      <c r="P620" s="180">
        <f t="shared" si="62"/>
        <v>482</v>
      </c>
      <c r="Q620" s="181">
        <f t="shared" si="63"/>
        <v>0.58072289156626511</v>
      </c>
      <c r="R620" s="122">
        <f t="shared" si="64"/>
        <v>96.4</v>
      </c>
      <c r="S620" s="122">
        <f t="shared" si="65"/>
        <v>0.46457831325301213</v>
      </c>
      <c r="T620" s="133">
        <v>0.5</v>
      </c>
    </row>
    <row r="621" spans="1:20" ht="15.75" hidden="1" customHeight="1" x14ac:dyDescent="0.3">
      <c r="A621" s="194" t="s">
        <v>59</v>
      </c>
      <c r="B621" s="176" t="s">
        <v>394</v>
      </c>
      <c r="C621" s="176" t="s">
        <v>111</v>
      </c>
      <c r="D621" s="176" t="s">
        <v>602</v>
      </c>
      <c r="E621" s="177">
        <v>4</v>
      </c>
      <c r="F621" s="176" t="s">
        <v>603</v>
      </c>
      <c r="G621" s="178"/>
      <c r="H621" s="176" t="s">
        <v>598</v>
      </c>
      <c r="I621" s="176" t="s">
        <v>104</v>
      </c>
      <c r="J621" s="176"/>
      <c r="K621" s="176" t="s">
        <v>593</v>
      </c>
      <c r="L621" s="176"/>
      <c r="M621" s="176"/>
      <c r="N621" s="179">
        <f t="shared" si="66"/>
        <v>188</v>
      </c>
      <c r="O621" s="179">
        <f t="shared" si="67"/>
        <v>294</v>
      </c>
      <c r="P621" s="180">
        <f t="shared" si="62"/>
        <v>482</v>
      </c>
      <c r="Q621" s="181">
        <f t="shared" si="63"/>
        <v>0.58072289156626511</v>
      </c>
      <c r="R621" s="122">
        <f t="shared" si="64"/>
        <v>96.4</v>
      </c>
      <c r="S621" s="122">
        <f t="shared" si="65"/>
        <v>0.46457831325301213</v>
      </c>
      <c r="T621" s="133">
        <v>0.5</v>
      </c>
    </row>
    <row r="622" spans="1:20" ht="15.75" customHeight="1" x14ac:dyDescent="0.3">
      <c r="A622" s="194" t="s">
        <v>59</v>
      </c>
      <c r="B622" s="176" t="s">
        <v>394</v>
      </c>
      <c r="C622" s="176" t="s">
        <v>111</v>
      </c>
      <c r="D622" s="176" t="s">
        <v>602</v>
      </c>
      <c r="E622" s="177">
        <v>1</v>
      </c>
      <c r="F622" s="176" t="s">
        <v>603</v>
      </c>
      <c r="G622" s="178"/>
      <c r="H622" s="176"/>
      <c r="I622" s="176" t="s">
        <v>500</v>
      </c>
      <c r="J622" s="176"/>
      <c r="K622" s="176" t="s">
        <v>593</v>
      </c>
      <c r="L622" s="176"/>
      <c r="M622" s="176"/>
      <c r="N622" s="179">
        <f t="shared" si="66"/>
        <v>14.5</v>
      </c>
      <c r="O622" s="179">
        <f t="shared" si="67"/>
        <v>78</v>
      </c>
      <c r="P622" s="180">
        <f t="shared" si="62"/>
        <v>92.5</v>
      </c>
      <c r="Q622" s="181">
        <f t="shared" si="63"/>
        <v>0.11144578313253012</v>
      </c>
      <c r="R622" s="122">
        <f t="shared" si="64"/>
        <v>18.5</v>
      </c>
      <c r="S622" s="122">
        <f t="shared" si="65"/>
        <v>8.91566265060241E-2</v>
      </c>
      <c r="T622" s="133">
        <v>0</v>
      </c>
    </row>
    <row r="623" spans="1:20" ht="15.75" hidden="1" customHeight="1" x14ac:dyDescent="0.3">
      <c r="A623" s="194" t="s">
        <v>59</v>
      </c>
      <c r="B623" s="176" t="s">
        <v>394</v>
      </c>
      <c r="C623" s="176" t="s">
        <v>80</v>
      </c>
      <c r="D623" s="176" t="s">
        <v>602</v>
      </c>
      <c r="E623" s="177">
        <v>2</v>
      </c>
      <c r="F623" s="176" t="s">
        <v>603</v>
      </c>
      <c r="G623" s="178"/>
      <c r="H623" s="176" t="s">
        <v>598</v>
      </c>
      <c r="I623" s="176" t="s">
        <v>104</v>
      </c>
      <c r="J623" s="176"/>
      <c r="K623" s="176" t="s">
        <v>593</v>
      </c>
      <c r="L623" s="176"/>
      <c r="M623" s="176"/>
      <c r="N623" s="179">
        <f t="shared" si="66"/>
        <v>188</v>
      </c>
      <c r="O623" s="179">
        <f t="shared" si="67"/>
        <v>294</v>
      </c>
      <c r="P623" s="180">
        <f t="shared" si="62"/>
        <v>482</v>
      </c>
      <c r="Q623" s="181">
        <f t="shared" si="63"/>
        <v>0.58072289156626511</v>
      </c>
      <c r="R623" s="122">
        <f t="shared" si="64"/>
        <v>96.4</v>
      </c>
      <c r="S623" s="122">
        <f t="shared" si="65"/>
        <v>0.46457831325301213</v>
      </c>
      <c r="T623" s="133">
        <v>0.5</v>
      </c>
    </row>
    <row r="624" spans="1:20" ht="15.75" customHeight="1" x14ac:dyDescent="0.3">
      <c r="A624" s="194" t="s">
        <v>59</v>
      </c>
      <c r="B624" s="176" t="s">
        <v>394</v>
      </c>
      <c r="C624" s="176" t="s">
        <v>80</v>
      </c>
      <c r="D624" s="176" t="s">
        <v>602</v>
      </c>
      <c r="E624" s="177">
        <v>1</v>
      </c>
      <c r="F624" s="176" t="s">
        <v>603</v>
      </c>
      <c r="G624" s="178"/>
      <c r="H624" s="176"/>
      <c r="I624" s="176" t="s">
        <v>500</v>
      </c>
      <c r="J624" s="176"/>
      <c r="K624" s="176" t="s">
        <v>593</v>
      </c>
      <c r="L624" s="176"/>
      <c r="M624" s="176"/>
      <c r="N624" s="179">
        <f t="shared" si="66"/>
        <v>14.5</v>
      </c>
      <c r="O624" s="179">
        <f t="shared" si="67"/>
        <v>78</v>
      </c>
      <c r="P624" s="180">
        <f t="shared" si="62"/>
        <v>92.5</v>
      </c>
      <c r="Q624" s="181">
        <f t="shared" si="63"/>
        <v>0.11144578313253012</v>
      </c>
      <c r="R624" s="122">
        <f t="shared" si="64"/>
        <v>18.5</v>
      </c>
      <c r="S624" s="122">
        <f t="shared" si="65"/>
        <v>8.91566265060241E-2</v>
      </c>
      <c r="T624" s="133">
        <v>0</v>
      </c>
    </row>
    <row r="625" spans="1:20" ht="15.75" hidden="1" customHeight="1" x14ac:dyDescent="0.3">
      <c r="A625" s="194" t="s">
        <v>59</v>
      </c>
      <c r="B625" s="182" t="s">
        <v>396</v>
      </c>
      <c r="C625" s="182" t="s">
        <v>73</v>
      </c>
      <c r="D625" s="182" t="s">
        <v>599</v>
      </c>
      <c r="E625" s="183">
        <v>34</v>
      </c>
      <c r="F625" s="182" t="s">
        <v>600</v>
      </c>
      <c r="G625" s="183">
        <v>34</v>
      </c>
      <c r="H625" s="182" t="s">
        <v>719</v>
      </c>
      <c r="I625" s="182" t="s">
        <v>568</v>
      </c>
      <c r="J625" s="176"/>
      <c r="K625" s="176" t="s">
        <v>593</v>
      </c>
      <c r="L625" s="176"/>
      <c r="M625" s="176"/>
      <c r="N625" s="179">
        <f t="shared" si="66"/>
        <v>239</v>
      </c>
      <c r="O625" s="179">
        <f t="shared" si="67"/>
        <v>313</v>
      </c>
      <c r="P625" s="180">
        <f t="shared" si="62"/>
        <v>552</v>
      </c>
      <c r="Q625" s="181">
        <f t="shared" si="63"/>
        <v>0.66506024096385541</v>
      </c>
      <c r="R625" s="122">
        <f t="shared" si="64"/>
        <v>110.4</v>
      </c>
      <c r="S625" s="122">
        <f t="shared" si="65"/>
        <v>0.53204819277108439</v>
      </c>
      <c r="T625" s="133">
        <v>0.55000000000000004</v>
      </c>
    </row>
    <row r="626" spans="1:20" ht="15.75" hidden="1" customHeight="1" x14ac:dyDescent="0.3">
      <c r="A626" s="194" t="s">
        <v>59</v>
      </c>
      <c r="B626" s="182" t="s">
        <v>396</v>
      </c>
      <c r="C626" s="182" t="s">
        <v>87</v>
      </c>
      <c r="D626" s="182" t="s">
        <v>599</v>
      </c>
      <c r="E626" s="183">
        <v>2</v>
      </c>
      <c r="F626" s="182" t="s">
        <v>600</v>
      </c>
      <c r="G626" s="187"/>
      <c r="H626" s="182" t="s">
        <v>719</v>
      </c>
      <c r="I626" s="182" t="s">
        <v>568</v>
      </c>
      <c r="J626" s="176"/>
      <c r="K626" s="176" t="s">
        <v>593</v>
      </c>
      <c r="L626" s="176"/>
      <c r="M626" s="176"/>
      <c r="N626" s="179">
        <f t="shared" si="66"/>
        <v>239</v>
      </c>
      <c r="O626" s="179">
        <f t="shared" si="67"/>
        <v>313</v>
      </c>
      <c r="P626" s="180">
        <f t="shared" si="62"/>
        <v>552</v>
      </c>
      <c r="Q626" s="181">
        <f t="shared" si="63"/>
        <v>0.66506024096385541</v>
      </c>
      <c r="R626" s="122">
        <f t="shared" si="64"/>
        <v>110.4</v>
      </c>
      <c r="S626" s="122">
        <f t="shared" si="65"/>
        <v>0.53204819277108439</v>
      </c>
      <c r="T626" s="133">
        <v>0.55000000000000004</v>
      </c>
    </row>
    <row r="627" spans="1:20" ht="15.75" customHeight="1" x14ac:dyDescent="0.3">
      <c r="A627" s="194" t="s">
        <v>59</v>
      </c>
      <c r="B627" s="176" t="s">
        <v>396</v>
      </c>
      <c r="C627" s="176" t="s">
        <v>87</v>
      </c>
      <c r="D627" s="176" t="s">
        <v>599</v>
      </c>
      <c r="E627" s="177">
        <v>1</v>
      </c>
      <c r="F627" s="176" t="s">
        <v>600</v>
      </c>
      <c r="G627" s="178"/>
      <c r="H627" s="176"/>
      <c r="I627" s="176" t="s">
        <v>500</v>
      </c>
      <c r="J627" s="176"/>
      <c r="K627" s="176" t="s">
        <v>593</v>
      </c>
      <c r="L627" s="176"/>
      <c r="M627" s="176"/>
      <c r="N627" s="179">
        <f t="shared" si="66"/>
        <v>14.5</v>
      </c>
      <c r="O627" s="179">
        <f t="shared" si="67"/>
        <v>78</v>
      </c>
      <c r="P627" s="180">
        <f t="shared" si="62"/>
        <v>92.5</v>
      </c>
      <c r="Q627" s="181">
        <f t="shared" si="63"/>
        <v>0.11144578313253012</v>
      </c>
      <c r="R627" s="122">
        <f t="shared" si="64"/>
        <v>18.5</v>
      </c>
      <c r="S627" s="122">
        <f t="shared" si="65"/>
        <v>8.91566265060241E-2</v>
      </c>
      <c r="T627" s="133">
        <v>0</v>
      </c>
    </row>
    <row r="628" spans="1:20" ht="15.75" hidden="1" customHeight="1" x14ac:dyDescent="0.3">
      <c r="A628" s="194" t="s">
        <v>59</v>
      </c>
      <c r="B628" s="182" t="s">
        <v>396</v>
      </c>
      <c r="C628" s="182" t="s">
        <v>79</v>
      </c>
      <c r="D628" s="182" t="s">
        <v>599</v>
      </c>
      <c r="E628" s="183">
        <v>22</v>
      </c>
      <c r="F628" s="182" t="s">
        <v>600</v>
      </c>
      <c r="G628" s="183">
        <v>22</v>
      </c>
      <c r="H628" s="182" t="s">
        <v>719</v>
      </c>
      <c r="I628" s="182" t="s">
        <v>568</v>
      </c>
      <c r="J628" s="176"/>
      <c r="K628" s="176" t="s">
        <v>593</v>
      </c>
      <c r="L628" s="176"/>
      <c r="M628" s="176"/>
      <c r="N628" s="179">
        <f t="shared" si="66"/>
        <v>239</v>
      </c>
      <c r="O628" s="179">
        <f t="shared" si="67"/>
        <v>313</v>
      </c>
      <c r="P628" s="180">
        <f t="shared" si="62"/>
        <v>552</v>
      </c>
      <c r="Q628" s="181">
        <f t="shared" si="63"/>
        <v>0.66506024096385541</v>
      </c>
      <c r="R628" s="122">
        <f t="shared" si="64"/>
        <v>110.4</v>
      </c>
      <c r="S628" s="122">
        <f t="shared" si="65"/>
        <v>0.53204819277108439</v>
      </c>
      <c r="T628" s="133">
        <v>0.55000000000000004</v>
      </c>
    </row>
    <row r="629" spans="1:20" ht="15.75" hidden="1" customHeight="1" x14ac:dyDescent="0.3">
      <c r="A629" s="194" t="s">
        <v>59</v>
      </c>
      <c r="B629" s="176" t="s">
        <v>396</v>
      </c>
      <c r="C629" s="176" t="s">
        <v>80</v>
      </c>
      <c r="D629" s="176" t="s">
        <v>599</v>
      </c>
      <c r="E629" s="177">
        <v>1</v>
      </c>
      <c r="F629" s="176" t="s">
        <v>600</v>
      </c>
      <c r="G629" s="178"/>
      <c r="H629" s="176" t="s">
        <v>719</v>
      </c>
      <c r="I629" s="176" t="s">
        <v>567</v>
      </c>
      <c r="J629" s="176"/>
      <c r="K629" s="176" t="s">
        <v>593</v>
      </c>
      <c r="L629" s="176"/>
      <c r="M629" s="176"/>
      <c r="N629" s="179">
        <f t="shared" si="66"/>
        <v>0</v>
      </c>
      <c r="O629" s="179">
        <f t="shared" si="67"/>
        <v>1</v>
      </c>
      <c r="P629" s="180">
        <f t="shared" si="62"/>
        <v>1</v>
      </c>
      <c r="Q629" s="181">
        <f t="shared" si="63"/>
        <v>1.2048192771084338E-3</v>
      </c>
      <c r="R629" s="122">
        <f t="shared" si="64"/>
        <v>0.2</v>
      </c>
      <c r="S629" s="122">
        <f t="shared" si="65"/>
        <v>9.6385542168674716E-4</v>
      </c>
      <c r="T629" s="133">
        <v>0</v>
      </c>
    </row>
    <row r="630" spans="1:20" ht="15.75" customHeight="1" x14ac:dyDescent="0.3">
      <c r="A630" s="194" t="s">
        <v>59</v>
      </c>
      <c r="B630" s="176" t="s">
        <v>396</v>
      </c>
      <c r="C630" s="176" t="s">
        <v>80</v>
      </c>
      <c r="D630" s="176" t="s">
        <v>599</v>
      </c>
      <c r="E630" s="177">
        <v>1</v>
      </c>
      <c r="F630" s="176" t="s">
        <v>600</v>
      </c>
      <c r="G630" s="178"/>
      <c r="H630" s="176"/>
      <c r="I630" s="176" t="s">
        <v>500</v>
      </c>
      <c r="J630" s="176"/>
      <c r="K630" s="176" t="s">
        <v>593</v>
      </c>
      <c r="L630" s="176"/>
      <c r="M630" s="176"/>
      <c r="N630" s="179">
        <f t="shared" si="66"/>
        <v>14.5</v>
      </c>
      <c r="O630" s="179">
        <f t="shared" si="67"/>
        <v>78</v>
      </c>
      <c r="P630" s="180">
        <f t="shared" si="62"/>
        <v>92.5</v>
      </c>
      <c r="Q630" s="181">
        <f t="shared" si="63"/>
        <v>0.11144578313253012</v>
      </c>
      <c r="R630" s="122">
        <f t="shared" si="64"/>
        <v>18.5</v>
      </c>
      <c r="S630" s="122">
        <f t="shared" si="65"/>
        <v>8.91566265060241E-2</v>
      </c>
      <c r="T630" s="133">
        <v>0</v>
      </c>
    </row>
    <row r="631" spans="1:20" ht="15.75" hidden="1" customHeight="1" x14ac:dyDescent="0.3">
      <c r="A631" s="194" t="s">
        <v>59</v>
      </c>
      <c r="B631" s="176" t="s">
        <v>397</v>
      </c>
      <c r="C631" s="176" t="s">
        <v>73</v>
      </c>
      <c r="D631" s="176" t="s">
        <v>651</v>
      </c>
      <c r="E631" s="177">
        <v>20</v>
      </c>
      <c r="F631" s="176" t="s">
        <v>652</v>
      </c>
      <c r="G631" s="177">
        <v>20</v>
      </c>
      <c r="H631" s="176" t="s">
        <v>592</v>
      </c>
      <c r="I631" s="176" t="s">
        <v>561</v>
      </c>
      <c r="J631" s="176"/>
      <c r="K631" s="176" t="s">
        <v>593</v>
      </c>
      <c r="L631" s="176"/>
      <c r="M631" s="176"/>
      <c r="N631" s="179">
        <f t="shared" si="66"/>
        <v>442</v>
      </c>
      <c r="O631" s="179">
        <f t="shared" si="67"/>
        <v>269</v>
      </c>
      <c r="P631" s="180">
        <f t="shared" si="62"/>
        <v>711</v>
      </c>
      <c r="Q631" s="181">
        <f t="shared" si="63"/>
        <v>0.8566265060240964</v>
      </c>
      <c r="R631" s="122">
        <f t="shared" si="64"/>
        <v>142.20000000000002</v>
      </c>
      <c r="S631" s="122">
        <f t="shared" si="65"/>
        <v>0.68530120481927714</v>
      </c>
      <c r="T631" s="133">
        <v>0.7</v>
      </c>
    </row>
    <row r="632" spans="1:20" ht="15.75" hidden="1" customHeight="1" x14ac:dyDescent="0.3">
      <c r="A632" s="194" t="s">
        <v>59</v>
      </c>
      <c r="B632" s="176" t="s">
        <v>397</v>
      </c>
      <c r="C632" s="176" t="s">
        <v>123</v>
      </c>
      <c r="D632" s="176" t="s">
        <v>608</v>
      </c>
      <c r="E632" s="177">
        <v>24</v>
      </c>
      <c r="F632" s="176" t="s">
        <v>652</v>
      </c>
      <c r="G632" s="178"/>
      <c r="H632" s="176" t="s">
        <v>592</v>
      </c>
      <c r="I632" s="176" t="s">
        <v>561</v>
      </c>
      <c r="J632" s="176"/>
      <c r="K632" s="176" t="s">
        <v>593</v>
      </c>
      <c r="L632" s="176"/>
      <c r="M632" s="176"/>
      <c r="N632" s="179">
        <f t="shared" si="66"/>
        <v>442</v>
      </c>
      <c r="O632" s="179">
        <f t="shared" si="67"/>
        <v>269</v>
      </c>
      <c r="P632" s="180">
        <f t="shared" si="62"/>
        <v>711</v>
      </c>
      <c r="Q632" s="181">
        <f t="shared" si="63"/>
        <v>0.8566265060240964</v>
      </c>
      <c r="R632" s="122">
        <f t="shared" si="64"/>
        <v>142.20000000000002</v>
      </c>
      <c r="S632" s="122">
        <f t="shared" si="65"/>
        <v>0.68530120481927714</v>
      </c>
      <c r="T632" s="133">
        <v>0.7</v>
      </c>
    </row>
    <row r="633" spans="1:20" ht="15.75" hidden="1" customHeight="1" x14ac:dyDescent="0.3">
      <c r="A633" s="194" t="s">
        <v>59</v>
      </c>
      <c r="B633" s="176" t="s">
        <v>397</v>
      </c>
      <c r="C633" s="176" t="s">
        <v>123</v>
      </c>
      <c r="D633" s="176" t="s">
        <v>636</v>
      </c>
      <c r="E633" s="177">
        <v>14</v>
      </c>
      <c r="F633" s="176" t="s">
        <v>652</v>
      </c>
      <c r="G633" s="178"/>
      <c r="H633" s="176" t="s">
        <v>592</v>
      </c>
      <c r="I633" s="176" t="s">
        <v>561</v>
      </c>
      <c r="J633" s="176"/>
      <c r="K633" s="176" t="s">
        <v>593</v>
      </c>
      <c r="L633" s="176"/>
      <c r="M633" s="176"/>
      <c r="N633" s="179">
        <f t="shared" si="66"/>
        <v>442</v>
      </c>
      <c r="O633" s="179">
        <f t="shared" si="67"/>
        <v>269</v>
      </c>
      <c r="P633" s="180">
        <f t="shared" si="62"/>
        <v>711</v>
      </c>
      <c r="Q633" s="181">
        <f t="shared" si="63"/>
        <v>0.8566265060240964</v>
      </c>
      <c r="R633" s="122">
        <f t="shared" si="64"/>
        <v>142.20000000000002</v>
      </c>
      <c r="S633" s="122">
        <f t="shared" si="65"/>
        <v>0.68530120481927714</v>
      </c>
      <c r="T633" s="133">
        <v>0.7</v>
      </c>
    </row>
    <row r="634" spans="1:20" ht="15.75" hidden="1" customHeight="1" x14ac:dyDescent="0.3">
      <c r="A634" s="194" t="s">
        <v>59</v>
      </c>
      <c r="B634" s="176" t="s">
        <v>397</v>
      </c>
      <c r="C634" s="176" t="s">
        <v>87</v>
      </c>
      <c r="D634" s="176" t="s">
        <v>608</v>
      </c>
      <c r="E634" s="177">
        <v>3</v>
      </c>
      <c r="F634" s="176" t="s">
        <v>652</v>
      </c>
      <c r="G634" s="178"/>
      <c r="H634" s="176" t="s">
        <v>592</v>
      </c>
      <c r="I634" s="176" t="s">
        <v>561</v>
      </c>
      <c r="J634" s="176"/>
      <c r="K634" s="176" t="s">
        <v>593</v>
      </c>
      <c r="L634" s="176"/>
      <c r="M634" s="176"/>
      <c r="N634" s="179">
        <f t="shared" si="66"/>
        <v>442</v>
      </c>
      <c r="O634" s="179">
        <f t="shared" si="67"/>
        <v>269</v>
      </c>
      <c r="P634" s="180">
        <f t="shared" si="62"/>
        <v>711</v>
      </c>
      <c r="Q634" s="181">
        <f t="shared" si="63"/>
        <v>0.8566265060240964</v>
      </c>
      <c r="R634" s="122">
        <f t="shared" si="64"/>
        <v>142.20000000000002</v>
      </c>
      <c r="S634" s="122">
        <f t="shared" si="65"/>
        <v>0.68530120481927714</v>
      </c>
      <c r="T634" s="133">
        <v>0.7</v>
      </c>
    </row>
    <row r="635" spans="1:20" ht="15.75" customHeight="1" x14ac:dyDescent="0.3">
      <c r="A635" s="194" t="s">
        <v>59</v>
      </c>
      <c r="B635" s="176" t="s">
        <v>397</v>
      </c>
      <c r="C635" s="176" t="s">
        <v>87</v>
      </c>
      <c r="D635" s="176" t="s">
        <v>608</v>
      </c>
      <c r="E635" s="177">
        <v>1</v>
      </c>
      <c r="F635" s="176" t="s">
        <v>652</v>
      </c>
      <c r="G635" s="178"/>
      <c r="H635" s="176"/>
      <c r="I635" s="176" t="s">
        <v>500</v>
      </c>
      <c r="J635" s="176"/>
      <c r="K635" s="176" t="s">
        <v>593</v>
      </c>
      <c r="L635" s="176"/>
      <c r="M635" s="176"/>
      <c r="N635" s="179">
        <f t="shared" si="66"/>
        <v>14.5</v>
      </c>
      <c r="O635" s="179">
        <f t="shared" si="67"/>
        <v>78</v>
      </c>
      <c r="P635" s="180">
        <f t="shared" si="62"/>
        <v>92.5</v>
      </c>
      <c r="Q635" s="181">
        <f t="shared" si="63"/>
        <v>0.11144578313253012</v>
      </c>
      <c r="R635" s="122">
        <f t="shared" si="64"/>
        <v>18.5</v>
      </c>
      <c r="S635" s="122">
        <f t="shared" si="65"/>
        <v>8.91566265060241E-2</v>
      </c>
      <c r="T635" s="133">
        <v>0</v>
      </c>
    </row>
    <row r="636" spans="1:20" ht="15.75" hidden="1" customHeight="1" x14ac:dyDescent="0.3">
      <c r="A636" s="194" t="s">
        <v>59</v>
      </c>
      <c r="B636" s="176" t="s">
        <v>397</v>
      </c>
      <c r="C636" s="176" t="s">
        <v>87</v>
      </c>
      <c r="D636" s="176" t="s">
        <v>636</v>
      </c>
      <c r="E636" s="177">
        <v>2</v>
      </c>
      <c r="F636" s="176" t="s">
        <v>652</v>
      </c>
      <c r="G636" s="178"/>
      <c r="H636" s="176" t="s">
        <v>592</v>
      </c>
      <c r="I636" s="176" t="s">
        <v>561</v>
      </c>
      <c r="J636" s="176"/>
      <c r="K636" s="176" t="s">
        <v>593</v>
      </c>
      <c r="L636" s="176"/>
      <c r="M636" s="176"/>
      <c r="N636" s="179">
        <f t="shared" si="66"/>
        <v>442</v>
      </c>
      <c r="O636" s="179">
        <f t="shared" si="67"/>
        <v>269</v>
      </c>
      <c r="P636" s="180">
        <f t="shared" si="62"/>
        <v>711</v>
      </c>
      <c r="Q636" s="181">
        <f t="shared" si="63"/>
        <v>0.8566265060240964</v>
      </c>
      <c r="R636" s="122">
        <f t="shared" si="64"/>
        <v>142.20000000000002</v>
      </c>
      <c r="S636" s="122">
        <f t="shared" si="65"/>
        <v>0.68530120481927714</v>
      </c>
      <c r="T636" s="133">
        <v>0.7</v>
      </c>
    </row>
    <row r="637" spans="1:20" ht="15.75" hidden="1" customHeight="1" x14ac:dyDescent="0.3">
      <c r="A637" s="194" t="s">
        <v>59</v>
      </c>
      <c r="B637" s="176" t="s">
        <v>397</v>
      </c>
      <c r="C637" s="176" t="s">
        <v>79</v>
      </c>
      <c r="D637" s="176" t="s">
        <v>608</v>
      </c>
      <c r="E637" s="177">
        <v>44</v>
      </c>
      <c r="F637" s="176" t="s">
        <v>652</v>
      </c>
      <c r="G637" s="177">
        <v>44</v>
      </c>
      <c r="H637" s="176" t="s">
        <v>592</v>
      </c>
      <c r="I637" s="176" t="s">
        <v>561</v>
      </c>
      <c r="J637" s="176"/>
      <c r="K637" s="176" t="s">
        <v>593</v>
      </c>
      <c r="L637" s="176"/>
      <c r="M637" s="176"/>
      <c r="N637" s="179">
        <f t="shared" si="66"/>
        <v>442</v>
      </c>
      <c r="O637" s="179">
        <f t="shared" si="67"/>
        <v>269</v>
      </c>
      <c r="P637" s="180">
        <f t="shared" si="62"/>
        <v>711</v>
      </c>
      <c r="Q637" s="181">
        <f t="shared" si="63"/>
        <v>0.8566265060240964</v>
      </c>
      <c r="R637" s="122">
        <f t="shared" si="64"/>
        <v>142.20000000000002</v>
      </c>
      <c r="S637" s="122">
        <f t="shared" si="65"/>
        <v>0.68530120481927714</v>
      </c>
      <c r="T637" s="133">
        <v>0.7</v>
      </c>
    </row>
    <row r="638" spans="1:20" ht="15.75" hidden="1" customHeight="1" x14ac:dyDescent="0.3">
      <c r="A638" s="194" t="s">
        <v>59</v>
      </c>
      <c r="B638" s="176" t="s">
        <v>397</v>
      </c>
      <c r="C638" s="176" t="s">
        <v>79</v>
      </c>
      <c r="D638" s="176" t="s">
        <v>636</v>
      </c>
      <c r="E638" s="177">
        <v>44</v>
      </c>
      <c r="F638" s="176" t="s">
        <v>652</v>
      </c>
      <c r="G638" s="177">
        <v>44</v>
      </c>
      <c r="H638" s="176" t="s">
        <v>592</v>
      </c>
      <c r="I638" s="176" t="s">
        <v>561</v>
      </c>
      <c r="J638" s="176"/>
      <c r="K638" s="176" t="s">
        <v>593</v>
      </c>
      <c r="L638" s="176"/>
      <c r="M638" s="176"/>
      <c r="N638" s="179">
        <f t="shared" si="66"/>
        <v>442</v>
      </c>
      <c r="O638" s="179">
        <f t="shared" si="67"/>
        <v>269</v>
      </c>
      <c r="P638" s="180">
        <f t="shared" si="62"/>
        <v>711</v>
      </c>
      <c r="Q638" s="181">
        <f t="shared" si="63"/>
        <v>0.8566265060240964</v>
      </c>
      <c r="R638" s="122">
        <f t="shared" si="64"/>
        <v>142.20000000000002</v>
      </c>
      <c r="S638" s="122">
        <f t="shared" si="65"/>
        <v>0.68530120481927714</v>
      </c>
      <c r="T638" s="133">
        <v>0.7</v>
      </c>
    </row>
    <row r="639" spans="1:20" ht="15.75" hidden="1" customHeight="1" x14ac:dyDescent="0.3">
      <c r="A639" s="194" t="s">
        <v>59</v>
      </c>
      <c r="B639" s="176" t="s">
        <v>397</v>
      </c>
      <c r="C639" s="176" t="s">
        <v>100</v>
      </c>
      <c r="D639" s="176" t="s">
        <v>608</v>
      </c>
      <c r="E639" s="177">
        <v>8</v>
      </c>
      <c r="F639" s="176" t="s">
        <v>652</v>
      </c>
      <c r="G639" s="177">
        <v>8</v>
      </c>
      <c r="H639" s="176" t="s">
        <v>592</v>
      </c>
      <c r="I639" s="176" t="s">
        <v>561</v>
      </c>
      <c r="J639" s="176"/>
      <c r="K639" s="176" t="s">
        <v>593</v>
      </c>
      <c r="L639" s="176"/>
      <c r="M639" s="176"/>
      <c r="N639" s="179">
        <f t="shared" si="66"/>
        <v>442</v>
      </c>
      <c r="O639" s="179">
        <f t="shared" si="67"/>
        <v>269</v>
      </c>
      <c r="P639" s="180">
        <f t="shared" si="62"/>
        <v>711</v>
      </c>
      <c r="Q639" s="181">
        <f t="shared" si="63"/>
        <v>0.8566265060240964</v>
      </c>
      <c r="R639" s="122">
        <f t="shared" si="64"/>
        <v>142.20000000000002</v>
      </c>
      <c r="S639" s="122">
        <f t="shared" si="65"/>
        <v>0.68530120481927714</v>
      </c>
      <c r="T639" s="133">
        <v>0.7</v>
      </c>
    </row>
    <row r="640" spans="1:20" ht="15.75" hidden="1" customHeight="1" x14ac:dyDescent="0.3">
      <c r="A640" s="194" t="s">
        <v>59</v>
      </c>
      <c r="B640" s="176" t="s">
        <v>397</v>
      </c>
      <c r="C640" s="176" t="s">
        <v>100</v>
      </c>
      <c r="D640" s="176" t="s">
        <v>636</v>
      </c>
      <c r="E640" s="177">
        <v>8</v>
      </c>
      <c r="F640" s="176" t="s">
        <v>652</v>
      </c>
      <c r="G640" s="177">
        <v>8</v>
      </c>
      <c r="H640" s="176" t="s">
        <v>592</v>
      </c>
      <c r="I640" s="176" t="s">
        <v>561</v>
      </c>
      <c r="J640" s="176"/>
      <c r="K640" s="176" t="s">
        <v>593</v>
      </c>
      <c r="L640" s="176"/>
      <c r="M640" s="176"/>
      <c r="N640" s="179">
        <f t="shared" si="66"/>
        <v>442</v>
      </c>
      <c r="O640" s="179">
        <f t="shared" si="67"/>
        <v>269</v>
      </c>
      <c r="P640" s="180">
        <f t="shared" si="62"/>
        <v>711</v>
      </c>
      <c r="Q640" s="181">
        <f t="shared" si="63"/>
        <v>0.8566265060240964</v>
      </c>
      <c r="R640" s="122">
        <f t="shared" si="64"/>
        <v>142.20000000000002</v>
      </c>
      <c r="S640" s="122">
        <f t="shared" si="65"/>
        <v>0.68530120481927714</v>
      </c>
      <c r="T640" s="133">
        <v>0.7</v>
      </c>
    </row>
    <row r="641" spans="1:20" ht="15.75" hidden="1" customHeight="1" x14ac:dyDescent="0.3">
      <c r="A641" s="194" t="s">
        <v>59</v>
      </c>
      <c r="B641" s="176" t="s">
        <v>397</v>
      </c>
      <c r="C641" s="176" t="s">
        <v>80</v>
      </c>
      <c r="D641" s="176" t="s">
        <v>608</v>
      </c>
      <c r="E641" s="177">
        <v>1</v>
      </c>
      <c r="F641" s="176" t="s">
        <v>652</v>
      </c>
      <c r="G641" s="178"/>
      <c r="H641" s="176" t="s">
        <v>592</v>
      </c>
      <c r="I641" s="176" t="s">
        <v>561</v>
      </c>
      <c r="J641" s="176"/>
      <c r="K641" s="176" t="s">
        <v>593</v>
      </c>
      <c r="L641" s="176"/>
      <c r="M641" s="176"/>
      <c r="N641" s="179">
        <f t="shared" si="66"/>
        <v>442</v>
      </c>
      <c r="O641" s="179">
        <f t="shared" si="67"/>
        <v>269</v>
      </c>
      <c r="P641" s="180">
        <f t="shared" si="62"/>
        <v>711</v>
      </c>
      <c r="Q641" s="181">
        <f t="shared" si="63"/>
        <v>0.8566265060240964</v>
      </c>
      <c r="R641" s="122">
        <f t="shared" si="64"/>
        <v>142.20000000000002</v>
      </c>
      <c r="S641" s="122">
        <f t="shared" si="65"/>
        <v>0.68530120481927714</v>
      </c>
      <c r="T641" s="133">
        <v>0.7</v>
      </c>
    </row>
    <row r="642" spans="1:20" ht="15.75" hidden="1" customHeight="1" x14ac:dyDescent="0.3">
      <c r="A642" s="194" t="s">
        <v>59</v>
      </c>
      <c r="B642" s="176" t="s">
        <v>397</v>
      </c>
      <c r="C642" s="176" t="s">
        <v>80</v>
      </c>
      <c r="D642" s="176" t="s">
        <v>636</v>
      </c>
      <c r="E642" s="177">
        <v>1</v>
      </c>
      <c r="F642" s="176" t="s">
        <v>652</v>
      </c>
      <c r="G642" s="178"/>
      <c r="H642" s="176" t="s">
        <v>592</v>
      </c>
      <c r="I642" s="176" t="s">
        <v>561</v>
      </c>
      <c r="J642" s="176"/>
      <c r="K642" s="176" t="s">
        <v>593</v>
      </c>
      <c r="L642" s="176"/>
      <c r="M642" s="176"/>
      <c r="N642" s="179">
        <f t="shared" si="66"/>
        <v>442</v>
      </c>
      <c r="O642" s="179">
        <f t="shared" si="67"/>
        <v>269</v>
      </c>
      <c r="P642" s="180">
        <f t="shared" si="62"/>
        <v>711</v>
      </c>
      <c r="Q642" s="181">
        <f t="shared" si="63"/>
        <v>0.8566265060240964</v>
      </c>
      <c r="R642" s="122">
        <f t="shared" si="64"/>
        <v>142.20000000000002</v>
      </c>
      <c r="S642" s="122">
        <f t="shared" si="65"/>
        <v>0.68530120481927714</v>
      </c>
      <c r="T642" s="133">
        <v>0.7</v>
      </c>
    </row>
    <row r="643" spans="1:20" ht="15.75" hidden="1" customHeight="1" x14ac:dyDescent="0.3">
      <c r="A643" s="194" t="s">
        <v>59</v>
      </c>
      <c r="B643" s="176" t="s">
        <v>305</v>
      </c>
      <c r="C643" s="176" t="s">
        <v>73</v>
      </c>
      <c r="D643" s="176" t="s">
        <v>651</v>
      </c>
      <c r="E643" s="177">
        <v>22</v>
      </c>
      <c r="F643" s="176" t="s">
        <v>652</v>
      </c>
      <c r="G643" s="177">
        <v>22</v>
      </c>
      <c r="H643" s="176" t="s">
        <v>607</v>
      </c>
      <c r="I643" s="176" t="s">
        <v>554</v>
      </c>
      <c r="J643" s="176"/>
      <c r="K643" s="176" t="s">
        <v>593</v>
      </c>
      <c r="L643" s="176"/>
      <c r="M643" s="176"/>
      <c r="N643" s="179">
        <f t="shared" si="66"/>
        <v>161</v>
      </c>
      <c r="O643" s="179">
        <f t="shared" si="67"/>
        <v>92</v>
      </c>
      <c r="P643" s="180">
        <f t="shared" si="62"/>
        <v>253</v>
      </c>
      <c r="Q643" s="181">
        <f t="shared" si="63"/>
        <v>0.30481927710843376</v>
      </c>
      <c r="R643" s="122">
        <f t="shared" si="64"/>
        <v>50.6</v>
      </c>
      <c r="S643" s="122">
        <f t="shared" si="65"/>
        <v>0.24385542168674701</v>
      </c>
      <c r="T643" s="133">
        <v>0.25</v>
      </c>
    </row>
    <row r="644" spans="1:20" ht="15.75" hidden="1" customHeight="1" x14ac:dyDescent="0.3">
      <c r="A644" s="194" t="s">
        <v>59</v>
      </c>
      <c r="B644" s="176" t="s">
        <v>305</v>
      </c>
      <c r="C644" s="176" t="s">
        <v>87</v>
      </c>
      <c r="D644" s="176" t="s">
        <v>608</v>
      </c>
      <c r="E644" s="177">
        <v>3</v>
      </c>
      <c r="F644" s="176" t="s">
        <v>652</v>
      </c>
      <c r="G644" s="178"/>
      <c r="H644" s="176" t="s">
        <v>607</v>
      </c>
      <c r="I644" s="176" t="s">
        <v>554</v>
      </c>
      <c r="J644" s="176"/>
      <c r="K644" s="176" t="s">
        <v>593</v>
      </c>
      <c r="L644" s="176"/>
      <c r="M644" s="176"/>
      <c r="N644" s="179">
        <f t="shared" si="66"/>
        <v>161</v>
      </c>
      <c r="O644" s="179">
        <f t="shared" si="67"/>
        <v>92</v>
      </c>
      <c r="P644" s="180">
        <f t="shared" si="62"/>
        <v>253</v>
      </c>
      <c r="Q644" s="181">
        <f t="shared" si="63"/>
        <v>0.30481927710843376</v>
      </c>
      <c r="R644" s="122">
        <f t="shared" si="64"/>
        <v>50.6</v>
      </c>
      <c r="S644" s="122">
        <f t="shared" si="65"/>
        <v>0.24385542168674701</v>
      </c>
      <c r="T644" s="133">
        <v>0.25</v>
      </c>
    </row>
    <row r="645" spans="1:20" ht="15.75" customHeight="1" x14ac:dyDescent="0.3">
      <c r="A645" s="194" t="s">
        <v>59</v>
      </c>
      <c r="B645" s="176" t="s">
        <v>305</v>
      </c>
      <c r="C645" s="176" t="s">
        <v>87</v>
      </c>
      <c r="D645" s="176" t="s">
        <v>608</v>
      </c>
      <c r="E645" s="177">
        <v>1</v>
      </c>
      <c r="F645" s="176" t="s">
        <v>652</v>
      </c>
      <c r="G645" s="178"/>
      <c r="H645" s="176"/>
      <c r="I645" s="176" t="s">
        <v>500</v>
      </c>
      <c r="J645" s="176"/>
      <c r="K645" s="176" t="s">
        <v>593</v>
      </c>
      <c r="L645" s="176"/>
      <c r="M645" s="176"/>
      <c r="N645" s="179">
        <f t="shared" si="66"/>
        <v>14.5</v>
      </c>
      <c r="O645" s="179">
        <f t="shared" si="67"/>
        <v>78</v>
      </c>
      <c r="P645" s="180">
        <f t="shared" si="62"/>
        <v>92.5</v>
      </c>
      <c r="Q645" s="181">
        <f t="shared" si="63"/>
        <v>0.11144578313253012</v>
      </c>
      <c r="R645" s="122">
        <f t="shared" si="64"/>
        <v>18.5</v>
      </c>
      <c r="S645" s="122">
        <f t="shared" si="65"/>
        <v>8.91566265060241E-2</v>
      </c>
      <c r="T645" s="133">
        <v>0</v>
      </c>
    </row>
    <row r="646" spans="1:20" ht="15.75" hidden="1" customHeight="1" x14ac:dyDescent="0.3">
      <c r="A646" s="194" t="s">
        <v>59</v>
      </c>
      <c r="B646" s="176" t="s">
        <v>305</v>
      </c>
      <c r="C646" s="176" t="s">
        <v>87</v>
      </c>
      <c r="D646" s="176" t="s">
        <v>636</v>
      </c>
      <c r="E646" s="177">
        <v>1</v>
      </c>
      <c r="F646" s="176" t="s">
        <v>652</v>
      </c>
      <c r="G646" s="178"/>
      <c r="H646" s="176" t="s">
        <v>607</v>
      </c>
      <c r="I646" s="176" t="s">
        <v>554</v>
      </c>
      <c r="J646" s="176"/>
      <c r="K646" s="176" t="s">
        <v>593</v>
      </c>
      <c r="L646" s="176"/>
      <c r="M646" s="176"/>
      <c r="N646" s="179">
        <f t="shared" si="66"/>
        <v>161</v>
      </c>
      <c r="O646" s="179">
        <f t="shared" si="67"/>
        <v>92</v>
      </c>
      <c r="P646" s="180">
        <f t="shared" si="62"/>
        <v>253</v>
      </c>
      <c r="Q646" s="181">
        <f t="shared" si="63"/>
        <v>0.30481927710843376</v>
      </c>
      <c r="R646" s="122">
        <f t="shared" si="64"/>
        <v>50.6</v>
      </c>
      <c r="S646" s="122">
        <f t="shared" si="65"/>
        <v>0.24385542168674701</v>
      </c>
      <c r="T646" s="133">
        <v>0.25</v>
      </c>
    </row>
    <row r="647" spans="1:20" ht="15.75" customHeight="1" x14ac:dyDescent="0.3">
      <c r="A647" s="194" t="s">
        <v>59</v>
      </c>
      <c r="B647" s="176" t="s">
        <v>305</v>
      </c>
      <c r="C647" s="176" t="s">
        <v>87</v>
      </c>
      <c r="D647" s="176" t="s">
        <v>636</v>
      </c>
      <c r="E647" s="177">
        <v>1</v>
      </c>
      <c r="F647" s="176" t="s">
        <v>652</v>
      </c>
      <c r="G647" s="178"/>
      <c r="H647" s="176"/>
      <c r="I647" s="176" t="s">
        <v>500</v>
      </c>
      <c r="J647" s="176"/>
      <c r="K647" s="176" t="s">
        <v>593</v>
      </c>
      <c r="L647" s="176"/>
      <c r="M647" s="176"/>
      <c r="N647" s="179">
        <f t="shared" si="66"/>
        <v>14.5</v>
      </c>
      <c r="O647" s="179">
        <f t="shared" si="67"/>
        <v>78</v>
      </c>
      <c r="P647" s="180">
        <f t="shared" si="62"/>
        <v>92.5</v>
      </c>
      <c r="Q647" s="181">
        <f t="shared" si="63"/>
        <v>0.11144578313253012</v>
      </c>
      <c r="R647" s="122">
        <f t="shared" si="64"/>
        <v>18.5</v>
      </c>
      <c r="S647" s="122">
        <f t="shared" si="65"/>
        <v>8.91566265060241E-2</v>
      </c>
      <c r="T647" s="133">
        <v>0</v>
      </c>
    </row>
    <row r="648" spans="1:20" ht="15.75" hidden="1" customHeight="1" x14ac:dyDescent="0.3">
      <c r="A648" s="194" t="s">
        <v>59</v>
      </c>
      <c r="B648" s="176" t="s">
        <v>305</v>
      </c>
      <c r="C648" s="176" t="s">
        <v>79</v>
      </c>
      <c r="D648" s="176" t="s">
        <v>608</v>
      </c>
      <c r="E648" s="177">
        <v>32</v>
      </c>
      <c r="F648" s="176" t="s">
        <v>652</v>
      </c>
      <c r="G648" s="177">
        <v>32</v>
      </c>
      <c r="H648" s="176" t="s">
        <v>607</v>
      </c>
      <c r="I648" s="176" t="s">
        <v>554</v>
      </c>
      <c r="J648" s="176"/>
      <c r="K648" s="176" t="s">
        <v>593</v>
      </c>
      <c r="L648" s="176"/>
      <c r="M648" s="176"/>
      <c r="N648" s="179">
        <f t="shared" si="66"/>
        <v>161</v>
      </c>
      <c r="O648" s="179">
        <f t="shared" si="67"/>
        <v>92</v>
      </c>
      <c r="P648" s="180">
        <f t="shared" si="62"/>
        <v>253</v>
      </c>
      <c r="Q648" s="181">
        <f t="shared" si="63"/>
        <v>0.30481927710843376</v>
      </c>
      <c r="R648" s="122">
        <f t="shared" si="64"/>
        <v>50.6</v>
      </c>
      <c r="S648" s="122">
        <f t="shared" si="65"/>
        <v>0.24385542168674701</v>
      </c>
      <c r="T648" s="133">
        <v>0.25</v>
      </c>
    </row>
    <row r="649" spans="1:20" ht="15.75" hidden="1" customHeight="1" x14ac:dyDescent="0.3">
      <c r="A649" s="194" t="s">
        <v>59</v>
      </c>
      <c r="B649" s="176" t="s">
        <v>305</v>
      </c>
      <c r="C649" s="176" t="s">
        <v>79</v>
      </c>
      <c r="D649" s="176" t="s">
        <v>636</v>
      </c>
      <c r="E649" s="177">
        <v>32</v>
      </c>
      <c r="F649" s="176" t="s">
        <v>652</v>
      </c>
      <c r="G649" s="177">
        <v>32</v>
      </c>
      <c r="H649" s="176" t="s">
        <v>607</v>
      </c>
      <c r="I649" s="176" t="s">
        <v>554</v>
      </c>
      <c r="J649" s="176"/>
      <c r="K649" s="176" t="s">
        <v>593</v>
      </c>
      <c r="L649" s="176"/>
      <c r="M649" s="176"/>
      <c r="N649" s="179">
        <f t="shared" si="66"/>
        <v>161</v>
      </c>
      <c r="O649" s="179">
        <f t="shared" si="67"/>
        <v>92</v>
      </c>
      <c r="P649" s="180">
        <f t="shared" si="62"/>
        <v>253</v>
      </c>
      <c r="Q649" s="181">
        <f t="shared" si="63"/>
        <v>0.30481927710843376</v>
      </c>
      <c r="R649" s="122">
        <f t="shared" si="64"/>
        <v>50.6</v>
      </c>
      <c r="S649" s="122">
        <f t="shared" si="65"/>
        <v>0.24385542168674701</v>
      </c>
      <c r="T649" s="133">
        <v>0.25</v>
      </c>
    </row>
    <row r="650" spans="1:20" ht="15.75" hidden="1" customHeight="1" x14ac:dyDescent="0.3">
      <c r="A650" s="194" t="s">
        <v>59</v>
      </c>
      <c r="B650" s="176" t="s">
        <v>305</v>
      </c>
      <c r="C650" s="176" t="s">
        <v>80</v>
      </c>
      <c r="D650" s="176" t="s">
        <v>608</v>
      </c>
      <c r="E650" s="177">
        <v>1</v>
      </c>
      <c r="F650" s="176" t="s">
        <v>652</v>
      </c>
      <c r="G650" s="178"/>
      <c r="H650" s="176" t="s">
        <v>607</v>
      </c>
      <c r="I650" s="176" t="s">
        <v>554</v>
      </c>
      <c r="J650" s="176"/>
      <c r="K650" s="176" t="s">
        <v>593</v>
      </c>
      <c r="L650" s="176"/>
      <c r="M650" s="176"/>
      <c r="N650" s="179">
        <f t="shared" si="66"/>
        <v>161</v>
      </c>
      <c r="O650" s="179">
        <f t="shared" si="67"/>
        <v>92</v>
      </c>
      <c r="P650" s="180">
        <f t="shared" ref="P650:P713" si="68">N650+O650</f>
        <v>253</v>
      </c>
      <c r="Q650" s="181">
        <f t="shared" ref="Q650:Q713" si="69">P650/$Q$1</f>
        <v>0.30481927710843376</v>
      </c>
      <c r="R650" s="122">
        <f t="shared" ref="R650:R713" si="70">P650*0.2</f>
        <v>50.6</v>
      </c>
      <c r="S650" s="122">
        <f t="shared" ref="S650:S713" si="71">Q650*0.8</f>
        <v>0.24385542168674701</v>
      </c>
      <c r="T650" s="133">
        <v>0.25</v>
      </c>
    </row>
    <row r="651" spans="1:20" ht="15.75" hidden="1" customHeight="1" x14ac:dyDescent="0.3">
      <c r="A651" s="194" t="s">
        <v>59</v>
      </c>
      <c r="B651" s="176" t="s">
        <v>305</v>
      </c>
      <c r="C651" s="176" t="s">
        <v>80</v>
      </c>
      <c r="D651" s="176" t="s">
        <v>636</v>
      </c>
      <c r="E651" s="177">
        <v>1</v>
      </c>
      <c r="F651" s="176" t="s">
        <v>652</v>
      </c>
      <c r="G651" s="178"/>
      <c r="H651" s="176" t="s">
        <v>607</v>
      </c>
      <c r="I651" s="176" t="s">
        <v>554</v>
      </c>
      <c r="J651" s="176"/>
      <c r="K651" s="176" t="s">
        <v>593</v>
      </c>
      <c r="L651" s="176"/>
      <c r="M651" s="176"/>
      <c r="N651" s="179">
        <f t="shared" si="66"/>
        <v>161</v>
      </c>
      <c r="O651" s="179">
        <f t="shared" si="67"/>
        <v>92</v>
      </c>
      <c r="P651" s="180">
        <f t="shared" si="68"/>
        <v>253</v>
      </c>
      <c r="Q651" s="181">
        <f t="shared" si="69"/>
        <v>0.30481927710843376</v>
      </c>
      <c r="R651" s="122">
        <f t="shared" si="70"/>
        <v>50.6</v>
      </c>
      <c r="S651" s="122">
        <f t="shared" si="71"/>
        <v>0.24385542168674701</v>
      </c>
      <c r="T651" s="133">
        <v>0.25</v>
      </c>
    </row>
    <row r="652" spans="1:20" ht="15.75" hidden="1" customHeight="1" x14ac:dyDescent="0.3">
      <c r="A652" s="194" t="s">
        <v>59</v>
      </c>
      <c r="B652" s="176" t="s">
        <v>312</v>
      </c>
      <c r="C652" s="176" t="s">
        <v>73</v>
      </c>
      <c r="D652" s="176" t="s">
        <v>720</v>
      </c>
      <c r="E652" s="177">
        <v>24</v>
      </c>
      <c r="F652" s="176" t="s">
        <v>721</v>
      </c>
      <c r="G652" s="177">
        <v>24</v>
      </c>
      <c r="H652" s="176" t="s">
        <v>641</v>
      </c>
      <c r="I652" s="176" t="s">
        <v>580</v>
      </c>
      <c r="J652" s="176"/>
      <c r="K652" s="176" t="s">
        <v>593</v>
      </c>
      <c r="L652" s="176"/>
      <c r="M652" s="176"/>
      <c r="N652" s="179">
        <f t="shared" si="66"/>
        <v>364</v>
      </c>
      <c r="O652" s="179">
        <f t="shared" si="67"/>
        <v>147</v>
      </c>
      <c r="P652" s="180">
        <f t="shared" si="68"/>
        <v>511</v>
      </c>
      <c r="Q652" s="181">
        <f t="shared" si="69"/>
        <v>0.61566265060240966</v>
      </c>
      <c r="R652" s="122">
        <f t="shared" si="70"/>
        <v>102.2</v>
      </c>
      <c r="S652" s="122">
        <f t="shared" si="71"/>
        <v>0.49253012048192774</v>
      </c>
      <c r="T652" s="133">
        <v>0.5</v>
      </c>
    </row>
    <row r="653" spans="1:20" ht="15.75" hidden="1" customHeight="1" x14ac:dyDescent="0.3">
      <c r="A653" s="194" t="s">
        <v>59</v>
      </c>
      <c r="B653" s="176" t="s">
        <v>312</v>
      </c>
      <c r="C653" s="176" t="s">
        <v>79</v>
      </c>
      <c r="D653" s="176" t="s">
        <v>633</v>
      </c>
      <c r="E653" s="177">
        <v>16</v>
      </c>
      <c r="F653" s="176" t="s">
        <v>721</v>
      </c>
      <c r="G653" s="177">
        <v>16</v>
      </c>
      <c r="H653" s="176" t="s">
        <v>641</v>
      </c>
      <c r="I653" s="176" t="s">
        <v>580</v>
      </c>
      <c r="J653" s="176"/>
      <c r="K653" s="176" t="s">
        <v>593</v>
      </c>
      <c r="L653" s="176"/>
      <c r="M653" s="176"/>
      <c r="N653" s="179">
        <f t="shared" si="66"/>
        <v>364</v>
      </c>
      <c r="O653" s="179">
        <f t="shared" si="67"/>
        <v>147</v>
      </c>
      <c r="P653" s="180">
        <f t="shared" si="68"/>
        <v>511</v>
      </c>
      <c r="Q653" s="181">
        <f t="shared" si="69"/>
        <v>0.61566265060240966</v>
      </c>
      <c r="R653" s="122">
        <f t="shared" si="70"/>
        <v>102.2</v>
      </c>
      <c r="S653" s="122">
        <f t="shared" si="71"/>
        <v>0.49253012048192774</v>
      </c>
      <c r="T653" s="133">
        <v>0.5</v>
      </c>
    </row>
    <row r="654" spans="1:20" ht="15.75" hidden="1" customHeight="1" x14ac:dyDescent="0.3">
      <c r="A654" s="194" t="s">
        <v>59</v>
      </c>
      <c r="B654" s="176" t="s">
        <v>312</v>
      </c>
      <c r="C654" s="176" t="s">
        <v>79</v>
      </c>
      <c r="D654" s="176" t="s">
        <v>635</v>
      </c>
      <c r="E654" s="177">
        <v>16</v>
      </c>
      <c r="F654" s="176" t="s">
        <v>721</v>
      </c>
      <c r="G654" s="177">
        <v>16</v>
      </c>
      <c r="H654" s="176" t="s">
        <v>641</v>
      </c>
      <c r="I654" s="176" t="s">
        <v>580</v>
      </c>
      <c r="J654" s="176"/>
      <c r="K654" s="176" t="s">
        <v>593</v>
      </c>
      <c r="L654" s="176"/>
      <c r="M654" s="176"/>
      <c r="N654" s="179">
        <f t="shared" si="66"/>
        <v>364</v>
      </c>
      <c r="O654" s="179">
        <f t="shared" si="67"/>
        <v>147</v>
      </c>
      <c r="P654" s="180">
        <f t="shared" si="68"/>
        <v>511</v>
      </c>
      <c r="Q654" s="181">
        <f t="shared" si="69"/>
        <v>0.61566265060240966</v>
      </c>
      <c r="R654" s="122">
        <f t="shared" si="70"/>
        <v>102.2</v>
      </c>
      <c r="S654" s="122">
        <f t="shared" si="71"/>
        <v>0.49253012048192774</v>
      </c>
      <c r="T654" s="133">
        <v>0.5</v>
      </c>
    </row>
    <row r="655" spans="1:20" ht="15.75" hidden="1" customHeight="1" x14ac:dyDescent="0.3">
      <c r="A655" s="194" t="s">
        <v>59</v>
      </c>
      <c r="B655" s="182" t="s">
        <v>312</v>
      </c>
      <c r="C655" s="182" t="s">
        <v>100</v>
      </c>
      <c r="D655" s="182" t="s">
        <v>633</v>
      </c>
      <c r="E655" s="183">
        <v>24</v>
      </c>
      <c r="F655" s="182" t="s">
        <v>721</v>
      </c>
      <c r="G655" s="183">
        <v>24</v>
      </c>
      <c r="H655" s="182" t="s">
        <v>641</v>
      </c>
      <c r="I655" s="182" t="s">
        <v>575</v>
      </c>
      <c r="J655" s="176"/>
      <c r="K655" s="176" t="s">
        <v>593</v>
      </c>
      <c r="L655" s="176"/>
      <c r="M655" s="176"/>
      <c r="N655" s="179">
        <f t="shared" si="66"/>
        <v>78</v>
      </c>
      <c r="O655" s="179">
        <f t="shared" si="67"/>
        <v>240.5</v>
      </c>
      <c r="P655" s="180">
        <f t="shared" si="68"/>
        <v>318.5</v>
      </c>
      <c r="Q655" s="181">
        <f t="shared" si="69"/>
        <v>0.38373493975903616</v>
      </c>
      <c r="R655" s="122">
        <f t="shared" si="70"/>
        <v>63.7</v>
      </c>
      <c r="S655" s="122">
        <f t="shared" si="71"/>
        <v>0.30698795180722893</v>
      </c>
      <c r="T655" s="133">
        <v>0.35</v>
      </c>
    </row>
    <row r="656" spans="1:20" ht="15.75" hidden="1" customHeight="1" x14ac:dyDescent="0.3">
      <c r="A656" s="194" t="s">
        <v>59</v>
      </c>
      <c r="B656" s="182" t="s">
        <v>312</v>
      </c>
      <c r="C656" s="182" t="s">
        <v>100</v>
      </c>
      <c r="D656" s="182" t="s">
        <v>633</v>
      </c>
      <c r="E656" s="183">
        <v>24</v>
      </c>
      <c r="F656" s="182" t="s">
        <v>721</v>
      </c>
      <c r="G656" s="183">
        <v>24</v>
      </c>
      <c r="H656" s="182" t="s">
        <v>641</v>
      </c>
      <c r="I656" s="182" t="s">
        <v>580</v>
      </c>
      <c r="J656" s="176"/>
      <c r="K656" s="176" t="s">
        <v>593</v>
      </c>
      <c r="L656" s="176"/>
      <c r="M656" s="176"/>
      <c r="N656" s="179">
        <f t="shared" si="66"/>
        <v>364</v>
      </c>
      <c r="O656" s="179">
        <f t="shared" si="67"/>
        <v>147</v>
      </c>
      <c r="P656" s="180">
        <f t="shared" si="68"/>
        <v>511</v>
      </c>
      <c r="Q656" s="181">
        <f t="shared" si="69"/>
        <v>0.61566265060240966</v>
      </c>
      <c r="R656" s="122">
        <f t="shared" si="70"/>
        <v>102.2</v>
      </c>
      <c r="S656" s="122">
        <f t="shared" si="71"/>
        <v>0.49253012048192774</v>
      </c>
      <c r="T656" s="133">
        <v>0.5</v>
      </c>
    </row>
    <row r="657" spans="1:20" ht="15.75" hidden="1" customHeight="1" x14ac:dyDescent="0.3">
      <c r="A657" s="194" t="s">
        <v>59</v>
      </c>
      <c r="B657" s="182" t="s">
        <v>312</v>
      </c>
      <c r="C657" s="182" t="s">
        <v>100</v>
      </c>
      <c r="D657" s="182" t="s">
        <v>635</v>
      </c>
      <c r="E657" s="183">
        <v>24</v>
      </c>
      <c r="F657" s="182" t="s">
        <v>721</v>
      </c>
      <c r="G657" s="183">
        <v>24</v>
      </c>
      <c r="H657" s="182" t="s">
        <v>641</v>
      </c>
      <c r="I657" s="182" t="s">
        <v>575</v>
      </c>
      <c r="J657" s="176"/>
      <c r="K657" s="176" t="s">
        <v>593</v>
      </c>
      <c r="L657" s="176"/>
      <c r="M657" s="176"/>
      <c r="N657" s="179">
        <f t="shared" si="66"/>
        <v>78</v>
      </c>
      <c r="O657" s="179">
        <f t="shared" si="67"/>
        <v>240.5</v>
      </c>
      <c r="P657" s="180">
        <f t="shared" si="68"/>
        <v>318.5</v>
      </c>
      <c r="Q657" s="181">
        <f t="shared" si="69"/>
        <v>0.38373493975903616</v>
      </c>
      <c r="R657" s="122">
        <f t="shared" si="70"/>
        <v>63.7</v>
      </c>
      <c r="S657" s="122">
        <f t="shared" si="71"/>
        <v>0.30698795180722893</v>
      </c>
      <c r="T657" s="133">
        <v>0.35</v>
      </c>
    </row>
    <row r="658" spans="1:20" ht="15.75" hidden="1" customHeight="1" x14ac:dyDescent="0.3">
      <c r="A658" s="194" t="s">
        <v>59</v>
      </c>
      <c r="B658" s="182" t="s">
        <v>312</v>
      </c>
      <c r="C658" s="182" t="s">
        <v>100</v>
      </c>
      <c r="D658" s="182" t="s">
        <v>635</v>
      </c>
      <c r="E658" s="183">
        <v>24</v>
      </c>
      <c r="F658" s="182" t="s">
        <v>721</v>
      </c>
      <c r="G658" s="183">
        <v>24</v>
      </c>
      <c r="H658" s="182" t="s">
        <v>641</v>
      </c>
      <c r="I658" s="182" t="s">
        <v>580</v>
      </c>
      <c r="J658" s="176"/>
      <c r="K658" s="176" t="s">
        <v>593</v>
      </c>
      <c r="L658" s="176"/>
      <c r="M658" s="176"/>
      <c r="N658" s="179">
        <f t="shared" si="66"/>
        <v>364</v>
      </c>
      <c r="O658" s="179">
        <f t="shared" si="67"/>
        <v>147</v>
      </c>
      <c r="P658" s="180">
        <f t="shared" si="68"/>
        <v>511</v>
      </c>
      <c r="Q658" s="181">
        <f t="shared" si="69"/>
        <v>0.61566265060240966</v>
      </c>
      <c r="R658" s="122">
        <f t="shared" si="70"/>
        <v>102.2</v>
      </c>
      <c r="S658" s="122">
        <f t="shared" si="71"/>
        <v>0.49253012048192774</v>
      </c>
      <c r="T658" s="133">
        <v>0.5</v>
      </c>
    </row>
    <row r="659" spans="1:20" ht="15.75" hidden="1" customHeight="1" x14ac:dyDescent="0.3">
      <c r="A659" s="194" t="s">
        <v>59</v>
      </c>
      <c r="B659" s="176" t="s">
        <v>312</v>
      </c>
      <c r="C659" s="176" t="s">
        <v>111</v>
      </c>
      <c r="D659" s="176" t="s">
        <v>633</v>
      </c>
      <c r="E659" s="177">
        <v>6</v>
      </c>
      <c r="F659" s="176" t="s">
        <v>721</v>
      </c>
      <c r="G659" s="178"/>
      <c r="H659" s="176" t="s">
        <v>641</v>
      </c>
      <c r="I659" s="176" t="s">
        <v>580</v>
      </c>
      <c r="J659" s="176"/>
      <c r="K659" s="176" t="s">
        <v>593</v>
      </c>
      <c r="L659" s="176"/>
      <c r="M659" s="176"/>
      <c r="N659" s="179">
        <f t="shared" si="66"/>
        <v>364</v>
      </c>
      <c r="O659" s="179">
        <f t="shared" si="67"/>
        <v>147</v>
      </c>
      <c r="P659" s="180">
        <f t="shared" si="68"/>
        <v>511</v>
      </c>
      <c r="Q659" s="181">
        <f t="shared" si="69"/>
        <v>0.61566265060240966</v>
      </c>
      <c r="R659" s="122">
        <f t="shared" si="70"/>
        <v>102.2</v>
      </c>
      <c r="S659" s="122">
        <f t="shared" si="71"/>
        <v>0.49253012048192774</v>
      </c>
      <c r="T659" s="133">
        <v>0.5</v>
      </c>
    </row>
    <row r="660" spans="1:20" ht="15.75" customHeight="1" x14ac:dyDescent="0.3">
      <c r="A660" s="194" t="s">
        <v>59</v>
      </c>
      <c r="B660" s="176" t="s">
        <v>312</v>
      </c>
      <c r="C660" s="176" t="s">
        <v>111</v>
      </c>
      <c r="D660" s="176" t="s">
        <v>633</v>
      </c>
      <c r="E660" s="177">
        <v>3</v>
      </c>
      <c r="F660" s="176" t="s">
        <v>721</v>
      </c>
      <c r="G660" s="178"/>
      <c r="H660" s="176"/>
      <c r="I660" s="176" t="s">
        <v>500</v>
      </c>
      <c r="J660" s="176"/>
      <c r="K660" s="176" t="s">
        <v>593</v>
      </c>
      <c r="L660" s="176"/>
      <c r="M660" s="176"/>
      <c r="N660" s="179">
        <f t="shared" si="66"/>
        <v>14.5</v>
      </c>
      <c r="O660" s="179">
        <f t="shared" si="67"/>
        <v>78</v>
      </c>
      <c r="P660" s="180">
        <f t="shared" si="68"/>
        <v>92.5</v>
      </c>
      <c r="Q660" s="181">
        <f t="shared" si="69"/>
        <v>0.11144578313253012</v>
      </c>
      <c r="R660" s="122">
        <f t="shared" si="70"/>
        <v>18.5</v>
      </c>
      <c r="S660" s="122">
        <f t="shared" si="71"/>
        <v>8.91566265060241E-2</v>
      </c>
      <c r="T660" s="133">
        <v>0</v>
      </c>
    </row>
    <row r="661" spans="1:20" ht="15.75" hidden="1" customHeight="1" x14ac:dyDescent="0.3">
      <c r="A661" s="194" t="s">
        <v>59</v>
      </c>
      <c r="B661" s="176" t="s">
        <v>312</v>
      </c>
      <c r="C661" s="176" t="s">
        <v>111</v>
      </c>
      <c r="D661" s="176" t="s">
        <v>635</v>
      </c>
      <c r="E661" s="177">
        <v>7</v>
      </c>
      <c r="F661" s="176" t="s">
        <v>721</v>
      </c>
      <c r="G661" s="178"/>
      <c r="H661" s="176" t="s">
        <v>641</v>
      </c>
      <c r="I661" s="176" t="s">
        <v>580</v>
      </c>
      <c r="J661" s="176"/>
      <c r="K661" s="176" t="s">
        <v>593</v>
      </c>
      <c r="L661" s="176"/>
      <c r="M661" s="176"/>
      <c r="N661" s="179">
        <f t="shared" si="66"/>
        <v>364</v>
      </c>
      <c r="O661" s="179">
        <f t="shared" si="67"/>
        <v>147</v>
      </c>
      <c r="P661" s="180">
        <f t="shared" si="68"/>
        <v>511</v>
      </c>
      <c r="Q661" s="181">
        <f t="shared" si="69"/>
        <v>0.61566265060240966</v>
      </c>
      <c r="R661" s="122">
        <f t="shared" si="70"/>
        <v>102.2</v>
      </c>
      <c r="S661" s="122">
        <f t="shared" si="71"/>
        <v>0.49253012048192774</v>
      </c>
      <c r="T661" s="133">
        <v>0.5</v>
      </c>
    </row>
    <row r="662" spans="1:20" ht="15.75" customHeight="1" x14ac:dyDescent="0.3">
      <c r="A662" s="194" t="s">
        <v>59</v>
      </c>
      <c r="B662" s="176" t="s">
        <v>312</v>
      </c>
      <c r="C662" s="176" t="s">
        <v>111</v>
      </c>
      <c r="D662" s="176" t="s">
        <v>635</v>
      </c>
      <c r="E662" s="177">
        <v>3</v>
      </c>
      <c r="F662" s="176" t="s">
        <v>721</v>
      </c>
      <c r="G662" s="178"/>
      <c r="H662" s="176"/>
      <c r="I662" s="176" t="s">
        <v>500</v>
      </c>
      <c r="J662" s="176"/>
      <c r="K662" s="176" t="s">
        <v>593</v>
      </c>
      <c r="L662" s="176"/>
      <c r="M662" s="176"/>
      <c r="N662" s="179">
        <f t="shared" si="66"/>
        <v>14.5</v>
      </c>
      <c r="O662" s="179">
        <f t="shared" si="67"/>
        <v>78</v>
      </c>
      <c r="P662" s="180">
        <f t="shared" si="68"/>
        <v>92.5</v>
      </c>
      <c r="Q662" s="181">
        <f t="shared" si="69"/>
        <v>0.11144578313253012</v>
      </c>
      <c r="R662" s="122">
        <f t="shared" si="70"/>
        <v>18.5</v>
      </c>
      <c r="S662" s="122">
        <f t="shared" si="71"/>
        <v>8.91566265060241E-2</v>
      </c>
      <c r="T662" s="133">
        <v>0</v>
      </c>
    </row>
    <row r="663" spans="1:20" ht="15.75" hidden="1" customHeight="1" x14ac:dyDescent="0.3">
      <c r="A663" s="194" t="s">
        <v>59</v>
      </c>
      <c r="B663" s="176" t="s">
        <v>312</v>
      </c>
      <c r="C663" s="176" t="s">
        <v>80</v>
      </c>
      <c r="D663" s="176" t="s">
        <v>633</v>
      </c>
      <c r="E663" s="177">
        <v>2</v>
      </c>
      <c r="F663" s="176" t="s">
        <v>721</v>
      </c>
      <c r="G663" s="178"/>
      <c r="H663" s="176" t="s">
        <v>641</v>
      </c>
      <c r="I663" s="176" t="s">
        <v>580</v>
      </c>
      <c r="J663" s="176"/>
      <c r="K663" s="176" t="s">
        <v>593</v>
      </c>
      <c r="L663" s="176"/>
      <c r="M663" s="176"/>
      <c r="N663" s="179">
        <f t="shared" si="66"/>
        <v>364</v>
      </c>
      <c r="O663" s="179">
        <f t="shared" si="67"/>
        <v>147</v>
      </c>
      <c r="P663" s="180">
        <f t="shared" si="68"/>
        <v>511</v>
      </c>
      <c r="Q663" s="181">
        <f t="shared" si="69"/>
        <v>0.61566265060240966</v>
      </c>
      <c r="R663" s="122">
        <f t="shared" si="70"/>
        <v>102.2</v>
      </c>
      <c r="S663" s="122">
        <f t="shared" si="71"/>
        <v>0.49253012048192774</v>
      </c>
      <c r="T663" s="133">
        <v>0.5</v>
      </c>
    </row>
    <row r="664" spans="1:20" ht="15.75" customHeight="1" x14ac:dyDescent="0.3">
      <c r="A664" s="194" t="s">
        <v>59</v>
      </c>
      <c r="B664" s="176" t="s">
        <v>312</v>
      </c>
      <c r="C664" s="176" t="s">
        <v>80</v>
      </c>
      <c r="D664" s="176" t="s">
        <v>633</v>
      </c>
      <c r="E664" s="177">
        <v>1</v>
      </c>
      <c r="F664" s="176" t="s">
        <v>721</v>
      </c>
      <c r="G664" s="178"/>
      <c r="H664" s="176"/>
      <c r="I664" s="176" t="s">
        <v>500</v>
      </c>
      <c r="J664" s="176"/>
      <c r="K664" s="176" t="s">
        <v>593</v>
      </c>
      <c r="L664" s="176"/>
      <c r="M664" s="176"/>
      <c r="N664" s="179">
        <f t="shared" si="66"/>
        <v>14.5</v>
      </c>
      <c r="O664" s="179">
        <f t="shared" si="67"/>
        <v>78</v>
      </c>
      <c r="P664" s="180">
        <f t="shared" si="68"/>
        <v>92.5</v>
      </c>
      <c r="Q664" s="181">
        <f t="shared" si="69"/>
        <v>0.11144578313253012</v>
      </c>
      <c r="R664" s="122">
        <f t="shared" si="70"/>
        <v>18.5</v>
      </c>
      <c r="S664" s="122">
        <f t="shared" si="71"/>
        <v>8.91566265060241E-2</v>
      </c>
      <c r="T664" s="133">
        <v>0</v>
      </c>
    </row>
    <row r="665" spans="1:20" ht="15.75" hidden="1" customHeight="1" x14ac:dyDescent="0.3">
      <c r="A665" s="194" t="s">
        <v>59</v>
      </c>
      <c r="B665" s="176" t="s">
        <v>312</v>
      </c>
      <c r="C665" s="176" t="s">
        <v>80</v>
      </c>
      <c r="D665" s="176" t="s">
        <v>635</v>
      </c>
      <c r="E665" s="177">
        <v>2</v>
      </c>
      <c r="F665" s="176" t="s">
        <v>721</v>
      </c>
      <c r="G665" s="178"/>
      <c r="H665" s="176" t="s">
        <v>641</v>
      </c>
      <c r="I665" s="176" t="s">
        <v>580</v>
      </c>
      <c r="J665" s="176"/>
      <c r="K665" s="176" t="s">
        <v>593</v>
      </c>
      <c r="L665" s="176"/>
      <c r="M665" s="176"/>
      <c r="N665" s="179">
        <f t="shared" si="66"/>
        <v>364</v>
      </c>
      <c r="O665" s="179">
        <f t="shared" si="67"/>
        <v>147</v>
      </c>
      <c r="P665" s="180">
        <f t="shared" si="68"/>
        <v>511</v>
      </c>
      <c r="Q665" s="181">
        <f t="shared" si="69"/>
        <v>0.61566265060240966</v>
      </c>
      <c r="R665" s="122">
        <f t="shared" si="70"/>
        <v>102.2</v>
      </c>
      <c r="S665" s="122">
        <f t="shared" si="71"/>
        <v>0.49253012048192774</v>
      </c>
      <c r="T665" s="133">
        <v>0.5</v>
      </c>
    </row>
    <row r="666" spans="1:20" ht="15.75" customHeight="1" x14ac:dyDescent="0.3">
      <c r="A666" s="194" t="s">
        <v>59</v>
      </c>
      <c r="B666" s="176" t="s">
        <v>312</v>
      </c>
      <c r="C666" s="176" t="s">
        <v>80</v>
      </c>
      <c r="D666" s="176" t="s">
        <v>635</v>
      </c>
      <c r="E666" s="177">
        <v>1</v>
      </c>
      <c r="F666" s="176" t="s">
        <v>721</v>
      </c>
      <c r="G666" s="178"/>
      <c r="H666" s="176"/>
      <c r="I666" s="176" t="s">
        <v>500</v>
      </c>
      <c r="J666" s="176"/>
      <c r="K666" s="176" t="s">
        <v>593</v>
      </c>
      <c r="L666" s="176"/>
      <c r="M666" s="176"/>
      <c r="N666" s="179">
        <f t="shared" si="66"/>
        <v>14.5</v>
      </c>
      <c r="O666" s="179">
        <f t="shared" si="67"/>
        <v>78</v>
      </c>
      <c r="P666" s="180">
        <f t="shared" si="68"/>
        <v>92.5</v>
      </c>
      <c r="Q666" s="181">
        <f t="shared" si="69"/>
        <v>0.11144578313253012</v>
      </c>
      <c r="R666" s="122">
        <f t="shared" si="70"/>
        <v>18.5</v>
      </c>
      <c r="S666" s="122">
        <f t="shared" si="71"/>
        <v>8.91566265060241E-2</v>
      </c>
      <c r="T666" s="133">
        <v>0</v>
      </c>
    </row>
    <row r="667" spans="1:20" ht="15.75" hidden="1" customHeight="1" x14ac:dyDescent="0.3">
      <c r="A667" s="194" t="s">
        <v>59</v>
      </c>
      <c r="B667" s="176" t="s">
        <v>722</v>
      </c>
      <c r="C667" s="176" t="s">
        <v>73</v>
      </c>
      <c r="D667" s="176" t="s">
        <v>620</v>
      </c>
      <c r="E667" s="177">
        <v>26</v>
      </c>
      <c r="F667" s="176" t="s">
        <v>621</v>
      </c>
      <c r="G667" s="177">
        <v>26</v>
      </c>
      <c r="H667" s="176" t="s">
        <v>615</v>
      </c>
      <c r="I667" s="176" t="s">
        <v>570</v>
      </c>
      <c r="J667" s="176"/>
      <c r="K667" s="176" t="s">
        <v>593</v>
      </c>
      <c r="L667" s="176"/>
      <c r="M667" s="176"/>
      <c r="N667" s="179">
        <f t="shared" si="66"/>
        <v>279</v>
      </c>
      <c r="O667" s="179">
        <f t="shared" si="67"/>
        <v>431</v>
      </c>
      <c r="P667" s="180">
        <f t="shared" si="68"/>
        <v>710</v>
      </c>
      <c r="Q667" s="181">
        <f t="shared" si="69"/>
        <v>0.85542168674698793</v>
      </c>
      <c r="R667" s="122">
        <f t="shared" si="70"/>
        <v>142</v>
      </c>
      <c r="S667" s="122">
        <f t="shared" si="71"/>
        <v>0.68433734939759039</v>
      </c>
      <c r="T667" s="133">
        <v>0.65</v>
      </c>
    </row>
    <row r="668" spans="1:20" ht="15.75" hidden="1" customHeight="1" x14ac:dyDescent="0.3">
      <c r="A668" s="194" t="s">
        <v>59</v>
      </c>
      <c r="B668" s="176" t="s">
        <v>722</v>
      </c>
      <c r="C668" s="176" t="s">
        <v>123</v>
      </c>
      <c r="D668" s="176" t="s">
        <v>620</v>
      </c>
      <c r="E668" s="177">
        <v>36</v>
      </c>
      <c r="F668" s="176" t="s">
        <v>621</v>
      </c>
      <c r="G668" s="178"/>
      <c r="H668" s="176" t="s">
        <v>615</v>
      </c>
      <c r="I668" s="176" t="s">
        <v>570</v>
      </c>
      <c r="J668" s="176"/>
      <c r="K668" s="176" t="s">
        <v>593</v>
      </c>
      <c r="L668" s="176"/>
      <c r="M668" s="176"/>
      <c r="N668" s="179">
        <f t="shared" si="66"/>
        <v>279</v>
      </c>
      <c r="O668" s="179">
        <f t="shared" si="67"/>
        <v>431</v>
      </c>
      <c r="P668" s="180">
        <f t="shared" si="68"/>
        <v>710</v>
      </c>
      <c r="Q668" s="181">
        <f t="shared" si="69"/>
        <v>0.85542168674698793</v>
      </c>
      <c r="R668" s="122">
        <f t="shared" si="70"/>
        <v>142</v>
      </c>
      <c r="S668" s="122">
        <f t="shared" si="71"/>
        <v>0.68433734939759039</v>
      </c>
      <c r="T668" s="133">
        <v>0.65</v>
      </c>
    </row>
    <row r="669" spans="1:20" ht="15.75" hidden="1" customHeight="1" x14ac:dyDescent="0.3">
      <c r="A669" s="194" t="s">
        <v>59</v>
      </c>
      <c r="B669" s="176" t="s">
        <v>722</v>
      </c>
      <c r="C669" s="176" t="s">
        <v>87</v>
      </c>
      <c r="D669" s="176" t="s">
        <v>620</v>
      </c>
      <c r="E669" s="177">
        <v>4</v>
      </c>
      <c r="F669" s="176" t="s">
        <v>621</v>
      </c>
      <c r="G669" s="178"/>
      <c r="H669" s="176" t="s">
        <v>615</v>
      </c>
      <c r="I669" s="176" t="s">
        <v>570</v>
      </c>
      <c r="J669" s="176"/>
      <c r="K669" s="176" t="s">
        <v>593</v>
      </c>
      <c r="L669" s="176"/>
      <c r="M669" s="176"/>
      <c r="N669" s="179">
        <f t="shared" si="66"/>
        <v>279</v>
      </c>
      <c r="O669" s="179">
        <f t="shared" si="67"/>
        <v>431</v>
      </c>
      <c r="P669" s="180">
        <f t="shared" si="68"/>
        <v>710</v>
      </c>
      <c r="Q669" s="181">
        <f t="shared" si="69"/>
        <v>0.85542168674698793</v>
      </c>
      <c r="R669" s="122">
        <f t="shared" si="70"/>
        <v>142</v>
      </c>
      <c r="S669" s="122">
        <f t="shared" si="71"/>
        <v>0.68433734939759039</v>
      </c>
      <c r="T669" s="133">
        <v>0.65</v>
      </c>
    </row>
    <row r="670" spans="1:20" ht="15.75" customHeight="1" x14ac:dyDescent="0.3">
      <c r="A670" s="194" t="s">
        <v>59</v>
      </c>
      <c r="B670" s="176" t="s">
        <v>722</v>
      </c>
      <c r="C670" s="176" t="s">
        <v>87</v>
      </c>
      <c r="D670" s="176" t="s">
        <v>620</v>
      </c>
      <c r="E670" s="177">
        <v>1</v>
      </c>
      <c r="F670" s="176" t="s">
        <v>621</v>
      </c>
      <c r="G670" s="178"/>
      <c r="H670" s="176"/>
      <c r="I670" s="176" t="s">
        <v>500</v>
      </c>
      <c r="J670" s="176"/>
      <c r="K670" s="176" t="s">
        <v>593</v>
      </c>
      <c r="L670" s="176"/>
      <c r="M670" s="176"/>
      <c r="N670" s="179">
        <f t="shared" si="66"/>
        <v>14.5</v>
      </c>
      <c r="O670" s="179">
        <f t="shared" si="67"/>
        <v>78</v>
      </c>
      <c r="P670" s="180">
        <f t="shared" si="68"/>
        <v>92.5</v>
      </c>
      <c r="Q670" s="181">
        <f t="shared" si="69"/>
        <v>0.11144578313253012</v>
      </c>
      <c r="R670" s="122">
        <f t="shared" si="70"/>
        <v>18.5</v>
      </c>
      <c r="S670" s="122">
        <f t="shared" si="71"/>
        <v>8.91566265060241E-2</v>
      </c>
      <c r="T670" s="133">
        <v>0</v>
      </c>
    </row>
    <row r="671" spans="1:20" ht="15.75" hidden="1" customHeight="1" x14ac:dyDescent="0.3">
      <c r="A671" s="194" t="s">
        <v>59</v>
      </c>
      <c r="B671" s="176" t="s">
        <v>722</v>
      </c>
      <c r="C671" s="176" t="s">
        <v>79</v>
      </c>
      <c r="D671" s="176" t="s">
        <v>620</v>
      </c>
      <c r="E671" s="177">
        <v>32</v>
      </c>
      <c r="F671" s="176" t="s">
        <v>621</v>
      </c>
      <c r="G671" s="177">
        <v>32</v>
      </c>
      <c r="H671" s="176" t="s">
        <v>615</v>
      </c>
      <c r="I671" s="176" t="s">
        <v>570</v>
      </c>
      <c r="J671" s="176"/>
      <c r="K671" s="176" t="s">
        <v>593</v>
      </c>
      <c r="L671" s="176"/>
      <c r="M671" s="176"/>
      <c r="N671" s="179">
        <f t="shared" si="66"/>
        <v>279</v>
      </c>
      <c r="O671" s="179">
        <f t="shared" si="67"/>
        <v>431</v>
      </c>
      <c r="P671" s="180">
        <f t="shared" si="68"/>
        <v>710</v>
      </c>
      <c r="Q671" s="181">
        <f t="shared" si="69"/>
        <v>0.85542168674698793</v>
      </c>
      <c r="R671" s="122">
        <f t="shared" si="70"/>
        <v>142</v>
      </c>
      <c r="S671" s="122">
        <f t="shared" si="71"/>
        <v>0.68433734939759039</v>
      </c>
      <c r="T671" s="133">
        <v>0.65</v>
      </c>
    </row>
    <row r="672" spans="1:20" ht="15.75" hidden="1" customHeight="1" x14ac:dyDescent="0.3">
      <c r="A672" s="194" t="s">
        <v>59</v>
      </c>
      <c r="B672" s="176" t="s">
        <v>722</v>
      </c>
      <c r="C672" s="176" t="s">
        <v>100</v>
      </c>
      <c r="D672" s="176" t="s">
        <v>620</v>
      </c>
      <c r="E672" s="177">
        <v>16</v>
      </c>
      <c r="F672" s="176" t="s">
        <v>621</v>
      </c>
      <c r="G672" s="177">
        <v>8</v>
      </c>
      <c r="H672" s="176" t="s">
        <v>615</v>
      </c>
      <c r="I672" s="176" t="s">
        <v>570</v>
      </c>
      <c r="J672" s="176"/>
      <c r="K672" s="176" t="s">
        <v>593</v>
      </c>
      <c r="L672" s="176"/>
      <c r="M672" s="176"/>
      <c r="N672" s="179">
        <f t="shared" si="66"/>
        <v>279</v>
      </c>
      <c r="O672" s="179">
        <f t="shared" si="67"/>
        <v>431</v>
      </c>
      <c r="P672" s="180">
        <f t="shared" si="68"/>
        <v>710</v>
      </c>
      <c r="Q672" s="181">
        <f t="shared" si="69"/>
        <v>0.85542168674698793</v>
      </c>
      <c r="R672" s="122">
        <f t="shared" si="70"/>
        <v>142</v>
      </c>
      <c r="S672" s="122">
        <f t="shared" si="71"/>
        <v>0.68433734939759039</v>
      </c>
      <c r="T672" s="133">
        <v>0.65</v>
      </c>
    </row>
    <row r="673" spans="1:20" ht="15.75" hidden="1" customHeight="1" x14ac:dyDescent="0.3">
      <c r="A673" s="194" t="s">
        <v>59</v>
      </c>
      <c r="B673" s="176" t="s">
        <v>722</v>
      </c>
      <c r="C673" s="176" t="s">
        <v>80</v>
      </c>
      <c r="D673" s="176" t="s">
        <v>620</v>
      </c>
      <c r="E673" s="177">
        <v>1</v>
      </c>
      <c r="F673" s="176" t="s">
        <v>621</v>
      </c>
      <c r="G673" s="178"/>
      <c r="H673" s="176" t="s">
        <v>615</v>
      </c>
      <c r="I673" s="176" t="s">
        <v>570</v>
      </c>
      <c r="J673" s="176"/>
      <c r="K673" s="176" t="s">
        <v>593</v>
      </c>
      <c r="L673" s="176"/>
      <c r="M673" s="176"/>
      <c r="N673" s="179">
        <f t="shared" si="66"/>
        <v>279</v>
      </c>
      <c r="O673" s="179">
        <f t="shared" si="67"/>
        <v>431</v>
      </c>
      <c r="P673" s="180">
        <f t="shared" si="68"/>
        <v>710</v>
      </c>
      <c r="Q673" s="181">
        <f t="shared" si="69"/>
        <v>0.85542168674698793</v>
      </c>
      <c r="R673" s="122">
        <f t="shared" si="70"/>
        <v>142</v>
      </c>
      <c r="S673" s="122">
        <f t="shared" si="71"/>
        <v>0.68433734939759039</v>
      </c>
      <c r="T673" s="133">
        <v>0.65</v>
      </c>
    </row>
    <row r="674" spans="1:20" ht="15.75" hidden="1" customHeight="1" x14ac:dyDescent="0.3">
      <c r="A674" s="194" t="s">
        <v>59</v>
      </c>
      <c r="B674" s="176" t="s">
        <v>723</v>
      </c>
      <c r="C674" s="176" t="s">
        <v>73</v>
      </c>
      <c r="D674" s="176" t="s">
        <v>620</v>
      </c>
      <c r="E674" s="177">
        <v>36</v>
      </c>
      <c r="F674" s="176" t="s">
        <v>621</v>
      </c>
      <c r="G674" s="177">
        <v>36</v>
      </c>
      <c r="H674" s="176" t="s">
        <v>597</v>
      </c>
      <c r="I674" s="176" t="s">
        <v>109</v>
      </c>
      <c r="J674" s="176"/>
      <c r="K674" s="176" t="s">
        <v>593</v>
      </c>
      <c r="L674" s="176"/>
      <c r="M674" s="176"/>
      <c r="N674" s="179">
        <f t="shared" si="66"/>
        <v>169</v>
      </c>
      <c r="O674" s="179">
        <f t="shared" si="67"/>
        <v>340</v>
      </c>
      <c r="P674" s="180">
        <f t="shared" si="68"/>
        <v>509</v>
      </c>
      <c r="Q674" s="181">
        <f t="shared" si="69"/>
        <v>0.61325301204819282</v>
      </c>
      <c r="R674" s="122">
        <f t="shared" si="70"/>
        <v>101.80000000000001</v>
      </c>
      <c r="S674" s="122">
        <f t="shared" si="71"/>
        <v>0.49060240963855428</v>
      </c>
      <c r="T674" s="133">
        <v>0.4</v>
      </c>
    </row>
    <row r="675" spans="1:20" ht="15.75" hidden="1" customHeight="1" x14ac:dyDescent="0.3">
      <c r="A675" s="194" t="s">
        <v>59</v>
      </c>
      <c r="B675" s="176" t="s">
        <v>723</v>
      </c>
      <c r="C675" s="176" t="s">
        <v>79</v>
      </c>
      <c r="D675" s="176" t="s">
        <v>620</v>
      </c>
      <c r="E675" s="177">
        <v>24</v>
      </c>
      <c r="F675" s="176" t="s">
        <v>621</v>
      </c>
      <c r="G675" s="177">
        <v>24</v>
      </c>
      <c r="H675" s="176" t="s">
        <v>597</v>
      </c>
      <c r="I675" s="176" t="s">
        <v>109</v>
      </c>
      <c r="J675" s="176"/>
      <c r="K675" s="176" t="s">
        <v>593</v>
      </c>
      <c r="L675" s="176"/>
      <c r="M675" s="176"/>
      <c r="N675" s="179">
        <f t="shared" si="66"/>
        <v>169</v>
      </c>
      <c r="O675" s="179">
        <f t="shared" si="67"/>
        <v>340</v>
      </c>
      <c r="P675" s="180">
        <f t="shared" si="68"/>
        <v>509</v>
      </c>
      <c r="Q675" s="181">
        <f t="shared" si="69"/>
        <v>0.61325301204819282</v>
      </c>
      <c r="R675" s="122">
        <f t="shared" si="70"/>
        <v>101.80000000000001</v>
      </c>
      <c r="S675" s="122">
        <f t="shared" si="71"/>
        <v>0.49060240963855428</v>
      </c>
      <c r="T675" s="133">
        <v>0.4</v>
      </c>
    </row>
    <row r="676" spans="1:20" ht="15.75" hidden="1" customHeight="1" x14ac:dyDescent="0.3">
      <c r="A676" s="194" t="s">
        <v>59</v>
      </c>
      <c r="B676" s="176" t="s">
        <v>723</v>
      </c>
      <c r="C676" s="176" t="s">
        <v>111</v>
      </c>
      <c r="D676" s="176" t="s">
        <v>620</v>
      </c>
      <c r="E676" s="177">
        <v>6</v>
      </c>
      <c r="F676" s="176" t="s">
        <v>621</v>
      </c>
      <c r="G676" s="178"/>
      <c r="H676" s="176" t="s">
        <v>597</v>
      </c>
      <c r="I676" s="176" t="s">
        <v>109</v>
      </c>
      <c r="J676" s="176"/>
      <c r="K676" s="176" t="s">
        <v>593</v>
      </c>
      <c r="L676" s="176"/>
      <c r="M676" s="176"/>
      <c r="N676" s="179">
        <f t="shared" ref="N676:N739" si="72">SUMIFS($E$2:$E$896,$A$2:$A$896,"осень",$I$2:$I$896,I676)</f>
        <v>169</v>
      </c>
      <c r="O676" s="179">
        <f t="shared" ref="O676:O739" si="73">SUMIFS($E$2:$E$896,$A$2:$A$896,"весна",$I$2:$I$896,I676)</f>
        <v>340</v>
      </c>
      <c r="P676" s="180">
        <f t="shared" si="68"/>
        <v>509</v>
      </c>
      <c r="Q676" s="181">
        <f t="shared" si="69"/>
        <v>0.61325301204819282</v>
      </c>
      <c r="R676" s="122">
        <f t="shared" si="70"/>
        <v>101.80000000000001</v>
      </c>
      <c r="S676" s="122">
        <f t="shared" si="71"/>
        <v>0.49060240963855428</v>
      </c>
      <c r="T676" s="133">
        <v>0.4</v>
      </c>
    </row>
    <row r="677" spans="1:20" ht="15.75" customHeight="1" x14ac:dyDescent="0.3">
      <c r="A677" s="194" t="s">
        <v>59</v>
      </c>
      <c r="B677" s="176" t="s">
        <v>723</v>
      </c>
      <c r="C677" s="176" t="s">
        <v>111</v>
      </c>
      <c r="D677" s="176" t="s">
        <v>620</v>
      </c>
      <c r="E677" s="177">
        <v>3</v>
      </c>
      <c r="F677" s="176" t="s">
        <v>621</v>
      </c>
      <c r="G677" s="178"/>
      <c r="H677" s="176"/>
      <c r="I677" s="176" t="s">
        <v>500</v>
      </c>
      <c r="J677" s="176"/>
      <c r="K677" s="176" t="s">
        <v>593</v>
      </c>
      <c r="L677" s="176"/>
      <c r="M677" s="176"/>
      <c r="N677" s="179">
        <f t="shared" si="72"/>
        <v>14.5</v>
      </c>
      <c r="O677" s="179">
        <f t="shared" si="73"/>
        <v>78</v>
      </c>
      <c r="P677" s="180">
        <f t="shared" si="68"/>
        <v>92.5</v>
      </c>
      <c r="Q677" s="181">
        <f t="shared" si="69"/>
        <v>0.11144578313253012</v>
      </c>
      <c r="R677" s="122">
        <f t="shared" si="70"/>
        <v>18.5</v>
      </c>
      <c r="S677" s="122">
        <f t="shared" si="71"/>
        <v>8.91566265060241E-2</v>
      </c>
      <c r="T677" s="133">
        <v>0</v>
      </c>
    </row>
    <row r="678" spans="1:20" ht="15.75" hidden="1" customHeight="1" x14ac:dyDescent="0.3">
      <c r="A678" s="194" t="s">
        <v>59</v>
      </c>
      <c r="B678" s="176" t="s">
        <v>723</v>
      </c>
      <c r="C678" s="176" t="s">
        <v>80</v>
      </c>
      <c r="D678" s="176" t="s">
        <v>620</v>
      </c>
      <c r="E678" s="177">
        <v>2</v>
      </c>
      <c r="F678" s="176" t="s">
        <v>621</v>
      </c>
      <c r="G678" s="178"/>
      <c r="H678" s="176" t="s">
        <v>597</v>
      </c>
      <c r="I678" s="176" t="s">
        <v>109</v>
      </c>
      <c r="J678" s="176"/>
      <c r="K678" s="176" t="s">
        <v>593</v>
      </c>
      <c r="L678" s="176"/>
      <c r="M678" s="176"/>
      <c r="N678" s="179">
        <f t="shared" si="72"/>
        <v>169</v>
      </c>
      <c r="O678" s="179">
        <f t="shared" si="73"/>
        <v>340</v>
      </c>
      <c r="P678" s="180">
        <f t="shared" si="68"/>
        <v>509</v>
      </c>
      <c r="Q678" s="181">
        <f t="shared" si="69"/>
        <v>0.61325301204819282</v>
      </c>
      <c r="R678" s="122">
        <f t="shared" si="70"/>
        <v>101.80000000000001</v>
      </c>
      <c r="S678" s="122">
        <f t="shared" si="71"/>
        <v>0.49060240963855428</v>
      </c>
      <c r="T678" s="133">
        <v>0.4</v>
      </c>
    </row>
    <row r="679" spans="1:20" ht="15.75" customHeight="1" x14ac:dyDescent="0.3">
      <c r="A679" s="194" t="s">
        <v>59</v>
      </c>
      <c r="B679" s="176" t="s">
        <v>723</v>
      </c>
      <c r="C679" s="176" t="s">
        <v>80</v>
      </c>
      <c r="D679" s="176" t="s">
        <v>620</v>
      </c>
      <c r="E679" s="177">
        <v>1</v>
      </c>
      <c r="F679" s="176" t="s">
        <v>621</v>
      </c>
      <c r="G679" s="178"/>
      <c r="H679" s="176"/>
      <c r="I679" s="176" t="s">
        <v>500</v>
      </c>
      <c r="J679" s="176"/>
      <c r="K679" s="176" t="s">
        <v>593</v>
      </c>
      <c r="L679" s="176"/>
      <c r="M679" s="176"/>
      <c r="N679" s="179">
        <f t="shared" si="72"/>
        <v>14.5</v>
      </c>
      <c r="O679" s="179">
        <f t="shared" si="73"/>
        <v>78</v>
      </c>
      <c r="P679" s="180">
        <f t="shared" si="68"/>
        <v>92.5</v>
      </c>
      <c r="Q679" s="181">
        <f t="shared" si="69"/>
        <v>0.11144578313253012</v>
      </c>
      <c r="R679" s="122">
        <f t="shared" si="70"/>
        <v>18.5</v>
      </c>
      <c r="S679" s="122">
        <f t="shared" si="71"/>
        <v>8.91566265060241E-2</v>
      </c>
      <c r="T679" s="133">
        <v>0</v>
      </c>
    </row>
    <row r="680" spans="1:20" ht="15.75" hidden="1" customHeight="1" x14ac:dyDescent="0.3">
      <c r="A680" s="194" t="s">
        <v>59</v>
      </c>
      <c r="B680" s="176" t="s">
        <v>662</v>
      </c>
      <c r="C680" s="176" t="s">
        <v>73</v>
      </c>
      <c r="D680" s="176" t="s">
        <v>590</v>
      </c>
      <c r="E680" s="177">
        <v>30</v>
      </c>
      <c r="F680" s="176" t="s">
        <v>591</v>
      </c>
      <c r="G680" s="177">
        <v>30</v>
      </c>
      <c r="H680" s="176" t="s">
        <v>622</v>
      </c>
      <c r="I680" s="176" t="s">
        <v>562</v>
      </c>
      <c r="J680" s="176"/>
      <c r="K680" s="176" t="s">
        <v>593</v>
      </c>
      <c r="L680" s="176"/>
      <c r="M680" s="176"/>
      <c r="N680" s="179">
        <f t="shared" si="72"/>
        <v>438</v>
      </c>
      <c r="O680" s="179">
        <f t="shared" si="73"/>
        <v>361</v>
      </c>
      <c r="P680" s="180">
        <f t="shared" si="68"/>
        <v>799</v>
      </c>
      <c r="Q680" s="181">
        <f t="shared" si="69"/>
        <v>0.96265060240963851</v>
      </c>
      <c r="R680" s="122">
        <f t="shared" si="70"/>
        <v>159.80000000000001</v>
      </c>
      <c r="S680" s="122">
        <f t="shared" si="71"/>
        <v>0.77012048192771088</v>
      </c>
      <c r="T680" s="133">
        <v>0.75</v>
      </c>
    </row>
    <row r="681" spans="1:20" ht="15.75" hidden="1" customHeight="1" x14ac:dyDescent="0.3">
      <c r="A681" s="194" t="s">
        <v>59</v>
      </c>
      <c r="B681" s="176" t="s">
        <v>662</v>
      </c>
      <c r="C681" s="176" t="s">
        <v>87</v>
      </c>
      <c r="D681" s="176" t="s">
        <v>590</v>
      </c>
      <c r="E681" s="177">
        <v>3</v>
      </c>
      <c r="F681" s="176" t="s">
        <v>591</v>
      </c>
      <c r="G681" s="178"/>
      <c r="H681" s="176" t="s">
        <v>622</v>
      </c>
      <c r="I681" s="176" t="s">
        <v>562</v>
      </c>
      <c r="J681" s="176"/>
      <c r="K681" s="176" t="s">
        <v>593</v>
      </c>
      <c r="L681" s="176"/>
      <c r="M681" s="176"/>
      <c r="N681" s="179">
        <f t="shared" si="72"/>
        <v>438</v>
      </c>
      <c r="O681" s="179">
        <f t="shared" si="73"/>
        <v>361</v>
      </c>
      <c r="P681" s="180">
        <f t="shared" si="68"/>
        <v>799</v>
      </c>
      <c r="Q681" s="181">
        <f t="shared" si="69"/>
        <v>0.96265060240963851</v>
      </c>
      <c r="R681" s="122">
        <f t="shared" si="70"/>
        <v>159.80000000000001</v>
      </c>
      <c r="S681" s="122">
        <f t="shared" si="71"/>
        <v>0.77012048192771088</v>
      </c>
      <c r="T681" s="133">
        <v>0.75</v>
      </c>
    </row>
    <row r="682" spans="1:20" ht="15.75" customHeight="1" x14ac:dyDescent="0.3">
      <c r="A682" s="194" t="s">
        <v>59</v>
      </c>
      <c r="B682" s="176" t="s">
        <v>662</v>
      </c>
      <c r="C682" s="176" t="s">
        <v>87</v>
      </c>
      <c r="D682" s="176" t="s">
        <v>590</v>
      </c>
      <c r="E682" s="177">
        <v>1</v>
      </c>
      <c r="F682" s="176" t="s">
        <v>591</v>
      </c>
      <c r="G682" s="178"/>
      <c r="H682" s="176"/>
      <c r="I682" s="176" t="s">
        <v>500</v>
      </c>
      <c r="J682" s="176"/>
      <c r="K682" s="176" t="s">
        <v>593</v>
      </c>
      <c r="L682" s="176"/>
      <c r="M682" s="176"/>
      <c r="N682" s="179">
        <f t="shared" si="72"/>
        <v>14.5</v>
      </c>
      <c r="O682" s="179">
        <f t="shared" si="73"/>
        <v>78</v>
      </c>
      <c r="P682" s="180">
        <f t="shared" si="68"/>
        <v>92.5</v>
      </c>
      <c r="Q682" s="181">
        <f t="shared" si="69"/>
        <v>0.11144578313253012</v>
      </c>
      <c r="R682" s="122">
        <f t="shared" si="70"/>
        <v>18.5</v>
      </c>
      <c r="S682" s="122">
        <f t="shared" si="71"/>
        <v>8.91566265060241E-2</v>
      </c>
      <c r="T682" s="133">
        <v>0</v>
      </c>
    </row>
    <row r="683" spans="1:20" ht="15.75" hidden="1" customHeight="1" x14ac:dyDescent="0.3">
      <c r="A683" s="194" t="s">
        <v>59</v>
      </c>
      <c r="B683" s="176" t="s">
        <v>662</v>
      </c>
      <c r="C683" s="176" t="s">
        <v>87</v>
      </c>
      <c r="D683" s="176" t="s">
        <v>724</v>
      </c>
      <c r="E683" s="177">
        <v>3</v>
      </c>
      <c r="F683" s="176" t="s">
        <v>725</v>
      </c>
      <c r="G683" s="178"/>
      <c r="H683" s="176" t="s">
        <v>622</v>
      </c>
      <c r="I683" s="176" t="s">
        <v>562</v>
      </c>
      <c r="J683" s="176"/>
      <c r="K683" s="176" t="s">
        <v>593</v>
      </c>
      <c r="L683" s="176"/>
      <c r="M683" s="176"/>
      <c r="N683" s="179">
        <f t="shared" si="72"/>
        <v>438</v>
      </c>
      <c r="O683" s="179">
        <f t="shared" si="73"/>
        <v>361</v>
      </c>
      <c r="P683" s="180">
        <f t="shared" si="68"/>
        <v>799</v>
      </c>
      <c r="Q683" s="181">
        <f t="shared" si="69"/>
        <v>0.96265060240963851</v>
      </c>
      <c r="R683" s="122">
        <f t="shared" si="70"/>
        <v>159.80000000000001</v>
      </c>
      <c r="S683" s="122">
        <f t="shared" si="71"/>
        <v>0.77012048192771088</v>
      </c>
      <c r="T683" s="133">
        <v>0.75</v>
      </c>
    </row>
    <row r="684" spans="1:20" ht="15.75" customHeight="1" x14ac:dyDescent="0.3">
      <c r="A684" s="194" t="s">
        <v>59</v>
      </c>
      <c r="B684" s="176" t="s">
        <v>662</v>
      </c>
      <c r="C684" s="176" t="s">
        <v>87</v>
      </c>
      <c r="D684" s="176" t="s">
        <v>724</v>
      </c>
      <c r="E684" s="177">
        <v>1</v>
      </c>
      <c r="F684" s="176" t="s">
        <v>725</v>
      </c>
      <c r="G684" s="178"/>
      <c r="H684" s="176"/>
      <c r="I684" s="176" t="s">
        <v>500</v>
      </c>
      <c r="J684" s="176"/>
      <c r="K684" s="176" t="s">
        <v>593</v>
      </c>
      <c r="L684" s="176"/>
      <c r="M684" s="176"/>
      <c r="N684" s="179">
        <f t="shared" si="72"/>
        <v>14.5</v>
      </c>
      <c r="O684" s="179">
        <f t="shared" si="73"/>
        <v>78</v>
      </c>
      <c r="P684" s="180">
        <f t="shared" si="68"/>
        <v>92.5</v>
      </c>
      <c r="Q684" s="181">
        <f t="shared" si="69"/>
        <v>0.11144578313253012</v>
      </c>
      <c r="R684" s="122">
        <f t="shared" si="70"/>
        <v>18.5</v>
      </c>
      <c r="S684" s="122">
        <f t="shared" si="71"/>
        <v>8.91566265060241E-2</v>
      </c>
      <c r="T684" s="133">
        <v>0</v>
      </c>
    </row>
    <row r="685" spans="1:20" ht="15.75" hidden="1" customHeight="1" x14ac:dyDescent="0.3">
      <c r="A685" s="194" t="s">
        <v>59</v>
      </c>
      <c r="B685" s="176" t="s">
        <v>662</v>
      </c>
      <c r="C685" s="176" t="s">
        <v>87</v>
      </c>
      <c r="D685" s="176" t="s">
        <v>726</v>
      </c>
      <c r="E685" s="177">
        <v>2</v>
      </c>
      <c r="F685" s="176" t="s">
        <v>725</v>
      </c>
      <c r="G685" s="178"/>
      <c r="H685" s="176" t="s">
        <v>622</v>
      </c>
      <c r="I685" s="176" t="s">
        <v>562</v>
      </c>
      <c r="J685" s="176"/>
      <c r="K685" s="176" t="s">
        <v>593</v>
      </c>
      <c r="L685" s="176"/>
      <c r="M685" s="176"/>
      <c r="N685" s="179">
        <f t="shared" si="72"/>
        <v>438</v>
      </c>
      <c r="O685" s="179">
        <f t="shared" si="73"/>
        <v>361</v>
      </c>
      <c r="P685" s="180">
        <f t="shared" si="68"/>
        <v>799</v>
      </c>
      <c r="Q685" s="181">
        <f t="shared" si="69"/>
        <v>0.96265060240963851</v>
      </c>
      <c r="R685" s="122">
        <f t="shared" si="70"/>
        <v>159.80000000000001</v>
      </c>
      <c r="S685" s="122">
        <f t="shared" si="71"/>
        <v>0.77012048192771088</v>
      </c>
      <c r="T685" s="133">
        <v>0.75</v>
      </c>
    </row>
    <row r="686" spans="1:20" ht="15.75" customHeight="1" x14ac:dyDescent="0.3">
      <c r="A686" s="194" t="s">
        <v>59</v>
      </c>
      <c r="B686" s="176" t="s">
        <v>662</v>
      </c>
      <c r="C686" s="176" t="s">
        <v>87</v>
      </c>
      <c r="D686" s="176" t="s">
        <v>726</v>
      </c>
      <c r="E686" s="177">
        <v>1</v>
      </c>
      <c r="F686" s="176" t="s">
        <v>725</v>
      </c>
      <c r="G686" s="178"/>
      <c r="H686" s="176"/>
      <c r="I686" s="176" t="s">
        <v>500</v>
      </c>
      <c r="J686" s="176"/>
      <c r="K686" s="176" t="s">
        <v>593</v>
      </c>
      <c r="L686" s="176"/>
      <c r="M686" s="176"/>
      <c r="N686" s="179">
        <f t="shared" si="72"/>
        <v>14.5</v>
      </c>
      <c r="O686" s="179">
        <f t="shared" si="73"/>
        <v>78</v>
      </c>
      <c r="P686" s="180">
        <f t="shared" si="68"/>
        <v>92.5</v>
      </c>
      <c r="Q686" s="181">
        <f t="shared" si="69"/>
        <v>0.11144578313253012</v>
      </c>
      <c r="R686" s="122">
        <f t="shared" si="70"/>
        <v>18.5</v>
      </c>
      <c r="S686" s="122">
        <f t="shared" si="71"/>
        <v>8.91566265060241E-2</v>
      </c>
      <c r="T686" s="133">
        <v>0</v>
      </c>
    </row>
    <row r="687" spans="1:20" ht="15.75" hidden="1" customHeight="1" x14ac:dyDescent="0.3">
      <c r="A687" s="194" t="s">
        <v>59</v>
      </c>
      <c r="B687" s="176" t="s">
        <v>662</v>
      </c>
      <c r="C687" s="176" t="s">
        <v>87</v>
      </c>
      <c r="D687" s="176" t="s">
        <v>727</v>
      </c>
      <c r="E687" s="177">
        <v>2</v>
      </c>
      <c r="F687" s="176" t="s">
        <v>725</v>
      </c>
      <c r="G687" s="178"/>
      <c r="H687" s="176" t="s">
        <v>622</v>
      </c>
      <c r="I687" s="176" t="s">
        <v>562</v>
      </c>
      <c r="J687" s="176"/>
      <c r="K687" s="176" t="s">
        <v>593</v>
      </c>
      <c r="L687" s="176"/>
      <c r="M687" s="176"/>
      <c r="N687" s="179">
        <f t="shared" si="72"/>
        <v>438</v>
      </c>
      <c r="O687" s="179">
        <f t="shared" si="73"/>
        <v>361</v>
      </c>
      <c r="P687" s="180">
        <f t="shared" si="68"/>
        <v>799</v>
      </c>
      <c r="Q687" s="181">
        <f t="shared" si="69"/>
        <v>0.96265060240963851</v>
      </c>
      <c r="R687" s="122">
        <f t="shared" si="70"/>
        <v>159.80000000000001</v>
      </c>
      <c r="S687" s="122">
        <f t="shared" si="71"/>
        <v>0.77012048192771088</v>
      </c>
      <c r="T687" s="133">
        <v>0.75</v>
      </c>
    </row>
    <row r="688" spans="1:20" ht="15.75" customHeight="1" x14ac:dyDescent="0.3">
      <c r="A688" s="194" t="s">
        <v>59</v>
      </c>
      <c r="B688" s="176" t="s">
        <v>662</v>
      </c>
      <c r="C688" s="176" t="s">
        <v>87</v>
      </c>
      <c r="D688" s="176" t="s">
        <v>727</v>
      </c>
      <c r="E688" s="177">
        <v>1</v>
      </c>
      <c r="F688" s="176" t="s">
        <v>725</v>
      </c>
      <c r="G688" s="178"/>
      <c r="H688" s="176"/>
      <c r="I688" s="176" t="s">
        <v>500</v>
      </c>
      <c r="J688" s="176"/>
      <c r="K688" s="176" t="s">
        <v>593</v>
      </c>
      <c r="L688" s="176"/>
      <c r="M688" s="176"/>
      <c r="N688" s="179">
        <f t="shared" si="72"/>
        <v>14.5</v>
      </c>
      <c r="O688" s="179">
        <f t="shared" si="73"/>
        <v>78</v>
      </c>
      <c r="P688" s="180">
        <f t="shared" si="68"/>
        <v>92.5</v>
      </c>
      <c r="Q688" s="181">
        <f t="shared" si="69"/>
        <v>0.11144578313253012</v>
      </c>
      <c r="R688" s="122">
        <f t="shared" si="70"/>
        <v>18.5</v>
      </c>
      <c r="S688" s="122">
        <f t="shared" si="71"/>
        <v>8.91566265060241E-2</v>
      </c>
      <c r="T688" s="133">
        <v>0</v>
      </c>
    </row>
    <row r="689" spans="1:20" ht="15.75" hidden="1" customHeight="1" x14ac:dyDescent="0.3">
      <c r="A689" s="194" t="s">
        <v>59</v>
      </c>
      <c r="B689" s="182" t="s">
        <v>662</v>
      </c>
      <c r="C689" s="182" t="s">
        <v>79</v>
      </c>
      <c r="D689" s="182" t="s">
        <v>590</v>
      </c>
      <c r="E689" s="183">
        <v>2</v>
      </c>
      <c r="F689" s="182" t="s">
        <v>591</v>
      </c>
      <c r="G689" s="183">
        <v>8</v>
      </c>
      <c r="H689" s="182" t="s">
        <v>641</v>
      </c>
      <c r="I689" s="182" t="s">
        <v>575</v>
      </c>
      <c r="J689" s="176"/>
      <c r="K689" s="176" t="s">
        <v>593</v>
      </c>
      <c r="L689" s="176"/>
      <c r="M689" s="176"/>
      <c r="N689" s="179">
        <f t="shared" si="72"/>
        <v>78</v>
      </c>
      <c r="O689" s="179">
        <f t="shared" si="73"/>
        <v>240.5</v>
      </c>
      <c r="P689" s="180">
        <f t="shared" si="68"/>
        <v>318.5</v>
      </c>
      <c r="Q689" s="181">
        <f t="shared" si="69"/>
        <v>0.38373493975903616</v>
      </c>
      <c r="R689" s="122">
        <f t="shared" si="70"/>
        <v>63.7</v>
      </c>
      <c r="S689" s="122">
        <f t="shared" si="71"/>
        <v>0.30698795180722893</v>
      </c>
      <c r="T689" s="133">
        <v>0.35</v>
      </c>
    </row>
    <row r="690" spans="1:20" ht="15.75" hidden="1" customHeight="1" x14ac:dyDescent="0.3">
      <c r="A690" s="194" t="s">
        <v>59</v>
      </c>
      <c r="B690" s="176" t="s">
        <v>662</v>
      </c>
      <c r="C690" s="176" t="s">
        <v>79</v>
      </c>
      <c r="D690" s="176" t="s">
        <v>590</v>
      </c>
      <c r="E690" s="177">
        <v>2</v>
      </c>
      <c r="F690" s="176" t="s">
        <v>591</v>
      </c>
      <c r="G690" s="177">
        <v>8</v>
      </c>
      <c r="H690" s="176" t="s">
        <v>643</v>
      </c>
      <c r="I690" s="176" t="s">
        <v>579</v>
      </c>
      <c r="J690" s="176"/>
      <c r="K690" s="176" t="s">
        <v>593</v>
      </c>
      <c r="L690" s="176"/>
      <c r="M690" s="176"/>
      <c r="N690" s="179">
        <f t="shared" si="72"/>
        <v>297</v>
      </c>
      <c r="O690" s="179">
        <f t="shared" si="73"/>
        <v>310</v>
      </c>
      <c r="P690" s="180">
        <f t="shared" si="68"/>
        <v>607</v>
      </c>
      <c r="Q690" s="181">
        <f t="shared" si="69"/>
        <v>0.73132530120481931</v>
      </c>
      <c r="R690" s="122">
        <f t="shared" si="70"/>
        <v>121.4</v>
      </c>
      <c r="S690" s="122">
        <f t="shared" si="71"/>
        <v>0.58506024096385545</v>
      </c>
      <c r="T690" s="133">
        <v>0.6</v>
      </c>
    </row>
    <row r="691" spans="1:20" ht="15.75" hidden="1" customHeight="1" x14ac:dyDescent="0.3">
      <c r="A691" s="194" t="s">
        <v>59</v>
      </c>
      <c r="B691" s="176" t="s">
        <v>662</v>
      </c>
      <c r="C691" s="176" t="s">
        <v>79</v>
      </c>
      <c r="D691" s="176" t="s">
        <v>590</v>
      </c>
      <c r="E691" s="177">
        <v>2</v>
      </c>
      <c r="F691" s="176" t="s">
        <v>591</v>
      </c>
      <c r="G691" s="177">
        <v>8</v>
      </c>
      <c r="H691" s="176" t="s">
        <v>627</v>
      </c>
      <c r="I691" s="176" t="s">
        <v>576</v>
      </c>
      <c r="J691" s="176"/>
      <c r="K691" s="176" t="s">
        <v>593</v>
      </c>
      <c r="L691" s="176"/>
      <c r="M691" s="176"/>
      <c r="N691" s="179">
        <f t="shared" si="72"/>
        <v>175</v>
      </c>
      <c r="O691" s="179">
        <f t="shared" si="73"/>
        <v>120</v>
      </c>
      <c r="P691" s="180">
        <f t="shared" si="68"/>
        <v>295</v>
      </c>
      <c r="Q691" s="181">
        <f t="shared" si="69"/>
        <v>0.35542168674698793</v>
      </c>
      <c r="R691" s="122">
        <f t="shared" si="70"/>
        <v>59</v>
      </c>
      <c r="S691" s="122">
        <f t="shared" si="71"/>
        <v>0.28433734939759037</v>
      </c>
      <c r="T691" s="133">
        <v>0.25</v>
      </c>
    </row>
    <row r="692" spans="1:20" ht="15.75" hidden="1" customHeight="1" x14ac:dyDescent="0.3">
      <c r="A692" s="194" t="s">
        <v>59</v>
      </c>
      <c r="B692" s="176" t="s">
        <v>662</v>
      </c>
      <c r="C692" s="176" t="s">
        <v>79</v>
      </c>
      <c r="D692" s="176" t="s">
        <v>590</v>
      </c>
      <c r="E692" s="177">
        <v>2</v>
      </c>
      <c r="F692" s="176" t="s">
        <v>591</v>
      </c>
      <c r="G692" s="177">
        <v>8</v>
      </c>
      <c r="H692" s="176" t="s">
        <v>642</v>
      </c>
      <c r="I692" s="176" t="s">
        <v>572</v>
      </c>
      <c r="J692" s="176"/>
      <c r="K692" s="176" t="s">
        <v>593</v>
      </c>
      <c r="L692" s="176"/>
      <c r="M692" s="176"/>
      <c r="N692" s="179">
        <f t="shared" si="72"/>
        <v>410</v>
      </c>
      <c r="O692" s="179">
        <f t="shared" si="73"/>
        <v>260</v>
      </c>
      <c r="P692" s="180">
        <f t="shared" si="68"/>
        <v>670</v>
      </c>
      <c r="Q692" s="181">
        <f t="shared" si="69"/>
        <v>0.80722891566265065</v>
      </c>
      <c r="R692" s="122">
        <f t="shared" si="70"/>
        <v>134</v>
      </c>
      <c r="S692" s="122">
        <f t="shared" si="71"/>
        <v>0.64578313253012054</v>
      </c>
      <c r="T692" s="133">
        <v>0.55000000000000004</v>
      </c>
    </row>
    <row r="693" spans="1:20" ht="15.75" hidden="1" customHeight="1" x14ac:dyDescent="0.3">
      <c r="A693" s="194" t="s">
        <v>59</v>
      </c>
      <c r="B693" s="176" t="s">
        <v>662</v>
      </c>
      <c r="C693" s="176" t="s">
        <v>79</v>
      </c>
      <c r="D693" s="176" t="s">
        <v>724</v>
      </c>
      <c r="E693" s="177">
        <v>2</v>
      </c>
      <c r="F693" s="176" t="s">
        <v>725</v>
      </c>
      <c r="G693" s="177">
        <v>8</v>
      </c>
      <c r="H693" s="176" t="s">
        <v>642</v>
      </c>
      <c r="I693" s="176" t="s">
        <v>572</v>
      </c>
      <c r="J693" s="176"/>
      <c r="K693" s="176" t="s">
        <v>593</v>
      </c>
      <c r="L693" s="176"/>
      <c r="M693" s="176"/>
      <c r="N693" s="179">
        <f t="shared" si="72"/>
        <v>410</v>
      </c>
      <c r="O693" s="179">
        <f t="shared" si="73"/>
        <v>260</v>
      </c>
      <c r="P693" s="180">
        <f t="shared" si="68"/>
        <v>670</v>
      </c>
      <c r="Q693" s="181">
        <f t="shared" si="69"/>
        <v>0.80722891566265065</v>
      </c>
      <c r="R693" s="122">
        <f t="shared" si="70"/>
        <v>134</v>
      </c>
      <c r="S693" s="122">
        <f t="shared" si="71"/>
        <v>0.64578313253012054</v>
      </c>
      <c r="T693" s="133">
        <v>0.55000000000000004</v>
      </c>
    </row>
    <row r="694" spans="1:20" ht="15.75" hidden="1" customHeight="1" x14ac:dyDescent="0.3">
      <c r="A694" s="194" t="s">
        <v>59</v>
      </c>
      <c r="B694" s="176" t="s">
        <v>662</v>
      </c>
      <c r="C694" s="176" t="s">
        <v>79</v>
      </c>
      <c r="D694" s="176" t="s">
        <v>724</v>
      </c>
      <c r="E694" s="177">
        <v>2</v>
      </c>
      <c r="F694" s="176" t="s">
        <v>725</v>
      </c>
      <c r="G694" s="177">
        <v>8</v>
      </c>
      <c r="H694" s="176" t="s">
        <v>627</v>
      </c>
      <c r="I694" s="176" t="s">
        <v>576</v>
      </c>
      <c r="J694" s="176"/>
      <c r="K694" s="176" t="s">
        <v>593</v>
      </c>
      <c r="L694" s="176"/>
      <c r="M694" s="176"/>
      <c r="N694" s="179">
        <f t="shared" si="72"/>
        <v>175</v>
      </c>
      <c r="O694" s="179">
        <f t="shared" si="73"/>
        <v>120</v>
      </c>
      <c r="P694" s="180">
        <f t="shared" si="68"/>
        <v>295</v>
      </c>
      <c r="Q694" s="181">
        <f t="shared" si="69"/>
        <v>0.35542168674698793</v>
      </c>
      <c r="R694" s="122">
        <f t="shared" si="70"/>
        <v>59</v>
      </c>
      <c r="S694" s="122">
        <f t="shared" si="71"/>
        <v>0.28433734939759037</v>
      </c>
      <c r="T694" s="133">
        <v>0.25</v>
      </c>
    </row>
    <row r="695" spans="1:20" ht="15.75" hidden="1" customHeight="1" x14ac:dyDescent="0.3">
      <c r="A695" s="194" t="s">
        <v>59</v>
      </c>
      <c r="B695" s="182" t="s">
        <v>662</v>
      </c>
      <c r="C695" s="182" t="s">
        <v>79</v>
      </c>
      <c r="D695" s="182" t="s">
        <v>724</v>
      </c>
      <c r="E695" s="183">
        <v>2</v>
      </c>
      <c r="F695" s="182" t="s">
        <v>725</v>
      </c>
      <c r="G695" s="183">
        <v>8</v>
      </c>
      <c r="H695" s="182" t="s">
        <v>641</v>
      </c>
      <c r="I695" s="182" t="s">
        <v>575</v>
      </c>
      <c r="J695" s="176"/>
      <c r="K695" s="176" t="s">
        <v>593</v>
      </c>
      <c r="L695" s="176"/>
      <c r="M695" s="176"/>
      <c r="N695" s="179">
        <f t="shared" si="72"/>
        <v>78</v>
      </c>
      <c r="O695" s="179">
        <f t="shared" si="73"/>
        <v>240.5</v>
      </c>
      <c r="P695" s="180">
        <f t="shared" si="68"/>
        <v>318.5</v>
      </c>
      <c r="Q695" s="181">
        <f t="shared" si="69"/>
        <v>0.38373493975903616</v>
      </c>
      <c r="R695" s="122">
        <f t="shared" si="70"/>
        <v>63.7</v>
      </c>
      <c r="S695" s="122">
        <f t="shared" si="71"/>
        <v>0.30698795180722893</v>
      </c>
      <c r="T695" s="133">
        <v>0.35</v>
      </c>
    </row>
    <row r="696" spans="1:20" ht="15.75" hidden="1" customHeight="1" x14ac:dyDescent="0.3">
      <c r="A696" s="194" t="s">
        <v>59</v>
      </c>
      <c r="B696" s="176" t="s">
        <v>662</v>
      </c>
      <c r="C696" s="176" t="s">
        <v>79</v>
      </c>
      <c r="D696" s="176" t="s">
        <v>724</v>
      </c>
      <c r="E696" s="177">
        <v>2</v>
      </c>
      <c r="F696" s="176" t="s">
        <v>725</v>
      </c>
      <c r="G696" s="177">
        <v>8</v>
      </c>
      <c r="H696" s="176" t="s">
        <v>643</v>
      </c>
      <c r="I696" s="176" t="s">
        <v>579</v>
      </c>
      <c r="J696" s="176"/>
      <c r="K696" s="176" t="s">
        <v>593</v>
      </c>
      <c r="L696" s="176"/>
      <c r="M696" s="176"/>
      <c r="N696" s="179">
        <f t="shared" si="72"/>
        <v>297</v>
      </c>
      <c r="O696" s="179">
        <f t="shared" si="73"/>
        <v>310</v>
      </c>
      <c r="P696" s="180">
        <f t="shared" si="68"/>
        <v>607</v>
      </c>
      <c r="Q696" s="181">
        <f t="shared" si="69"/>
        <v>0.73132530120481931</v>
      </c>
      <c r="R696" s="122">
        <f t="shared" si="70"/>
        <v>121.4</v>
      </c>
      <c r="S696" s="122">
        <f t="shared" si="71"/>
        <v>0.58506024096385545</v>
      </c>
      <c r="T696" s="133">
        <v>0.6</v>
      </c>
    </row>
    <row r="697" spans="1:20" ht="15.75" hidden="1" customHeight="1" x14ac:dyDescent="0.3">
      <c r="A697" s="194" t="s">
        <v>59</v>
      </c>
      <c r="B697" s="176" t="s">
        <v>662</v>
      </c>
      <c r="C697" s="176" t="s">
        <v>79</v>
      </c>
      <c r="D697" s="176" t="s">
        <v>726</v>
      </c>
      <c r="E697" s="177">
        <v>2</v>
      </c>
      <c r="F697" s="176" t="s">
        <v>725</v>
      </c>
      <c r="G697" s="177">
        <v>8</v>
      </c>
      <c r="H697" s="176" t="s">
        <v>643</v>
      </c>
      <c r="I697" s="176" t="s">
        <v>579</v>
      </c>
      <c r="J697" s="176"/>
      <c r="K697" s="176" t="s">
        <v>593</v>
      </c>
      <c r="L697" s="176"/>
      <c r="M697" s="176"/>
      <c r="N697" s="179">
        <f t="shared" si="72"/>
        <v>297</v>
      </c>
      <c r="O697" s="179">
        <f t="shared" si="73"/>
        <v>310</v>
      </c>
      <c r="P697" s="180">
        <f t="shared" si="68"/>
        <v>607</v>
      </c>
      <c r="Q697" s="181">
        <f t="shared" si="69"/>
        <v>0.73132530120481931</v>
      </c>
      <c r="R697" s="122">
        <f t="shared" si="70"/>
        <v>121.4</v>
      </c>
      <c r="S697" s="122">
        <f t="shared" si="71"/>
        <v>0.58506024096385545</v>
      </c>
      <c r="T697" s="133">
        <v>0.6</v>
      </c>
    </row>
    <row r="698" spans="1:20" ht="15.75" hidden="1" customHeight="1" x14ac:dyDescent="0.3">
      <c r="A698" s="194" t="s">
        <v>59</v>
      </c>
      <c r="B698" s="182" t="s">
        <v>662</v>
      </c>
      <c r="C698" s="182" t="s">
        <v>79</v>
      </c>
      <c r="D698" s="182" t="s">
        <v>726</v>
      </c>
      <c r="E698" s="183">
        <v>2</v>
      </c>
      <c r="F698" s="182" t="s">
        <v>725</v>
      </c>
      <c r="G698" s="183">
        <v>8</v>
      </c>
      <c r="H698" s="182" t="s">
        <v>641</v>
      </c>
      <c r="I698" s="182" t="s">
        <v>575</v>
      </c>
      <c r="J698" s="176"/>
      <c r="K698" s="176" t="s">
        <v>593</v>
      </c>
      <c r="L698" s="176"/>
      <c r="M698" s="176"/>
      <c r="N698" s="179">
        <f t="shared" si="72"/>
        <v>78</v>
      </c>
      <c r="O698" s="179">
        <f t="shared" si="73"/>
        <v>240.5</v>
      </c>
      <c r="P698" s="180">
        <f t="shared" si="68"/>
        <v>318.5</v>
      </c>
      <c r="Q698" s="181">
        <f t="shared" si="69"/>
        <v>0.38373493975903616</v>
      </c>
      <c r="R698" s="122">
        <f t="shared" si="70"/>
        <v>63.7</v>
      </c>
      <c r="S698" s="122">
        <f t="shared" si="71"/>
        <v>0.30698795180722893</v>
      </c>
      <c r="T698" s="133">
        <v>0.35</v>
      </c>
    </row>
    <row r="699" spans="1:20" ht="15.75" hidden="1" customHeight="1" x14ac:dyDescent="0.3">
      <c r="A699" s="194" t="s">
        <v>59</v>
      </c>
      <c r="B699" s="176" t="s">
        <v>662</v>
      </c>
      <c r="C699" s="176" t="s">
        <v>79</v>
      </c>
      <c r="D699" s="176" t="s">
        <v>726</v>
      </c>
      <c r="E699" s="177">
        <v>2</v>
      </c>
      <c r="F699" s="176" t="s">
        <v>725</v>
      </c>
      <c r="G699" s="177">
        <v>8</v>
      </c>
      <c r="H699" s="176" t="s">
        <v>627</v>
      </c>
      <c r="I699" s="176" t="s">
        <v>576</v>
      </c>
      <c r="J699" s="176"/>
      <c r="K699" s="176" t="s">
        <v>593</v>
      </c>
      <c r="L699" s="176"/>
      <c r="M699" s="176"/>
      <c r="N699" s="179">
        <f t="shared" si="72"/>
        <v>175</v>
      </c>
      <c r="O699" s="179">
        <f t="shared" si="73"/>
        <v>120</v>
      </c>
      <c r="P699" s="180">
        <f t="shared" si="68"/>
        <v>295</v>
      </c>
      <c r="Q699" s="181">
        <f t="shared" si="69"/>
        <v>0.35542168674698793</v>
      </c>
      <c r="R699" s="122">
        <f t="shared" si="70"/>
        <v>59</v>
      </c>
      <c r="S699" s="122">
        <f t="shared" si="71"/>
        <v>0.28433734939759037</v>
      </c>
      <c r="T699" s="133">
        <v>0.25</v>
      </c>
    </row>
    <row r="700" spans="1:20" ht="15.75" hidden="1" customHeight="1" x14ac:dyDescent="0.3">
      <c r="A700" s="194" t="s">
        <v>59</v>
      </c>
      <c r="B700" s="176" t="s">
        <v>662</v>
      </c>
      <c r="C700" s="176" t="s">
        <v>79</v>
      </c>
      <c r="D700" s="176" t="s">
        <v>726</v>
      </c>
      <c r="E700" s="177">
        <v>2</v>
      </c>
      <c r="F700" s="176" t="s">
        <v>725</v>
      </c>
      <c r="G700" s="177">
        <v>8</v>
      </c>
      <c r="H700" s="176" t="s">
        <v>642</v>
      </c>
      <c r="I700" s="176" t="s">
        <v>572</v>
      </c>
      <c r="J700" s="176"/>
      <c r="K700" s="176" t="s">
        <v>593</v>
      </c>
      <c r="L700" s="176"/>
      <c r="M700" s="176"/>
      <c r="N700" s="179">
        <f t="shared" si="72"/>
        <v>410</v>
      </c>
      <c r="O700" s="179">
        <f t="shared" si="73"/>
        <v>260</v>
      </c>
      <c r="P700" s="180">
        <f t="shared" si="68"/>
        <v>670</v>
      </c>
      <c r="Q700" s="181">
        <f t="shared" si="69"/>
        <v>0.80722891566265065</v>
      </c>
      <c r="R700" s="122">
        <f t="shared" si="70"/>
        <v>134</v>
      </c>
      <c r="S700" s="122">
        <f t="shared" si="71"/>
        <v>0.64578313253012054</v>
      </c>
      <c r="T700" s="133">
        <v>0.55000000000000004</v>
      </c>
    </row>
    <row r="701" spans="1:20" ht="15.75" hidden="1" customHeight="1" x14ac:dyDescent="0.3">
      <c r="A701" s="194" t="s">
        <v>59</v>
      </c>
      <c r="B701" s="176" t="s">
        <v>662</v>
      </c>
      <c r="C701" s="176" t="s">
        <v>79</v>
      </c>
      <c r="D701" s="176" t="s">
        <v>727</v>
      </c>
      <c r="E701" s="177">
        <v>2</v>
      </c>
      <c r="F701" s="176" t="s">
        <v>725</v>
      </c>
      <c r="G701" s="177">
        <v>8</v>
      </c>
      <c r="H701" s="176" t="s">
        <v>642</v>
      </c>
      <c r="I701" s="176" t="s">
        <v>572</v>
      </c>
      <c r="J701" s="176"/>
      <c r="K701" s="176" t="s">
        <v>593</v>
      </c>
      <c r="L701" s="176"/>
      <c r="M701" s="176"/>
      <c r="N701" s="179">
        <f t="shared" si="72"/>
        <v>410</v>
      </c>
      <c r="O701" s="179">
        <f t="shared" si="73"/>
        <v>260</v>
      </c>
      <c r="P701" s="180">
        <f t="shared" si="68"/>
        <v>670</v>
      </c>
      <c r="Q701" s="181">
        <f t="shared" si="69"/>
        <v>0.80722891566265065</v>
      </c>
      <c r="R701" s="122">
        <f t="shared" si="70"/>
        <v>134</v>
      </c>
      <c r="S701" s="122">
        <f t="shared" si="71"/>
        <v>0.64578313253012054</v>
      </c>
      <c r="T701" s="133">
        <v>0.55000000000000004</v>
      </c>
    </row>
    <row r="702" spans="1:20" ht="15.75" hidden="1" customHeight="1" x14ac:dyDescent="0.3">
      <c r="A702" s="194" t="s">
        <v>59</v>
      </c>
      <c r="B702" s="176" t="s">
        <v>662</v>
      </c>
      <c r="C702" s="176" t="s">
        <v>79</v>
      </c>
      <c r="D702" s="176" t="s">
        <v>727</v>
      </c>
      <c r="E702" s="177">
        <v>2</v>
      </c>
      <c r="F702" s="176" t="s">
        <v>725</v>
      </c>
      <c r="G702" s="177">
        <v>8</v>
      </c>
      <c r="H702" s="176" t="s">
        <v>627</v>
      </c>
      <c r="I702" s="176" t="s">
        <v>576</v>
      </c>
      <c r="J702" s="176"/>
      <c r="K702" s="176" t="s">
        <v>593</v>
      </c>
      <c r="L702" s="176"/>
      <c r="M702" s="176"/>
      <c r="N702" s="179">
        <f t="shared" si="72"/>
        <v>175</v>
      </c>
      <c r="O702" s="179">
        <f t="shared" si="73"/>
        <v>120</v>
      </c>
      <c r="P702" s="180">
        <f t="shared" si="68"/>
        <v>295</v>
      </c>
      <c r="Q702" s="181">
        <f t="shared" si="69"/>
        <v>0.35542168674698793</v>
      </c>
      <c r="R702" s="122">
        <f t="shared" si="70"/>
        <v>59</v>
      </c>
      <c r="S702" s="122">
        <f t="shared" si="71"/>
        <v>0.28433734939759037</v>
      </c>
      <c r="T702" s="133">
        <v>0.25</v>
      </c>
    </row>
    <row r="703" spans="1:20" ht="15.75" hidden="1" customHeight="1" x14ac:dyDescent="0.3">
      <c r="A703" s="194" t="s">
        <v>59</v>
      </c>
      <c r="B703" s="176" t="s">
        <v>662</v>
      </c>
      <c r="C703" s="176" t="s">
        <v>79</v>
      </c>
      <c r="D703" s="176" t="s">
        <v>727</v>
      </c>
      <c r="E703" s="177">
        <v>2</v>
      </c>
      <c r="F703" s="176" t="s">
        <v>725</v>
      </c>
      <c r="G703" s="177">
        <v>8</v>
      </c>
      <c r="H703" s="176" t="s">
        <v>643</v>
      </c>
      <c r="I703" s="176" t="s">
        <v>579</v>
      </c>
      <c r="J703" s="176"/>
      <c r="K703" s="176" t="s">
        <v>593</v>
      </c>
      <c r="L703" s="176"/>
      <c r="M703" s="176"/>
      <c r="N703" s="179">
        <f t="shared" si="72"/>
        <v>297</v>
      </c>
      <c r="O703" s="179">
        <f t="shared" si="73"/>
        <v>310</v>
      </c>
      <c r="P703" s="180">
        <f t="shared" si="68"/>
        <v>607</v>
      </c>
      <c r="Q703" s="181">
        <f t="shared" si="69"/>
        <v>0.73132530120481931</v>
      </c>
      <c r="R703" s="122">
        <f t="shared" si="70"/>
        <v>121.4</v>
      </c>
      <c r="S703" s="122">
        <f t="shared" si="71"/>
        <v>0.58506024096385545</v>
      </c>
      <c r="T703" s="133">
        <v>0.6</v>
      </c>
    </row>
    <row r="704" spans="1:20" ht="15.75" hidden="1" customHeight="1" x14ac:dyDescent="0.3">
      <c r="A704" s="194" t="s">
        <v>59</v>
      </c>
      <c r="B704" s="182" t="s">
        <v>662</v>
      </c>
      <c r="C704" s="182" t="s">
        <v>79</v>
      </c>
      <c r="D704" s="182" t="s">
        <v>727</v>
      </c>
      <c r="E704" s="183">
        <v>2</v>
      </c>
      <c r="F704" s="182" t="s">
        <v>725</v>
      </c>
      <c r="G704" s="183">
        <v>8</v>
      </c>
      <c r="H704" s="182" t="s">
        <v>641</v>
      </c>
      <c r="I704" s="182" t="s">
        <v>575</v>
      </c>
      <c r="J704" s="176"/>
      <c r="K704" s="176" t="s">
        <v>593</v>
      </c>
      <c r="L704" s="176"/>
      <c r="M704" s="176"/>
      <c r="N704" s="179">
        <f t="shared" si="72"/>
        <v>78</v>
      </c>
      <c r="O704" s="179">
        <f t="shared" si="73"/>
        <v>240.5</v>
      </c>
      <c r="P704" s="180">
        <f t="shared" si="68"/>
        <v>318.5</v>
      </c>
      <c r="Q704" s="181">
        <f t="shared" si="69"/>
        <v>0.38373493975903616</v>
      </c>
      <c r="R704" s="122">
        <f t="shared" si="70"/>
        <v>63.7</v>
      </c>
      <c r="S704" s="122">
        <f t="shared" si="71"/>
        <v>0.30698795180722893</v>
      </c>
      <c r="T704" s="133">
        <v>0.35</v>
      </c>
    </row>
    <row r="705" spans="1:20" ht="15.75" hidden="1" customHeight="1" x14ac:dyDescent="0.3">
      <c r="A705" s="194" t="s">
        <v>59</v>
      </c>
      <c r="B705" s="182" t="s">
        <v>662</v>
      </c>
      <c r="C705" s="182" t="s">
        <v>100</v>
      </c>
      <c r="D705" s="182" t="s">
        <v>590</v>
      </c>
      <c r="E705" s="183">
        <v>4</v>
      </c>
      <c r="F705" s="182" t="s">
        <v>591</v>
      </c>
      <c r="G705" s="183">
        <v>12</v>
      </c>
      <c r="H705" s="182" t="s">
        <v>641</v>
      </c>
      <c r="I705" s="182" t="s">
        <v>575</v>
      </c>
      <c r="J705" s="176"/>
      <c r="K705" s="176" t="s">
        <v>593</v>
      </c>
      <c r="L705" s="176"/>
      <c r="M705" s="176"/>
      <c r="N705" s="179">
        <f t="shared" si="72"/>
        <v>78</v>
      </c>
      <c r="O705" s="179">
        <f t="shared" si="73"/>
        <v>240.5</v>
      </c>
      <c r="P705" s="180">
        <f t="shared" si="68"/>
        <v>318.5</v>
      </c>
      <c r="Q705" s="181">
        <f t="shared" si="69"/>
        <v>0.38373493975903616</v>
      </c>
      <c r="R705" s="122">
        <f t="shared" si="70"/>
        <v>63.7</v>
      </c>
      <c r="S705" s="122">
        <f t="shared" si="71"/>
        <v>0.30698795180722893</v>
      </c>
      <c r="T705" s="133">
        <v>0.35</v>
      </c>
    </row>
    <row r="706" spans="1:20" ht="15.75" hidden="1" customHeight="1" x14ac:dyDescent="0.3">
      <c r="A706" s="194" t="s">
        <v>59</v>
      </c>
      <c r="B706" s="176" t="s">
        <v>662</v>
      </c>
      <c r="C706" s="176" t="s">
        <v>100</v>
      </c>
      <c r="D706" s="176" t="s">
        <v>590</v>
      </c>
      <c r="E706" s="177">
        <v>4</v>
      </c>
      <c r="F706" s="176" t="s">
        <v>591</v>
      </c>
      <c r="G706" s="177">
        <v>12</v>
      </c>
      <c r="H706" s="176" t="s">
        <v>643</v>
      </c>
      <c r="I706" s="176" t="s">
        <v>579</v>
      </c>
      <c r="J706" s="176"/>
      <c r="K706" s="176" t="s">
        <v>593</v>
      </c>
      <c r="L706" s="176"/>
      <c r="M706" s="176"/>
      <c r="N706" s="179">
        <f t="shared" si="72"/>
        <v>297</v>
      </c>
      <c r="O706" s="179">
        <f t="shared" si="73"/>
        <v>310</v>
      </c>
      <c r="P706" s="180">
        <f t="shared" si="68"/>
        <v>607</v>
      </c>
      <c r="Q706" s="181">
        <f t="shared" si="69"/>
        <v>0.73132530120481931</v>
      </c>
      <c r="R706" s="122">
        <f t="shared" si="70"/>
        <v>121.4</v>
      </c>
      <c r="S706" s="122">
        <f t="shared" si="71"/>
        <v>0.58506024096385545</v>
      </c>
      <c r="T706" s="133">
        <v>0.6</v>
      </c>
    </row>
    <row r="707" spans="1:20" ht="15.75" hidden="1" customHeight="1" x14ac:dyDescent="0.3">
      <c r="A707" s="194" t="s">
        <v>59</v>
      </c>
      <c r="B707" s="176" t="s">
        <v>662</v>
      </c>
      <c r="C707" s="176" t="s">
        <v>100</v>
      </c>
      <c r="D707" s="176" t="s">
        <v>590</v>
      </c>
      <c r="E707" s="177">
        <v>4</v>
      </c>
      <c r="F707" s="176" t="s">
        <v>591</v>
      </c>
      <c r="G707" s="177">
        <v>12</v>
      </c>
      <c r="H707" s="176" t="s">
        <v>627</v>
      </c>
      <c r="I707" s="176" t="s">
        <v>576</v>
      </c>
      <c r="J707" s="176"/>
      <c r="K707" s="176" t="s">
        <v>593</v>
      </c>
      <c r="L707" s="176"/>
      <c r="M707" s="176"/>
      <c r="N707" s="179">
        <f t="shared" si="72"/>
        <v>175</v>
      </c>
      <c r="O707" s="179">
        <f t="shared" si="73"/>
        <v>120</v>
      </c>
      <c r="P707" s="180">
        <f t="shared" si="68"/>
        <v>295</v>
      </c>
      <c r="Q707" s="181">
        <f t="shared" si="69"/>
        <v>0.35542168674698793</v>
      </c>
      <c r="R707" s="122">
        <f t="shared" si="70"/>
        <v>59</v>
      </c>
      <c r="S707" s="122">
        <f t="shared" si="71"/>
        <v>0.28433734939759037</v>
      </c>
      <c r="T707" s="133">
        <v>0.25</v>
      </c>
    </row>
    <row r="708" spans="1:20" ht="15.75" hidden="1" customHeight="1" x14ac:dyDescent="0.3">
      <c r="A708" s="194" t="s">
        <v>59</v>
      </c>
      <c r="B708" s="176" t="s">
        <v>662</v>
      </c>
      <c r="C708" s="176" t="s">
        <v>100</v>
      </c>
      <c r="D708" s="176" t="s">
        <v>724</v>
      </c>
      <c r="E708" s="177">
        <v>4</v>
      </c>
      <c r="F708" s="176" t="s">
        <v>725</v>
      </c>
      <c r="G708" s="177">
        <v>12</v>
      </c>
      <c r="H708" s="176" t="s">
        <v>627</v>
      </c>
      <c r="I708" s="176" t="s">
        <v>576</v>
      </c>
      <c r="J708" s="176"/>
      <c r="K708" s="176" t="s">
        <v>593</v>
      </c>
      <c r="L708" s="176"/>
      <c r="M708" s="176"/>
      <c r="N708" s="179">
        <f t="shared" si="72"/>
        <v>175</v>
      </c>
      <c r="O708" s="179">
        <f t="shared" si="73"/>
        <v>120</v>
      </c>
      <c r="P708" s="180">
        <f t="shared" si="68"/>
        <v>295</v>
      </c>
      <c r="Q708" s="181">
        <f t="shared" si="69"/>
        <v>0.35542168674698793</v>
      </c>
      <c r="R708" s="122">
        <f t="shared" si="70"/>
        <v>59</v>
      </c>
      <c r="S708" s="122">
        <f t="shared" si="71"/>
        <v>0.28433734939759037</v>
      </c>
      <c r="T708" s="133">
        <v>0.25</v>
      </c>
    </row>
    <row r="709" spans="1:20" ht="15.75" hidden="1" customHeight="1" x14ac:dyDescent="0.3">
      <c r="A709" s="194" t="s">
        <v>59</v>
      </c>
      <c r="B709" s="176" t="s">
        <v>662</v>
      </c>
      <c r="C709" s="176" t="s">
        <v>100</v>
      </c>
      <c r="D709" s="176" t="s">
        <v>724</v>
      </c>
      <c r="E709" s="177">
        <v>4</v>
      </c>
      <c r="F709" s="176" t="s">
        <v>725</v>
      </c>
      <c r="G709" s="177">
        <v>12</v>
      </c>
      <c r="H709" s="176" t="s">
        <v>643</v>
      </c>
      <c r="I709" s="176" t="s">
        <v>579</v>
      </c>
      <c r="J709" s="176"/>
      <c r="K709" s="176" t="s">
        <v>593</v>
      </c>
      <c r="L709" s="176"/>
      <c r="M709" s="176"/>
      <c r="N709" s="179">
        <f t="shared" si="72"/>
        <v>297</v>
      </c>
      <c r="O709" s="179">
        <f t="shared" si="73"/>
        <v>310</v>
      </c>
      <c r="P709" s="180">
        <f t="shared" si="68"/>
        <v>607</v>
      </c>
      <c r="Q709" s="181">
        <f t="shared" si="69"/>
        <v>0.73132530120481931</v>
      </c>
      <c r="R709" s="122">
        <f t="shared" si="70"/>
        <v>121.4</v>
      </c>
      <c r="S709" s="122">
        <f t="shared" si="71"/>
        <v>0.58506024096385545</v>
      </c>
      <c r="T709" s="133">
        <v>0.6</v>
      </c>
    </row>
    <row r="710" spans="1:20" ht="15.75" hidden="1" customHeight="1" x14ac:dyDescent="0.3">
      <c r="A710" s="194" t="s">
        <v>59</v>
      </c>
      <c r="B710" s="182" t="s">
        <v>662</v>
      </c>
      <c r="C710" s="182" t="s">
        <v>100</v>
      </c>
      <c r="D710" s="182" t="s">
        <v>724</v>
      </c>
      <c r="E710" s="183">
        <v>4</v>
      </c>
      <c r="F710" s="182" t="s">
        <v>725</v>
      </c>
      <c r="G710" s="183">
        <v>12</v>
      </c>
      <c r="H710" s="182" t="s">
        <v>641</v>
      </c>
      <c r="I710" s="182" t="s">
        <v>575</v>
      </c>
      <c r="J710" s="176"/>
      <c r="K710" s="176" t="s">
        <v>593</v>
      </c>
      <c r="L710" s="176"/>
      <c r="M710" s="176"/>
      <c r="N710" s="179">
        <f t="shared" si="72"/>
        <v>78</v>
      </c>
      <c r="O710" s="179">
        <f t="shared" si="73"/>
        <v>240.5</v>
      </c>
      <c r="P710" s="180">
        <f t="shared" si="68"/>
        <v>318.5</v>
      </c>
      <c r="Q710" s="181">
        <f t="shared" si="69"/>
        <v>0.38373493975903616</v>
      </c>
      <c r="R710" s="122">
        <f t="shared" si="70"/>
        <v>63.7</v>
      </c>
      <c r="S710" s="122">
        <f t="shared" si="71"/>
        <v>0.30698795180722893</v>
      </c>
      <c r="T710" s="133">
        <v>0.35</v>
      </c>
    </row>
    <row r="711" spans="1:20" ht="15.75" hidden="1" customHeight="1" x14ac:dyDescent="0.3">
      <c r="A711" s="194" t="s">
        <v>59</v>
      </c>
      <c r="B711" s="182" t="s">
        <v>662</v>
      </c>
      <c r="C711" s="182" t="s">
        <v>100</v>
      </c>
      <c r="D711" s="182" t="s">
        <v>726</v>
      </c>
      <c r="E711" s="183">
        <v>4</v>
      </c>
      <c r="F711" s="182" t="s">
        <v>725</v>
      </c>
      <c r="G711" s="183">
        <v>12</v>
      </c>
      <c r="H711" s="182" t="s">
        <v>641</v>
      </c>
      <c r="I711" s="182" t="s">
        <v>575</v>
      </c>
      <c r="J711" s="176"/>
      <c r="K711" s="176" t="s">
        <v>593</v>
      </c>
      <c r="L711" s="176"/>
      <c r="M711" s="176"/>
      <c r="N711" s="179">
        <f t="shared" si="72"/>
        <v>78</v>
      </c>
      <c r="O711" s="179">
        <f t="shared" si="73"/>
        <v>240.5</v>
      </c>
      <c r="P711" s="180">
        <f t="shared" si="68"/>
        <v>318.5</v>
      </c>
      <c r="Q711" s="181">
        <f t="shared" si="69"/>
        <v>0.38373493975903616</v>
      </c>
      <c r="R711" s="122">
        <f t="shared" si="70"/>
        <v>63.7</v>
      </c>
      <c r="S711" s="122">
        <f t="shared" si="71"/>
        <v>0.30698795180722893</v>
      </c>
      <c r="T711" s="133">
        <v>0.35</v>
      </c>
    </row>
    <row r="712" spans="1:20" ht="15.75" hidden="1" customHeight="1" x14ac:dyDescent="0.3">
      <c r="A712" s="194" t="s">
        <v>59</v>
      </c>
      <c r="B712" s="176" t="s">
        <v>662</v>
      </c>
      <c r="C712" s="176" t="s">
        <v>100</v>
      </c>
      <c r="D712" s="176" t="s">
        <v>726</v>
      </c>
      <c r="E712" s="177">
        <v>4</v>
      </c>
      <c r="F712" s="176" t="s">
        <v>725</v>
      </c>
      <c r="G712" s="177">
        <v>12</v>
      </c>
      <c r="H712" s="176" t="s">
        <v>643</v>
      </c>
      <c r="I712" s="176" t="s">
        <v>579</v>
      </c>
      <c r="J712" s="176"/>
      <c r="K712" s="176" t="s">
        <v>593</v>
      </c>
      <c r="L712" s="176"/>
      <c r="M712" s="176"/>
      <c r="N712" s="179">
        <f t="shared" si="72"/>
        <v>297</v>
      </c>
      <c r="O712" s="179">
        <f t="shared" si="73"/>
        <v>310</v>
      </c>
      <c r="P712" s="180">
        <f t="shared" si="68"/>
        <v>607</v>
      </c>
      <c r="Q712" s="181">
        <f t="shared" si="69"/>
        <v>0.73132530120481931</v>
      </c>
      <c r="R712" s="122">
        <f t="shared" si="70"/>
        <v>121.4</v>
      </c>
      <c r="S712" s="122">
        <f t="shared" si="71"/>
        <v>0.58506024096385545</v>
      </c>
      <c r="T712" s="133">
        <v>0.6</v>
      </c>
    </row>
    <row r="713" spans="1:20" ht="15.75" hidden="1" customHeight="1" x14ac:dyDescent="0.3">
      <c r="A713" s="194" t="s">
        <v>59</v>
      </c>
      <c r="B713" s="176" t="s">
        <v>662</v>
      </c>
      <c r="C713" s="176" t="s">
        <v>100</v>
      </c>
      <c r="D713" s="176" t="s">
        <v>726</v>
      </c>
      <c r="E713" s="177">
        <v>4</v>
      </c>
      <c r="F713" s="176" t="s">
        <v>725</v>
      </c>
      <c r="G713" s="177">
        <v>12</v>
      </c>
      <c r="H713" s="176" t="s">
        <v>627</v>
      </c>
      <c r="I713" s="176" t="s">
        <v>576</v>
      </c>
      <c r="J713" s="176"/>
      <c r="K713" s="176" t="s">
        <v>593</v>
      </c>
      <c r="L713" s="176"/>
      <c r="M713" s="176"/>
      <c r="N713" s="179">
        <f t="shared" si="72"/>
        <v>175</v>
      </c>
      <c r="O713" s="179">
        <f t="shared" si="73"/>
        <v>120</v>
      </c>
      <c r="P713" s="180">
        <f t="shared" si="68"/>
        <v>295</v>
      </c>
      <c r="Q713" s="181">
        <f t="shared" si="69"/>
        <v>0.35542168674698793</v>
      </c>
      <c r="R713" s="122">
        <f t="shared" si="70"/>
        <v>59</v>
      </c>
      <c r="S713" s="122">
        <f t="shared" si="71"/>
        <v>0.28433734939759037</v>
      </c>
      <c r="T713" s="133">
        <v>0.25</v>
      </c>
    </row>
    <row r="714" spans="1:20" ht="15.75" hidden="1" customHeight="1" x14ac:dyDescent="0.3">
      <c r="A714" s="194" t="s">
        <v>59</v>
      </c>
      <c r="B714" s="176" t="s">
        <v>662</v>
      </c>
      <c r="C714" s="176" t="s">
        <v>100</v>
      </c>
      <c r="D714" s="176" t="s">
        <v>727</v>
      </c>
      <c r="E714" s="177">
        <v>4</v>
      </c>
      <c r="F714" s="176" t="s">
        <v>725</v>
      </c>
      <c r="G714" s="177">
        <v>12</v>
      </c>
      <c r="H714" s="176" t="s">
        <v>627</v>
      </c>
      <c r="I714" s="176" t="s">
        <v>576</v>
      </c>
      <c r="J714" s="176"/>
      <c r="K714" s="176" t="s">
        <v>593</v>
      </c>
      <c r="L714" s="176"/>
      <c r="M714" s="176"/>
      <c r="N714" s="179">
        <f t="shared" si="72"/>
        <v>175</v>
      </c>
      <c r="O714" s="179">
        <f t="shared" si="73"/>
        <v>120</v>
      </c>
      <c r="P714" s="180">
        <f t="shared" ref="P714:P777" si="74">N714+O714</f>
        <v>295</v>
      </c>
      <c r="Q714" s="181">
        <f t="shared" ref="Q714:Q777" si="75">P714/$Q$1</f>
        <v>0.35542168674698793</v>
      </c>
      <c r="R714" s="122">
        <f t="shared" ref="R714:R777" si="76">P714*0.2</f>
        <v>59</v>
      </c>
      <c r="S714" s="122">
        <f t="shared" ref="S714:S777" si="77">Q714*0.8</f>
        <v>0.28433734939759037</v>
      </c>
      <c r="T714" s="133">
        <v>0.25</v>
      </c>
    </row>
    <row r="715" spans="1:20" ht="15.75" hidden="1" customHeight="1" x14ac:dyDescent="0.3">
      <c r="A715" s="194" t="s">
        <v>59</v>
      </c>
      <c r="B715" s="176" t="s">
        <v>662</v>
      </c>
      <c r="C715" s="176" t="s">
        <v>100</v>
      </c>
      <c r="D715" s="176" t="s">
        <v>727</v>
      </c>
      <c r="E715" s="177">
        <v>4</v>
      </c>
      <c r="F715" s="176" t="s">
        <v>725</v>
      </c>
      <c r="G715" s="177">
        <v>12</v>
      </c>
      <c r="H715" s="176" t="s">
        <v>643</v>
      </c>
      <c r="I715" s="176" t="s">
        <v>579</v>
      </c>
      <c r="J715" s="176"/>
      <c r="K715" s="176" t="s">
        <v>593</v>
      </c>
      <c r="L715" s="176"/>
      <c r="M715" s="176"/>
      <c r="N715" s="179">
        <f t="shared" si="72"/>
        <v>297</v>
      </c>
      <c r="O715" s="179">
        <f t="shared" si="73"/>
        <v>310</v>
      </c>
      <c r="P715" s="180">
        <f t="shared" si="74"/>
        <v>607</v>
      </c>
      <c r="Q715" s="181">
        <f t="shared" si="75"/>
        <v>0.73132530120481931</v>
      </c>
      <c r="R715" s="122">
        <f t="shared" si="76"/>
        <v>121.4</v>
      </c>
      <c r="S715" s="122">
        <f t="shared" si="77"/>
        <v>0.58506024096385545</v>
      </c>
      <c r="T715" s="133">
        <v>0.6</v>
      </c>
    </row>
    <row r="716" spans="1:20" ht="15.75" hidden="1" customHeight="1" x14ac:dyDescent="0.3">
      <c r="A716" s="194" t="s">
        <v>59</v>
      </c>
      <c r="B716" s="182" t="s">
        <v>662</v>
      </c>
      <c r="C716" s="182" t="s">
        <v>100</v>
      </c>
      <c r="D716" s="182" t="s">
        <v>727</v>
      </c>
      <c r="E716" s="183">
        <v>4</v>
      </c>
      <c r="F716" s="182" t="s">
        <v>725</v>
      </c>
      <c r="G716" s="183">
        <v>12</v>
      </c>
      <c r="H716" s="182" t="s">
        <v>641</v>
      </c>
      <c r="I716" s="182" t="s">
        <v>575</v>
      </c>
      <c r="J716" s="176"/>
      <c r="K716" s="176" t="s">
        <v>593</v>
      </c>
      <c r="L716" s="176"/>
      <c r="M716" s="176"/>
      <c r="N716" s="179">
        <f t="shared" si="72"/>
        <v>78</v>
      </c>
      <c r="O716" s="179">
        <f t="shared" si="73"/>
        <v>240.5</v>
      </c>
      <c r="P716" s="180">
        <f t="shared" si="74"/>
        <v>318.5</v>
      </c>
      <c r="Q716" s="181">
        <f t="shared" si="75"/>
        <v>0.38373493975903616</v>
      </c>
      <c r="R716" s="122">
        <f t="shared" si="76"/>
        <v>63.7</v>
      </c>
      <c r="S716" s="122">
        <f t="shared" si="77"/>
        <v>0.30698795180722893</v>
      </c>
      <c r="T716" s="133">
        <v>0.35</v>
      </c>
    </row>
    <row r="717" spans="1:20" ht="15.75" hidden="1" customHeight="1" x14ac:dyDescent="0.3">
      <c r="A717" s="194" t="s">
        <v>59</v>
      </c>
      <c r="B717" s="176" t="s">
        <v>662</v>
      </c>
      <c r="C717" s="176" t="s">
        <v>80</v>
      </c>
      <c r="D717" s="176" t="s">
        <v>590</v>
      </c>
      <c r="E717" s="177">
        <v>1</v>
      </c>
      <c r="F717" s="176" t="s">
        <v>591</v>
      </c>
      <c r="G717" s="178"/>
      <c r="H717" s="176" t="s">
        <v>622</v>
      </c>
      <c r="I717" s="176" t="s">
        <v>562</v>
      </c>
      <c r="J717" s="176"/>
      <c r="K717" s="176" t="s">
        <v>593</v>
      </c>
      <c r="L717" s="176"/>
      <c r="M717" s="176"/>
      <c r="N717" s="179">
        <f t="shared" si="72"/>
        <v>438</v>
      </c>
      <c r="O717" s="179">
        <f t="shared" si="73"/>
        <v>361</v>
      </c>
      <c r="P717" s="180">
        <f t="shared" si="74"/>
        <v>799</v>
      </c>
      <c r="Q717" s="181">
        <f t="shared" si="75"/>
        <v>0.96265060240963851</v>
      </c>
      <c r="R717" s="122">
        <f t="shared" si="76"/>
        <v>159.80000000000001</v>
      </c>
      <c r="S717" s="122">
        <f t="shared" si="77"/>
        <v>0.77012048192771088</v>
      </c>
      <c r="T717" s="133">
        <v>0.75</v>
      </c>
    </row>
    <row r="718" spans="1:20" ht="15.75" customHeight="1" x14ac:dyDescent="0.3">
      <c r="A718" s="194" t="s">
        <v>59</v>
      </c>
      <c r="B718" s="176" t="s">
        <v>662</v>
      </c>
      <c r="C718" s="176" t="s">
        <v>80</v>
      </c>
      <c r="D718" s="176" t="s">
        <v>590</v>
      </c>
      <c r="E718" s="177">
        <v>1</v>
      </c>
      <c r="F718" s="176" t="s">
        <v>591</v>
      </c>
      <c r="G718" s="178"/>
      <c r="H718" s="176"/>
      <c r="I718" s="176" t="s">
        <v>500</v>
      </c>
      <c r="J718" s="176"/>
      <c r="K718" s="176" t="s">
        <v>593</v>
      </c>
      <c r="L718" s="176"/>
      <c r="M718" s="176"/>
      <c r="N718" s="179">
        <f t="shared" si="72"/>
        <v>14.5</v>
      </c>
      <c r="O718" s="179">
        <f t="shared" si="73"/>
        <v>78</v>
      </c>
      <c r="P718" s="180">
        <f t="shared" si="74"/>
        <v>92.5</v>
      </c>
      <c r="Q718" s="181">
        <f t="shared" si="75"/>
        <v>0.11144578313253012</v>
      </c>
      <c r="R718" s="122">
        <f t="shared" si="76"/>
        <v>18.5</v>
      </c>
      <c r="S718" s="122">
        <f t="shared" si="77"/>
        <v>8.91566265060241E-2</v>
      </c>
      <c r="T718" s="133">
        <v>0</v>
      </c>
    </row>
    <row r="719" spans="1:20" ht="15.75" hidden="1" customHeight="1" x14ac:dyDescent="0.3">
      <c r="A719" s="194" t="s">
        <v>59</v>
      </c>
      <c r="B719" s="176" t="s">
        <v>662</v>
      </c>
      <c r="C719" s="176" t="s">
        <v>80</v>
      </c>
      <c r="D719" s="176" t="s">
        <v>724</v>
      </c>
      <c r="E719" s="177">
        <v>1</v>
      </c>
      <c r="F719" s="176" t="s">
        <v>725</v>
      </c>
      <c r="G719" s="178"/>
      <c r="H719" s="176" t="s">
        <v>622</v>
      </c>
      <c r="I719" s="176" t="s">
        <v>562</v>
      </c>
      <c r="J719" s="176"/>
      <c r="K719" s="176" t="s">
        <v>593</v>
      </c>
      <c r="L719" s="176"/>
      <c r="M719" s="176"/>
      <c r="N719" s="179">
        <f t="shared" si="72"/>
        <v>438</v>
      </c>
      <c r="O719" s="179">
        <f t="shared" si="73"/>
        <v>361</v>
      </c>
      <c r="P719" s="180">
        <f t="shared" si="74"/>
        <v>799</v>
      </c>
      <c r="Q719" s="181">
        <f t="shared" si="75"/>
        <v>0.96265060240963851</v>
      </c>
      <c r="R719" s="122">
        <f t="shared" si="76"/>
        <v>159.80000000000001</v>
      </c>
      <c r="S719" s="122">
        <f t="shared" si="77"/>
        <v>0.77012048192771088</v>
      </c>
      <c r="T719" s="133">
        <v>0.75</v>
      </c>
    </row>
    <row r="720" spans="1:20" ht="15.75" customHeight="1" x14ac:dyDescent="0.3">
      <c r="A720" s="194" t="s">
        <v>59</v>
      </c>
      <c r="B720" s="176" t="s">
        <v>662</v>
      </c>
      <c r="C720" s="176" t="s">
        <v>80</v>
      </c>
      <c r="D720" s="176" t="s">
        <v>724</v>
      </c>
      <c r="E720" s="177">
        <v>1</v>
      </c>
      <c r="F720" s="176" t="s">
        <v>725</v>
      </c>
      <c r="G720" s="178"/>
      <c r="H720" s="176"/>
      <c r="I720" s="176" t="s">
        <v>500</v>
      </c>
      <c r="J720" s="176"/>
      <c r="K720" s="176" t="s">
        <v>593</v>
      </c>
      <c r="L720" s="176"/>
      <c r="M720" s="176"/>
      <c r="N720" s="179">
        <f t="shared" si="72"/>
        <v>14.5</v>
      </c>
      <c r="O720" s="179">
        <f t="shared" si="73"/>
        <v>78</v>
      </c>
      <c r="P720" s="180">
        <f t="shared" si="74"/>
        <v>92.5</v>
      </c>
      <c r="Q720" s="181">
        <f t="shared" si="75"/>
        <v>0.11144578313253012</v>
      </c>
      <c r="R720" s="122">
        <f t="shared" si="76"/>
        <v>18.5</v>
      </c>
      <c r="S720" s="122">
        <f t="shared" si="77"/>
        <v>8.91566265060241E-2</v>
      </c>
      <c r="T720" s="133">
        <v>0</v>
      </c>
    </row>
    <row r="721" spans="1:20" ht="15.75" hidden="1" customHeight="1" x14ac:dyDescent="0.3">
      <c r="A721" s="194" t="s">
        <v>59</v>
      </c>
      <c r="B721" s="176" t="s">
        <v>662</v>
      </c>
      <c r="C721" s="176" t="s">
        <v>80</v>
      </c>
      <c r="D721" s="176" t="s">
        <v>726</v>
      </c>
      <c r="E721" s="177">
        <v>1</v>
      </c>
      <c r="F721" s="176" t="s">
        <v>725</v>
      </c>
      <c r="G721" s="178"/>
      <c r="H721" s="176" t="s">
        <v>622</v>
      </c>
      <c r="I721" s="176" t="s">
        <v>562</v>
      </c>
      <c r="J721" s="176"/>
      <c r="K721" s="176" t="s">
        <v>593</v>
      </c>
      <c r="L721" s="176"/>
      <c r="M721" s="176"/>
      <c r="N721" s="179">
        <f t="shared" si="72"/>
        <v>438</v>
      </c>
      <c r="O721" s="179">
        <f t="shared" si="73"/>
        <v>361</v>
      </c>
      <c r="P721" s="180">
        <f t="shared" si="74"/>
        <v>799</v>
      </c>
      <c r="Q721" s="181">
        <f t="shared" si="75"/>
        <v>0.96265060240963851</v>
      </c>
      <c r="R721" s="122">
        <f t="shared" si="76"/>
        <v>159.80000000000001</v>
      </c>
      <c r="S721" s="122">
        <f t="shared" si="77"/>
        <v>0.77012048192771088</v>
      </c>
      <c r="T721" s="133">
        <v>0.75</v>
      </c>
    </row>
    <row r="722" spans="1:20" ht="15.75" customHeight="1" x14ac:dyDescent="0.3">
      <c r="A722" s="194" t="s">
        <v>59</v>
      </c>
      <c r="B722" s="176" t="s">
        <v>662</v>
      </c>
      <c r="C722" s="176" t="s">
        <v>80</v>
      </c>
      <c r="D722" s="176" t="s">
        <v>726</v>
      </c>
      <c r="E722" s="177">
        <v>1</v>
      </c>
      <c r="F722" s="176" t="s">
        <v>725</v>
      </c>
      <c r="G722" s="178"/>
      <c r="H722" s="176"/>
      <c r="I722" s="176" t="s">
        <v>500</v>
      </c>
      <c r="J722" s="176"/>
      <c r="K722" s="176" t="s">
        <v>593</v>
      </c>
      <c r="L722" s="176"/>
      <c r="M722" s="176"/>
      <c r="N722" s="179">
        <f t="shared" si="72"/>
        <v>14.5</v>
      </c>
      <c r="O722" s="179">
        <f t="shared" si="73"/>
        <v>78</v>
      </c>
      <c r="P722" s="180">
        <f t="shared" si="74"/>
        <v>92.5</v>
      </c>
      <c r="Q722" s="181">
        <f t="shared" si="75"/>
        <v>0.11144578313253012</v>
      </c>
      <c r="R722" s="122">
        <f t="shared" si="76"/>
        <v>18.5</v>
      </c>
      <c r="S722" s="122">
        <f t="shared" si="77"/>
        <v>8.91566265060241E-2</v>
      </c>
      <c r="T722" s="133">
        <v>0</v>
      </c>
    </row>
    <row r="723" spans="1:20" ht="15.75" hidden="1" customHeight="1" x14ac:dyDescent="0.3">
      <c r="A723" s="194" t="s">
        <v>59</v>
      </c>
      <c r="B723" s="176" t="s">
        <v>662</v>
      </c>
      <c r="C723" s="176" t="s">
        <v>80</v>
      </c>
      <c r="D723" s="176" t="s">
        <v>727</v>
      </c>
      <c r="E723" s="177">
        <v>1</v>
      </c>
      <c r="F723" s="176" t="s">
        <v>725</v>
      </c>
      <c r="G723" s="178"/>
      <c r="H723" s="176" t="s">
        <v>622</v>
      </c>
      <c r="I723" s="176" t="s">
        <v>562</v>
      </c>
      <c r="J723" s="176"/>
      <c r="K723" s="176" t="s">
        <v>593</v>
      </c>
      <c r="L723" s="176"/>
      <c r="M723" s="176"/>
      <c r="N723" s="179">
        <f t="shared" si="72"/>
        <v>438</v>
      </c>
      <c r="O723" s="179">
        <f t="shared" si="73"/>
        <v>361</v>
      </c>
      <c r="P723" s="180">
        <f t="shared" si="74"/>
        <v>799</v>
      </c>
      <c r="Q723" s="181">
        <f t="shared" si="75"/>
        <v>0.96265060240963851</v>
      </c>
      <c r="R723" s="122">
        <f t="shared" si="76"/>
        <v>159.80000000000001</v>
      </c>
      <c r="S723" s="122">
        <f t="shared" si="77"/>
        <v>0.77012048192771088</v>
      </c>
      <c r="T723" s="133">
        <v>0.75</v>
      </c>
    </row>
    <row r="724" spans="1:20" ht="15.75" customHeight="1" x14ac:dyDescent="0.3">
      <c r="A724" s="194" t="s">
        <v>59</v>
      </c>
      <c r="B724" s="176" t="s">
        <v>662</v>
      </c>
      <c r="C724" s="176" t="s">
        <v>80</v>
      </c>
      <c r="D724" s="176" t="s">
        <v>727</v>
      </c>
      <c r="E724" s="177">
        <v>1</v>
      </c>
      <c r="F724" s="176" t="s">
        <v>725</v>
      </c>
      <c r="G724" s="178"/>
      <c r="H724" s="176"/>
      <c r="I724" s="176" t="s">
        <v>500</v>
      </c>
      <c r="J724" s="176"/>
      <c r="K724" s="176" t="s">
        <v>593</v>
      </c>
      <c r="L724" s="176"/>
      <c r="M724" s="176"/>
      <c r="N724" s="179">
        <f t="shared" si="72"/>
        <v>14.5</v>
      </c>
      <c r="O724" s="179">
        <f t="shared" si="73"/>
        <v>78</v>
      </c>
      <c r="P724" s="180">
        <f t="shared" si="74"/>
        <v>92.5</v>
      </c>
      <c r="Q724" s="181">
        <f t="shared" si="75"/>
        <v>0.11144578313253012</v>
      </c>
      <c r="R724" s="122">
        <f t="shared" si="76"/>
        <v>18.5</v>
      </c>
      <c r="S724" s="122">
        <f t="shared" si="77"/>
        <v>8.91566265060241E-2</v>
      </c>
      <c r="T724" s="133">
        <v>0</v>
      </c>
    </row>
    <row r="725" spans="1:20" ht="15.75" hidden="1" customHeight="1" x14ac:dyDescent="0.3">
      <c r="A725" s="194" t="s">
        <v>59</v>
      </c>
      <c r="B725" s="176" t="s">
        <v>728</v>
      </c>
      <c r="C725" s="176" t="s">
        <v>73</v>
      </c>
      <c r="D725" s="176" t="s">
        <v>625</v>
      </c>
      <c r="E725" s="177">
        <v>28</v>
      </c>
      <c r="F725" s="176" t="s">
        <v>626</v>
      </c>
      <c r="G725" s="177">
        <v>28</v>
      </c>
      <c r="H725" s="176" t="s">
        <v>606</v>
      </c>
      <c r="I725" s="176" t="s">
        <v>510</v>
      </c>
      <c r="J725" s="176"/>
      <c r="K725" s="176" t="s">
        <v>593</v>
      </c>
      <c r="L725" s="176"/>
      <c r="M725" s="176"/>
      <c r="N725" s="179">
        <f t="shared" si="72"/>
        <v>337</v>
      </c>
      <c r="O725" s="179">
        <f t="shared" si="73"/>
        <v>205</v>
      </c>
      <c r="P725" s="180">
        <f t="shared" si="74"/>
        <v>542</v>
      </c>
      <c r="Q725" s="181">
        <f t="shared" si="75"/>
        <v>0.65301204819277103</v>
      </c>
      <c r="R725" s="122">
        <f t="shared" si="76"/>
        <v>108.4</v>
      </c>
      <c r="S725" s="122">
        <f t="shared" si="77"/>
        <v>0.52240963855421685</v>
      </c>
      <c r="T725" s="133">
        <v>0.65</v>
      </c>
    </row>
    <row r="726" spans="1:20" ht="15.75" hidden="1" customHeight="1" x14ac:dyDescent="0.3">
      <c r="A726" s="194" t="s">
        <v>59</v>
      </c>
      <c r="B726" s="176" t="s">
        <v>728</v>
      </c>
      <c r="C726" s="176" t="s">
        <v>87</v>
      </c>
      <c r="D726" s="176" t="s">
        <v>625</v>
      </c>
      <c r="E726" s="177">
        <v>5</v>
      </c>
      <c r="F726" s="176" t="s">
        <v>626</v>
      </c>
      <c r="G726" s="178"/>
      <c r="H726" s="176" t="s">
        <v>606</v>
      </c>
      <c r="I726" s="176" t="s">
        <v>510</v>
      </c>
      <c r="J726" s="176"/>
      <c r="K726" s="176" t="s">
        <v>593</v>
      </c>
      <c r="L726" s="176"/>
      <c r="M726" s="176"/>
      <c r="N726" s="179">
        <f t="shared" si="72"/>
        <v>337</v>
      </c>
      <c r="O726" s="179">
        <f t="shared" si="73"/>
        <v>205</v>
      </c>
      <c r="P726" s="180">
        <f t="shared" si="74"/>
        <v>542</v>
      </c>
      <c r="Q726" s="181">
        <f t="shared" si="75"/>
        <v>0.65301204819277103</v>
      </c>
      <c r="R726" s="122">
        <f t="shared" si="76"/>
        <v>108.4</v>
      </c>
      <c r="S726" s="122">
        <f t="shared" si="77"/>
        <v>0.52240963855421685</v>
      </c>
      <c r="T726" s="133">
        <v>0.65</v>
      </c>
    </row>
    <row r="727" spans="1:20" ht="15.75" hidden="1" customHeight="1" x14ac:dyDescent="0.3">
      <c r="A727" s="194" t="s">
        <v>59</v>
      </c>
      <c r="B727" s="176" t="s">
        <v>728</v>
      </c>
      <c r="C727" s="176" t="s">
        <v>79</v>
      </c>
      <c r="D727" s="176" t="s">
        <v>625</v>
      </c>
      <c r="E727" s="177">
        <v>26</v>
      </c>
      <c r="F727" s="176" t="s">
        <v>626</v>
      </c>
      <c r="G727" s="177">
        <v>26</v>
      </c>
      <c r="H727" s="176" t="s">
        <v>606</v>
      </c>
      <c r="I727" s="176" t="s">
        <v>510</v>
      </c>
      <c r="J727" s="176"/>
      <c r="K727" s="176" t="s">
        <v>593</v>
      </c>
      <c r="L727" s="176"/>
      <c r="M727" s="176"/>
      <c r="N727" s="179">
        <f t="shared" si="72"/>
        <v>337</v>
      </c>
      <c r="O727" s="179">
        <f t="shared" si="73"/>
        <v>205</v>
      </c>
      <c r="P727" s="180">
        <f t="shared" si="74"/>
        <v>542</v>
      </c>
      <c r="Q727" s="181">
        <f t="shared" si="75"/>
        <v>0.65301204819277103</v>
      </c>
      <c r="R727" s="122">
        <f t="shared" si="76"/>
        <v>108.4</v>
      </c>
      <c r="S727" s="122">
        <f t="shared" si="77"/>
        <v>0.52240963855421685</v>
      </c>
      <c r="T727" s="133">
        <v>0.65</v>
      </c>
    </row>
    <row r="728" spans="1:20" ht="15.75" hidden="1" customHeight="1" x14ac:dyDescent="0.3">
      <c r="A728" s="194" t="s">
        <v>59</v>
      </c>
      <c r="B728" s="176" t="s">
        <v>728</v>
      </c>
      <c r="C728" s="176" t="s">
        <v>80</v>
      </c>
      <c r="D728" s="176" t="s">
        <v>625</v>
      </c>
      <c r="E728" s="177">
        <v>1</v>
      </c>
      <c r="F728" s="176" t="s">
        <v>626</v>
      </c>
      <c r="G728" s="178"/>
      <c r="H728" s="176" t="s">
        <v>606</v>
      </c>
      <c r="I728" s="176" t="s">
        <v>510</v>
      </c>
      <c r="J728" s="176"/>
      <c r="K728" s="176" t="s">
        <v>593</v>
      </c>
      <c r="L728" s="176"/>
      <c r="M728" s="176"/>
      <c r="N728" s="179">
        <f t="shared" si="72"/>
        <v>337</v>
      </c>
      <c r="O728" s="179">
        <f t="shared" si="73"/>
        <v>205</v>
      </c>
      <c r="P728" s="180">
        <f t="shared" si="74"/>
        <v>542</v>
      </c>
      <c r="Q728" s="181">
        <f t="shared" si="75"/>
        <v>0.65301204819277103</v>
      </c>
      <c r="R728" s="122">
        <f t="shared" si="76"/>
        <v>108.4</v>
      </c>
      <c r="S728" s="122">
        <f t="shared" si="77"/>
        <v>0.52240963855421685</v>
      </c>
      <c r="T728" s="133">
        <v>0.65</v>
      </c>
    </row>
    <row r="729" spans="1:20" ht="15.75" hidden="1" customHeight="1" x14ac:dyDescent="0.3">
      <c r="A729" s="194" t="s">
        <v>59</v>
      </c>
      <c r="B729" s="176" t="s">
        <v>668</v>
      </c>
      <c r="C729" s="176" t="s">
        <v>73</v>
      </c>
      <c r="D729" s="176" t="s">
        <v>665</v>
      </c>
      <c r="E729" s="177">
        <v>18</v>
      </c>
      <c r="F729" s="176" t="s">
        <v>603</v>
      </c>
      <c r="G729" s="177">
        <v>18</v>
      </c>
      <c r="H729" s="176" t="s">
        <v>619</v>
      </c>
      <c r="I729" s="176" t="s">
        <v>581</v>
      </c>
      <c r="J729" s="176"/>
      <c r="K729" s="176" t="s">
        <v>593</v>
      </c>
      <c r="L729" s="176"/>
      <c r="M729" s="176"/>
      <c r="N729" s="179">
        <f t="shared" si="72"/>
        <v>276</v>
      </c>
      <c r="O729" s="179">
        <f t="shared" si="73"/>
        <v>323</v>
      </c>
      <c r="P729" s="180">
        <f t="shared" si="74"/>
        <v>599</v>
      </c>
      <c r="Q729" s="181">
        <f t="shared" si="75"/>
        <v>0.72168674698795177</v>
      </c>
      <c r="R729" s="122">
        <f t="shared" si="76"/>
        <v>119.80000000000001</v>
      </c>
      <c r="S729" s="122">
        <f t="shared" si="77"/>
        <v>0.57734939759036141</v>
      </c>
      <c r="T729" s="133">
        <v>0.55000000000000004</v>
      </c>
    </row>
    <row r="730" spans="1:20" ht="15.75" hidden="1" customHeight="1" x14ac:dyDescent="0.3">
      <c r="A730" s="194" t="s">
        <v>59</v>
      </c>
      <c r="B730" s="176" t="s">
        <v>668</v>
      </c>
      <c r="C730" s="176" t="s">
        <v>100</v>
      </c>
      <c r="D730" s="176" t="s">
        <v>665</v>
      </c>
      <c r="E730" s="177">
        <v>32</v>
      </c>
      <c r="F730" s="176" t="s">
        <v>603</v>
      </c>
      <c r="G730" s="177">
        <v>16</v>
      </c>
      <c r="H730" s="176" t="s">
        <v>619</v>
      </c>
      <c r="I730" s="176" t="s">
        <v>581</v>
      </c>
      <c r="J730" s="176"/>
      <c r="K730" s="176" t="s">
        <v>593</v>
      </c>
      <c r="L730" s="176"/>
      <c r="M730" s="176"/>
      <c r="N730" s="179">
        <f t="shared" si="72"/>
        <v>276</v>
      </c>
      <c r="O730" s="179">
        <f t="shared" si="73"/>
        <v>323</v>
      </c>
      <c r="P730" s="180">
        <f t="shared" si="74"/>
        <v>599</v>
      </c>
      <c r="Q730" s="181">
        <f t="shared" si="75"/>
        <v>0.72168674698795177</v>
      </c>
      <c r="R730" s="122">
        <f t="shared" si="76"/>
        <v>119.80000000000001</v>
      </c>
      <c r="S730" s="122">
        <f t="shared" si="77"/>
        <v>0.57734939759036141</v>
      </c>
      <c r="T730" s="133">
        <v>0.55000000000000004</v>
      </c>
    </row>
    <row r="731" spans="1:20" ht="15.75" hidden="1" customHeight="1" x14ac:dyDescent="0.3">
      <c r="A731" s="194" t="s">
        <v>59</v>
      </c>
      <c r="B731" s="176" t="s">
        <v>668</v>
      </c>
      <c r="C731" s="176" t="s">
        <v>142</v>
      </c>
      <c r="D731" s="176" t="s">
        <v>665</v>
      </c>
      <c r="E731" s="177">
        <v>3</v>
      </c>
      <c r="F731" s="176" t="s">
        <v>603</v>
      </c>
      <c r="G731" s="178"/>
      <c r="H731" s="176" t="s">
        <v>619</v>
      </c>
      <c r="I731" s="176" t="s">
        <v>581</v>
      </c>
      <c r="J731" s="176"/>
      <c r="K731" s="176" t="s">
        <v>593</v>
      </c>
      <c r="L731" s="176"/>
      <c r="M731" s="176"/>
      <c r="N731" s="179">
        <f t="shared" si="72"/>
        <v>276</v>
      </c>
      <c r="O731" s="179">
        <f t="shared" si="73"/>
        <v>323</v>
      </c>
      <c r="P731" s="180">
        <f t="shared" si="74"/>
        <v>599</v>
      </c>
      <c r="Q731" s="181">
        <f t="shared" si="75"/>
        <v>0.72168674698795177</v>
      </c>
      <c r="R731" s="122">
        <f t="shared" si="76"/>
        <v>119.80000000000001</v>
      </c>
      <c r="S731" s="122">
        <f t="shared" si="77"/>
        <v>0.57734939759036141</v>
      </c>
      <c r="T731" s="133">
        <v>0.55000000000000004</v>
      </c>
    </row>
    <row r="732" spans="1:20" ht="15.75" customHeight="1" x14ac:dyDescent="0.3">
      <c r="A732" s="194" t="s">
        <v>59</v>
      </c>
      <c r="B732" s="176" t="s">
        <v>668</v>
      </c>
      <c r="C732" s="176" t="s">
        <v>142</v>
      </c>
      <c r="D732" s="176" t="s">
        <v>665</v>
      </c>
      <c r="E732" s="177">
        <v>1</v>
      </c>
      <c r="F732" s="176" t="s">
        <v>603</v>
      </c>
      <c r="G732" s="178"/>
      <c r="H732" s="176"/>
      <c r="I732" s="176" t="s">
        <v>500</v>
      </c>
      <c r="J732" s="176"/>
      <c r="K732" s="176" t="s">
        <v>593</v>
      </c>
      <c r="L732" s="176"/>
      <c r="M732" s="176"/>
      <c r="N732" s="179">
        <f t="shared" si="72"/>
        <v>14.5</v>
      </c>
      <c r="O732" s="179">
        <f t="shared" si="73"/>
        <v>78</v>
      </c>
      <c r="P732" s="180">
        <f t="shared" si="74"/>
        <v>92.5</v>
      </c>
      <c r="Q732" s="181">
        <f t="shared" si="75"/>
        <v>0.11144578313253012</v>
      </c>
      <c r="R732" s="122">
        <f t="shared" si="76"/>
        <v>18.5</v>
      </c>
      <c r="S732" s="122">
        <f t="shared" si="77"/>
        <v>8.91566265060241E-2</v>
      </c>
      <c r="T732" s="133">
        <v>0</v>
      </c>
    </row>
    <row r="733" spans="1:20" ht="15.75" hidden="1" customHeight="1" x14ac:dyDescent="0.3">
      <c r="A733" s="194" t="s">
        <v>59</v>
      </c>
      <c r="B733" s="176" t="s">
        <v>668</v>
      </c>
      <c r="C733" s="176" t="s">
        <v>80</v>
      </c>
      <c r="D733" s="176" t="s">
        <v>665</v>
      </c>
      <c r="E733" s="177">
        <v>1</v>
      </c>
      <c r="F733" s="176" t="s">
        <v>603</v>
      </c>
      <c r="G733" s="178"/>
      <c r="H733" s="176" t="s">
        <v>619</v>
      </c>
      <c r="I733" s="176" t="s">
        <v>581</v>
      </c>
      <c r="J733" s="176"/>
      <c r="K733" s="176" t="s">
        <v>593</v>
      </c>
      <c r="L733" s="176"/>
      <c r="M733" s="176"/>
      <c r="N733" s="179">
        <f t="shared" si="72"/>
        <v>276</v>
      </c>
      <c r="O733" s="179">
        <f t="shared" si="73"/>
        <v>323</v>
      </c>
      <c r="P733" s="180">
        <f t="shared" si="74"/>
        <v>599</v>
      </c>
      <c r="Q733" s="181">
        <f t="shared" si="75"/>
        <v>0.72168674698795177</v>
      </c>
      <c r="R733" s="122">
        <f t="shared" si="76"/>
        <v>119.80000000000001</v>
      </c>
      <c r="S733" s="122">
        <f t="shared" si="77"/>
        <v>0.57734939759036141</v>
      </c>
      <c r="T733" s="133">
        <v>0.55000000000000004</v>
      </c>
    </row>
    <row r="734" spans="1:20" ht="15.75" hidden="1" customHeight="1" x14ac:dyDescent="0.3">
      <c r="A734" s="194" t="s">
        <v>59</v>
      </c>
      <c r="B734" s="176" t="s">
        <v>729</v>
      </c>
      <c r="C734" s="176" t="s">
        <v>73</v>
      </c>
      <c r="D734" s="176" t="s">
        <v>590</v>
      </c>
      <c r="E734" s="177">
        <v>24</v>
      </c>
      <c r="F734" s="176" t="s">
        <v>591</v>
      </c>
      <c r="G734" s="177">
        <v>24</v>
      </c>
      <c r="H734" s="176" t="s">
        <v>643</v>
      </c>
      <c r="I734" s="176" t="s">
        <v>579</v>
      </c>
      <c r="J734" s="176"/>
      <c r="K734" s="176" t="s">
        <v>593</v>
      </c>
      <c r="L734" s="176"/>
      <c r="M734" s="176"/>
      <c r="N734" s="179">
        <f t="shared" si="72"/>
        <v>297</v>
      </c>
      <c r="O734" s="179">
        <f t="shared" si="73"/>
        <v>310</v>
      </c>
      <c r="P734" s="180">
        <f t="shared" si="74"/>
        <v>607</v>
      </c>
      <c r="Q734" s="181">
        <f t="shared" si="75"/>
        <v>0.73132530120481931</v>
      </c>
      <c r="R734" s="122">
        <f t="shared" si="76"/>
        <v>121.4</v>
      </c>
      <c r="S734" s="122">
        <f t="shared" si="77"/>
        <v>0.58506024096385545</v>
      </c>
      <c r="T734" s="133">
        <v>0.6</v>
      </c>
    </row>
    <row r="735" spans="1:20" ht="15.75" hidden="1" customHeight="1" x14ac:dyDescent="0.3">
      <c r="A735" s="194" t="s">
        <v>59</v>
      </c>
      <c r="B735" s="176" t="s">
        <v>729</v>
      </c>
      <c r="C735" s="176" t="s">
        <v>87</v>
      </c>
      <c r="D735" s="176" t="s">
        <v>590</v>
      </c>
      <c r="E735" s="177">
        <v>3</v>
      </c>
      <c r="F735" s="176" t="s">
        <v>591</v>
      </c>
      <c r="G735" s="178"/>
      <c r="H735" s="176" t="s">
        <v>643</v>
      </c>
      <c r="I735" s="176" t="s">
        <v>579</v>
      </c>
      <c r="J735" s="176"/>
      <c r="K735" s="176" t="s">
        <v>593</v>
      </c>
      <c r="L735" s="176"/>
      <c r="M735" s="176"/>
      <c r="N735" s="179">
        <f t="shared" si="72"/>
        <v>297</v>
      </c>
      <c r="O735" s="179">
        <f t="shared" si="73"/>
        <v>310</v>
      </c>
      <c r="P735" s="180">
        <f t="shared" si="74"/>
        <v>607</v>
      </c>
      <c r="Q735" s="181">
        <f t="shared" si="75"/>
        <v>0.73132530120481931</v>
      </c>
      <c r="R735" s="122">
        <f t="shared" si="76"/>
        <v>121.4</v>
      </c>
      <c r="S735" s="122">
        <f t="shared" si="77"/>
        <v>0.58506024096385545</v>
      </c>
      <c r="T735" s="133">
        <v>0.6</v>
      </c>
    </row>
    <row r="736" spans="1:20" ht="15.75" customHeight="1" x14ac:dyDescent="0.3">
      <c r="A736" s="194" t="s">
        <v>59</v>
      </c>
      <c r="B736" s="176" t="s">
        <v>729</v>
      </c>
      <c r="C736" s="176" t="s">
        <v>87</v>
      </c>
      <c r="D736" s="176" t="s">
        <v>590</v>
      </c>
      <c r="E736" s="177">
        <v>1</v>
      </c>
      <c r="F736" s="176" t="s">
        <v>591</v>
      </c>
      <c r="G736" s="178"/>
      <c r="H736" s="176"/>
      <c r="I736" s="176" t="s">
        <v>500</v>
      </c>
      <c r="J736" s="176"/>
      <c r="K736" s="176" t="s">
        <v>593</v>
      </c>
      <c r="L736" s="176"/>
      <c r="M736" s="176"/>
      <c r="N736" s="179">
        <f t="shared" si="72"/>
        <v>14.5</v>
      </c>
      <c r="O736" s="179">
        <f t="shared" si="73"/>
        <v>78</v>
      </c>
      <c r="P736" s="180">
        <f t="shared" si="74"/>
        <v>92.5</v>
      </c>
      <c r="Q736" s="181">
        <f t="shared" si="75"/>
        <v>0.11144578313253012</v>
      </c>
      <c r="R736" s="122">
        <f t="shared" si="76"/>
        <v>18.5</v>
      </c>
      <c r="S736" s="122">
        <f t="shared" si="77"/>
        <v>8.91566265060241E-2</v>
      </c>
      <c r="T736" s="133">
        <v>0</v>
      </c>
    </row>
    <row r="737" spans="1:20" ht="15.75" hidden="1" customHeight="1" x14ac:dyDescent="0.3">
      <c r="A737" s="194" t="s">
        <v>59</v>
      </c>
      <c r="B737" s="176" t="s">
        <v>729</v>
      </c>
      <c r="C737" s="176" t="s">
        <v>79</v>
      </c>
      <c r="D737" s="176" t="s">
        <v>590</v>
      </c>
      <c r="E737" s="177">
        <v>44</v>
      </c>
      <c r="F737" s="176" t="s">
        <v>591</v>
      </c>
      <c r="G737" s="177">
        <v>44</v>
      </c>
      <c r="H737" s="176" t="s">
        <v>643</v>
      </c>
      <c r="I737" s="176" t="s">
        <v>579</v>
      </c>
      <c r="J737" s="176"/>
      <c r="K737" s="176" t="s">
        <v>593</v>
      </c>
      <c r="L737" s="176"/>
      <c r="M737" s="176"/>
      <c r="N737" s="179">
        <f t="shared" si="72"/>
        <v>297</v>
      </c>
      <c r="O737" s="179">
        <f t="shared" si="73"/>
        <v>310</v>
      </c>
      <c r="P737" s="180">
        <f t="shared" si="74"/>
        <v>607</v>
      </c>
      <c r="Q737" s="181">
        <f t="shared" si="75"/>
        <v>0.73132530120481931</v>
      </c>
      <c r="R737" s="122">
        <f t="shared" si="76"/>
        <v>121.4</v>
      </c>
      <c r="S737" s="122">
        <f t="shared" si="77"/>
        <v>0.58506024096385545</v>
      </c>
      <c r="T737" s="133">
        <v>0.6</v>
      </c>
    </row>
    <row r="738" spans="1:20" ht="15.75" hidden="1" customHeight="1" x14ac:dyDescent="0.3">
      <c r="A738" s="194" t="s">
        <v>59</v>
      </c>
      <c r="B738" s="176" t="s">
        <v>729</v>
      </c>
      <c r="C738" s="176" t="s">
        <v>80</v>
      </c>
      <c r="D738" s="176" t="s">
        <v>590</v>
      </c>
      <c r="E738" s="177">
        <v>1</v>
      </c>
      <c r="F738" s="176" t="s">
        <v>591</v>
      </c>
      <c r="G738" s="178"/>
      <c r="H738" s="176" t="s">
        <v>643</v>
      </c>
      <c r="I738" s="176" t="s">
        <v>579</v>
      </c>
      <c r="J738" s="176"/>
      <c r="K738" s="176" t="s">
        <v>593</v>
      </c>
      <c r="L738" s="176"/>
      <c r="M738" s="176"/>
      <c r="N738" s="179">
        <f t="shared" si="72"/>
        <v>297</v>
      </c>
      <c r="O738" s="179">
        <f t="shared" si="73"/>
        <v>310</v>
      </c>
      <c r="P738" s="180">
        <f t="shared" si="74"/>
        <v>607</v>
      </c>
      <c r="Q738" s="181">
        <f t="shared" si="75"/>
        <v>0.73132530120481931</v>
      </c>
      <c r="R738" s="122">
        <f t="shared" si="76"/>
        <v>121.4</v>
      </c>
      <c r="S738" s="122">
        <f t="shared" si="77"/>
        <v>0.58506024096385545</v>
      </c>
      <c r="T738" s="133">
        <v>0.6</v>
      </c>
    </row>
    <row r="739" spans="1:20" ht="15.75" hidden="1" customHeight="1" x14ac:dyDescent="0.3">
      <c r="A739" s="194" t="s">
        <v>59</v>
      </c>
      <c r="B739" s="176" t="s">
        <v>730</v>
      </c>
      <c r="C739" s="176" t="s">
        <v>73</v>
      </c>
      <c r="D739" s="176" t="s">
        <v>590</v>
      </c>
      <c r="E739" s="177">
        <v>24</v>
      </c>
      <c r="F739" s="176" t="s">
        <v>591</v>
      </c>
      <c r="G739" s="177">
        <v>24</v>
      </c>
      <c r="H739" s="176" t="s">
        <v>692</v>
      </c>
      <c r="I739" s="176" t="s">
        <v>558</v>
      </c>
      <c r="J739" s="176"/>
      <c r="K739" s="176" t="s">
        <v>593</v>
      </c>
      <c r="L739" s="176"/>
      <c r="M739" s="176"/>
      <c r="N739" s="179">
        <f t="shared" si="72"/>
        <v>15</v>
      </c>
      <c r="O739" s="179">
        <f t="shared" si="73"/>
        <v>146</v>
      </c>
      <c r="P739" s="180">
        <f t="shared" si="74"/>
        <v>161</v>
      </c>
      <c r="Q739" s="181">
        <f t="shared" si="75"/>
        <v>0.19397590361445782</v>
      </c>
      <c r="R739" s="122">
        <f t="shared" si="76"/>
        <v>32.200000000000003</v>
      </c>
      <c r="S739" s="122">
        <f t="shared" si="77"/>
        <v>0.15518072289156626</v>
      </c>
      <c r="T739" s="133">
        <v>0.15</v>
      </c>
    </row>
    <row r="740" spans="1:20" ht="15.75" hidden="1" customHeight="1" x14ac:dyDescent="0.3">
      <c r="A740" s="194" t="s">
        <v>59</v>
      </c>
      <c r="B740" s="176" t="s">
        <v>730</v>
      </c>
      <c r="C740" s="176" t="s">
        <v>123</v>
      </c>
      <c r="D740" s="176" t="s">
        <v>590</v>
      </c>
      <c r="E740" s="177">
        <v>26</v>
      </c>
      <c r="F740" s="176" t="s">
        <v>591</v>
      </c>
      <c r="G740" s="178"/>
      <c r="H740" s="176" t="s">
        <v>692</v>
      </c>
      <c r="I740" s="176" t="s">
        <v>558</v>
      </c>
      <c r="J740" s="176"/>
      <c r="K740" s="176" t="s">
        <v>593</v>
      </c>
      <c r="L740" s="176"/>
      <c r="M740" s="176"/>
      <c r="N740" s="179">
        <f t="shared" ref="N740:N803" si="78">SUMIFS($E$2:$E$896,$A$2:$A$896,"осень",$I$2:$I$896,I740)</f>
        <v>15</v>
      </c>
      <c r="O740" s="179">
        <f t="shared" ref="O740:O803" si="79">SUMIFS($E$2:$E$896,$A$2:$A$896,"весна",$I$2:$I$896,I740)</f>
        <v>146</v>
      </c>
      <c r="P740" s="180">
        <f t="shared" si="74"/>
        <v>161</v>
      </c>
      <c r="Q740" s="181">
        <f t="shared" si="75"/>
        <v>0.19397590361445782</v>
      </c>
      <c r="R740" s="122">
        <f t="shared" si="76"/>
        <v>32.200000000000003</v>
      </c>
      <c r="S740" s="122">
        <f t="shared" si="77"/>
        <v>0.15518072289156626</v>
      </c>
      <c r="T740" s="133">
        <v>0.15</v>
      </c>
    </row>
    <row r="741" spans="1:20" ht="15.75" hidden="1" customHeight="1" x14ac:dyDescent="0.3">
      <c r="A741" s="194" t="s">
        <v>59</v>
      </c>
      <c r="B741" s="176" t="s">
        <v>730</v>
      </c>
      <c r="C741" s="176" t="s">
        <v>79</v>
      </c>
      <c r="D741" s="176" t="s">
        <v>590</v>
      </c>
      <c r="E741" s="177">
        <v>42</v>
      </c>
      <c r="F741" s="176" t="s">
        <v>591</v>
      </c>
      <c r="G741" s="177">
        <v>42</v>
      </c>
      <c r="H741" s="176" t="s">
        <v>692</v>
      </c>
      <c r="I741" s="176" t="s">
        <v>558</v>
      </c>
      <c r="J741" s="176"/>
      <c r="K741" s="176" t="s">
        <v>593</v>
      </c>
      <c r="L741" s="176"/>
      <c r="M741" s="176"/>
      <c r="N741" s="179">
        <f t="shared" si="78"/>
        <v>15</v>
      </c>
      <c r="O741" s="179">
        <f t="shared" si="79"/>
        <v>146</v>
      </c>
      <c r="P741" s="180">
        <f t="shared" si="74"/>
        <v>161</v>
      </c>
      <c r="Q741" s="181">
        <f t="shared" si="75"/>
        <v>0.19397590361445782</v>
      </c>
      <c r="R741" s="122">
        <f t="shared" si="76"/>
        <v>32.200000000000003</v>
      </c>
      <c r="S741" s="122">
        <f t="shared" si="77"/>
        <v>0.15518072289156626</v>
      </c>
      <c r="T741" s="133">
        <v>0.15</v>
      </c>
    </row>
    <row r="742" spans="1:20" ht="15.75" hidden="1" customHeight="1" x14ac:dyDescent="0.3">
      <c r="A742" s="194" t="s">
        <v>59</v>
      </c>
      <c r="B742" s="176" t="s">
        <v>730</v>
      </c>
      <c r="C742" s="176" t="s">
        <v>111</v>
      </c>
      <c r="D742" s="176" t="s">
        <v>590</v>
      </c>
      <c r="E742" s="177">
        <v>5</v>
      </c>
      <c r="F742" s="176" t="s">
        <v>591</v>
      </c>
      <c r="G742" s="178"/>
      <c r="H742" s="176" t="s">
        <v>692</v>
      </c>
      <c r="I742" s="176" t="s">
        <v>558</v>
      </c>
      <c r="J742" s="176"/>
      <c r="K742" s="176" t="s">
        <v>593</v>
      </c>
      <c r="L742" s="176"/>
      <c r="M742" s="176"/>
      <c r="N742" s="179">
        <f t="shared" si="78"/>
        <v>15</v>
      </c>
      <c r="O742" s="179">
        <f t="shared" si="79"/>
        <v>146</v>
      </c>
      <c r="P742" s="180">
        <f t="shared" si="74"/>
        <v>161</v>
      </c>
      <c r="Q742" s="181">
        <f t="shared" si="75"/>
        <v>0.19397590361445782</v>
      </c>
      <c r="R742" s="122">
        <f t="shared" si="76"/>
        <v>32.200000000000003</v>
      </c>
      <c r="S742" s="122">
        <f t="shared" si="77"/>
        <v>0.15518072289156626</v>
      </c>
      <c r="T742" s="133">
        <v>0.15</v>
      </c>
    </row>
    <row r="743" spans="1:20" ht="15.75" customHeight="1" x14ac:dyDescent="0.3">
      <c r="A743" s="194" t="s">
        <v>59</v>
      </c>
      <c r="B743" s="176" t="s">
        <v>730</v>
      </c>
      <c r="C743" s="176" t="s">
        <v>111</v>
      </c>
      <c r="D743" s="176" t="s">
        <v>590</v>
      </c>
      <c r="E743" s="177">
        <v>2</v>
      </c>
      <c r="F743" s="176" t="s">
        <v>591</v>
      </c>
      <c r="G743" s="178"/>
      <c r="H743" s="176"/>
      <c r="I743" s="176" t="s">
        <v>500</v>
      </c>
      <c r="J743" s="176"/>
      <c r="K743" s="176" t="s">
        <v>593</v>
      </c>
      <c r="L743" s="176"/>
      <c r="M743" s="176"/>
      <c r="N743" s="179">
        <f t="shared" si="78"/>
        <v>14.5</v>
      </c>
      <c r="O743" s="179">
        <f t="shared" si="79"/>
        <v>78</v>
      </c>
      <c r="P743" s="180">
        <f t="shared" si="74"/>
        <v>92.5</v>
      </c>
      <c r="Q743" s="181">
        <f t="shared" si="75"/>
        <v>0.11144578313253012</v>
      </c>
      <c r="R743" s="122">
        <f t="shared" si="76"/>
        <v>18.5</v>
      </c>
      <c r="S743" s="122">
        <f t="shared" si="77"/>
        <v>8.91566265060241E-2</v>
      </c>
      <c r="T743" s="133">
        <v>0</v>
      </c>
    </row>
    <row r="744" spans="1:20" ht="15.75" hidden="1" customHeight="1" x14ac:dyDescent="0.3">
      <c r="A744" s="194" t="s">
        <v>59</v>
      </c>
      <c r="B744" s="176" t="s">
        <v>730</v>
      </c>
      <c r="C744" s="176" t="s">
        <v>80</v>
      </c>
      <c r="D744" s="176" t="s">
        <v>590</v>
      </c>
      <c r="E744" s="177">
        <v>2</v>
      </c>
      <c r="F744" s="176" t="s">
        <v>591</v>
      </c>
      <c r="G744" s="178"/>
      <c r="H744" s="176" t="s">
        <v>692</v>
      </c>
      <c r="I744" s="176" t="s">
        <v>558</v>
      </c>
      <c r="J744" s="176"/>
      <c r="K744" s="176" t="s">
        <v>593</v>
      </c>
      <c r="L744" s="176"/>
      <c r="M744" s="176"/>
      <c r="N744" s="179">
        <f t="shared" si="78"/>
        <v>15</v>
      </c>
      <c r="O744" s="179">
        <f t="shared" si="79"/>
        <v>146</v>
      </c>
      <c r="P744" s="180">
        <f t="shared" si="74"/>
        <v>161</v>
      </c>
      <c r="Q744" s="181">
        <f t="shared" si="75"/>
        <v>0.19397590361445782</v>
      </c>
      <c r="R744" s="122">
        <f t="shared" si="76"/>
        <v>32.200000000000003</v>
      </c>
      <c r="S744" s="122">
        <f t="shared" si="77"/>
        <v>0.15518072289156626</v>
      </c>
      <c r="T744" s="133">
        <v>0.15</v>
      </c>
    </row>
    <row r="745" spans="1:20" ht="15.75" customHeight="1" x14ac:dyDescent="0.3">
      <c r="A745" s="194" t="s">
        <v>59</v>
      </c>
      <c r="B745" s="176" t="s">
        <v>730</v>
      </c>
      <c r="C745" s="176" t="s">
        <v>80</v>
      </c>
      <c r="D745" s="176" t="s">
        <v>590</v>
      </c>
      <c r="E745" s="177">
        <v>1</v>
      </c>
      <c r="F745" s="176" t="s">
        <v>591</v>
      </c>
      <c r="G745" s="178"/>
      <c r="H745" s="176"/>
      <c r="I745" s="176" t="s">
        <v>500</v>
      </c>
      <c r="J745" s="176"/>
      <c r="K745" s="176" t="s">
        <v>593</v>
      </c>
      <c r="L745" s="176"/>
      <c r="M745" s="176"/>
      <c r="N745" s="179">
        <f t="shared" si="78"/>
        <v>14.5</v>
      </c>
      <c r="O745" s="179">
        <f t="shared" si="79"/>
        <v>78</v>
      </c>
      <c r="P745" s="180">
        <f t="shared" si="74"/>
        <v>92.5</v>
      </c>
      <c r="Q745" s="181">
        <f t="shared" si="75"/>
        <v>0.11144578313253012</v>
      </c>
      <c r="R745" s="122">
        <f t="shared" si="76"/>
        <v>18.5</v>
      </c>
      <c r="S745" s="122">
        <f t="shared" si="77"/>
        <v>8.91566265060241E-2</v>
      </c>
      <c r="T745" s="133">
        <v>0</v>
      </c>
    </row>
    <row r="746" spans="1:20" ht="15.75" hidden="1" customHeight="1" x14ac:dyDescent="0.3">
      <c r="A746" s="194" t="s">
        <v>59</v>
      </c>
      <c r="B746" s="176" t="s">
        <v>402</v>
      </c>
      <c r="C746" s="176" t="s">
        <v>73</v>
      </c>
      <c r="D746" s="176" t="s">
        <v>620</v>
      </c>
      <c r="E746" s="177">
        <v>20</v>
      </c>
      <c r="F746" s="176" t="s">
        <v>621</v>
      </c>
      <c r="G746" s="177">
        <v>20</v>
      </c>
      <c r="H746" s="176" t="s">
        <v>627</v>
      </c>
      <c r="I746" s="176" t="s">
        <v>576</v>
      </c>
      <c r="J746" s="176"/>
      <c r="K746" s="176" t="s">
        <v>593</v>
      </c>
      <c r="L746" s="176"/>
      <c r="M746" s="176"/>
      <c r="N746" s="179">
        <f t="shared" si="78"/>
        <v>175</v>
      </c>
      <c r="O746" s="179">
        <f t="shared" si="79"/>
        <v>120</v>
      </c>
      <c r="P746" s="180">
        <f t="shared" si="74"/>
        <v>295</v>
      </c>
      <c r="Q746" s="181">
        <f t="shared" si="75"/>
        <v>0.35542168674698793</v>
      </c>
      <c r="R746" s="122">
        <f t="shared" si="76"/>
        <v>59</v>
      </c>
      <c r="S746" s="122">
        <f t="shared" si="77"/>
        <v>0.28433734939759037</v>
      </c>
      <c r="T746" s="133">
        <v>0.25</v>
      </c>
    </row>
    <row r="747" spans="1:20" ht="15.75" hidden="1" customHeight="1" x14ac:dyDescent="0.3">
      <c r="A747" s="194" t="s">
        <v>59</v>
      </c>
      <c r="B747" s="176" t="s">
        <v>402</v>
      </c>
      <c r="C747" s="176" t="s">
        <v>79</v>
      </c>
      <c r="D747" s="176" t="s">
        <v>620</v>
      </c>
      <c r="E747" s="177">
        <v>48</v>
      </c>
      <c r="F747" s="176" t="s">
        <v>621</v>
      </c>
      <c r="G747" s="177">
        <v>48</v>
      </c>
      <c r="H747" s="176" t="s">
        <v>627</v>
      </c>
      <c r="I747" s="176" t="s">
        <v>576</v>
      </c>
      <c r="J747" s="176"/>
      <c r="K747" s="176" t="s">
        <v>593</v>
      </c>
      <c r="L747" s="176"/>
      <c r="M747" s="176"/>
      <c r="N747" s="179">
        <f t="shared" si="78"/>
        <v>175</v>
      </c>
      <c r="O747" s="179">
        <f t="shared" si="79"/>
        <v>120</v>
      </c>
      <c r="P747" s="180">
        <f t="shared" si="74"/>
        <v>295</v>
      </c>
      <c r="Q747" s="181">
        <f t="shared" si="75"/>
        <v>0.35542168674698793</v>
      </c>
      <c r="R747" s="122">
        <f t="shared" si="76"/>
        <v>59</v>
      </c>
      <c r="S747" s="122">
        <f t="shared" si="77"/>
        <v>0.28433734939759037</v>
      </c>
      <c r="T747" s="133">
        <v>0.25</v>
      </c>
    </row>
    <row r="748" spans="1:20" ht="15.75" hidden="1" customHeight="1" x14ac:dyDescent="0.3">
      <c r="A748" s="194" t="s">
        <v>59</v>
      </c>
      <c r="B748" s="176" t="s">
        <v>402</v>
      </c>
      <c r="C748" s="176" t="s">
        <v>111</v>
      </c>
      <c r="D748" s="176" t="s">
        <v>620</v>
      </c>
      <c r="E748" s="177">
        <v>6</v>
      </c>
      <c r="F748" s="176" t="s">
        <v>621</v>
      </c>
      <c r="G748" s="178"/>
      <c r="H748" s="176" t="s">
        <v>627</v>
      </c>
      <c r="I748" s="176" t="s">
        <v>576</v>
      </c>
      <c r="J748" s="176"/>
      <c r="K748" s="176" t="s">
        <v>593</v>
      </c>
      <c r="L748" s="176"/>
      <c r="M748" s="176"/>
      <c r="N748" s="179">
        <f t="shared" si="78"/>
        <v>175</v>
      </c>
      <c r="O748" s="179">
        <f t="shared" si="79"/>
        <v>120</v>
      </c>
      <c r="P748" s="180">
        <f t="shared" si="74"/>
        <v>295</v>
      </c>
      <c r="Q748" s="181">
        <f t="shared" si="75"/>
        <v>0.35542168674698793</v>
      </c>
      <c r="R748" s="122">
        <f t="shared" si="76"/>
        <v>59</v>
      </c>
      <c r="S748" s="122">
        <f t="shared" si="77"/>
        <v>0.28433734939759037</v>
      </c>
      <c r="T748" s="133">
        <v>0.25</v>
      </c>
    </row>
    <row r="749" spans="1:20" ht="15.75" hidden="1" customHeight="1" x14ac:dyDescent="0.3">
      <c r="A749" s="194" t="s">
        <v>59</v>
      </c>
      <c r="B749" s="188" t="s">
        <v>402</v>
      </c>
      <c r="C749" s="188" t="s">
        <v>111</v>
      </c>
      <c r="D749" s="188" t="s">
        <v>620</v>
      </c>
      <c r="E749" s="189">
        <v>3</v>
      </c>
      <c r="F749" s="188" t="s">
        <v>621</v>
      </c>
      <c r="G749" s="190"/>
      <c r="H749" s="188"/>
      <c r="I749" s="188" t="s">
        <v>510</v>
      </c>
      <c r="J749" s="176"/>
      <c r="K749" s="176" t="s">
        <v>593</v>
      </c>
      <c r="L749" s="176"/>
      <c r="M749" s="176"/>
      <c r="N749" s="179">
        <f t="shared" si="78"/>
        <v>337</v>
      </c>
      <c r="O749" s="179">
        <f t="shared" si="79"/>
        <v>205</v>
      </c>
      <c r="P749" s="180">
        <f t="shared" si="74"/>
        <v>542</v>
      </c>
      <c r="Q749" s="181">
        <f t="shared" si="75"/>
        <v>0.65301204819277103</v>
      </c>
      <c r="R749" s="122">
        <f t="shared" si="76"/>
        <v>108.4</v>
      </c>
      <c r="S749" s="122">
        <f t="shared" si="77"/>
        <v>0.52240963855421685</v>
      </c>
      <c r="T749" s="133">
        <v>0.65</v>
      </c>
    </row>
    <row r="750" spans="1:20" ht="15.75" hidden="1" customHeight="1" x14ac:dyDescent="0.3">
      <c r="A750" s="194" t="s">
        <v>59</v>
      </c>
      <c r="B750" s="176" t="s">
        <v>402</v>
      </c>
      <c r="C750" s="176" t="s">
        <v>80</v>
      </c>
      <c r="D750" s="176" t="s">
        <v>620</v>
      </c>
      <c r="E750" s="177">
        <v>2</v>
      </c>
      <c r="F750" s="176" t="s">
        <v>621</v>
      </c>
      <c r="G750" s="178"/>
      <c r="H750" s="176" t="s">
        <v>627</v>
      </c>
      <c r="I750" s="176" t="s">
        <v>576</v>
      </c>
      <c r="J750" s="176"/>
      <c r="K750" s="176" t="s">
        <v>593</v>
      </c>
      <c r="L750" s="176"/>
      <c r="M750" s="176"/>
      <c r="N750" s="179">
        <f t="shared" si="78"/>
        <v>175</v>
      </c>
      <c r="O750" s="179">
        <f t="shared" si="79"/>
        <v>120</v>
      </c>
      <c r="P750" s="180">
        <f t="shared" si="74"/>
        <v>295</v>
      </c>
      <c r="Q750" s="181">
        <f t="shared" si="75"/>
        <v>0.35542168674698793</v>
      </c>
      <c r="R750" s="122">
        <f t="shared" si="76"/>
        <v>59</v>
      </c>
      <c r="S750" s="122">
        <f t="shared" si="77"/>
        <v>0.28433734939759037</v>
      </c>
      <c r="T750" s="133">
        <v>0.25</v>
      </c>
    </row>
    <row r="751" spans="1:20" ht="15.75" customHeight="1" x14ac:dyDescent="0.3">
      <c r="A751" s="194" t="s">
        <v>59</v>
      </c>
      <c r="B751" s="176" t="s">
        <v>402</v>
      </c>
      <c r="C751" s="176" t="s">
        <v>80</v>
      </c>
      <c r="D751" s="176" t="s">
        <v>620</v>
      </c>
      <c r="E751" s="177">
        <v>1</v>
      </c>
      <c r="F751" s="176" t="s">
        <v>621</v>
      </c>
      <c r="G751" s="178"/>
      <c r="H751" s="176"/>
      <c r="I751" s="176" t="s">
        <v>500</v>
      </c>
      <c r="J751" s="176"/>
      <c r="K751" s="176" t="s">
        <v>593</v>
      </c>
      <c r="L751" s="176"/>
      <c r="M751" s="176"/>
      <c r="N751" s="179">
        <f t="shared" si="78"/>
        <v>14.5</v>
      </c>
      <c r="O751" s="179">
        <f t="shared" si="79"/>
        <v>78</v>
      </c>
      <c r="P751" s="180">
        <f t="shared" si="74"/>
        <v>92.5</v>
      </c>
      <c r="Q751" s="181">
        <f t="shared" si="75"/>
        <v>0.11144578313253012</v>
      </c>
      <c r="R751" s="122">
        <f t="shared" si="76"/>
        <v>18.5</v>
      </c>
      <c r="S751" s="122">
        <f t="shared" si="77"/>
        <v>8.91566265060241E-2</v>
      </c>
      <c r="T751" s="133">
        <v>0</v>
      </c>
    </row>
    <row r="752" spans="1:20" ht="15.75" hidden="1" customHeight="1" x14ac:dyDescent="0.3">
      <c r="A752" s="194" t="s">
        <v>59</v>
      </c>
      <c r="B752" s="176" t="s">
        <v>404</v>
      </c>
      <c r="C752" s="176" t="s">
        <v>73</v>
      </c>
      <c r="D752" s="176" t="s">
        <v>666</v>
      </c>
      <c r="E752" s="177">
        <v>24</v>
      </c>
      <c r="F752" s="176" t="s">
        <v>667</v>
      </c>
      <c r="G752" s="177">
        <v>24</v>
      </c>
      <c r="H752" s="176" t="s">
        <v>623</v>
      </c>
      <c r="I752" s="176" t="s">
        <v>564</v>
      </c>
      <c r="J752" s="176"/>
      <c r="K752" s="176" t="s">
        <v>593</v>
      </c>
      <c r="L752" s="176"/>
      <c r="M752" s="176"/>
      <c r="N752" s="179">
        <f t="shared" si="78"/>
        <v>456</v>
      </c>
      <c r="O752" s="179">
        <f t="shared" si="79"/>
        <v>384</v>
      </c>
      <c r="P752" s="180">
        <f t="shared" si="74"/>
        <v>840</v>
      </c>
      <c r="Q752" s="181">
        <f t="shared" si="75"/>
        <v>1.0120481927710843</v>
      </c>
      <c r="R752" s="122">
        <f t="shared" si="76"/>
        <v>168</v>
      </c>
      <c r="S752" s="122">
        <f t="shared" si="77"/>
        <v>0.80963855421686748</v>
      </c>
      <c r="T752" s="133">
        <v>0.8</v>
      </c>
    </row>
    <row r="753" spans="1:20" ht="15.75" hidden="1" customHeight="1" x14ac:dyDescent="0.3">
      <c r="A753" s="194" t="s">
        <v>59</v>
      </c>
      <c r="B753" s="176" t="s">
        <v>404</v>
      </c>
      <c r="C753" s="176" t="s">
        <v>87</v>
      </c>
      <c r="D753" s="176" t="s">
        <v>666</v>
      </c>
      <c r="E753" s="177">
        <v>4</v>
      </c>
      <c r="F753" s="176" t="s">
        <v>667</v>
      </c>
      <c r="G753" s="178"/>
      <c r="H753" s="176" t="s">
        <v>623</v>
      </c>
      <c r="I753" s="176" t="s">
        <v>564</v>
      </c>
      <c r="J753" s="176"/>
      <c r="K753" s="176" t="s">
        <v>593</v>
      </c>
      <c r="L753" s="176"/>
      <c r="M753" s="176"/>
      <c r="N753" s="179">
        <f t="shared" si="78"/>
        <v>456</v>
      </c>
      <c r="O753" s="179">
        <f t="shared" si="79"/>
        <v>384</v>
      </c>
      <c r="P753" s="180">
        <f t="shared" si="74"/>
        <v>840</v>
      </c>
      <c r="Q753" s="181">
        <f t="shared" si="75"/>
        <v>1.0120481927710843</v>
      </c>
      <c r="R753" s="122">
        <f t="shared" si="76"/>
        <v>168</v>
      </c>
      <c r="S753" s="122">
        <f t="shared" si="77"/>
        <v>0.80963855421686748</v>
      </c>
      <c r="T753" s="133">
        <v>0.8</v>
      </c>
    </row>
    <row r="754" spans="1:20" ht="15.75" customHeight="1" x14ac:dyDescent="0.3">
      <c r="A754" s="194" t="s">
        <v>59</v>
      </c>
      <c r="B754" s="176" t="s">
        <v>404</v>
      </c>
      <c r="C754" s="176" t="s">
        <v>87</v>
      </c>
      <c r="D754" s="176" t="s">
        <v>666</v>
      </c>
      <c r="E754" s="177">
        <v>2</v>
      </c>
      <c r="F754" s="176" t="s">
        <v>667</v>
      </c>
      <c r="G754" s="178"/>
      <c r="H754" s="176"/>
      <c r="I754" s="176" t="s">
        <v>500</v>
      </c>
      <c r="J754" s="176"/>
      <c r="K754" s="176" t="s">
        <v>593</v>
      </c>
      <c r="L754" s="176"/>
      <c r="M754" s="176"/>
      <c r="N754" s="179">
        <f t="shared" si="78"/>
        <v>14.5</v>
      </c>
      <c r="O754" s="179">
        <f t="shared" si="79"/>
        <v>78</v>
      </c>
      <c r="P754" s="180">
        <f t="shared" si="74"/>
        <v>92.5</v>
      </c>
      <c r="Q754" s="181">
        <f t="shared" si="75"/>
        <v>0.11144578313253012</v>
      </c>
      <c r="R754" s="122">
        <f t="shared" si="76"/>
        <v>18.5</v>
      </c>
      <c r="S754" s="122">
        <f t="shared" si="77"/>
        <v>8.91566265060241E-2</v>
      </c>
      <c r="T754" s="133">
        <v>0</v>
      </c>
    </row>
    <row r="755" spans="1:20" ht="15.75" hidden="1" customHeight="1" x14ac:dyDescent="0.3">
      <c r="A755" s="194" t="s">
        <v>59</v>
      </c>
      <c r="B755" s="176" t="s">
        <v>404</v>
      </c>
      <c r="C755" s="176" t="s">
        <v>79</v>
      </c>
      <c r="D755" s="176" t="s">
        <v>666</v>
      </c>
      <c r="E755" s="177">
        <v>40</v>
      </c>
      <c r="F755" s="176" t="s">
        <v>667</v>
      </c>
      <c r="G755" s="177">
        <v>40</v>
      </c>
      <c r="H755" s="176" t="s">
        <v>623</v>
      </c>
      <c r="I755" s="176" t="s">
        <v>564</v>
      </c>
      <c r="J755" s="176"/>
      <c r="K755" s="176" t="s">
        <v>593</v>
      </c>
      <c r="L755" s="176"/>
      <c r="M755" s="176"/>
      <c r="N755" s="179">
        <f t="shared" si="78"/>
        <v>456</v>
      </c>
      <c r="O755" s="179">
        <f t="shared" si="79"/>
        <v>384</v>
      </c>
      <c r="P755" s="180">
        <f t="shared" si="74"/>
        <v>840</v>
      </c>
      <c r="Q755" s="181">
        <f t="shared" si="75"/>
        <v>1.0120481927710843</v>
      </c>
      <c r="R755" s="122">
        <f t="shared" si="76"/>
        <v>168</v>
      </c>
      <c r="S755" s="122">
        <f t="shared" si="77"/>
        <v>0.80963855421686748</v>
      </c>
      <c r="T755" s="133">
        <v>0.8</v>
      </c>
    </row>
    <row r="756" spans="1:20" ht="15.75" hidden="1" customHeight="1" x14ac:dyDescent="0.3">
      <c r="A756" s="194" t="s">
        <v>59</v>
      </c>
      <c r="B756" s="176" t="s">
        <v>404</v>
      </c>
      <c r="C756" s="176" t="s">
        <v>80</v>
      </c>
      <c r="D756" s="176" t="s">
        <v>666</v>
      </c>
      <c r="E756" s="177">
        <v>1</v>
      </c>
      <c r="F756" s="176" t="s">
        <v>667</v>
      </c>
      <c r="G756" s="178"/>
      <c r="H756" s="176" t="s">
        <v>623</v>
      </c>
      <c r="I756" s="176" t="s">
        <v>564</v>
      </c>
      <c r="J756" s="176"/>
      <c r="K756" s="176" t="s">
        <v>593</v>
      </c>
      <c r="L756" s="176"/>
      <c r="M756" s="176"/>
      <c r="N756" s="179">
        <f t="shared" si="78"/>
        <v>456</v>
      </c>
      <c r="O756" s="179">
        <f t="shared" si="79"/>
        <v>384</v>
      </c>
      <c r="P756" s="180">
        <f t="shared" si="74"/>
        <v>840</v>
      </c>
      <c r="Q756" s="181">
        <f t="shared" si="75"/>
        <v>1.0120481927710843</v>
      </c>
      <c r="R756" s="122">
        <f t="shared" si="76"/>
        <v>168</v>
      </c>
      <c r="S756" s="122">
        <f t="shared" si="77"/>
        <v>0.80963855421686748</v>
      </c>
      <c r="T756" s="133">
        <v>0.8</v>
      </c>
    </row>
    <row r="757" spans="1:20" ht="15.75" hidden="1" customHeight="1" x14ac:dyDescent="0.3">
      <c r="A757" s="194" t="s">
        <v>59</v>
      </c>
      <c r="B757" s="176" t="s">
        <v>405</v>
      </c>
      <c r="C757" s="176" t="s">
        <v>73</v>
      </c>
      <c r="D757" s="176" t="s">
        <v>590</v>
      </c>
      <c r="E757" s="177">
        <v>12</v>
      </c>
      <c r="F757" s="176" t="s">
        <v>591</v>
      </c>
      <c r="G757" s="177">
        <v>12</v>
      </c>
      <c r="H757" s="176" t="s">
        <v>682</v>
      </c>
      <c r="I757" s="176" t="s">
        <v>497</v>
      </c>
      <c r="J757" s="176"/>
      <c r="K757" s="176" t="s">
        <v>593</v>
      </c>
      <c r="L757" s="176"/>
      <c r="M757" s="176"/>
      <c r="N757" s="179">
        <f t="shared" si="78"/>
        <v>180</v>
      </c>
      <c r="O757" s="179">
        <f t="shared" si="79"/>
        <v>129</v>
      </c>
      <c r="P757" s="180">
        <f t="shared" si="74"/>
        <v>309</v>
      </c>
      <c r="Q757" s="181">
        <f t="shared" si="75"/>
        <v>0.37228915662650602</v>
      </c>
      <c r="R757" s="122">
        <f t="shared" si="76"/>
        <v>61.800000000000004</v>
      </c>
      <c r="S757" s="122">
        <f t="shared" si="77"/>
        <v>0.29783132530120482</v>
      </c>
      <c r="T757" s="133">
        <v>0.3</v>
      </c>
    </row>
    <row r="758" spans="1:20" ht="15.75" hidden="1" customHeight="1" x14ac:dyDescent="0.3">
      <c r="A758" s="194" t="s">
        <v>59</v>
      </c>
      <c r="B758" s="176" t="s">
        <v>405</v>
      </c>
      <c r="C758" s="176" t="s">
        <v>79</v>
      </c>
      <c r="D758" s="176" t="s">
        <v>590</v>
      </c>
      <c r="E758" s="177">
        <v>24</v>
      </c>
      <c r="F758" s="176" t="s">
        <v>591</v>
      </c>
      <c r="G758" s="177">
        <v>24</v>
      </c>
      <c r="H758" s="176" t="s">
        <v>682</v>
      </c>
      <c r="I758" s="176" t="s">
        <v>497</v>
      </c>
      <c r="J758" s="176"/>
      <c r="K758" s="176" t="s">
        <v>593</v>
      </c>
      <c r="L758" s="176"/>
      <c r="M758" s="176"/>
      <c r="N758" s="179">
        <f t="shared" si="78"/>
        <v>180</v>
      </c>
      <c r="O758" s="179">
        <f t="shared" si="79"/>
        <v>129</v>
      </c>
      <c r="P758" s="180">
        <f t="shared" si="74"/>
        <v>309</v>
      </c>
      <c r="Q758" s="181">
        <f t="shared" si="75"/>
        <v>0.37228915662650602</v>
      </c>
      <c r="R758" s="122">
        <f t="shared" si="76"/>
        <v>61.800000000000004</v>
      </c>
      <c r="S758" s="122">
        <f t="shared" si="77"/>
        <v>0.29783132530120482</v>
      </c>
      <c r="T758" s="133">
        <v>0.3</v>
      </c>
    </row>
    <row r="759" spans="1:20" ht="15.75" hidden="1" customHeight="1" x14ac:dyDescent="0.3">
      <c r="A759" s="194" t="s">
        <v>59</v>
      </c>
      <c r="B759" s="176" t="s">
        <v>405</v>
      </c>
      <c r="C759" s="176" t="s">
        <v>142</v>
      </c>
      <c r="D759" s="176" t="s">
        <v>590</v>
      </c>
      <c r="E759" s="177">
        <v>2</v>
      </c>
      <c r="F759" s="176" t="s">
        <v>591</v>
      </c>
      <c r="G759" s="178"/>
      <c r="H759" s="176" t="s">
        <v>682</v>
      </c>
      <c r="I759" s="176" t="s">
        <v>497</v>
      </c>
      <c r="J759" s="176"/>
      <c r="K759" s="176" t="s">
        <v>593</v>
      </c>
      <c r="L759" s="176"/>
      <c r="M759" s="176"/>
      <c r="N759" s="179">
        <f t="shared" si="78"/>
        <v>180</v>
      </c>
      <c r="O759" s="179">
        <f t="shared" si="79"/>
        <v>129</v>
      </c>
      <c r="P759" s="180">
        <f t="shared" si="74"/>
        <v>309</v>
      </c>
      <c r="Q759" s="181">
        <f t="shared" si="75"/>
        <v>0.37228915662650602</v>
      </c>
      <c r="R759" s="122">
        <f t="shared" si="76"/>
        <v>61.800000000000004</v>
      </c>
      <c r="S759" s="122">
        <f t="shared" si="77"/>
        <v>0.29783132530120482</v>
      </c>
      <c r="T759" s="133">
        <v>0.3</v>
      </c>
    </row>
    <row r="760" spans="1:20" ht="15.75" customHeight="1" x14ac:dyDescent="0.3">
      <c r="A760" s="194" t="s">
        <v>59</v>
      </c>
      <c r="B760" s="176" t="s">
        <v>405</v>
      </c>
      <c r="C760" s="176" t="s">
        <v>142</v>
      </c>
      <c r="D760" s="176" t="s">
        <v>590</v>
      </c>
      <c r="E760" s="177">
        <v>1</v>
      </c>
      <c r="F760" s="176" t="s">
        <v>591</v>
      </c>
      <c r="G760" s="178"/>
      <c r="H760" s="176"/>
      <c r="I760" s="176" t="s">
        <v>500</v>
      </c>
      <c r="J760" s="176"/>
      <c r="K760" s="176" t="s">
        <v>593</v>
      </c>
      <c r="L760" s="176"/>
      <c r="M760" s="176"/>
      <c r="N760" s="179">
        <f t="shared" si="78"/>
        <v>14.5</v>
      </c>
      <c r="O760" s="179">
        <f t="shared" si="79"/>
        <v>78</v>
      </c>
      <c r="P760" s="180">
        <f t="shared" si="74"/>
        <v>92.5</v>
      </c>
      <c r="Q760" s="181">
        <f t="shared" si="75"/>
        <v>0.11144578313253012</v>
      </c>
      <c r="R760" s="122">
        <f t="shared" si="76"/>
        <v>18.5</v>
      </c>
      <c r="S760" s="122">
        <f t="shared" si="77"/>
        <v>8.91566265060241E-2</v>
      </c>
      <c r="T760" s="133">
        <v>0</v>
      </c>
    </row>
    <row r="761" spans="1:20" ht="15.75" hidden="1" customHeight="1" x14ac:dyDescent="0.3">
      <c r="A761" s="194" t="s">
        <v>59</v>
      </c>
      <c r="B761" s="176" t="s">
        <v>405</v>
      </c>
      <c r="C761" s="176" t="s">
        <v>80</v>
      </c>
      <c r="D761" s="176" t="s">
        <v>590</v>
      </c>
      <c r="E761" s="177">
        <v>1</v>
      </c>
      <c r="F761" s="176" t="s">
        <v>591</v>
      </c>
      <c r="G761" s="178"/>
      <c r="H761" s="176" t="s">
        <v>682</v>
      </c>
      <c r="I761" s="176" t="s">
        <v>497</v>
      </c>
      <c r="J761" s="176"/>
      <c r="K761" s="176" t="s">
        <v>593</v>
      </c>
      <c r="L761" s="176"/>
      <c r="M761" s="176"/>
      <c r="N761" s="179">
        <f t="shared" si="78"/>
        <v>180</v>
      </c>
      <c r="O761" s="179">
        <f t="shared" si="79"/>
        <v>129</v>
      </c>
      <c r="P761" s="180">
        <f t="shared" si="74"/>
        <v>309</v>
      </c>
      <c r="Q761" s="181">
        <f t="shared" si="75"/>
        <v>0.37228915662650602</v>
      </c>
      <c r="R761" s="122">
        <f t="shared" si="76"/>
        <v>61.800000000000004</v>
      </c>
      <c r="S761" s="122">
        <f t="shared" si="77"/>
        <v>0.29783132530120482</v>
      </c>
      <c r="T761" s="133">
        <v>0.3</v>
      </c>
    </row>
    <row r="762" spans="1:20" ht="15.75" hidden="1" customHeight="1" x14ac:dyDescent="0.3">
      <c r="A762" s="194" t="s">
        <v>59</v>
      </c>
      <c r="B762" s="188" t="s">
        <v>731</v>
      </c>
      <c r="C762" s="188" t="s">
        <v>732</v>
      </c>
      <c r="D762" s="188" t="s">
        <v>595</v>
      </c>
      <c r="E762" s="189">
        <v>18</v>
      </c>
      <c r="F762" s="188"/>
      <c r="G762" s="190"/>
      <c r="H762" s="188"/>
      <c r="I762" s="188" t="s">
        <v>510</v>
      </c>
      <c r="J762" s="176"/>
      <c r="K762" s="176" t="s">
        <v>593</v>
      </c>
      <c r="L762" s="176"/>
      <c r="M762" s="176"/>
      <c r="N762" s="179">
        <f t="shared" si="78"/>
        <v>337</v>
      </c>
      <c r="O762" s="179">
        <f t="shared" si="79"/>
        <v>205</v>
      </c>
      <c r="P762" s="180">
        <f t="shared" si="74"/>
        <v>542</v>
      </c>
      <c r="Q762" s="181">
        <f t="shared" si="75"/>
        <v>0.65301204819277103</v>
      </c>
      <c r="R762" s="122">
        <f t="shared" si="76"/>
        <v>108.4</v>
      </c>
      <c r="S762" s="122">
        <f t="shared" si="77"/>
        <v>0.52240963855421685</v>
      </c>
      <c r="T762" s="133">
        <v>0.65</v>
      </c>
    </row>
    <row r="763" spans="1:20" ht="15.75" hidden="1" customHeight="1" x14ac:dyDescent="0.3">
      <c r="A763" s="194" t="s">
        <v>59</v>
      </c>
      <c r="B763" s="188" t="s">
        <v>731</v>
      </c>
      <c r="C763" s="188" t="s">
        <v>732</v>
      </c>
      <c r="D763" s="188" t="s">
        <v>599</v>
      </c>
      <c r="E763" s="189">
        <v>14</v>
      </c>
      <c r="F763" s="188"/>
      <c r="G763" s="190"/>
      <c r="H763" s="188"/>
      <c r="I763" s="188" t="s">
        <v>510</v>
      </c>
      <c r="J763" s="176"/>
      <c r="K763" s="176" t="s">
        <v>593</v>
      </c>
      <c r="L763" s="176"/>
      <c r="M763" s="176"/>
      <c r="N763" s="179">
        <f t="shared" si="78"/>
        <v>337</v>
      </c>
      <c r="O763" s="179">
        <f t="shared" si="79"/>
        <v>205</v>
      </c>
      <c r="P763" s="180">
        <f t="shared" si="74"/>
        <v>542</v>
      </c>
      <c r="Q763" s="181">
        <f t="shared" si="75"/>
        <v>0.65301204819277103</v>
      </c>
      <c r="R763" s="122">
        <f t="shared" si="76"/>
        <v>108.4</v>
      </c>
      <c r="S763" s="122">
        <f t="shared" si="77"/>
        <v>0.52240963855421685</v>
      </c>
      <c r="T763" s="133">
        <v>0.65</v>
      </c>
    </row>
    <row r="764" spans="1:20" ht="15.75" hidden="1" customHeight="1" x14ac:dyDescent="0.3">
      <c r="A764" s="194" t="s">
        <v>59</v>
      </c>
      <c r="B764" s="188" t="s">
        <v>731</v>
      </c>
      <c r="C764" s="188" t="s">
        <v>732</v>
      </c>
      <c r="D764" s="188" t="s">
        <v>624</v>
      </c>
      <c r="E764" s="189">
        <v>18</v>
      </c>
      <c r="F764" s="188"/>
      <c r="G764" s="190"/>
      <c r="H764" s="188"/>
      <c r="I764" s="188" t="s">
        <v>510</v>
      </c>
      <c r="J764" s="176"/>
      <c r="K764" s="176" t="s">
        <v>593</v>
      </c>
      <c r="L764" s="176"/>
      <c r="M764" s="176"/>
      <c r="N764" s="179">
        <f t="shared" si="78"/>
        <v>337</v>
      </c>
      <c r="O764" s="179">
        <f t="shared" si="79"/>
        <v>205</v>
      </c>
      <c r="P764" s="180">
        <f t="shared" si="74"/>
        <v>542</v>
      </c>
      <c r="Q764" s="181">
        <f t="shared" si="75"/>
        <v>0.65301204819277103</v>
      </c>
      <c r="R764" s="122">
        <f t="shared" si="76"/>
        <v>108.4</v>
      </c>
      <c r="S764" s="122">
        <f t="shared" si="77"/>
        <v>0.52240963855421685</v>
      </c>
      <c r="T764" s="133">
        <v>0.65</v>
      </c>
    </row>
    <row r="765" spans="1:20" ht="15.75" hidden="1" customHeight="1" x14ac:dyDescent="0.3">
      <c r="A765" s="194" t="s">
        <v>59</v>
      </c>
      <c r="B765" s="176" t="s">
        <v>686</v>
      </c>
      <c r="C765" s="176" t="s">
        <v>406</v>
      </c>
      <c r="D765" s="176" t="s">
        <v>679</v>
      </c>
      <c r="E765" s="177">
        <v>10</v>
      </c>
      <c r="F765" s="176"/>
      <c r="G765" s="178"/>
      <c r="H765" s="176" t="s">
        <v>642</v>
      </c>
      <c r="I765" s="176" t="s">
        <v>572</v>
      </c>
      <c r="J765" s="176"/>
      <c r="K765" s="176" t="s">
        <v>593</v>
      </c>
      <c r="L765" s="176"/>
      <c r="M765" s="176" t="s">
        <v>681</v>
      </c>
      <c r="N765" s="179">
        <f t="shared" si="78"/>
        <v>410</v>
      </c>
      <c r="O765" s="179">
        <f t="shared" si="79"/>
        <v>260</v>
      </c>
      <c r="P765" s="180">
        <f t="shared" si="74"/>
        <v>670</v>
      </c>
      <c r="Q765" s="181">
        <f t="shared" si="75"/>
        <v>0.80722891566265065</v>
      </c>
      <c r="R765" s="122">
        <f t="shared" si="76"/>
        <v>134</v>
      </c>
      <c r="S765" s="122">
        <f t="shared" si="77"/>
        <v>0.64578313253012054</v>
      </c>
      <c r="T765" s="133">
        <v>0.55000000000000004</v>
      </c>
    </row>
    <row r="766" spans="1:20" ht="15.75" hidden="1" customHeight="1" x14ac:dyDescent="0.3">
      <c r="A766" s="194" t="s">
        <v>59</v>
      </c>
      <c r="B766" s="176" t="s">
        <v>686</v>
      </c>
      <c r="C766" s="176" t="s">
        <v>406</v>
      </c>
      <c r="D766" s="176" t="s">
        <v>679</v>
      </c>
      <c r="E766" s="177">
        <v>10</v>
      </c>
      <c r="F766" s="176"/>
      <c r="G766" s="178"/>
      <c r="H766" s="176" t="s">
        <v>682</v>
      </c>
      <c r="I766" s="176" t="s">
        <v>497</v>
      </c>
      <c r="J766" s="176"/>
      <c r="K766" s="176" t="s">
        <v>593</v>
      </c>
      <c r="L766" s="176"/>
      <c r="M766" s="176" t="s">
        <v>683</v>
      </c>
      <c r="N766" s="179">
        <f t="shared" si="78"/>
        <v>180</v>
      </c>
      <c r="O766" s="179">
        <f t="shared" si="79"/>
        <v>129</v>
      </c>
      <c r="P766" s="180">
        <f t="shared" si="74"/>
        <v>309</v>
      </c>
      <c r="Q766" s="181">
        <f t="shared" si="75"/>
        <v>0.37228915662650602</v>
      </c>
      <c r="R766" s="122">
        <f t="shared" si="76"/>
        <v>61.800000000000004</v>
      </c>
      <c r="S766" s="122">
        <f t="shared" si="77"/>
        <v>0.29783132530120482</v>
      </c>
      <c r="T766" s="133">
        <v>0.3</v>
      </c>
    </row>
    <row r="767" spans="1:20" ht="15.75" hidden="1" customHeight="1" x14ac:dyDescent="0.3">
      <c r="A767" s="194" t="s">
        <v>59</v>
      </c>
      <c r="B767" s="176" t="s">
        <v>686</v>
      </c>
      <c r="C767" s="176" t="s">
        <v>406</v>
      </c>
      <c r="D767" s="176" t="s">
        <v>670</v>
      </c>
      <c r="E767" s="177">
        <v>20</v>
      </c>
      <c r="F767" s="176"/>
      <c r="G767" s="178"/>
      <c r="H767" s="176" t="s">
        <v>604</v>
      </c>
      <c r="I767" s="176" t="s">
        <v>578</v>
      </c>
      <c r="J767" s="176"/>
      <c r="K767" s="176" t="s">
        <v>593</v>
      </c>
      <c r="L767" s="176"/>
      <c r="M767" s="176" t="s">
        <v>687</v>
      </c>
      <c r="N767" s="179">
        <f t="shared" si="78"/>
        <v>381</v>
      </c>
      <c r="O767" s="179">
        <f t="shared" si="79"/>
        <v>162</v>
      </c>
      <c r="P767" s="180">
        <f t="shared" si="74"/>
        <v>543</v>
      </c>
      <c r="Q767" s="181">
        <f t="shared" si="75"/>
        <v>0.6542168674698795</v>
      </c>
      <c r="R767" s="122">
        <f t="shared" si="76"/>
        <v>108.60000000000001</v>
      </c>
      <c r="S767" s="122">
        <f t="shared" si="77"/>
        <v>0.5233734939759036</v>
      </c>
      <c r="T767" s="133">
        <v>0.5</v>
      </c>
    </row>
    <row r="768" spans="1:20" ht="15.75" hidden="1" customHeight="1" x14ac:dyDescent="0.3">
      <c r="A768" s="194" t="s">
        <v>59</v>
      </c>
      <c r="B768" s="176" t="s">
        <v>686</v>
      </c>
      <c r="C768" s="176" t="s">
        <v>406</v>
      </c>
      <c r="D768" s="176" t="s">
        <v>673</v>
      </c>
      <c r="E768" s="177">
        <v>20</v>
      </c>
      <c r="F768" s="176"/>
      <c r="G768" s="178"/>
      <c r="H768" s="176" t="s">
        <v>622</v>
      </c>
      <c r="I768" s="176" t="s">
        <v>562</v>
      </c>
      <c r="J768" s="176"/>
      <c r="K768" s="176" t="s">
        <v>593</v>
      </c>
      <c r="L768" s="176"/>
      <c r="M768" s="176" t="s">
        <v>715</v>
      </c>
      <c r="N768" s="179">
        <f t="shared" si="78"/>
        <v>438</v>
      </c>
      <c r="O768" s="179">
        <f t="shared" si="79"/>
        <v>361</v>
      </c>
      <c r="P768" s="180">
        <f t="shared" si="74"/>
        <v>799</v>
      </c>
      <c r="Q768" s="181">
        <f t="shared" si="75"/>
        <v>0.96265060240963851</v>
      </c>
      <c r="R768" s="122">
        <f t="shared" si="76"/>
        <v>159.80000000000001</v>
      </c>
      <c r="S768" s="122">
        <f t="shared" si="77"/>
        <v>0.77012048192771088</v>
      </c>
      <c r="T768" s="133">
        <v>0.75</v>
      </c>
    </row>
    <row r="769" spans="1:20" ht="15.75" hidden="1" customHeight="1" x14ac:dyDescent="0.3">
      <c r="A769" s="194" t="s">
        <v>59</v>
      </c>
      <c r="B769" s="176" t="s">
        <v>686</v>
      </c>
      <c r="C769" s="176" t="s">
        <v>406</v>
      </c>
      <c r="D769" s="176" t="s">
        <v>676</v>
      </c>
      <c r="E769" s="177">
        <v>20</v>
      </c>
      <c r="F769" s="176"/>
      <c r="G769" s="178"/>
      <c r="H769" s="176" t="s">
        <v>646</v>
      </c>
      <c r="I769" s="176" t="s">
        <v>568</v>
      </c>
      <c r="J769" s="176"/>
      <c r="K769" s="176" t="s">
        <v>593</v>
      </c>
      <c r="L769" s="176"/>
      <c r="M769" s="176" t="s">
        <v>689</v>
      </c>
      <c r="N769" s="179">
        <f t="shared" si="78"/>
        <v>239</v>
      </c>
      <c r="O769" s="179">
        <f t="shared" si="79"/>
        <v>313</v>
      </c>
      <c r="P769" s="180">
        <f t="shared" si="74"/>
        <v>552</v>
      </c>
      <c r="Q769" s="181">
        <f t="shared" si="75"/>
        <v>0.66506024096385541</v>
      </c>
      <c r="R769" s="122">
        <f t="shared" si="76"/>
        <v>110.4</v>
      </c>
      <c r="S769" s="122">
        <f t="shared" si="77"/>
        <v>0.53204819277108439</v>
      </c>
      <c r="T769" s="133">
        <v>0.55000000000000004</v>
      </c>
    </row>
    <row r="770" spans="1:20" ht="15.75" hidden="1" customHeight="1" x14ac:dyDescent="0.3">
      <c r="A770" s="194" t="s">
        <v>59</v>
      </c>
      <c r="B770" s="176" t="s">
        <v>332</v>
      </c>
      <c r="C770" s="176" t="s">
        <v>406</v>
      </c>
      <c r="D770" s="176" t="s">
        <v>602</v>
      </c>
      <c r="E770" s="177">
        <v>30</v>
      </c>
      <c r="F770" s="176"/>
      <c r="G770" s="178"/>
      <c r="H770" s="176" t="s">
        <v>592</v>
      </c>
      <c r="I770" s="176" t="s">
        <v>561</v>
      </c>
      <c r="J770" s="176"/>
      <c r="K770" s="176" t="s">
        <v>593</v>
      </c>
      <c r="L770" s="176"/>
      <c r="M770" s="176"/>
      <c r="N770" s="179">
        <f t="shared" si="78"/>
        <v>442</v>
      </c>
      <c r="O770" s="179">
        <f t="shared" si="79"/>
        <v>269</v>
      </c>
      <c r="P770" s="180">
        <f t="shared" si="74"/>
        <v>711</v>
      </c>
      <c r="Q770" s="181">
        <f t="shared" si="75"/>
        <v>0.8566265060240964</v>
      </c>
      <c r="R770" s="122">
        <f t="shared" si="76"/>
        <v>142.20000000000002</v>
      </c>
      <c r="S770" s="122">
        <f t="shared" si="77"/>
        <v>0.68530120481927714</v>
      </c>
      <c r="T770" s="133">
        <v>0.7</v>
      </c>
    </row>
    <row r="771" spans="1:20" ht="15.75" hidden="1" customHeight="1" x14ac:dyDescent="0.3">
      <c r="A771" s="194" t="s">
        <v>59</v>
      </c>
      <c r="B771" s="176" t="s">
        <v>332</v>
      </c>
      <c r="C771" s="176" t="s">
        <v>406</v>
      </c>
      <c r="D771" s="176" t="s">
        <v>620</v>
      </c>
      <c r="E771" s="177">
        <v>30</v>
      </c>
      <c r="F771" s="176"/>
      <c r="G771" s="178"/>
      <c r="H771" s="176" t="s">
        <v>623</v>
      </c>
      <c r="I771" s="176" t="s">
        <v>564</v>
      </c>
      <c r="J771" s="176"/>
      <c r="K771" s="176" t="s">
        <v>593</v>
      </c>
      <c r="L771" s="176"/>
      <c r="M771" s="176"/>
      <c r="N771" s="179">
        <f t="shared" si="78"/>
        <v>456</v>
      </c>
      <c r="O771" s="179">
        <f t="shared" si="79"/>
        <v>384</v>
      </c>
      <c r="P771" s="180">
        <f t="shared" si="74"/>
        <v>840</v>
      </c>
      <c r="Q771" s="181">
        <f t="shared" si="75"/>
        <v>1.0120481927710843</v>
      </c>
      <c r="R771" s="122">
        <f t="shared" si="76"/>
        <v>168</v>
      </c>
      <c r="S771" s="122">
        <f t="shared" si="77"/>
        <v>0.80963855421686748</v>
      </c>
      <c r="T771" s="133">
        <v>0.8</v>
      </c>
    </row>
    <row r="772" spans="1:20" ht="15.75" hidden="1" customHeight="1" x14ac:dyDescent="0.3">
      <c r="A772" s="194" t="s">
        <v>59</v>
      </c>
      <c r="B772" s="176" t="s">
        <v>733</v>
      </c>
      <c r="C772" s="176" t="s">
        <v>406</v>
      </c>
      <c r="D772" s="176" t="s">
        <v>666</v>
      </c>
      <c r="E772" s="177">
        <v>60</v>
      </c>
      <c r="F772" s="176"/>
      <c r="G772" s="178"/>
      <c r="H772" s="176" t="s">
        <v>623</v>
      </c>
      <c r="I772" s="176" t="s">
        <v>564</v>
      </c>
      <c r="J772" s="176"/>
      <c r="K772" s="176" t="s">
        <v>593</v>
      </c>
      <c r="L772" s="176"/>
      <c r="M772" s="176"/>
      <c r="N772" s="179">
        <f t="shared" si="78"/>
        <v>456</v>
      </c>
      <c r="O772" s="179">
        <f t="shared" si="79"/>
        <v>384</v>
      </c>
      <c r="P772" s="180">
        <f t="shared" si="74"/>
        <v>840</v>
      </c>
      <c r="Q772" s="181">
        <f t="shared" si="75"/>
        <v>1.0120481927710843</v>
      </c>
      <c r="R772" s="122">
        <f t="shared" si="76"/>
        <v>168</v>
      </c>
      <c r="S772" s="122">
        <f t="shared" si="77"/>
        <v>0.80963855421686748</v>
      </c>
      <c r="T772" s="133">
        <v>0.8</v>
      </c>
    </row>
    <row r="773" spans="1:20" ht="15.75" hidden="1" customHeight="1" x14ac:dyDescent="0.3">
      <c r="A773" s="194" t="s">
        <v>59</v>
      </c>
      <c r="B773" s="176" t="s">
        <v>734</v>
      </c>
      <c r="C773" s="176" t="s">
        <v>406</v>
      </c>
      <c r="D773" s="176" t="s">
        <v>620</v>
      </c>
      <c r="E773" s="177">
        <v>30</v>
      </c>
      <c r="F773" s="176"/>
      <c r="G773" s="178"/>
      <c r="H773" s="176" t="s">
        <v>623</v>
      </c>
      <c r="I773" s="176" t="s">
        <v>564</v>
      </c>
      <c r="J773" s="176"/>
      <c r="K773" s="176" t="s">
        <v>593</v>
      </c>
      <c r="L773" s="176"/>
      <c r="M773" s="176"/>
      <c r="N773" s="179">
        <f t="shared" si="78"/>
        <v>456</v>
      </c>
      <c r="O773" s="179">
        <f t="shared" si="79"/>
        <v>384</v>
      </c>
      <c r="P773" s="180">
        <f t="shared" si="74"/>
        <v>840</v>
      </c>
      <c r="Q773" s="181">
        <f t="shared" si="75"/>
        <v>1.0120481927710843</v>
      </c>
      <c r="R773" s="122">
        <f t="shared" si="76"/>
        <v>168</v>
      </c>
      <c r="S773" s="122">
        <f t="shared" si="77"/>
        <v>0.80963855421686748</v>
      </c>
      <c r="T773" s="133">
        <v>0.8</v>
      </c>
    </row>
    <row r="774" spans="1:20" ht="15.75" hidden="1" customHeight="1" x14ac:dyDescent="0.3">
      <c r="A774" s="194" t="s">
        <v>59</v>
      </c>
      <c r="B774" s="176" t="s">
        <v>734</v>
      </c>
      <c r="C774" s="176" t="s">
        <v>406</v>
      </c>
      <c r="D774" s="176" t="s">
        <v>625</v>
      </c>
      <c r="E774" s="177">
        <v>60</v>
      </c>
      <c r="F774" s="176"/>
      <c r="G774" s="178"/>
      <c r="H774" s="176" t="s">
        <v>615</v>
      </c>
      <c r="I774" s="176" t="s">
        <v>570</v>
      </c>
      <c r="J774" s="176"/>
      <c r="K774" s="176" t="s">
        <v>593</v>
      </c>
      <c r="L774" s="176"/>
      <c r="M774" s="176"/>
      <c r="N774" s="179">
        <f t="shared" si="78"/>
        <v>279</v>
      </c>
      <c r="O774" s="179">
        <f t="shared" si="79"/>
        <v>431</v>
      </c>
      <c r="P774" s="180">
        <f t="shared" si="74"/>
        <v>710</v>
      </c>
      <c r="Q774" s="181">
        <f t="shared" si="75"/>
        <v>0.85542168674698793</v>
      </c>
      <c r="R774" s="122">
        <f t="shared" si="76"/>
        <v>142</v>
      </c>
      <c r="S774" s="122">
        <f t="shared" si="77"/>
        <v>0.68433734939759039</v>
      </c>
      <c r="T774" s="133">
        <v>0.65</v>
      </c>
    </row>
    <row r="775" spans="1:20" ht="15.75" hidden="1" customHeight="1" x14ac:dyDescent="0.3">
      <c r="A775" s="194" t="s">
        <v>59</v>
      </c>
      <c r="B775" s="176" t="s">
        <v>407</v>
      </c>
      <c r="C775" s="176" t="s">
        <v>406</v>
      </c>
      <c r="D775" s="176" t="s">
        <v>633</v>
      </c>
      <c r="E775" s="177">
        <v>60</v>
      </c>
      <c r="F775" s="176"/>
      <c r="G775" s="178"/>
      <c r="H775" s="176" t="s">
        <v>594</v>
      </c>
      <c r="I775" s="176" t="s">
        <v>358</v>
      </c>
      <c r="J775" s="176"/>
      <c r="K775" s="176" t="s">
        <v>593</v>
      </c>
      <c r="L775" s="176"/>
      <c r="M775" s="176"/>
      <c r="N775" s="179">
        <f t="shared" si="78"/>
        <v>111</v>
      </c>
      <c r="O775" s="179">
        <f t="shared" si="79"/>
        <v>265</v>
      </c>
      <c r="P775" s="180">
        <f t="shared" si="74"/>
        <v>376</v>
      </c>
      <c r="Q775" s="181">
        <f t="shared" si="75"/>
        <v>0.45301204819277108</v>
      </c>
      <c r="R775" s="122">
        <f t="shared" si="76"/>
        <v>75.2</v>
      </c>
      <c r="S775" s="122">
        <f t="shared" si="77"/>
        <v>0.36240963855421687</v>
      </c>
      <c r="T775" s="133">
        <v>0.45</v>
      </c>
    </row>
    <row r="776" spans="1:20" ht="15.75" hidden="1" customHeight="1" x14ac:dyDescent="0.3">
      <c r="A776" s="194" t="s">
        <v>59</v>
      </c>
      <c r="B776" s="176" t="s">
        <v>335</v>
      </c>
      <c r="C776" s="176" t="s">
        <v>406</v>
      </c>
      <c r="D776" s="176" t="s">
        <v>657</v>
      </c>
      <c r="E776" s="177">
        <v>30</v>
      </c>
      <c r="F776" s="176"/>
      <c r="G776" s="178"/>
      <c r="H776" s="176" t="s">
        <v>642</v>
      </c>
      <c r="I776" s="176" t="s">
        <v>572</v>
      </c>
      <c r="J776" s="176"/>
      <c r="K776" s="176" t="s">
        <v>593</v>
      </c>
      <c r="L776" s="176"/>
      <c r="M776" s="176" t="s">
        <v>713</v>
      </c>
      <c r="N776" s="179">
        <f t="shared" si="78"/>
        <v>410</v>
      </c>
      <c r="O776" s="179">
        <f t="shared" si="79"/>
        <v>260</v>
      </c>
      <c r="P776" s="180">
        <f t="shared" si="74"/>
        <v>670</v>
      </c>
      <c r="Q776" s="181">
        <f t="shared" si="75"/>
        <v>0.80722891566265065</v>
      </c>
      <c r="R776" s="122">
        <f t="shared" si="76"/>
        <v>134</v>
      </c>
      <c r="S776" s="122">
        <f t="shared" si="77"/>
        <v>0.64578313253012054</v>
      </c>
      <c r="T776" s="133">
        <v>0.55000000000000004</v>
      </c>
    </row>
    <row r="777" spans="1:20" ht="15.75" hidden="1" customHeight="1" x14ac:dyDescent="0.3">
      <c r="A777" s="194" t="s">
        <v>59</v>
      </c>
      <c r="B777" s="182" t="s">
        <v>335</v>
      </c>
      <c r="C777" s="182" t="s">
        <v>406</v>
      </c>
      <c r="D777" s="182" t="s">
        <v>647</v>
      </c>
      <c r="E777" s="183">
        <v>30</v>
      </c>
      <c r="F777" s="182"/>
      <c r="G777" s="187"/>
      <c r="H777" s="182" t="s">
        <v>598</v>
      </c>
      <c r="I777" s="182" t="s">
        <v>510</v>
      </c>
      <c r="J777" s="176"/>
      <c r="K777" s="176" t="s">
        <v>593</v>
      </c>
      <c r="L777" s="176"/>
      <c r="M777" s="176" t="s">
        <v>714</v>
      </c>
      <c r="N777" s="179">
        <f t="shared" si="78"/>
        <v>337</v>
      </c>
      <c r="O777" s="179">
        <f t="shared" si="79"/>
        <v>205</v>
      </c>
      <c r="P777" s="180">
        <f t="shared" si="74"/>
        <v>542</v>
      </c>
      <c r="Q777" s="181">
        <f t="shared" si="75"/>
        <v>0.65301204819277103</v>
      </c>
      <c r="R777" s="122">
        <f t="shared" si="76"/>
        <v>108.4</v>
      </c>
      <c r="S777" s="122">
        <f t="shared" si="77"/>
        <v>0.52240963855421685</v>
      </c>
      <c r="T777" s="133">
        <v>0.65</v>
      </c>
    </row>
    <row r="778" spans="1:20" ht="15.75" hidden="1" customHeight="1" x14ac:dyDescent="0.3">
      <c r="A778" s="194" t="s">
        <v>59</v>
      </c>
      <c r="B778" s="176" t="s">
        <v>335</v>
      </c>
      <c r="C778" s="176" t="s">
        <v>333</v>
      </c>
      <c r="D778" s="176" t="s">
        <v>710</v>
      </c>
      <c r="E778" s="177">
        <v>1</v>
      </c>
      <c r="F778" s="176"/>
      <c r="G778" s="178"/>
      <c r="H778" s="176" t="s">
        <v>682</v>
      </c>
      <c r="I778" s="176" t="s">
        <v>497</v>
      </c>
      <c r="J778" s="176"/>
      <c r="K778" s="176" t="s">
        <v>593</v>
      </c>
      <c r="L778" s="176"/>
      <c r="M778" s="176" t="s">
        <v>711</v>
      </c>
      <c r="N778" s="179">
        <f t="shared" si="78"/>
        <v>180</v>
      </c>
      <c r="O778" s="179">
        <f t="shared" si="79"/>
        <v>129</v>
      </c>
      <c r="P778" s="180">
        <f t="shared" ref="P778:P841" si="80">N778+O778</f>
        <v>309</v>
      </c>
      <c r="Q778" s="181">
        <f t="shared" ref="Q778:Q841" si="81">P778/$Q$1</f>
        <v>0.37228915662650602</v>
      </c>
      <c r="R778" s="122">
        <f t="shared" ref="R778:R841" si="82">P778*0.2</f>
        <v>61.800000000000004</v>
      </c>
      <c r="S778" s="122">
        <f t="shared" ref="S778:S841" si="83">Q778*0.8</f>
        <v>0.29783132530120482</v>
      </c>
      <c r="T778" s="133">
        <v>0.3</v>
      </c>
    </row>
    <row r="779" spans="1:20" ht="15.75" hidden="1" customHeight="1" x14ac:dyDescent="0.3">
      <c r="A779" s="194" t="s">
        <v>59</v>
      </c>
      <c r="B779" s="176" t="s">
        <v>335</v>
      </c>
      <c r="C779" s="176" t="s">
        <v>333</v>
      </c>
      <c r="D779" s="176" t="s">
        <v>710</v>
      </c>
      <c r="E779" s="177">
        <v>1</v>
      </c>
      <c r="F779" s="176"/>
      <c r="G779" s="178"/>
      <c r="H779" s="176" t="s">
        <v>646</v>
      </c>
      <c r="I779" s="176" t="s">
        <v>568</v>
      </c>
      <c r="J779" s="176"/>
      <c r="K779" s="176" t="s">
        <v>593</v>
      </c>
      <c r="L779" s="176"/>
      <c r="M779" s="176" t="s">
        <v>712</v>
      </c>
      <c r="N779" s="179">
        <f t="shared" si="78"/>
        <v>239</v>
      </c>
      <c r="O779" s="179">
        <f t="shared" si="79"/>
        <v>313</v>
      </c>
      <c r="P779" s="180">
        <f t="shared" si="80"/>
        <v>552</v>
      </c>
      <c r="Q779" s="181">
        <f t="shared" si="81"/>
        <v>0.66506024096385541</v>
      </c>
      <c r="R779" s="122">
        <f t="shared" si="82"/>
        <v>110.4</v>
      </c>
      <c r="S779" s="122">
        <f t="shared" si="83"/>
        <v>0.53204819277108439</v>
      </c>
      <c r="T779" s="133">
        <v>0.55000000000000004</v>
      </c>
    </row>
    <row r="780" spans="1:20" ht="15.75" hidden="1" customHeight="1" x14ac:dyDescent="0.3">
      <c r="A780" s="194" t="s">
        <v>59</v>
      </c>
      <c r="B780" s="176" t="s">
        <v>410</v>
      </c>
      <c r="C780" s="176" t="s">
        <v>406</v>
      </c>
      <c r="D780" s="176" t="s">
        <v>665</v>
      </c>
      <c r="E780" s="177">
        <v>60</v>
      </c>
      <c r="F780" s="176"/>
      <c r="G780" s="178"/>
      <c r="H780" s="176" t="s">
        <v>594</v>
      </c>
      <c r="I780" s="176" t="s">
        <v>358</v>
      </c>
      <c r="J780" s="176"/>
      <c r="K780" s="176" t="s">
        <v>593</v>
      </c>
      <c r="L780" s="176"/>
      <c r="M780" s="176"/>
      <c r="N780" s="179">
        <f t="shared" si="78"/>
        <v>111</v>
      </c>
      <c r="O780" s="179">
        <f t="shared" si="79"/>
        <v>265</v>
      </c>
      <c r="P780" s="180">
        <f t="shared" si="80"/>
        <v>376</v>
      </c>
      <c r="Q780" s="181">
        <f t="shared" si="81"/>
        <v>0.45301204819277108</v>
      </c>
      <c r="R780" s="122">
        <f t="shared" si="82"/>
        <v>75.2</v>
      </c>
      <c r="S780" s="122">
        <f t="shared" si="83"/>
        <v>0.36240963855421687</v>
      </c>
      <c r="T780" s="133">
        <v>0.45</v>
      </c>
    </row>
    <row r="781" spans="1:20" ht="15.75" hidden="1" customHeight="1" x14ac:dyDescent="0.3">
      <c r="A781" s="194" t="s">
        <v>59</v>
      </c>
      <c r="B781" s="176" t="s">
        <v>411</v>
      </c>
      <c r="C781" s="176" t="s">
        <v>333</v>
      </c>
      <c r="D781" s="176" t="s">
        <v>710</v>
      </c>
      <c r="E781" s="177">
        <v>1</v>
      </c>
      <c r="F781" s="176"/>
      <c r="G781" s="178"/>
      <c r="H781" s="176" t="s">
        <v>682</v>
      </c>
      <c r="I781" s="176" t="s">
        <v>497</v>
      </c>
      <c r="J781" s="176"/>
      <c r="K781" s="176" t="s">
        <v>593</v>
      </c>
      <c r="L781" s="176"/>
      <c r="M781" s="176" t="s">
        <v>711</v>
      </c>
      <c r="N781" s="179">
        <f t="shared" si="78"/>
        <v>180</v>
      </c>
      <c r="O781" s="179">
        <f t="shared" si="79"/>
        <v>129</v>
      </c>
      <c r="P781" s="180">
        <f t="shared" si="80"/>
        <v>309</v>
      </c>
      <c r="Q781" s="181">
        <f t="shared" si="81"/>
        <v>0.37228915662650602</v>
      </c>
      <c r="R781" s="122">
        <f t="shared" si="82"/>
        <v>61.800000000000004</v>
      </c>
      <c r="S781" s="122">
        <f t="shared" si="83"/>
        <v>0.29783132530120482</v>
      </c>
      <c r="T781" s="133">
        <v>0.3</v>
      </c>
    </row>
    <row r="782" spans="1:20" ht="15.75" hidden="1" customHeight="1" x14ac:dyDescent="0.3">
      <c r="A782" s="194" t="s">
        <v>59</v>
      </c>
      <c r="B782" s="176" t="s">
        <v>411</v>
      </c>
      <c r="C782" s="176" t="s">
        <v>333</v>
      </c>
      <c r="D782" s="176" t="s">
        <v>710</v>
      </c>
      <c r="E782" s="177">
        <v>1</v>
      </c>
      <c r="F782" s="176"/>
      <c r="G782" s="178"/>
      <c r="H782" s="176" t="s">
        <v>646</v>
      </c>
      <c r="I782" s="176" t="s">
        <v>568</v>
      </c>
      <c r="J782" s="176"/>
      <c r="K782" s="176" t="s">
        <v>593</v>
      </c>
      <c r="L782" s="176"/>
      <c r="M782" s="176" t="s">
        <v>712</v>
      </c>
      <c r="N782" s="179">
        <f t="shared" si="78"/>
        <v>239</v>
      </c>
      <c r="O782" s="179">
        <f t="shared" si="79"/>
        <v>313</v>
      </c>
      <c r="P782" s="180">
        <f t="shared" si="80"/>
        <v>552</v>
      </c>
      <c r="Q782" s="181">
        <f t="shared" si="81"/>
        <v>0.66506024096385541</v>
      </c>
      <c r="R782" s="122">
        <f t="shared" si="82"/>
        <v>110.4</v>
      </c>
      <c r="S782" s="122">
        <f t="shared" si="83"/>
        <v>0.53204819277108439</v>
      </c>
      <c r="T782" s="133">
        <v>0.55000000000000004</v>
      </c>
    </row>
    <row r="783" spans="1:20" ht="15.75" hidden="1" customHeight="1" x14ac:dyDescent="0.3">
      <c r="A783" s="194" t="s">
        <v>59</v>
      </c>
      <c r="B783" s="176" t="s">
        <v>412</v>
      </c>
      <c r="C783" s="176" t="s">
        <v>333</v>
      </c>
      <c r="D783" s="176" t="s">
        <v>710</v>
      </c>
      <c r="E783" s="177">
        <v>2</v>
      </c>
      <c r="F783" s="176"/>
      <c r="G783" s="178"/>
      <c r="H783" s="176" t="s">
        <v>646</v>
      </c>
      <c r="I783" s="176" t="s">
        <v>568</v>
      </c>
      <c r="J783" s="176"/>
      <c r="K783" s="176" t="s">
        <v>593</v>
      </c>
      <c r="L783" s="176"/>
      <c r="M783" s="176" t="s">
        <v>712</v>
      </c>
      <c r="N783" s="179">
        <f t="shared" si="78"/>
        <v>239</v>
      </c>
      <c r="O783" s="179">
        <f t="shared" si="79"/>
        <v>313</v>
      </c>
      <c r="P783" s="180">
        <f t="shared" si="80"/>
        <v>552</v>
      </c>
      <c r="Q783" s="181">
        <f t="shared" si="81"/>
        <v>0.66506024096385541</v>
      </c>
      <c r="R783" s="122">
        <f t="shared" si="82"/>
        <v>110.4</v>
      </c>
      <c r="S783" s="122">
        <f t="shared" si="83"/>
        <v>0.53204819277108439</v>
      </c>
      <c r="T783" s="133">
        <v>0.55000000000000004</v>
      </c>
    </row>
    <row r="784" spans="1:20" ht="15.75" hidden="1" customHeight="1" x14ac:dyDescent="0.3">
      <c r="A784" s="194" t="s">
        <v>59</v>
      </c>
      <c r="B784" s="176" t="s">
        <v>412</v>
      </c>
      <c r="C784" s="176" t="s">
        <v>333</v>
      </c>
      <c r="D784" s="176" t="s">
        <v>710</v>
      </c>
      <c r="E784" s="177">
        <v>2</v>
      </c>
      <c r="F784" s="176"/>
      <c r="G784" s="178"/>
      <c r="H784" s="176" t="s">
        <v>682</v>
      </c>
      <c r="I784" s="176" t="s">
        <v>497</v>
      </c>
      <c r="J784" s="176"/>
      <c r="K784" s="176" t="s">
        <v>593</v>
      </c>
      <c r="L784" s="176"/>
      <c r="M784" s="176" t="s">
        <v>711</v>
      </c>
      <c r="N784" s="179">
        <f t="shared" si="78"/>
        <v>180</v>
      </c>
      <c r="O784" s="179">
        <f t="shared" si="79"/>
        <v>129</v>
      </c>
      <c r="P784" s="180">
        <f t="shared" si="80"/>
        <v>309</v>
      </c>
      <c r="Q784" s="181">
        <f t="shared" si="81"/>
        <v>0.37228915662650602</v>
      </c>
      <c r="R784" s="122">
        <f t="shared" si="82"/>
        <v>61.800000000000004</v>
      </c>
      <c r="S784" s="122">
        <f t="shared" si="83"/>
        <v>0.29783132530120482</v>
      </c>
      <c r="T784" s="133">
        <v>0.3</v>
      </c>
    </row>
    <row r="785" spans="1:20" ht="15.75" hidden="1" customHeight="1" x14ac:dyDescent="0.3">
      <c r="A785" s="194" t="s">
        <v>59</v>
      </c>
      <c r="B785" s="176" t="s">
        <v>333</v>
      </c>
      <c r="C785" s="176" t="s">
        <v>333</v>
      </c>
      <c r="D785" s="176" t="s">
        <v>608</v>
      </c>
      <c r="E785" s="177">
        <v>2</v>
      </c>
      <c r="F785" s="176"/>
      <c r="G785" s="178"/>
      <c r="H785" s="176" t="s">
        <v>622</v>
      </c>
      <c r="I785" s="176" t="s">
        <v>562</v>
      </c>
      <c r="J785" s="176"/>
      <c r="K785" s="176" t="s">
        <v>593</v>
      </c>
      <c r="L785" s="176"/>
      <c r="M785" s="176" t="s">
        <v>735</v>
      </c>
      <c r="N785" s="179">
        <f t="shared" si="78"/>
        <v>438</v>
      </c>
      <c r="O785" s="179">
        <f t="shared" si="79"/>
        <v>361</v>
      </c>
      <c r="P785" s="180">
        <f t="shared" si="80"/>
        <v>799</v>
      </c>
      <c r="Q785" s="181">
        <f t="shared" si="81"/>
        <v>0.96265060240963851</v>
      </c>
      <c r="R785" s="122">
        <f t="shared" si="82"/>
        <v>159.80000000000001</v>
      </c>
      <c r="S785" s="122">
        <f t="shared" si="83"/>
        <v>0.77012048192771088</v>
      </c>
      <c r="T785" s="133">
        <v>0.75</v>
      </c>
    </row>
    <row r="786" spans="1:20" ht="15.75" hidden="1" customHeight="1" x14ac:dyDescent="0.3">
      <c r="A786" s="194" t="s">
        <v>59</v>
      </c>
      <c r="B786" s="176" t="s">
        <v>333</v>
      </c>
      <c r="C786" s="176" t="s">
        <v>333</v>
      </c>
      <c r="D786" s="176" t="s">
        <v>608</v>
      </c>
      <c r="E786" s="177">
        <v>3</v>
      </c>
      <c r="F786" s="176"/>
      <c r="G786" s="178"/>
      <c r="H786" s="176" t="s">
        <v>610</v>
      </c>
      <c r="I786" s="176" t="s">
        <v>574</v>
      </c>
      <c r="J786" s="176"/>
      <c r="K786" s="176" t="s">
        <v>593</v>
      </c>
      <c r="L786" s="176"/>
      <c r="M786" s="176" t="s">
        <v>736</v>
      </c>
      <c r="N786" s="179">
        <f t="shared" si="78"/>
        <v>171</v>
      </c>
      <c r="O786" s="179">
        <f t="shared" si="79"/>
        <v>88</v>
      </c>
      <c r="P786" s="180">
        <f t="shared" si="80"/>
        <v>259</v>
      </c>
      <c r="Q786" s="181">
        <f t="shared" si="81"/>
        <v>0.31204819277108437</v>
      </c>
      <c r="R786" s="122">
        <f t="shared" si="82"/>
        <v>51.800000000000004</v>
      </c>
      <c r="S786" s="122">
        <f t="shared" si="83"/>
        <v>0.24963855421686751</v>
      </c>
      <c r="T786" s="133">
        <v>0.25</v>
      </c>
    </row>
    <row r="787" spans="1:20" ht="15.75" hidden="1" customHeight="1" x14ac:dyDescent="0.3">
      <c r="A787" s="194" t="s">
        <v>59</v>
      </c>
      <c r="B787" s="176" t="s">
        <v>333</v>
      </c>
      <c r="C787" s="176" t="s">
        <v>333</v>
      </c>
      <c r="D787" s="176" t="s">
        <v>608</v>
      </c>
      <c r="E787" s="177">
        <v>2</v>
      </c>
      <c r="F787" s="176"/>
      <c r="G787" s="178"/>
      <c r="H787" s="176" t="s">
        <v>615</v>
      </c>
      <c r="I787" s="176" t="s">
        <v>570</v>
      </c>
      <c r="J787" s="176"/>
      <c r="K787" s="176" t="s">
        <v>593</v>
      </c>
      <c r="L787" s="176"/>
      <c r="M787" s="176" t="s">
        <v>737</v>
      </c>
      <c r="N787" s="179">
        <f t="shared" si="78"/>
        <v>279</v>
      </c>
      <c r="O787" s="179">
        <f t="shared" si="79"/>
        <v>431</v>
      </c>
      <c r="P787" s="180">
        <f t="shared" si="80"/>
        <v>710</v>
      </c>
      <c r="Q787" s="181">
        <f t="shared" si="81"/>
        <v>0.85542168674698793</v>
      </c>
      <c r="R787" s="122">
        <f t="shared" si="82"/>
        <v>142</v>
      </c>
      <c r="S787" s="122">
        <f t="shared" si="83"/>
        <v>0.68433734939759039</v>
      </c>
      <c r="T787" s="133">
        <v>0.65</v>
      </c>
    </row>
    <row r="788" spans="1:20" ht="15.75" hidden="1" customHeight="1" x14ac:dyDescent="0.3">
      <c r="A788" s="194" t="s">
        <v>59</v>
      </c>
      <c r="B788" s="176" t="s">
        <v>333</v>
      </c>
      <c r="C788" s="176" t="s">
        <v>333</v>
      </c>
      <c r="D788" s="176" t="s">
        <v>608</v>
      </c>
      <c r="E788" s="177">
        <v>2</v>
      </c>
      <c r="F788" s="176"/>
      <c r="G788" s="178"/>
      <c r="H788" s="176" t="s">
        <v>692</v>
      </c>
      <c r="I788" s="176" t="s">
        <v>558</v>
      </c>
      <c r="J788" s="176"/>
      <c r="K788" s="176" t="s">
        <v>593</v>
      </c>
      <c r="L788" s="176"/>
      <c r="M788" s="176" t="s">
        <v>738</v>
      </c>
      <c r="N788" s="179">
        <f t="shared" si="78"/>
        <v>15</v>
      </c>
      <c r="O788" s="179">
        <f t="shared" si="79"/>
        <v>146</v>
      </c>
      <c r="P788" s="180">
        <f t="shared" si="80"/>
        <v>161</v>
      </c>
      <c r="Q788" s="181">
        <f t="shared" si="81"/>
        <v>0.19397590361445782</v>
      </c>
      <c r="R788" s="122">
        <f t="shared" si="82"/>
        <v>32.200000000000003</v>
      </c>
      <c r="S788" s="122">
        <f t="shared" si="83"/>
        <v>0.15518072289156626</v>
      </c>
      <c r="T788" s="133">
        <v>0.15</v>
      </c>
    </row>
    <row r="789" spans="1:20" ht="15.75" hidden="1" customHeight="1" x14ac:dyDescent="0.3">
      <c r="A789" s="194" t="s">
        <v>59</v>
      </c>
      <c r="B789" s="176" t="s">
        <v>333</v>
      </c>
      <c r="C789" s="176" t="s">
        <v>333</v>
      </c>
      <c r="D789" s="176" t="s">
        <v>608</v>
      </c>
      <c r="E789" s="177">
        <v>2</v>
      </c>
      <c r="F789" s="176"/>
      <c r="G789" s="178"/>
      <c r="H789" s="176" t="s">
        <v>598</v>
      </c>
      <c r="I789" s="176" t="s">
        <v>104</v>
      </c>
      <c r="J789" s="176"/>
      <c r="K789" s="176" t="s">
        <v>593</v>
      </c>
      <c r="L789" s="176"/>
      <c r="M789" s="176" t="s">
        <v>739</v>
      </c>
      <c r="N789" s="179">
        <f t="shared" si="78"/>
        <v>188</v>
      </c>
      <c r="O789" s="179">
        <f t="shared" si="79"/>
        <v>294</v>
      </c>
      <c r="P789" s="180">
        <f t="shared" si="80"/>
        <v>482</v>
      </c>
      <c r="Q789" s="181">
        <f t="shared" si="81"/>
        <v>0.58072289156626511</v>
      </c>
      <c r="R789" s="122">
        <f t="shared" si="82"/>
        <v>96.4</v>
      </c>
      <c r="S789" s="122">
        <f t="shared" si="83"/>
        <v>0.46457831325301213</v>
      </c>
      <c r="T789" s="133">
        <v>0.5</v>
      </c>
    </row>
    <row r="790" spans="1:20" ht="15.75" hidden="1" customHeight="1" x14ac:dyDescent="0.3">
      <c r="A790" s="194" t="s">
        <v>59</v>
      </c>
      <c r="B790" s="176" t="s">
        <v>333</v>
      </c>
      <c r="C790" s="176" t="s">
        <v>333</v>
      </c>
      <c r="D790" s="176" t="s">
        <v>608</v>
      </c>
      <c r="E790" s="177">
        <v>2</v>
      </c>
      <c r="F790" s="176"/>
      <c r="G790" s="178"/>
      <c r="H790" s="176" t="s">
        <v>642</v>
      </c>
      <c r="I790" s="176" t="s">
        <v>572</v>
      </c>
      <c r="J790" s="176"/>
      <c r="K790" s="176" t="s">
        <v>593</v>
      </c>
      <c r="L790" s="176"/>
      <c r="M790" s="176" t="s">
        <v>740</v>
      </c>
      <c r="N790" s="179">
        <f t="shared" si="78"/>
        <v>410</v>
      </c>
      <c r="O790" s="179">
        <f t="shared" si="79"/>
        <v>260</v>
      </c>
      <c r="P790" s="180">
        <f t="shared" si="80"/>
        <v>670</v>
      </c>
      <c r="Q790" s="181">
        <f t="shared" si="81"/>
        <v>0.80722891566265065</v>
      </c>
      <c r="R790" s="122">
        <f t="shared" si="82"/>
        <v>134</v>
      </c>
      <c r="S790" s="122">
        <f t="shared" si="83"/>
        <v>0.64578313253012054</v>
      </c>
      <c r="T790" s="133">
        <v>0.55000000000000004</v>
      </c>
    </row>
    <row r="791" spans="1:20" ht="15.75" hidden="1" customHeight="1" x14ac:dyDescent="0.3">
      <c r="A791" s="194" t="s">
        <v>59</v>
      </c>
      <c r="B791" s="176" t="s">
        <v>333</v>
      </c>
      <c r="C791" s="176" t="s">
        <v>333</v>
      </c>
      <c r="D791" s="176" t="s">
        <v>608</v>
      </c>
      <c r="E791" s="177">
        <v>2</v>
      </c>
      <c r="F791" s="176"/>
      <c r="G791" s="178"/>
      <c r="H791" s="176" t="s">
        <v>612</v>
      </c>
      <c r="I791" s="176" t="s">
        <v>175</v>
      </c>
      <c r="J791" s="176"/>
      <c r="K791" s="176" t="s">
        <v>593</v>
      </c>
      <c r="L791" s="176"/>
      <c r="M791" s="176" t="s">
        <v>741</v>
      </c>
      <c r="N791" s="179">
        <f t="shared" si="78"/>
        <v>186</v>
      </c>
      <c r="O791" s="179">
        <f t="shared" si="79"/>
        <v>42</v>
      </c>
      <c r="P791" s="180">
        <f t="shared" si="80"/>
        <v>228</v>
      </c>
      <c r="Q791" s="181">
        <f t="shared" si="81"/>
        <v>0.27469879518072288</v>
      </c>
      <c r="R791" s="122">
        <f t="shared" si="82"/>
        <v>45.6</v>
      </c>
      <c r="S791" s="122">
        <f t="shared" si="83"/>
        <v>0.21975903614457831</v>
      </c>
      <c r="T791" s="133">
        <v>0.2</v>
      </c>
    </row>
    <row r="792" spans="1:20" ht="15.75" hidden="1" customHeight="1" x14ac:dyDescent="0.3">
      <c r="A792" s="194" t="s">
        <v>59</v>
      </c>
      <c r="B792" s="176" t="s">
        <v>333</v>
      </c>
      <c r="C792" s="176" t="s">
        <v>333</v>
      </c>
      <c r="D792" s="176" t="s">
        <v>608</v>
      </c>
      <c r="E792" s="177">
        <v>2</v>
      </c>
      <c r="F792" s="176"/>
      <c r="G792" s="178"/>
      <c r="H792" s="176" t="s">
        <v>597</v>
      </c>
      <c r="I792" s="176" t="s">
        <v>109</v>
      </c>
      <c r="J792" s="176"/>
      <c r="K792" s="176" t="s">
        <v>593</v>
      </c>
      <c r="L792" s="176"/>
      <c r="M792" s="176" t="s">
        <v>742</v>
      </c>
      <c r="N792" s="179">
        <f t="shared" si="78"/>
        <v>169</v>
      </c>
      <c r="O792" s="179">
        <f t="shared" si="79"/>
        <v>340</v>
      </c>
      <c r="P792" s="180">
        <f t="shared" si="80"/>
        <v>509</v>
      </c>
      <c r="Q792" s="181">
        <f t="shared" si="81"/>
        <v>0.61325301204819282</v>
      </c>
      <c r="R792" s="122">
        <f t="shared" si="82"/>
        <v>101.80000000000001</v>
      </c>
      <c r="S792" s="122">
        <f t="shared" si="83"/>
        <v>0.49060240963855428</v>
      </c>
      <c r="T792" s="133">
        <v>0.4</v>
      </c>
    </row>
    <row r="793" spans="1:20" ht="15.75" hidden="1" customHeight="1" x14ac:dyDescent="0.3">
      <c r="A793" s="194" t="s">
        <v>59</v>
      </c>
      <c r="B793" s="176" t="s">
        <v>333</v>
      </c>
      <c r="C793" s="176" t="s">
        <v>333</v>
      </c>
      <c r="D793" s="176" t="s">
        <v>608</v>
      </c>
      <c r="E793" s="177">
        <v>4</v>
      </c>
      <c r="F793" s="176"/>
      <c r="G793" s="178"/>
      <c r="H793" s="176" t="s">
        <v>698</v>
      </c>
      <c r="I793" s="176" t="s">
        <v>577</v>
      </c>
      <c r="J793" s="176"/>
      <c r="K793" s="176" t="s">
        <v>593</v>
      </c>
      <c r="L793" s="176"/>
      <c r="M793" s="176" t="s">
        <v>743</v>
      </c>
      <c r="N793" s="179">
        <f t="shared" si="78"/>
        <v>30</v>
      </c>
      <c r="O793" s="179">
        <f t="shared" si="79"/>
        <v>79</v>
      </c>
      <c r="P793" s="180">
        <f t="shared" si="80"/>
        <v>109</v>
      </c>
      <c r="Q793" s="181">
        <f t="shared" si="81"/>
        <v>0.13132530120481928</v>
      </c>
      <c r="R793" s="122">
        <f t="shared" si="82"/>
        <v>21.8</v>
      </c>
      <c r="S793" s="122">
        <f t="shared" si="83"/>
        <v>0.10506024096385543</v>
      </c>
      <c r="T793" s="133">
        <v>0</v>
      </c>
    </row>
    <row r="794" spans="1:20" ht="15.75" hidden="1" customHeight="1" x14ac:dyDescent="0.3">
      <c r="A794" s="194" t="s">
        <v>59</v>
      </c>
      <c r="B794" s="176" t="s">
        <v>333</v>
      </c>
      <c r="C794" s="176" t="s">
        <v>333</v>
      </c>
      <c r="D794" s="176" t="s">
        <v>636</v>
      </c>
      <c r="E794" s="177">
        <v>1</v>
      </c>
      <c r="F794" s="176"/>
      <c r="G794" s="178"/>
      <c r="H794" s="176" t="s">
        <v>604</v>
      </c>
      <c r="I794" s="176" t="s">
        <v>578</v>
      </c>
      <c r="J794" s="176"/>
      <c r="K794" s="176" t="s">
        <v>593</v>
      </c>
      <c r="L794" s="176"/>
      <c r="M794" s="176" t="s">
        <v>744</v>
      </c>
      <c r="N794" s="179">
        <f t="shared" si="78"/>
        <v>381</v>
      </c>
      <c r="O794" s="179">
        <f t="shared" si="79"/>
        <v>162</v>
      </c>
      <c r="P794" s="180">
        <f t="shared" si="80"/>
        <v>543</v>
      </c>
      <c r="Q794" s="181">
        <f t="shared" si="81"/>
        <v>0.6542168674698795</v>
      </c>
      <c r="R794" s="122">
        <f t="shared" si="82"/>
        <v>108.60000000000001</v>
      </c>
      <c r="S794" s="122">
        <f t="shared" si="83"/>
        <v>0.5233734939759036</v>
      </c>
      <c r="T794" s="133">
        <v>0.5</v>
      </c>
    </row>
    <row r="795" spans="1:20" ht="15.75" hidden="1" customHeight="1" x14ac:dyDescent="0.3">
      <c r="A795" s="194" t="s">
        <v>59</v>
      </c>
      <c r="B795" s="176" t="s">
        <v>333</v>
      </c>
      <c r="C795" s="176" t="s">
        <v>333</v>
      </c>
      <c r="D795" s="176" t="s">
        <v>636</v>
      </c>
      <c r="E795" s="177">
        <v>1</v>
      </c>
      <c r="F795" s="176"/>
      <c r="G795" s="178"/>
      <c r="H795" s="176" t="s">
        <v>641</v>
      </c>
      <c r="I795" s="176" t="s">
        <v>580</v>
      </c>
      <c r="J795" s="176"/>
      <c r="K795" s="176" t="s">
        <v>593</v>
      </c>
      <c r="L795" s="176"/>
      <c r="M795" s="176" t="s">
        <v>745</v>
      </c>
      <c r="N795" s="179">
        <f t="shared" si="78"/>
        <v>364</v>
      </c>
      <c r="O795" s="179">
        <f t="shared" si="79"/>
        <v>147</v>
      </c>
      <c r="P795" s="180">
        <f t="shared" si="80"/>
        <v>511</v>
      </c>
      <c r="Q795" s="181">
        <f t="shared" si="81"/>
        <v>0.61566265060240966</v>
      </c>
      <c r="R795" s="122">
        <f t="shared" si="82"/>
        <v>102.2</v>
      </c>
      <c r="S795" s="122">
        <f t="shared" si="83"/>
        <v>0.49253012048192774</v>
      </c>
      <c r="T795" s="133">
        <v>0.5</v>
      </c>
    </row>
    <row r="796" spans="1:20" ht="15.75" hidden="1" customHeight="1" x14ac:dyDescent="0.3">
      <c r="A796" s="194" t="s">
        <v>59</v>
      </c>
      <c r="B796" s="176" t="s">
        <v>333</v>
      </c>
      <c r="C796" s="176" t="s">
        <v>333</v>
      </c>
      <c r="D796" s="176" t="s">
        <v>636</v>
      </c>
      <c r="E796" s="177">
        <v>3</v>
      </c>
      <c r="F796" s="176"/>
      <c r="G796" s="178"/>
      <c r="H796" s="176" t="s">
        <v>718</v>
      </c>
      <c r="I796" s="195" t="s">
        <v>575</v>
      </c>
      <c r="J796" s="176"/>
      <c r="K796" s="176" t="s">
        <v>593</v>
      </c>
      <c r="L796" s="176"/>
      <c r="M796" s="176" t="s">
        <v>746</v>
      </c>
      <c r="N796" s="179">
        <f t="shared" si="78"/>
        <v>78</v>
      </c>
      <c r="O796" s="179">
        <f t="shared" si="79"/>
        <v>240.5</v>
      </c>
      <c r="P796" s="180">
        <f t="shared" si="80"/>
        <v>318.5</v>
      </c>
      <c r="Q796" s="181">
        <f t="shared" si="81"/>
        <v>0.38373493975903616</v>
      </c>
      <c r="R796" s="122">
        <f t="shared" si="82"/>
        <v>63.7</v>
      </c>
      <c r="S796" s="122">
        <f t="shared" si="83"/>
        <v>0.30698795180722893</v>
      </c>
      <c r="T796" s="133">
        <v>0.35</v>
      </c>
    </row>
    <row r="797" spans="1:20" ht="15.75" hidden="1" customHeight="1" x14ac:dyDescent="0.3">
      <c r="A797" s="194" t="s">
        <v>59</v>
      </c>
      <c r="B797" s="176" t="s">
        <v>333</v>
      </c>
      <c r="C797" s="176" t="s">
        <v>333</v>
      </c>
      <c r="D797" s="176" t="s">
        <v>636</v>
      </c>
      <c r="E797" s="177">
        <v>1</v>
      </c>
      <c r="F797" s="176"/>
      <c r="G797" s="178"/>
      <c r="H797" s="176" t="s">
        <v>601</v>
      </c>
      <c r="I797" s="176" t="s">
        <v>116</v>
      </c>
      <c r="J797" s="176"/>
      <c r="K797" s="176" t="s">
        <v>593</v>
      </c>
      <c r="L797" s="176"/>
      <c r="M797" s="176" t="s">
        <v>747</v>
      </c>
      <c r="N797" s="179">
        <f t="shared" si="78"/>
        <v>233</v>
      </c>
      <c r="O797" s="179">
        <f t="shared" si="79"/>
        <v>200</v>
      </c>
      <c r="P797" s="180">
        <f t="shared" si="80"/>
        <v>433</v>
      </c>
      <c r="Q797" s="181">
        <f t="shared" si="81"/>
        <v>0.52168674698795181</v>
      </c>
      <c r="R797" s="122">
        <f t="shared" si="82"/>
        <v>86.600000000000009</v>
      </c>
      <c r="S797" s="122">
        <f t="shared" si="83"/>
        <v>0.41734939759036149</v>
      </c>
      <c r="T797" s="185">
        <v>0.5</v>
      </c>
    </row>
    <row r="798" spans="1:20" ht="15.75" hidden="1" customHeight="1" x14ac:dyDescent="0.3">
      <c r="A798" s="194" t="s">
        <v>59</v>
      </c>
      <c r="B798" s="176" t="s">
        <v>333</v>
      </c>
      <c r="C798" s="176" t="s">
        <v>333</v>
      </c>
      <c r="D798" s="176" t="s">
        <v>636</v>
      </c>
      <c r="E798" s="177">
        <v>1</v>
      </c>
      <c r="F798" s="176"/>
      <c r="G798" s="178"/>
      <c r="H798" s="176" t="s">
        <v>592</v>
      </c>
      <c r="I798" s="176" t="s">
        <v>561</v>
      </c>
      <c r="J798" s="176"/>
      <c r="K798" s="176" t="s">
        <v>593</v>
      </c>
      <c r="L798" s="176"/>
      <c r="M798" s="176" t="s">
        <v>748</v>
      </c>
      <c r="N798" s="179">
        <f t="shared" si="78"/>
        <v>442</v>
      </c>
      <c r="O798" s="179">
        <f t="shared" si="79"/>
        <v>269</v>
      </c>
      <c r="P798" s="180">
        <f t="shared" si="80"/>
        <v>711</v>
      </c>
      <c r="Q798" s="181">
        <f t="shared" si="81"/>
        <v>0.8566265060240964</v>
      </c>
      <c r="R798" s="122">
        <f t="shared" si="82"/>
        <v>142.20000000000002</v>
      </c>
      <c r="S798" s="122">
        <f t="shared" si="83"/>
        <v>0.68530120481927714</v>
      </c>
      <c r="T798" s="133">
        <v>0.7</v>
      </c>
    </row>
    <row r="799" spans="1:20" ht="15.75" hidden="1" customHeight="1" x14ac:dyDescent="0.3">
      <c r="A799" s="194" t="s">
        <v>59</v>
      </c>
      <c r="B799" s="176" t="s">
        <v>333</v>
      </c>
      <c r="C799" s="176" t="s">
        <v>333</v>
      </c>
      <c r="D799" s="176" t="s">
        <v>636</v>
      </c>
      <c r="E799" s="177">
        <v>1</v>
      </c>
      <c r="F799" s="176"/>
      <c r="G799" s="178"/>
      <c r="H799" s="176" t="s">
        <v>643</v>
      </c>
      <c r="I799" s="176" t="s">
        <v>579</v>
      </c>
      <c r="J799" s="176"/>
      <c r="K799" s="176" t="s">
        <v>593</v>
      </c>
      <c r="L799" s="176"/>
      <c r="M799" s="176" t="s">
        <v>749</v>
      </c>
      <c r="N799" s="179">
        <f t="shared" si="78"/>
        <v>297</v>
      </c>
      <c r="O799" s="179">
        <f t="shared" si="79"/>
        <v>310</v>
      </c>
      <c r="P799" s="180">
        <f t="shared" si="80"/>
        <v>607</v>
      </c>
      <c r="Q799" s="181">
        <f t="shared" si="81"/>
        <v>0.73132530120481931</v>
      </c>
      <c r="R799" s="122">
        <f t="shared" si="82"/>
        <v>121.4</v>
      </c>
      <c r="S799" s="122">
        <f t="shared" si="83"/>
        <v>0.58506024096385545</v>
      </c>
      <c r="T799" s="133">
        <v>0.6</v>
      </c>
    </row>
    <row r="800" spans="1:20" ht="15.75" hidden="1" customHeight="1" x14ac:dyDescent="0.3">
      <c r="A800" s="194" t="s">
        <v>59</v>
      </c>
      <c r="B800" s="176" t="s">
        <v>333</v>
      </c>
      <c r="C800" s="176" t="s">
        <v>333</v>
      </c>
      <c r="D800" s="176" t="s">
        <v>636</v>
      </c>
      <c r="E800" s="177">
        <v>4</v>
      </c>
      <c r="F800" s="176"/>
      <c r="G800" s="178"/>
      <c r="H800" s="176" t="s">
        <v>594</v>
      </c>
      <c r="I800" s="176" t="s">
        <v>358</v>
      </c>
      <c r="J800" s="176"/>
      <c r="K800" s="176" t="s">
        <v>593</v>
      </c>
      <c r="L800" s="176"/>
      <c r="M800" s="176" t="s">
        <v>750</v>
      </c>
      <c r="N800" s="179">
        <f t="shared" si="78"/>
        <v>111</v>
      </c>
      <c r="O800" s="179">
        <f t="shared" si="79"/>
        <v>265</v>
      </c>
      <c r="P800" s="180">
        <f t="shared" si="80"/>
        <v>376</v>
      </c>
      <c r="Q800" s="181">
        <f t="shared" si="81"/>
        <v>0.45301204819277108</v>
      </c>
      <c r="R800" s="122">
        <f t="shared" si="82"/>
        <v>75.2</v>
      </c>
      <c r="S800" s="122">
        <f t="shared" si="83"/>
        <v>0.36240963855421687</v>
      </c>
      <c r="T800" s="133">
        <v>0.45</v>
      </c>
    </row>
    <row r="801" spans="1:20" ht="15.75" hidden="1" customHeight="1" x14ac:dyDescent="0.3">
      <c r="A801" s="194" t="s">
        <v>59</v>
      </c>
      <c r="B801" s="176" t="s">
        <v>333</v>
      </c>
      <c r="C801" s="176" t="s">
        <v>333</v>
      </c>
      <c r="D801" s="176" t="s">
        <v>595</v>
      </c>
      <c r="E801" s="177">
        <v>12</v>
      </c>
      <c r="F801" s="176"/>
      <c r="G801" s="178"/>
      <c r="H801" s="176" t="s">
        <v>619</v>
      </c>
      <c r="I801" s="176" t="s">
        <v>581</v>
      </c>
      <c r="J801" s="176"/>
      <c r="K801" s="176" t="s">
        <v>593</v>
      </c>
      <c r="L801" s="176"/>
      <c r="M801" s="176"/>
      <c r="N801" s="179">
        <f t="shared" si="78"/>
        <v>276</v>
      </c>
      <c r="O801" s="179">
        <f t="shared" si="79"/>
        <v>323</v>
      </c>
      <c r="P801" s="180">
        <f t="shared" si="80"/>
        <v>599</v>
      </c>
      <c r="Q801" s="181">
        <f t="shared" si="81"/>
        <v>0.72168674698795177</v>
      </c>
      <c r="R801" s="122">
        <f t="shared" si="82"/>
        <v>119.80000000000001</v>
      </c>
      <c r="S801" s="122">
        <f t="shared" si="83"/>
        <v>0.57734939759036141</v>
      </c>
      <c r="T801" s="133">
        <v>0.55000000000000004</v>
      </c>
    </row>
    <row r="802" spans="1:20" ht="15.75" hidden="1" customHeight="1" x14ac:dyDescent="0.3">
      <c r="A802" s="194" t="s">
        <v>59</v>
      </c>
      <c r="B802" s="176" t="s">
        <v>333</v>
      </c>
      <c r="C802" s="176" t="s">
        <v>333</v>
      </c>
      <c r="D802" s="176" t="s">
        <v>599</v>
      </c>
      <c r="E802" s="177">
        <v>9</v>
      </c>
      <c r="F802" s="176"/>
      <c r="G802" s="178"/>
      <c r="H802" s="176" t="s">
        <v>592</v>
      </c>
      <c r="I802" s="176" t="s">
        <v>561</v>
      </c>
      <c r="J802" s="176"/>
      <c r="K802" s="176" t="s">
        <v>593</v>
      </c>
      <c r="L802" s="176"/>
      <c r="M802" s="176"/>
      <c r="N802" s="179">
        <f t="shared" si="78"/>
        <v>442</v>
      </c>
      <c r="O802" s="179">
        <f t="shared" si="79"/>
        <v>269</v>
      </c>
      <c r="P802" s="180">
        <f t="shared" si="80"/>
        <v>711</v>
      </c>
      <c r="Q802" s="181">
        <f t="shared" si="81"/>
        <v>0.8566265060240964</v>
      </c>
      <c r="R802" s="122">
        <f t="shared" si="82"/>
        <v>142.20000000000002</v>
      </c>
      <c r="S802" s="122">
        <f t="shared" si="83"/>
        <v>0.68530120481927714</v>
      </c>
      <c r="T802" s="133">
        <v>0.7</v>
      </c>
    </row>
    <row r="803" spans="1:20" ht="15.75" hidden="1" customHeight="1" x14ac:dyDescent="0.3">
      <c r="A803" s="194" t="s">
        <v>59</v>
      </c>
      <c r="B803" s="176" t="s">
        <v>333</v>
      </c>
      <c r="C803" s="176" t="s">
        <v>333</v>
      </c>
      <c r="D803" s="176" t="s">
        <v>624</v>
      </c>
      <c r="E803" s="177">
        <v>12</v>
      </c>
      <c r="F803" s="176"/>
      <c r="G803" s="178"/>
      <c r="H803" s="176" t="s">
        <v>615</v>
      </c>
      <c r="I803" s="176" t="s">
        <v>570</v>
      </c>
      <c r="J803" s="176"/>
      <c r="K803" s="176" t="s">
        <v>593</v>
      </c>
      <c r="L803" s="176"/>
      <c r="M803" s="176"/>
      <c r="N803" s="179">
        <f t="shared" si="78"/>
        <v>279</v>
      </c>
      <c r="O803" s="179">
        <f t="shared" si="79"/>
        <v>431</v>
      </c>
      <c r="P803" s="180">
        <f t="shared" si="80"/>
        <v>710</v>
      </c>
      <c r="Q803" s="181">
        <f t="shared" si="81"/>
        <v>0.85542168674698793</v>
      </c>
      <c r="R803" s="122">
        <f t="shared" si="82"/>
        <v>142</v>
      </c>
      <c r="S803" s="122">
        <f t="shared" si="83"/>
        <v>0.68433734939759039</v>
      </c>
      <c r="T803" s="133">
        <v>0.65</v>
      </c>
    </row>
    <row r="804" spans="1:20" ht="15.75" hidden="1" customHeight="1" x14ac:dyDescent="0.3">
      <c r="A804" s="194" t="s">
        <v>59</v>
      </c>
      <c r="B804" s="176" t="s">
        <v>413</v>
      </c>
      <c r="C804" s="176" t="s">
        <v>333</v>
      </c>
      <c r="D804" s="176" t="s">
        <v>710</v>
      </c>
      <c r="E804" s="177">
        <v>1</v>
      </c>
      <c r="F804" s="176"/>
      <c r="G804" s="178"/>
      <c r="H804" s="176" t="s">
        <v>682</v>
      </c>
      <c r="I804" s="176" t="s">
        <v>497</v>
      </c>
      <c r="J804" s="176"/>
      <c r="K804" s="176" t="s">
        <v>593</v>
      </c>
      <c r="L804" s="176"/>
      <c r="M804" s="176" t="s">
        <v>711</v>
      </c>
      <c r="N804" s="179">
        <f t="shared" ref="N804:N867" si="84">SUMIFS($E$2:$E$896,$A$2:$A$896,"осень",$I$2:$I$896,I804)</f>
        <v>180</v>
      </c>
      <c r="O804" s="179">
        <f t="shared" ref="O804:O867" si="85">SUMIFS($E$2:$E$896,$A$2:$A$896,"весна",$I$2:$I$896,I804)</f>
        <v>129</v>
      </c>
      <c r="P804" s="180">
        <f t="shared" si="80"/>
        <v>309</v>
      </c>
      <c r="Q804" s="181">
        <f t="shared" si="81"/>
        <v>0.37228915662650602</v>
      </c>
      <c r="R804" s="122">
        <f t="shared" si="82"/>
        <v>61.800000000000004</v>
      </c>
      <c r="S804" s="122">
        <f t="shared" si="83"/>
        <v>0.29783132530120482</v>
      </c>
      <c r="T804" s="133">
        <v>0.3</v>
      </c>
    </row>
    <row r="805" spans="1:20" ht="15.75" hidden="1" customHeight="1" x14ac:dyDescent="0.3">
      <c r="A805" s="194" t="s">
        <v>59</v>
      </c>
      <c r="B805" s="176" t="s">
        <v>413</v>
      </c>
      <c r="C805" s="176" t="s">
        <v>333</v>
      </c>
      <c r="D805" s="176" t="s">
        <v>710</v>
      </c>
      <c r="E805" s="177">
        <v>1</v>
      </c>
      <c r="F805" s="176"/>
      <c r="G805" s="178"/>
      <c r="H805" s="176" t="s">
        <v>646</v>
      </c>
      <c r="I805" s="176" t="s">
        <v>568</v>
      </c>
      <c r="J805" s="176"/>
      <c r="K805" s="176" t="s">
        <v>593</v>
      </c>
      <c r="L805" s="176"/>
      <c r="M805" s="176" t="s">
        <v>712</v>
      </c>
      <c r="N805" s="179">
        <f t="shared" si="84"/>
        <v>239</v>
      </c>
      <c r="O805" s="179">
        <f t="shared" si="85"/>
        <v>313</v>
      </c>
      <c r="P805" s="180">
        <f t="shared" si="80"/>
        <v>552</v>
      </c>
      <c r="Q805" s="181">
        <f t="shared" si="81"/>
        <v>0.66506024096385541</v>
      </c>
      <c r="R805" s="122">
        <f t="shared" si="82"/>
        <v>110.4</v>
      </c>
      <c r="S805" s="122">
        <f t="shared" si="83"/>
        <v>0.53204819277108439</v>
      </c>
      <c r="T805" s="133">
        <v>0.55000000000000004</v>
      </c>
    </row>
    <row r="806" spans="1:20" ht="15.75" hidden="1" customHeight="1" x14ac:dyDescent="0.3">
      <c r="A806" s="194" t="s">
        <v>59</v>
      </c>
      <c r="B806" s="193" t="s">
        <v>336</v>
      </c>
      <c r="C806" s="176" t="s">
        <v>336</v>
      </c>
      <c r="D806" s="176" t="s">
        <v>590</v>
      </c>
      <c r="E806" s="177">
        <v>15</v>
      </c>
      <c r="F806" s="176"/>
      <c r="G806" s="178"/>
      <c r="H806" s="176"/>
      <c r="I806" s="176" t="s">
        <v>569</v>
      </c>
      <c r="J806" s="176"/>
      <c r="K806" s="176"/>
      <c r="L806" s="176"/>
      <c r="M806" s="176"/>
      <c r="N806" s="179">
        <f t="shared" si="84"/>
        <v>105</v>
      </c>
      <c r="O806" s="179">
        <f t="shared" si="85"/>
        <v>102</v>
      </c>
      <c r="P806" s="180">
        <f t="shared" si="80"/>
        <v>207</v>
      </c>
      <c r="Q806" s="181">
        <f t="shared" si="81"/>
        <v>0.24939759036144579</v>
      </c>
      <c r="R806" s="122">
        <f t="shared" si="82"/>
        <v>41.400000000000006</v>
      </c>
      <c r="S806" s="122">
        <f t="shared" si="83"/>
        <v>0.19951807228915663</v>
      </c>
      <c r="T806" s="133">
        <v>0.2</v>
      </c>
    </row>
    <row r="807" spans="1:20" ht="15.75" hidden="1" customHeight="1" x14ac:dyDescent="0.3">
      <c r="A807" s="194" t="s">
        <v>59</v>
      </c>
      <c r="B807" s="193" t="s">
        <v>336</v>
      </c>
      <c r="C807" s="176" t="s">
        <v>336</v>
      </c>
      <c r="D807" s="176" t="s">
        <v>590</v>
      </c>
      <c r="E807" s="177">
        <v>15</v>
      </c>
      <c r="F807" s="176"/>
      <c r="G807" s="178"/>
      <c r="H807" s="176"/>
      <c r="I807" s="176" t="s">
        <v>568</v>
      </c>
      <c r="J807" s="176"/>
      <c r="K807" s="176"/>
      <c r="L807" s="176"/>
      <c r="M807" s="176"/>
      <c r="N807" s="179">
        <f t="shared" si="84"/>
        <v>239</v>
      </c>
      <c r="O807" s="179">
        <f t="shared" si="85"/>
        <v>313</v>
      </c>
      <c r="P807" s="180">
        <f t="shared" si="80"/>
        <v>552</v>
      </c>
      <c r="Q807" s="181">
        <f t="shared" si="81"/>
        <v>0.66506024096385541</v>
      </c>
      <c r="R807" s="122">
        <f t="shared" si="82"/>
        <v>110.4</v>
      </c>
      <c r="S807" s="122">
        <f t="shared" si="83"/>
        <v>0.53204819277108439</v>
      </c>
      <c r="T807" s="133">
        <v>0.55000000000000004</v>
      </c>
    </row>
    <row r="808" spans="1:20" ht="15.75" hidden="1" customHeight="1" x14ac:dyDescent="0.3">
      <c r="A808" s="194" t="s">
        <v>59</v>
      </c>
      <c r="B808" s="193" t="s">
        <v>336</v>
      </c>
      <c r="C808" s="176" t="s">
        <v>336</v>
      </c>
      <c r="D808" s="176" t="s">
        <v>590</v>
      </c>
      <c r="E808" s="177">
        <v>15</v>
      </c>
      <c r="F808" s="176"/>
      <c r="G808" s="178"/>
      <c r="H808" s="176"/>
      <c r="I808" s="176" t="s">
        <v>561</v>
      </c>
      <c r="J808" s="176"/>
      <c r="K808" s="176"/>
      <c r="L808" s="176"/>
      <c r="M808" s="176"/>
      <c r="N808" s="179">
        <f t="shared" si="84"/>
        <v>442</v>
      </c>
      <c r="O808" s="179">
        <f t="shared" si="85"/>
        <v>269</v>
      </c>
      <c r="P808" s="180">
        <f t="shared" si="80"/>
        <v>711</v>
      </c>
      <c r="Q808" s="181">
        <f t="shared" si="81"/>
        <v>0.8566265060240964</v>
      </c>
      <c r="R808" s="122">
        <f t="shared" si="82"/>
        <v>142.20000000000002</v>
      </c>
      <c r="S808" s="122">
        <f t="shared" si="83"/>
        <v>0.68530120481927714</v>
      </c>
      <c r="T808" s="133">
        <v>0.7</v>
      </c>
    </row>
    <row r="809" spans="1:20" ht="15.75" hidden="1" customHeight="1" x14ac:dyDescent="0.3">
      <c r="A809" s="194" t="s">
        <v>59</v>
      </c>
      <c r="B809" s="193" t="s">
        <v>336</v>
      </c>
      <c r="C809" s="176" t="s">
        <v>336</v>
      </c>
      <c r="D809" s="176" t="s">
        <v>590</v>
      </c>
      <c r="E809" s="177">
        <v>15</v>
      </c>
      <c r="F809" s="176"/>
      <c r="G809" s="178"/>
      <c r="H809" s="176"/>
      <c r="I809" s="176" t="s">
        <v>116</v>
      </c>
      <c r="J809" s="176"/>
      <c r="K809" s="176"/>
      <c r="L809" s="176"/>
      <c r="M809" s="176"/>
      <c r="N809" s="179">
        <f t="shared" si="84"/>
        <v>233</v>
      </c>
      <c r="O809" s="179">
        <f t="shared" si="85"/>
        <v>200</v>
      </c>
      <c r="P809" s="180">
        <f t="shared" si="80"/>
        <v>433</v>
      </c>
      <c r="Q809" s="181">
        <f t="shared" si="81"/>
        <v>0.52168674698795181</v>
      </c>
      <c r="R809" s="122">
        <f t="shared" si="82"/>
        <v>86.600000000000009</v>
      </c>
      <c r="S809" s="122">
        <f t="shared" si="83"/>
        <v>0.41734939759036149</v>
      </c>
      <c r="T809" s="185">
        <v>0.5</v>
      </c>
    </row>
    <row r="810" spans="1:20" ht="15.75" hidden="1" customHeight="1" x14ac:dyDescent="0.3">
      <c r="A810" s="194" t="s">
        <v>59</v>
      </c>
      <c r="B810" s="193" t="s">
        <v>336</v>
      </c>
      <c r="C810" s="176" t="s">
        <v>336</v>
      </c>
      <c r="D810" s="176" t="s">
        <v>590</v>
      </c>
      <c r="E810" s="177">
        <v>15</v>
      </c>
      <c r="F810" s="176"/>
      <c r="G810" s="178"/>
      <c r="H810" s="176"/>
      <c r="I810" s="176" t="s">
        <v>579</v>
      </c>
      <c r="J810" s="176"/>
      <c r="K810" s="176"/>
      <c r="L810" s="176"/>
      <c r="M810" s="176"/>
      <c r="N810" s="179">
        <f t="shared" si="84"/>
        <v>297</v>
      </c>
      <c r="O810" s="179">
        <f t="shared" si="85"/>
        <v>310</v>
      </c>
      <c r="P810" s="180">
        <f t="shared" si="80"/>
        <v>607</v>
      </c>
      <c r="Q810" s="181">
        <f t="shared" si="81"/>
        <v>0.73132530120481931</v>
      </c>
      <c r="R810" s="122">
        <f t="shared" si="82"/>
        <v>121.4</v>
      </c>
      <c r="S810" s="122">
        <f t="shared" si="83"/>
        <v>0.58506024096385545</v>
      </c>
      <c r="T810" s="133">
        <v>0.6</v>
      </c>
    </row>
    <row r="811" spans="1:20" ht="15.75" hidden="1" customHeight="1" x14ac:dyDescent="0.3">
      <c r="A811" s="194" t="s">
        <v>59</v>
      </c>
      <c r="B811" s="193" t="s">
        <v>336</v>
      </c>
      <c r="C811" s="176" t="s">
        <v>336</v>
      </c>
      <c r="D811" s="176" t="s">
        <v>590</v>
      </c>
      <c r="E811" s="177">
        <v>15</v>
      </c>
      <c r="F811" s="176"/>
      <c r="G811" s="178"/>
      <c r="H811" s="176"/>
      <c r="I811" s="176" t="s">
        <v>104</v>
      </c>
      <c r="J811" s="176"/>
      <c r="K811" s="176"/>
      <c r="L811" s="176"/>
      <c r="M811" s="176"/>
      <c r="N811" s="179">
        <f t="shared" si="84"/>
        <v>188</v>
      </c>
      <c r="O811" s="179">
        <f t="shared" si="85"/>
        <v>294</v>
      </c>
      <c r="P811" s="180">
        <f t="shared" si="80"/>
        <v>482</v>
      </c>
      <c r="Q811" s="181">
        <f t="shared" si="81"/>
        <v>0.58072289156626511</v>
      </c>
      <c r="R811" s="122">
        <f t="shared" si="82"/>
        <v>96.4</v>
      </c>
      <c r="S811" s="122">
        <f t="shared" si="83"/>
        <v>0.46457831325301213</v>
      </c>
      <c r="T811" s="133">
        <v>0.5</v>
      </c>
    </row>
    <row r="812" spans="1:20" ht="15.75" hidden="1" customHeight="1" x14ac:dyDescent="0.3">
      <c r="A812" s="194" t="s">
        <v>59</v>
      </c>
      <c r="B812" s="193" t="s">
        <v>336</v>
      </c>
      <c r="C812" s="176" t="s">
        <v>336</v>
      </c>
      <c r="D812" s="176" t="s">
        <v>590</v>
      </c>
      <c r="E812" s="177">
        <v>15</v>
      </c>
      <c r="F812" s="176"/>
      <c r="G812" s="178"/>
      <c r="H812" s="176"/>
      <c r="I812" s="176" t="s">
        <v>574</v>
      </c>
      <c r="J812" s="176"/>
      <c r="K812" s="176"/>
      <c r="L812" s="176"/>
      <c r="M812" s="176"/>
      <c r="N812" s="179">
        <f t="shared" si="84"/>
        <v>171</v>
      </c>
      <c r="O812" s="179">
        <f t="shared" si="85"/>
        <v>88</v>
      </c>
      <c r="P812" s="180">
        <f t="shared" si="80"/>
        <v>259</v>
      </c>
      <c r="Q812" s="181">
        <f t="shared" si="81"/>
        <v>0.31204819277108437</v>
      </c>
      <c r="R812" s="122">
        <f t="shared" si="82"/>
        <v>51.800000000000004</v>
      </c>
      <c r="S812" s="122">
        <f t="shared" si="83"/>
        <v>0.24963855421686751</v>
      </c>
      <c r="T812" s="133">
        <v>0.25</v>
      </c>
    </row>
    <row r="813" spans="1:20" ht="15.75" hidden="1" customHeight="1" x14ac:dyDescent="0.3">
      <c r="A813" s="194" t="s">
        <v>59</v>
      </c>
      <c r="B813" s="193" t="s">
        <v>336</v>
      </c>
      <c r="C813" s="176" t="s">
        <v>336</v>
      </c>
      <c r="D813" s="176" t="s">
        <v>590</v>
      </c>
      <c r="E813" s="177">
        <v>15</v>
      </c>
      <c r="F813" s="176"/>
      <c r="G813" s="178"/>
      <c r="H813" s="176"/>
      <c r="I813" s="176" t="s">
        <v>175</v>
      </c>
      <c r="J813" s="176"/>
      <c r="K813" s="176"/>
      <c r="L813" s="176"/>
      <c r="M813" s="176"/>
      <c r="N813" s="179">
        <f t="shared" si="84"/>
        <v>186</v>
      </c>
      <c r="O813" s="179">
        <f t="shared" si="85"/>
        <v>42</v>
      </c>
      <c r="P813" s="180">
        <f t="shared" si="80"/>
        <v>228</v>
      </c>
      <c r="Q813" s="181">
        <f t="shared" si="81"/>
        <v>0.27469879518072288</v>
      </c>
      <c r="R813" s="122">
        <f t="shared" si="82"/>
        <v>45.6</v>
      </c>
      <c r="S813" s="122">
        <f t="shared" si="83"/>
        <v>0.21975903614457831</v>
      </c>
      <c r="T813" s="133">
        <v>0.2</v>
      </c>
    </row>
    <row r="814" spans="1:20" ht="15.75" hidden="1" customHeight="1" x14ac:dyDescent="0.3">
      <c r="A814" s="194" t="s">
        <v>59</v>
      </c>
      <c r="B814" s="193" t="s">
        <v>336</v>
      </c>
      <c r="C814" s="176" t="s">
        <v>336</v>
      </c>
      <c r="D814" s="176" t="s">
        <v>590</v>
      </c>
      <c r="E814" s="177">
        <v>15</v>
      </c>
      <c r="F814" s="176"/>
      <c r="G814" s="178"/>
      <c r="H814" s="176"/>
      <c r="I814" s="195" t="s">
        <v>575</v>
      </c>
      <c r="J814" s="176"/>
      <c r="K814" s="176"/>
      <c r="L814" s="176"/>
      <c r="M814" s="176"/>
      <c r="N814" s="179">
        <f t="shared" si="84"/>
        <v>78</v>
      </c>
      <c r="O814" s="179">
        <f t="shared" si="85"/>
        <v>240.5</v>
      </c>
      <c r="P814" s="180">
        <f t="shared" si="80"/>
        <v>318.5</v>
      </c>
      <c r="Q814" s="181">
        <f t="shared" si="81"/>
        <v>0.38373493975903616</v>
      </c>
      <c r="R814" s="122">
        <f t="shared" si="82"/>
        <v>63.7</v>
      </c>
      <c r="S814" s="122">
        <f t="shared" si="83"/>
        <v>0.30698795180722893</v>
      </c>
      <c r="T814" s="133">
        <v>0.35</v>
      </c>
    </row>
    <row r="815" spans="1:20" ht="15.75" hidden="1" customHeight="1" x14ac:dyDescent="0.3">
      <c r="A815" s="194" t="s">
        <v>59</v>
      </c>
      <c r="B815" s="193" t="s">
        <v>336</v>
      </c>
      <c r="C815" s="176" t="s">
        <v>336</v>
      </c>
      <c r="D815" s="176" t="s">
        <v>590</v>
      </c>
      <c r="E815" s="177">
        <v>15</v>
      </c>
      <c r="F815" s="176"/>
      <c r="G815" s="178"/>
      <c r="H815" s="176"/>
      <c r="I815" s="176" t="s">
        <v>581</v>
      </c>
      <c r="J815" s="176"/>
      <c r="K815" s="176"/>
      <c r="L815" s="176"/>
      <c r="M815" s="176"/>
      <c r="N815" s="179">
        <f t="shared" si="84"/>
        <v>276</v>
      </c>
      <c r="O815" s="179">
        <f t="shared" si="85"/>
        <v>323</v>
      </c>
      <c r="P815" s="180">
        <f t="shared" si="80"/>
        <v>599</v>
      </c>
      <c r="Q815" s="181">
        <f t="shared" si="81"/>
        <v>0.72168674698795177</v>
      </c>
      <c r="R815" s="122">
        <f t="shared" si="82"/>
        <v>119.80000000000001</v>
      </c>
      <c r="S815" s="122">
        <f t="shared" si="83"/>
        <v>0.57734939759036141</v>
      </c>
      <c r="T815" s="133">
        <v>0.55000000000000004</v>
      </c>
    </row>
    <row r="816" spans="1:20" ht="15.75" hidden="1" customHeight="1" x14ac:dyDescent="0.3">
      <c r="A816" s="194" t="s">
        <v>59</v>
      </c>
      <c r="B816" s="193" t="s">
        <v>336</v>
      </c>
      <c r="C816" s="176" t="s">
        <v>336</v>
      </c>
      <c r="D816" s="176" t="s">
        <v>590</v>
      </c>
      <c r="E816" s="177">
        <v>15</v>
      </c>
      <c r="F816" s="176"/>
      <c r="G816" s="178"/>
      <c r="H816" s="176"/>
      <c r="I816" s="176" t="s">
        <v>562</v>
      </c>
      <c r="J816" s="176"/>
      <c r="K816" s="176"/>
      <c r="L816" s="176"/>
      <c r="M816" s="176"/>
      <c r="N816" s="179">
        <f t="shared" si="84"/>
        <v>438</v>
      </c>
      <c r="O816" s="179">
        <f t="shared" si="85"/>
        <v>361</v>
      </c>
      <c r="P816" s="180">
        <f t="shared" si="80"/>
        <v>799</v>
      </c>
      <c r="Q816" s="181">
        <f t="shared" si="81"/>
        <v>0.96265060240963851</v>
      </c>
      <c r="R816" s="122">
        <f t="shared" si="82"/>
        <v>159.80000000000001</v>
      </c>
      <c r="S816" s="122">
        <f t="shared" si="83"/>
        <v>0.77012048192771088</v>
      </c>
      <c r="T816" s="133">
        <v>0.75</v>
      </c>
    </row>
    <row r="817" spans="1:20" ht="15.75" hidden="1" customHeight="1" x14ac:dyDescent="0.3">
      <c r="A817" s="194" t="s">
        <v>59</v>
      </c>
      <c r="B817" s="182" t="s">
        <v>336</v>
      </c>
      <c r="C817" s="182" t="s">
        <v>336</v>
      </c>
      <c r="D817" s="182" t="s">
        <v>590</v>
      </c>
      <c r="E817" s="183">
        <v>15</v>
      </c>
      <c r="F817" s="182"/>
      <c r="G817" s="187"/>
      <c r="H817" s="182"/>
      <c r="I817" s="182" t="s">
        <v>568</v>
      </c>
      <c r="J817" s="176"/>
      <c r="K817" s="176"/>
      <c r="L817" s="176"/>
      <c r="M817" s="176"/>
      <c r="N817" s="179">
        <f t="shared" si="84"/>
        <v>239</v>
      </c>
      <c r="O817" s="179">
        <f t="shared" si="85"/>
        <v>313</v>
      </c>
      <c r="P817" s="180">
        <f t="shared" si="80"/>
        <v>552</v>
      </c>
      <c r="Q817" s="181">
        <f t="shared" si="81"/>
        <v>0.66506024096385541</v>
      </c>
      <c r="R817" s="122">
        <f t="shared" si="82"/>
        <v>110.4</v>
      </c>
      <c r="S817" s="122">
        <f t="shared" si="83"/>
        <v>0.53204819277108439</v>
      </c>
      <c r="T817" s="133">
        <v>0.55000000000000004</v>
      </c>
    </row>
    <row r="818" spans="1:20" ht="15.75" hidden="1" customHeight="1" x14ac:dyDescent="0.3">
      <c r="A818" s="194" t="s">
        <v>59</v>
      </c>
      <c r="B818" s="182" t="s">
        <v>336</v>
      </c>
      <c r="C818" s="182" t="s">
        <v>336</v>
      </c>
      <c r="D818" s="182" t="s">
        <v>590</v>
      </c>
      <c r="E818" s="183">
        <v>15</v>
      </c>
      <c r="F818" s="182"/>
      <c r="G818" s="187"/>
      <c r="H818" s="182"/>
      <c r="I818" s="182" t="s">
        <v>582</v>
      </c>
      <c r="J818" s="176"/>
      <c r="K818" s="176" t="s">
        <v>593</v>
      </c>
      <c r="L818" s="176"/>
      <c r="M818" s="176"/>
      <c r="N818" s="179">
        <f t="shared" si="84"/>
        <v>298</v>
      </c>
      <c r="O818" s="179">
        <f t="shared" si="85"/>
        <v>310</v>
      </c>
      <c r="P818" s="180">
        <f t="shared" si="80"/>
        <v>608</v>
      </c>
      <c r="Q818" s="181">
        <f t="shared" si="81"/>
        <v>0.73253012048192767</v>
      </c>
      <c r="R818" s="122">
        <f t="shared" si="82"/>
        <v>121.60000000000001</v>
      </c>
      <c r="S818" s="122">
        <f t="shared" si="83"/>
        <v>0.5860240963855422</v>
      </c>
      <c r="T818" s="133">
        <v>0.7</v>
      </c>
    </row>
    <row r="819" spans="1:20" ht="15.75" hidden="1" customHeight="1" x14ac:dyDescent="0.3">
      <c r="A819" s="194" t="s">
        <v>59</v>
      </c>
      <c r="B819" s="176" t="s">
        <v>341</v>
      </c>
      <c r="C819" s="176" t="s">
        <v>341</v>
      </c>
      <c r="D819" s="176" t="s">
        <v>657</v>
      </c>
      <c r="E819" s="177">
        <v>25</v>
      </c>
      <c r="F819" s="176"/>
      <c r="G819" s="178"/>
      <c r="H819" s="176" t="s">
        <v>642</v>
      </c>
      <c r="I819" s="176" t="s">
        <v>572</v>
      </c>
      <c r="J819" s="176"/>
      <c r="K819" s="176" t="s">
        <v>593</v>
      </c>
      <c r="L819" s="176"/>
      <c r="M819" s="176" t="s">
        <v>713</v>
      </c>
      <c r="N819" s="179">
        <f t="shared" si="84"/>
        <v>410</v>
      </c>
      <c r="O819" s="179">
        <f t="shared" si="85"/>
        <v>260</v>
      </c>
      <c r="P819" s="180">
        <f t="shared" si="80"/>
        <v>670</v>
      </c>
      <c r="Q819" s="181">
        <f t="shared" si="81"/>
        <v>0.80722891566265065</v>
      </c>
      <c r="R819" s="122">
        <f t="shared" si="82"/>
        <v>134</v>
      </c>
      <c r="S819" s="122">
        <f t="shared" si="83"/>
        <v>0.64578313253012054</v>
      </c>
      <c r="T819" s="133">
        <v>0.55000000000000004</v>
      </c>
    </row>
    <row r="820" spans="1:20" ht="15.75" hidden="1" customHeight="1" x14ac:dyDescent="0.3">
      <c r="A820" s="194" t="s">
        <v>59</v>
      </c>
      <c r="B820" s="182" t="s">
        <v>341</v>
      </c>
      <c r="C820" s="182" t="s">
        <v>341</v>
      </c>
      <c r="D820" s="182" t="s">
        <v>647</v>
      </c>
      <c r="E820" s="183">
        <v>25</v>
      </c>
      <c r="F820" s="182"/>
      <c r="G820" s="187"/>
      <c r="H820" s="182" t="s">
        <v>598</v>
      </c>
      <c r="I820" s="182" t="s">
        <v>510</v>
      </c>
      <c r="J820" s="176"/>
      <c r="K820" s="176" t="s">
        <v>593</v>
      </c>
      <c r="L820" s="176"/>
      <c r="M820" s="176" t="s">
        <v>714</v>
      </c>
      <c r="N820" s="179">
        <f t="shared" si="84"/>
        <v>337</v>
      </c>
      <c r="O820" s="179">
        <f t="shared" si="85"/>
        <v>205</v>
      </c>
      <c r="P820" s="180">
        <f t="shared" si="80"/>
        <v>542</v>
      </c>
      <c r="Q820" s="181">
        <f t="shared" si="81"/>
        <v>0.65301204819277103</v>
      </c>
      <c r="R820" s="122">
        <f t="shared" si="82"/>
        <v>108.4</v>
      </c>
      <c r="S820" s="122">
        <f t="shared" si="83"/>
        <v>0.52240963855421685</v>
      </c>
      <c r="T820" s="133">
        <v>0.65</v>
      </c>
    </row>
    <row r="821" spans="1:20" ht="15.75" hidden="1" customHeight="1" x14ac:dyDescent="0.3">
      <c r="A821" s="194" t="s">
        <v>59</v>
      </c>
      <c r="B821" s="176" t="s">
        <v>341</v>
      </c>
      <c r="C821" s="176" t="s">
        <v>341</v>
      </c>
      <c r="D821" s="176" t="s">
        <v>679</v>
      </c>
      <c r="E821" s="177">
        <v>50</v>
      </c>
      <c r="F821" s="176"/>
      <c r="G821" s="178"/>
      <c r="H821" s="176" t="s">
        <v>642</v>
      </c>
      <c r="I821" s="176" t="s">
        <v>572</v>
      </c>
      <c r="J821" s="176"/>
      <c r="K821" s="176" t="s">
        <v>593</v>
      </c>
      <c r="L821" s="176"/>
      <c r="M821" s="176" t="s">
        <v>681</v>
      </c>
      <c r="N821" s="179">
        <f t="shared" si="84"/>
        <v>410</v>
      </c>
      <c r="O821" s="179">
        <f t="shared" si="85"/>
        <v>260</v>
      </c>
      <c r="P821" s="180">
        <f t="shared" si="80"/>
        <v>670</v>
      </c>
      <c r="Q821" s="181">
        <f t="shared" si="81"/>
        <v>0.80722891566265065</v>
      </c>
      <c r="R821" s="122">
        <f t="shared" si="82"/>
        <v>134</v>
      </c>
      <c r="S821" s="122">
        <f t="shared" si="83"/>
        <v>0.64578313253012054</v>
      </c>
      <c r="T821" s="133">
        <v>0.55000000000000004</v>
      </c>
    </row>
    <row r="822" spans="1:20" ht="15.75" hidden="1" customHeight="1" x14ac:dyDescent="0.3">
      <c r="A822" s="194" t="s">
        <v>59</v>
      </c>
      <c r="B822" s="176" t="s">
        <v>341</v>
      </c>
      <c r="C822" s="176" t="s">
        <v>341</v>
      </c>
      <c r="D822" s="176" t="s">
        <v>679</v>
      </c>
      <c r="E822" s="177">
        <v>50</v>
      </c>
      <c r="F822" s="176"/>
      <c r="G822" s="178"/>
      <c r="H822" s="176" t="s">
        <v>682</v>
      </c>
      <c r="I822" s="176" t="s">
        <v>497</v>
      </c>
      <c r="J822" s="176"/>
      <c r="K822" s="176" t="s">
        <v>593</v>
      </c>
      <c r="L822" s="176"/>
      <c r="M822" s="176" t="s">
        <v>683</v>
      </c>
      <c r="N822" s="179">
        <f t="shared" si="84"/>
        <v>180</v>
      </c>
      <c r="O822" s="179">
        <f t="shared" si="85"/>
        <v>129</v>
      </c>
      <c r="P822" s="180">
        <f t="shared" si="80"/>
        <v>309</v>
      </c>
      <c r="Q822" s="181">
        <f t="shared" si="81"/>
        <v>0.37228915662650602</v>
      </c>
      <c r="R822" s="122">
        <f t="shared" si="82"/>
        <v>61.800000000000004</v>
      </c>
      <c r="S822" s="122">
        <f t="shared" si="83"/>
        <v>0.29783132530120482</v>
      </c>
      <c r="T822" s="133">
        <v>0.3</v>
      </c>
    </row>
    <row r="823" spans="1:20" ht="15.75" hidden="1" customHeight="1" x14ac:dyDescent="0.3">
      <c r="A823" s="194" t="s">
        <v>59</v>
      </c>
      <c r="B823" s="176" t="s">
        <v>341</v>
      </c>
      <c r="C823" s="176" t="s">
        <v>341</v>
      </c>
      <c r="D823" s="176" t="s">
        <v>670</v>
      </c>
      <c r="E823" s="177">
        <v>50</v>
      </c>
      <c r="F823" s="176"/>
      <c r="G823" s="178"/>
      <c r="H823" s="176" t="s">
        <v>604</v>
      </c>
      <c r="I823" s="176" t="s">
        <v>578</v>
      </c>
      <c r="J823" s="176"/>
      <c r="K823" s="176" t="s">
        <v>593</v>
      </c>
      <c r="L823" s="176"/>
      <c r="M823" s="176" t="s">
        <v>687</v>
      </c>
      <c r="N823" s="179">
        <f t="shared" si="84"/>
        <v>381</v>
      </c>
      <c r="O823" s="179">
        <f t="shared" si="85"/>
        <v>162</v>
      </c>
      <c r="P823" s="180">
        <f t="shared" si="80"/>
        <v>543</v>
      </c>
      <c r="Q823" s="181">
        <f t="shared" si="81"/>
        <v>0.6542168674698795</v>
      </c>
      <c r="R823" s="122">
        <f t="shared" si="82"/>
        <v>108.60000000000001</v>
      </c>
      <c r="S823" s="122">
        <f t="shared" si="83"/>
        <v>0.5233734939759036</v>
      </c>
      <c r="T823" s="133">
        <v>0.5</v>
      </c>
    </row>
    <row r="824" spans="1:20" ht="15.75" hidden="1" customHeight="1" x14ac:dyDescent="0.3">
      <c r="A824" s="194" t="s">
        <v>59</v>
      </c>
      <c r="B824" s="176" t="s">
        <v>341</v>
      </c>
      <c r="C824" s="176" t="s">
        <v>341</v>
      </c>
      <c r="D824" s="176" t="s">
        <v>673</v>
      </c>
      <c r="E824" s="177">
        <v>50</v>
      </c>
      <c r="F824" s="176"/>
      <c r="G824" s="178"/>
      <c r="H824" s="176" t="s">
        <v>622</v>
      </c>
      <c r="I824" s="176" t="s">
        <v>562</v>
      </c>
      <c r="J824" s="176"/>
      <c r="K824" s="176" t="s">
        <v>593</v>
      </c>
      <c r="L824" s="176"/>
      <c r="M824" s="176" t="s">
        <v>751</v>
      </c>
      <c r="N824" s="179">
        <f t="shared" si="84"/>
        <v>438</v>
      </c>
      <c r="O824" s="179">
        <f t="shared" si="85"/>
        <v>361</v>
      </c>
      <c r="P824" s="180">
        <f t="shared" si="80"/>
        <v>799</v>
      </c>
      <c r="Q824" s="181">
        <f t="shared" si="81"/>
        <v>0.96265060240963851</v>
      </c>
      <c r="R824" s="122">
        <f t="shared" si="82"/>
        <v>159.80000000000001</v>
      </c>
      <c r="S824" s="122">
        <f t="shared" si="83"/>
        <v>0.77012048192771088</v>
      </c>
      <c r="T824" s="133">
        <v>0.75</v>
      </c>
    </row>
    <row r="825" spans="1:20" ht="15.75" hidden="1" customHeight="1" x14ac:dyDescent="0.3">
      <c r="A825" s="194" t="s">
        <v>59</v>
      </c>
      <c r="B825" s="176" t="s">
        <v>341</v>
      </c>
      <c r="C825" s="176" t="s">
        <v>341</v>
      </c>
      <c r="D825" s="176" t="s">
        <v>676</v>
      </c>
      <c r="E825" s="177">
        <v>50</v>
      </c>
      <c r="F825" s="176"/>
      <c r="G825" s="178"/>
      <c r="H825" s="176" t="s">
        <v>646</v>
      </c>
      <c r="I825" s="176" t="s">
        <v>568</v>
      </c>
      <c r="J825" s="176"/>
      <c r="K825" s="176" t="s">
        <v>593</v>
      </c>
      <c r="L825" s="176"/>
      <c r="M825" s="176" t="s">
        <v>689</v>
      </c>
      <c r="N825" s="179">
        <f t="shared" si="84"/>
        <v>239</v>
      </c>
      <c r="O825" s="179">
        <f t="shared" si="85"/>
        <v>313</v>
      </c>
      <c r="P825" s="180">
        <f t="shared" si="80"/>
        <v>552</v>
      </c>
      <c r="Q825" s="181">
        <f t="shared" si="81"/>
        <v>0.66506024096385541</v>
      </c>
      <c r="R825" s="122">
        <f t="shared" si="82"/>
        <v>110.4</v>
      </c>
      <c r="S825" s="122">
        <f t="shared" si="83"/>
        <v>0.53204819277108439</v>
      </c>
      <c r="T825" s="133">
        <v>0.55000000000000004</v>
      </c>
    </row>
    <row r="826" spans="1:20" ht="15.75" hidden="1" customHeight="1" x14ac:dyDescent="0.3">
      <c r="A826" s="194" t="s">
        <v>59</v>
      </c>
      <c r="B826" s="176" t="s">
        <v>415</v>
      </c>
      <c r="C826" s="176" t="s">
        <v>415</v>
      </c>
      <c r="D826" s="176" t="s">
        <v>608</v>
      </c>
      <c r="E826" s="177">
        <v>25</v>
      </c>
      <c r="F826" s="176"/>
      <c r="G826" s="178"/>
      <c r="H826" s="176" t="s">
        <v>622</v>
      </c>
      <c r="I826" s="176" t="s">
        <v>562</v>
      </c>
      <c r="J826" s="176"/>
      <c r="K826" s="176" t="s">
        <v>593</v>
      </c>
      <c r="L826" s="176"/>
      <c r="M826" s="176" t="s">
        <v>735</v>
      </c>
      <c r="N826" s="179">
        <f t="shared" si="84"/>
        <v>438</v>
      </c>
      <c r="O826" s="179">
        <f t="shared" si="85"/>
        <v>361</v>
      </c>
      <c r="P826" s="180">
        <f t="shared" si="80"/>
        <v>799</v>
      </c>
      <c r="Q826" s="181">
        <f t="shared" si="81"/>
        <v>0.96265060240963851</v>
      </c>
      <c r="R826" s="122">
        <f t="shared" si="82"/>
        <v>159.80000000000001</v>
      </c>
      <c r="S826" s="122">
        <f t="shared" si="83"/>
        <v>0.77012048192771088</v>
      </c>
      <c r="T826" s="133">
        <v>0.75</v>
      </c>
    </row>
    <row r="827" spans="1:20" ht="15.75" hidden="1" customHeight="1" x14ac:dyDescent="0.3">
      <c r="A827" s="194" t="s">
        <v>59</v>
      </c>
      <c r="B827" s="176" t="s">
        <v>415</v>
      </c>
      <c r="C827" s="176" t="s">
        <v>415</v>
      </c>
      <c r="D827" s="176" t="s">
        <v>608</v>
      </c>
      <c r="E827" s="177">
        <v>50</v>
      </c>
      <c r="F827" s="176"/>
      <c r="G827" s="178"/>
      <c r="H827" s="176" t="s">
        <v>610</v>
      </c>
      <c r="I827" s="176" t="s">
        <v>574</v>
      </c>
      <c r="J827" s="176"/>
      <c r="K827" s="176" t="s">
        <v>593</v>
      </c>
      <c r="L827" s="176"/>
      <c r="M827" s="176" t="s">
        <v>752</v>
      </c>
      <c r="N827" s="179">
        <f t="shared" si="84"/>
        <v>171</v>
      </c>
      <c r="O827" s="179">
        <f t="shared" si="85"/>
        <v>88</v>
      </c>
      <c r="P827" s="180">
        <f t="shared" si="80"/>
        <v>259</v>
      </c>
      <c r="Q827" s="181">
        <f t="shared" si="81"/>
        <v>0.31204819277108437</v>
      </c>
      <c r="R827" s="122">
        <f t="shared" si="82"/>
        <v>51.800000000000004</v>
      </c>
      <c r="S827" s="122">
        <f t="shared" si="83"/>
        <v>0.24963855421686751</v>
      </c>
      <c r="T827" s="133">
        <v>0.25</v>
      </c>
    </row>
    <row r="828" spans="1:20" ht="15.75" hidden="1" customHeight="1" x14ac:dyDescent="0.3">
      <c r="A828" s="194" t="s">
        <v>59</v>
      </c>
      <c r="B828" s="176" t="s">
        <v>415</v>
      </c>
      <c r="C828" s="176" t="s">
        <v>415</v>
      </c>
      <c r="D828" s="176" t="s">
        <v>608</v>
      </c>
      <c r="E828" s="177">
        <v>25</v>
      </c>
      <c r="F828" s="176"/>
      <c r="G828" s="178"/>
      <c r="H828" s="176" t="s">
        <v>615</v>
      </c>
      <c r="I828" s="176" t="s">
        <v>570</v>
      </c>
      <c r="J828" s="176"/>
      <c r="K828" s="176" t="s">
        <v>593</v>
      </c>
      <c r="L828" s="176"/>
      <c r="M828" s="176" t="s">
        <v>737</v>
      </c>
      <c r="N828" s="179">
        <f t="shared" si="84"/>
        <v>279</v>
      </c>
      <c r="O828" s="179">
        <f t="shared" si="85"/>
        <v>431</v>
      </c>
      <c r="P828" s="180">
        <f t="shared" si="80"/>
        <v>710</v>
      </c>
      <c r="Q828" s="181">
        <f t="shared" si="81"/>
        <v>0.85542168674698793</v>
      </c>
      <c r="R828" s="122">
        <f t="shared" si="82"/>
        <v>142</v>
      </c>
      <c r="S828" s="122">
        <f t="shared" si="83"/>
        <v>0.68433734939759039</v>
      </c>
      <c r="T828" s="133">
        <v>0.65</v>
      </c>
    </row>
    <row r="829" spans="1:20" ht="15.75" hidden="1" customHeight="1" x14ac:dyDescent="0.3">
      <c r="A829" s="194" t="s">
        <v>59</v>
      </c>
      <c r="B829" s="176" t="s">
        <v>415</v>
      </c>
      <c r="C829" s="176" t="s">
        <v>415</v>
      </c>
      <c r="D829" s="176" t="s">
        <v>608</v>
      </c>
      <c r="E829" s="177">
        <v>25</v>
      </c>
      <c r="F829" s="176"/>
      <c r="G829" s="178"/>
      <c r="H829" s="176" t="s">
        <v>692</v>
      </c>
      <c r="I829" s="176" t="s">
        <v>558</v>
      </c>
      <c r="J829" s="176"/>
      <c r="K829" s="176" t="s">
        <v>593</v>
      </c>
      <c r="L829" s="176"/>
      <c r="M829" s="176" t="s">
        <v>738</v>
      </c>
      <c r="N829" s="179">
        <f t="shared" si="84"/>
        <v>15</v>
      </c>
      <c r="O829" s="179">
        <f t="shared" si="85"/>
        <v>146</v>
      </c>
      <c r="P829" s="180">
        <f t="shared" si="80"/>
        <v>161</v>
      </c>
      <c r="Q829" s="181">
        <f t="shared" si="81"/>
        <v>0.19397590361445782</v>
      </c>
      <c r="R829" s="122">
        <f t="shared" si="82"/>
        <v>32.200000000000003</v>
      </c>
      <c r="S829" s="122">
        <f t="shared" si="83"/>
        <v>0.15518072289156626</v>
      </c>
      <c r="T829" s="133">
        <v>0.15</v>
      </c>
    </row>
    <row r="830" spans="1:20" ht="15.75" hidden="1" customHeight="1" x14ac:dyDescent="0.3">
      <c r="A830" s="194" t="s">
        <v>59</v>
      </c>
      <c r="B830" s="176" t="s">
        <v>415</v>
      </c>
      <c r="C830" s="176" t="s">
        <v>415</v>
      </c>
      <c r="D830" s="176" t="s">
        <v>608</v>
      </c>
      <c r="E830" s="177">
        <v>25</v>
      </c>
      <c r="F830" s="176"/>
      <c r="G830" s="178"/>
      <c r="H830" s="176" t="s">
        <v>598</v>
      </c>
      <c r="I830" s="176" t="s">
        <v>104</v>
      </c>
      <c r="J830" s="176"/>
      <c r="K830" s="176" t="s">
        <v>593</v>
      </c>
      <c r="L830" s="176"/>
      <c r="M830" s="176" t="s">
        <v>739</v>
      </c>
      <c r="N830" s="179">
        <f t="shared" si="84"/>
        <v>188</v>
      </c>
      <c r="O830" s="179">
        <f t="shared" si="85"/>
        <v>294</v>
      </c>
      <c r="P830" s="180">
        <f t="shared" si="80"/>
        <v>482</v>
      </c>
      <c r="Q830" s="181">
        <f t="shared" si="81"/>
        <v>0.58072289156626511</v>
      </c>
      <c r="R830" s="122">
        <f t="shared" si="82"/>
        <v>96.4</v>
      </c>
      <c r="S830" s="122">
        <f t="shared" si="83"/>
        <v>0.46457831325301213</v>
      </c>
      <c r="T830" s="133">
        <v>0.5</v>
      </c>
    </row>
    <row r="831" spans="1:20" ht="15.75" hidden="1" customHeight="1" x14ac:dyDescent="0.3">
      <c r="A831" s="194" t="s">
        <v>59</v>
      </c>
      <c r="B831" s="176" t="s">
        <v>415</v>
      </c>
      <c r="C831" s="176" t="s">
        <v>415</v>
      </c>
      <c r="D831" s="176" t="s">
        <v>608</v>
      </c>
      <c r="E831" s="177">
        <v>25</v>
      </c>
      <c r="F831" s="176"/>
      <c r="G831" s="178"/>
      <c r="H831" s="176" t="s">
        <v>642</v>
      </c>
      <c r="I831" s="176" t="s">
        <v>572</v>
      </c>
      <c r="J831" s="176"/>
      <c r="K831" s="176" t="s">
        <v>593</v>
      </c>
      <c r="L831" s="176"/>
      <c r="M831" s="176" t="s">
        <v>740</v>
      </c>
      <c r="N831" s="179">
        <f t="shared" si="84"/>
        <v>410</v>
      </c>
      <c r="O831" s="179">
        <f t="shared" si="85"/>
        <v>260</v>
      </c>
      <c r="P831" s="180">
        <f t="shared" si="80"/>
        <v>670</v>
      </c>
      <c r="Q831" s="181">
        <f t="shared" si="81"/>
        <v>0.80722891566265065</v>
      </c>
      <c r="R831" s="122">
        <f t="shared" si="82"/>
        <v>134</v>
      </c>
      <c r="S831" s="122">
        <f t="shared" si="83"/>
        <v>0.64578313253012054</v>
      </c>
      <c r="T831" s="133">
        <v>0.55000000000000004</v>
      </c>
    </row>
    <row r="832" spans="1:20" ht="15.75" hidden="1" customHeight="1" x14ac:dyDescent="0.3">
      <c r="A832" s="194" t="s">
        <v>59</v>
      </c>
      <c r="B832" s="176" t="s">
        <v>415</v>
      </c>
      <c r="C832" s="176" t="s">
        <v>415</v>
      </c>
      <c r="D832" s="176" t="s">
        <v>608</v>
      </c>
      <c r="E832" s="177">
        <v>25</v>
      </c>
      <c r="F832" s="176"/>
      <c r="G832" s="178"/>
      <c r="H832" s="176" t="s">
        <v>612</v>
      </c>
      <c r="I832" s="176" t="s">
        <v>175</v>
      </c>
      <c r="J832" s="176"/>
      <c r="K832" s="176" t="s">
        <v>593</v>
      </c>
      <c r="L832" s="176"/>
      <c r="M832" s="176" t="s">
        <v>741</v>
      </c>
      <c r="N832" s="179">
        <f t="shared" si="84"/>
        <v>186</v>
      </c>
      <c r="O832" s="179">
        <f t="shared" si="85"/>
        <v>42</v>
      </c>
      <c r="P832" s="180">
        <f t="shared" si="80"/>
        <v>228</v>
      </c>
      <c r="Q832" s="181">
        <f t="shared" si="81"/>
        <v>0.27469879518072288</v>
      </c>
      <c r="R832" s="122">
        <f t="shared" si="82"/>
        <v>45.6</v>
      </c>
      <c r="S832" s="122">
        <f t="shared" si="83"/>
        <v>0.21975903614457831</v>
      </c>
      <c r="T832" s="133">
        <v>0.2</v>
      </c>
    </row>
    <row r="833" spans="1:20" ht="15.75" hidden="1" customHeight="1" x14ac:dyDescent="0.3">
      <c r="A833" s="194" t="s">
        <v>59</v>
      </c>
      <c r="B833" s="176" t="s">
        <v>415</v>
      </c>
      <c r="C833" s="176" t="s">
        <v>415</v>
      </c>
      <c r="D833" s="176" t="s">
        <v>608</v>
      </c>
      <c r="E833" s="177">
        <v>25</v>
      </c>
      <c r="F833" s="176"/>
      <c r="G833" s="178"/>
      <c r="H833" s="176" t="s">
        <v>597</v>
      </c>
      <c r="I833" s="176" t="s">
        <v>109</v>
      </c>
      <c r="J833" s="176"/>
      <c r="K833" s="176" t="s">
        <v>593</v>
      </c>
      <c r="L833" s="176"/>
      <c r="M833" s="176" t="s">
        <v>742</v>
      </c>
      <c r="N833" s="179">
        <f t="shared" si="84"/>
        <v>169</v>
      </c>
      <c r="O833" s="179">
        <f t="shared" si="85"/>
        <v>340</v>
      </c>
      <c r="P833" s="180">
        <f t="shared" si="80"/>
        <v>509</v>
      </c>
      <c r="Q833" s="181">
        <f t="shared" si="81"/>
        <v>0.61325301204819282</v>
      </c>
      <c r="R833" s="122">
        <f t="shared" si="82"/>
        <v>101.80000000000001</v>
      </c>
      <c r="S833" s="122">
        <f t="shared" si="83"/>
        <v>0.49060240963855428</v>
      </c>
      <c r="T833" s="133">
        <v>0.4</v>
      </c>
    </row>
    <row r="834" spans="1:20" ht="15.75" hidden="1" customHeight="1" x14ac:dyDescent="0.3">
      <c r="A834" s="196" t="s">
        <v>59</v>
      </c>
      <c r="B834" s="182" t="s">
        <v>415</v>
      </c>
      <c r="C834" s="182" t="s">
        <v>415</v>
      </c>
      <c r="D834" s="182" t="s">
        <v>608</v>
      </c>
      <c r="E834" s="183">
        <v>24</v>
      </c>
      <c r="F834" s="176"/>
      <c r="G834" s="178"/>
      <c r="H834" s="176"/>
      <c r="I834" s="176" t="s">
        <v>584</v>
      </c>
      <c r="J834" s="176"/>
      <c r="K834" s="176" t="s">
        <v>593</v>
      </c>
      <c r="L834" s="176"/>
      <c r="M834" s="197" t="s">
        <v>753</v>
      </c>
      <c r="N834" s="179">
        <f t="shared" si="84"/>
        <v>0</v>
      </c>
      <c r="O834" s="179">
        <f t="shared" si="85"/>
        <v>104</v>
      </c>
      <c r="P834" s="180">
        <f t="shared" si="80"/>
        <v>104</v>
      </c>
      <c r="Q834" s="181">
        <f t="shared" si="81"/>
        <v>0.12530120481927712</v>
      </c>
      <c r="R834" s="122">
        <f t="shared" si="82"/>
        <v>20.8</v>
      </c>
      <c r="S834" s="122">
        <f t="shared" si="83"/>
        <v>0.10024096385542169</v>
      </c>
      <c r="T834" s="185">
        <v>0</v>
      </c>
    </row>
    <row r="835" spans="1:20" ht="15.75" hidden="1" customHeight="1" x14ac:dyDescent="0.3">
      <c r="A835" s="198" t="s">
        <v>59</v>
      </c>
      <c r="B835" s="182" t="s">
        <v>415</v>
      </c>
      <c r="C835" s="182" t="s">
        <v>415</v>
      </c>
      <c r="D835" s="182" t="s">
        <v>608</v>
      </c>
      <c r="E835" s="183">
        <v>18</v>
      </c>
      <c r="F835" s="176"/>
      <c r="G835" s="178"/>
      <c r="H835" s="176"/>
      <c r="I835" s="176" t="s">
        <v>581</v>
      </c>
      <c r="J835" s="176"/>
      <c r="K835" s="176" t="s">
        <v>593</v>
      </c>
      <c r="L835" s="176"/>
      <c r="M835" s="192" t="s">
        <v>754</v>
      </c>
      <c r="N835" s="179">
        <f t="shared" si="84"/>
        <v>276</v>
      </c>
      <c r="O835" s="179">
        <f t="shared" si="85"/>
        <v>323</v>
      </c>
      <c r="P835" s="180">
        <f t="shared" si="80"/>
        <v>599</v>
      </c>
      <c r="Q835" s="181">
        <f t="shared" si="81"/>
        <v>0.72168674698795177</v>
      </c>
      <c r="R835" s="122">
        <f t="shared" si="82"/>
        <v>119.80000000000001</v>
      </c>
      <c r="S835" s="122">
        <f t="shared" si="83"/>
        <v>0.57734939759036141</v>
      </c>
      <c r="T835" s="133">
        <v>0.55000000000000004</v>
      </c>
    </row>
    <row r="836" spans="1:20" ht="15.75" hidden="1" customHeight="1" x14ac:dyDescent="0.3">
      <c r="A836" s="198" t="s">
        <v>59</v>
      </c>
      <c r="B836" s="182" t="s">
        <v>415</v>
      </c>
      <c r="C836" s="182" t="s">
        <v>415</v>
      </c>
      <c r="D836" s="182" t="s">
        <v>608</v>
      </c>
      <c r="E836" s="183">
        <v>6</v>
      </c>
      <c r="F836" s="176"/>
      <c r="G836" s="178"/>
      <c r="H836" s="176"/>
      <c r="I836" s="176" t="s">
        <v>582</v>
      </c>
      <c r="J836" s="176"/>
      <c r="K836" s="176" t="s">
        <v>593</v>
      </c>
      <c r="L836" s="176"/>
      <c r="M836" s="192" t="s">
        <v>755</v>
      </c>
      <c r="N836" s="179">
        <f t="shared" si="84"/>
        <v>298</v>
      </c>
      <c r="O836" s="179">
        <f t="shared" si="85"/>
        <v>310</v>
      </c>
      <c r="P836" s="180">
        <f t="shared" si="80"/>
        <v>608</v>
      </c>
      <c r="Q836" s="181">
        <f t="shared" si="81"/>
        <v>0.73253012048192767</v>
      </c>
      <c r="R836" s="122">
        <f t="shared" si="82"/>
        <v>121.60000000000001</v>
      </c>
      <c r="S836" s="122">
        <f t="shared" si="83"/>
        <v>0.5860240963855422</v>
      </c>
      <c r="T836" s="133">
        <v>0.7</v>
      </c>
    </row>
    <row r="837" spans="1:20" ht="15.75" hidden="1" customHeight="1" x14ac:dyDescent="0.3">
      <c r="A837" s="198" t="s">
        <v>59</v>
      </c>
      <c r="B837" s="182" t="s">
        <v>415</v>
      </c>
      <c r="C837" s="182" t="s">
        <v>415</v>
      </c>
      <c r="D837" s="182" t="s">
        <v>608</v>
      </c>
      <c r="E837" s="183">
        <v>6</v>
      </c>
      <c r="F837" s="176"/>
      <c r="G837" s="178"/>
      <c r="H837" s="176"/>
      <c r="I837" s="176" t="s">
        <v>104</v>
      </c>
      <c r="J837" s="176"/>
      <c r="K837" s="176" t="s">
        <v>593</v>
      </c>
      <c r="L837" s="176"/>
      <c r="M837" s="192" t="s">
        <v>755</v>
      </c>
      <c r="N837" s="179">
        <f t="shared" si="84"/>
        <v>188</v>
      </c>
      <c r="O837" s="179">
        <f t="shared" si="85"/>
        <v>294</v>
      </c>
      <c r="P837" s="180">
        <f t="shared" si="80"/>
        <v>482</v>
      </c>
      <c r="Q837" s="181">
        <f t="shared" si="81"/>
        <v>0.58072289156626511</v>
      </c>
      <c r="R837" s="122">
        <f t="shared" si="82"/>
        <v>96.4</v>
      </c>
      <c r="S837" s="122">
        <f t="shared" si="83"/>
        <v>0.46457831325301213</v>
      </c>
      <c r="T837" s="133">
        <v>0.5</v>
      </c>
    </row>
    <row r="838" spans="1:20" ht="15.75" hidden="1" customHeight="1" x14ac:dyDescent="0.3">
      <c r="A838" s="194" t="s">
        <v>59</v>
      </c>
      <c r="B838" s="182" t="s">
        <v>415</v>
      </c>
      <c r="C838" s="182" t="s">
        <v>415</v>
      </c>
      <c r="D838" s="182" t="s">
        <v>608</v>
      </c>
      <c r="E838" s="183">
        <v>6</v>
      </c>
      <c r="F838" s="176"/>
      <c r="G838" s="178"/>
      <c r="H838" s="176"/>
      <c r="I838" s="176" t="s">
        <v>109</v>
      </c>
      <c r="J838" s="176"/>
      <c r="K838" s="176" t="s">
        <v>593</v>
      </c>
      <c r="L838" s="176"/>
      <c r="M838" s="176" t="s">
        <v>755</v>
      </c>
      <c r="N838" s="179">
        <f t="shared" si="84"/>
        <v>169</v>
      </c>
      <c r="O838" s="179">
        <f t="shared" si="85"/>
        <v>340</v>
      </c>
      <c r="P838" s="180">
        <f t="shared" si="80"/>
        <v>509</v>
      </c>
      <c r="Q838" s="181">
        <f t="shared" si="81"/>
        <v>0.61325301204819282</v>
      </c>
      <c r="R838" s="122">
        <f t="shared" si="82"/>
        <v>101.80000000000001</v>
      </c>
      <c r="S838" s="122">
        <f t="shared" si="83"/>
        <v>0.49060240963855428</v>
      </c>
      <c r="T838" s="133">
        <v>0.4</v>
      </c>
    </row>
    <row r="839" spans="1:20" ht="15.75" hidden="1" customHeight="1" x14ac:dyDescent="0.3">
      <c r="A839" s="194" t="s">
        <v>59</v>
      </c>
      <c r="B839" s="176" t="s">
        <v>415</v>
      </c>
      <c r="C839" s="176" t="s">
        <v>415</v>
      </c>
      <c r="D839" s="176" t="s">
        <v>608</v>
      </c>
      <c r="E839" s="177">
        <v>75</v>
      </c>
      <c r="F839" s="176"/>
      <c r="G839" s="178"/>
      <c r="H839" s="176" t="s">
        <v>698</v>
      </c>
      <c r="I839" s="176" t="s">
        <v>577</v>
      </c>
      <c r="J839" s="176"/>
      <c r="K839" s="176" t="s">
        <v>593</v>
      </c>
      <c r="L839" s="176"/>
      <c r="M839" s="176" t="s">
        <v>743</v>
      </c>
      <c r="N839" s="179">
        <f t="shared" si="84"/>
        <v>30</v>
      </c>
      <c r="O839" s="179">
        <f t="shared" si="85"/>
        <v>79</v>
      </c>
      <c r="P839" s="180">
        <f t="shared" si="80"/>
        <v>109</v>
      </c>
      <c r="Q839" s="181">
        <f t="shared" si="81"/>
        <v>0.13132530120481928</v>
      </c>
      <c r="R839" s="122">
        <f t="shared" si="82"/>
        <v>21.8</v>
      </c>
      <c r="S839" s="122">
        <f t="shared" si="83"/>
        <v>0.10506024096385543</v>
      </c>
      <c r="T839" s="133">
        <v>0</v>
      </c>
    </row>
    <row r="840" spans="1:20" ht="15.75" hidden="1" customHeight="1" x14ac:dyDescent="0.3">
      <c r="A840" s="194" t="s">
        <v>59</v>
      </c>
      <c r="B840" s="176" t="s">
        <v>415</v>
      </c>
      <c r="C840" s="176" t="s">
        <v>415</v>
      </c>
      <c r="D840" s="176" t="s">
        <v>636</v>
      </c>
      <c r="E840" s="177">
        <v>25</v>
      </c>
      <c r="F840" s="176"/>
      <c r="G840" s="178"/>
      <c r="H840" s="176" t="s">
        <v>604</v>
      </c>
      <c r="I840" s="176" t="s">
        <v>578</v>
      </c>
      <c r="J840" s="176"/>
      <c r="K840" s="176" t="s">
        <v>593</v>
      </c>
      <c r="L840" s="176"/>
      <c r="M840" s="176" t="s">
        <v>744</v>
      </c>
      <c r="N840" s="179">
        <f t="shared" si="84"/>
        <v>381</v>
      </c>
      <c r="O840" s="179">
        <f t="shared" si="85"/>
        <v>162</v>
      </c>
      <c r="P840" s="180">
        <f t="shared" si="80"/>
        <v>543</v>
      </c>
      <c r="Q840" s="181">
        <f t="shared" si="81"/>
        <v>0.6542168674698795</v>
      </c>
      <c r="R840" s="122">
        <f t="shared" si="82"/>
        <v>108.60000000000001</v>
      </c>
      <c r="S840" s="122">
        <f t="shared" si="83"/>
        <v>0.5233734939759036</v>
      </c>
      <c r="T840" s="133">
        <v>0.5</v>
      </c>
    </row>
    <row r="841" spans="1:20" ht="15.75" hidden="1" customHeight="1" x14ac:dyDescent="0.3">
      <c r="A841" s="194" t="s">
        <v>59</v>
      </c>
      <c r="B841" s="176" t="s">
        <v>415</v>
      </c>
      <c r="C841" s="176" t="s">
        <v>415</v>
      </c>
      <c r="D841" s="176" t="s">
        <v>636</v>
      </c>
      <c r="E841" s="177">
        <v>25</v>
      </c>
      <c r="F841" s="176"/>
      <c r="G841" s="178"/>
      <c r="H841" s="176" t="s">
        <v>641</v>
      </c>
      <c r="I841" s="176" t="s">
        <v>580</v>
      </c>
      <c r="J841" s="176"/>
      <c r="K841" s="176" t="s">
        <v>593</v>
      </c>
      <c r="L841" s="176"/>
      <c r="M841" s="176" t="s">
        <v>745</v>
      </c>
      <c r="N841" s="179">
        <f t="shared" si="84"/>
        <v>364</v>
      </c>
      <c r="O841" s="179">
        <f t="shared" si="85"/>
        <v>147</v>
      </c>
      <c r="P841" s="180">
        <f t="shared" si="80"/>
        <v>511</v>
      </c>
      <c r="Q841" s="181">
        <f t="shared" si="81"/>
        <v>0.61566265060240966</v>
      </c>
      <c r="R841" s="122">
        <f t="shared" si="82"/>
        <v>102.2</v>
      </c>
      <c r="S841" s="122">
        <f t="shared" si="83"/>
        <v>0.49253012048192774</v>
      </c>
      <c r="T841" s="133">
        <v>0.5</v>
      </c>
    </row>
    <row r="842" spans="1:20" ht="15.75" hidden="1" customHeight="1" x14ac:dyDescent="0.3">
      <c r="A842" s="194" t="s">
        <v>59</v>
      </c>
      <c r="B842" s="176" t="s">
        <v>415</v>
      </c>
      <c r="C842" s="176" t="s">
        <v>415</v>
      </c>
      <c r="D842" s="176" t="s">
        <v>636</v>
      </c>
      <c r="E842" s="177">
        <v>25</v>
      </c>
      <c r="F842" s="176"/>
      <c r="G842" s="178"/>
      <c r="H842" s="176" t="s">
        <v>605</v>
      </c>
      <c r="I842" s="195" t="s">
        <v>575</v>
      </c>
      <c r="J842" s="176"/>
      <c r="K842" s="176" t="s">
        <v>593</v>
      </c>
      <c r="L842" s="176"/>
      <c r="M842" s="176" t="s">
        <v>756</v>
      </c>
      <c r="N842" s="179">
        <f t="shared" si="84"/>
        <v>78</v>
      </c>
      <c r="O842" s="179">
        <f t="shared" si="85"/>
        <v>240.5</v>
      </c>
      <c r="P842" s="180">
        <f t="shared" ref="P842:P896" si="86">N842+O842</f>
        <v>318.5</v>
      </c>
      <c r="Q842" s="181">
        <f t="shared" ref="Q842:Q896" si="87">P842/$Q$1</f>
        <v>0.38373493975903616</v>
      </c>
      <c r="R842" s="122">
        <f t="shared" ref="R842:R896" si="88">P842*0.2</f>
        <v>63.7</v>
      </c>
      <c r="S842" s="122">
        <f t="shared" ref="S842:S896" si="89">Q842*0.8</f>
        <v>0.30698795180722893</v>
      </c>
      <c r="T842" s="133">
        <v>0.35</v>
      </c>
    </row>
    <row r="843" spans="1:20" ht="15.75" hidden="1" customHeight="1" x14ac:dyDescent="0.3">
      <c r="A843" s="194" t="s">
        <v>59</v>
      </c>
      <c r="B843" s="176" t="s">
        <v>415</v>
      </c>
      <c r="C843" s="176" t="s">
        <v>415</v>
      </c>
      <c r="D843" s="176" t="s">
        <v>636</v>
      </c>
      <c r="E843" s="177">
        <v>25</v>
      </c>
      <c r="F843" s="176"/>
      <c r="G843" s="178"/>
      <c r="H843" s="176" t="s">
        <v>601</v>
      </c>
      <c r="I843" s="176" t="s">
        <v>116</v>
      </c>
      <c r="J843" s="176"/>
      <c r="K843" s="176" t="s">
        <v>593</v>
      </c>
      <c r="L843" s="176"/>
      <c r="M843" s="176" t="s">
        <v>747</v>
      </c>
      <c r="N843" s="179">
        <f t="shared" si="84"/>
        <v>233</v>
      </c>
      <c r="O843" s="179">
        <f t="shared" si="85"/>
        <v>200</v>
      </c>
      <c r="P843" s="180">
        <f t="shared" si="86"/>
        <v>433</v>
      </c>
      <c r="Q843" s="181">
        <f t="shared" si="87"/>
        <v>0.52168674698795181</v>
      </c>
      <c r="R843" s="122">
        <f t="shared" si="88"/>
        <v>86.600000000000009</v>
      </c>
      <c r="S843" s="122">
        <f t="shared" si="89"/>
        <v>0.41734939759036149</v>
      </c>
      <c r="T843" s="185">
        <v>0.5</v>
      </c>
    </row>
    <row r="844" spans="1:20" ht="15.75" hidden="1" customHeight="1" x14ac:dyDescent="0.3">
      <c r="A844" s="194" t="s">
        <v>59</v>
      </c>
      <c r="B844" s="176" t="s">
        <v>415</v>
      </c>
      <c r="C844" s="176" t="s">
        <v>415</v>
      </c>
      <c r="D844" s="176" t="s">
        <v>636</v>
      </c>
      <c r="E844" s="177">
        <v>25</v>
      </c>
      <c r="F844" s="176"/>
      <c r="G844" s="178"/>
      <c r="H844" s="176" t="s">
        <v>592</v>
      </c>
      <c r="I844" s="176" t="s">
        <v>561</v>
      </c>
      <c r="J844" s="176"/>
      <c r="K844" s="176" t="s">
        <v>593</v>
      </c>
      <c r="L844" s="176"/>
      <c r="M844" s="176" t="s">
        <v>748</v>
      </c>
      <c r="N844" s="179">
        <f t="shared" si="84"/>
        <v>442</v>
      </c>
      <c r="O844" s="179">
        <f t="shared" si="85"/>
        <v>269</v>
      </c>
      <c r="P844" s="180">
        <f t="shared" si="86"/>
        <v>711</v>
      </c>
      <c r="Q844" s="181">
        <f t="shared" si="87"/>
        <v>0.8566265060240964</v>
      </c>
      <c r="R844" s="122">
        <f t="shared" si="88"/>
        <v>142.20000000000002</v>
      </c>
      <c r="S844" s="122">
        <f t="shared" si="89"/>
        <v>0.68530120481927714</v>
      </c>
      <c r="T844" s="133">
        <v>0.7</v>
      </c>
    </row>
    <row r="845" spans="1:20" ht="15.75" hidden="1" customHeight="1" x14ac:dyDescent="0.3">
      <c r="A845" s="194" t="s">
        <v>59</v>
      </c>
      <c r="B845" s="176" t="s">
        <v>415</v>
      </c>
      <c r="C845" s="176" t="s">
        <v>415</v>
      </c>
      <c r="D845" s="176" t="s">
        <v>636</v>
      </c>
      <c r="E845" s="177">
        <v>25</v>
      </c>
      <c r="F845" s="176"/>
      <c r="G845" s="178"/>
      <c r="H845" s="176" t="s">
        <v>643</v>
      </c>
      <c r="I845" s="176" t="s">
        <v>579</v>
      </c>
      <c r="J845" s="176"/>
      <c r="K845" s="176" t="s">
        <v>593</v>
      </c>
      <c r="L845" s="176"/>
      <c r="M845" s="176" t="s">
        <v>749</v>
      </c>
      <c r="N845" s="179">
        <f t="shared" si="84"/>
        <v>297</v>
      </c>
      <c r="O845" s="179">
        <f t="shared" si="85"/>
        <v>310</v>
      </c>
      <c r="P845" s="180">
        <f t="shared" si="86"/>
        <v>607</v>
      </c>
      <c r="Q845" s="181">
        <f t="shared" si="87"/>
        <v>0.73132530120481931</v>
      </c>
      <c r="R845" s="122">
        <f t="shared" si="88"/>
        <v>121.4</v>
      </c>
      <c r="S845" s="122">
        <f t="shared" si="89"/>
        <v>0.58506024096385545</v>
      </c>
      <c r="T845" s="133">
        <v>0.6</v>
      </c>
    </row>
    <row r="846" spans="1:20" ht="15.75" hidden="1" customHeight="1" x14ac:dyDescent="0.3">
      <c r="A846" s="194" t="s">
        <v>59</v>
      </c>
      <c r="B846" s="176" t="s">
        <v>415</v>
      </c>
      <c r="C846" s="176" t="s">
        <v>415</v>
      </c>
      <c r="D846" s="176" t="s">
        <v>636</v>
      </c>
      <c r="E846" s="177">
        <v>25</v>
      </c>
      <c r="F846" s="176"/>
      <c r="G846" s="178"/>
      <c r="H846" s="176" t="s">
        <v>594</v>
      </c>
      <c r="I846" s="176" t="s">
        <v>358</v>
      </c>
      <c r="J846" s="176"/>
      <c r="K846" s="176" t="s">
        <v>593</v>
      </c>
      <c r="L846" s="176"/>
      <c r="M846" s="176" t="s">
        <v>750</v>
      </c>
      <c r="N846" s="179">
        <f t="shared" si="84"/>
        <v>111</v>
      </c>
      <c r="O846" s="179">
        <f t="shared" si="85"/>
        <v>265</v>
      </c>
      <c r="P846" s="180">
        <f t="shared" si="86"/>
        <v>376</v>
      </c>
      <c r="Q846" s="181">
        <f t="shared" si="87"/>
        <v>0.45301204819277108</v>
      </c>
      <c r="R846" s="122">
        <f t="shared" si="88"/>
        <v>75.2</v>
      </c>
      <c r="S846" s="122">
        <f t="shared" si="89"/>
        <v>0.36240963855421687</v>
      </c>
      <c r="T846" s="133">
        <v>0.45</v>
      </c>
    </row>
    <row r="847" spans="1:20" ht="15.75" hidden="1" customHeight="1" x14ac:dyDescent="0.3">
      <c r="A847" s="198" t="s">
        <v>59</v>
      </c>
      <c r="B847" s="182" t="s">
        <v>415</v>
      </c>
      <c r="C847" s="182" t="s">
        <v>415</v>
      </c>
      <c r="D847" s="182" t="s">
        <v>636</v>
      </c>
      <c r="E847" s="183">
        <v>14</v>
      </c>
      <c r="F847" s="176"/>
      <c r="G847" s="178"/>
      <c r="H847" s="176"/>
      <c r="I847" s="176" t="s">
        <v>584</v>
      </c>
      <c r="J847" s="176"/>
      <c r="K847" s="176" t="s">
        <v>593</v>
      </c>
      <c r="L847" s="176"/>
      <c r="M847" s="192" t="s">
        <v>757</v>
      </c>
      <c r="N847" s="179">
        <f t="shared" si="84"/>
        <v>0</v>
      </c>
      <c r="O847" s="179">
        <f t="shared" si="85"/>
        <v>104</v>
      </c>
      <c r="P847" s="180">
        <f t="shared" si="86"/>
        <v>104</v>
      </c>
      <c r="Q847" s="181">
        <f t="shared" si="87"/>
        <v>0.12530120481927712</v>
      </c>
      <c r="R847" s="122">
        <f t="shared" si="88"/>
        <v>20.8</v>
      </c>
      <c r="S847" s="122">
        <f t="shared" si="89"/>
        <v>0.10024096385542169</v>
      </c>
      <c r="T847" s="185">
        <v>0</v>
      </c>
    </row>
    <row r="848" spans="1:20" ht="15.75" hidden="1" customHeight="1" x14ac:dyDescent="0.3">
      <c r="A848" s="198" t="s">
        <v>59</v>
      </c>
      <c r="B848" s="182" t="s">
        <v>415</v>
      </c>
      <c r="C848" s="182" t="s">
        <v>415</v>
      </c>
      <c r="D848" s="182" t="s">
        <v>636</v>
      </c>
      <c r="E848" s="183">
        <v>7</v>
      </c>
      <c r="F848" s="176"/>
      <c r="G848" s="178"/>
      <c r="H848" s="176"/>
      <c r="I848" s="176" t="s">
        <v>358</v>
      </c>
      <c r="J848" s="176"/>
      <c r="K848" s="176" t="s">
        <v>593</v>
      </c>
      <c r="L848" s="176"/>
      <c r="M848" s="192" t="s">
        <v>758</v>
      </c>
      <c r="N848" s="179">
        <f t="shared" si="84"/>
        <v>111</v>
      </c>
      <c r="O848" s="179">
        <f t="shared" si="85"/>
        <v>265</v>
      </c>
      <c r="P848" s="180">
        <f t="shared" si="86"/>
        <v>376</v>
      </c>
      <c r="Q848" s="181">
        <f t="shared" si="87"/>
        <v>0.45301204819277108</v>
      </c>
      <c r="R848" s="122">
        <f t="shared" si="88"/>
        <v>75.2</v>
      </c>
      <c r="S848" s="122">
        <f t="shared" si="89"/>
        <v>0.36240963855421687</v>
      </c>
      <c r="T848" s="133">
        <v>0.45</v>
      </c>
    </row>
    <row r="849" spans="1:20" ht="15.75" hidden="1" customHeight="1" x14ac:dyDescent="0.3">
      <c r="A849" s="198" t="s">
        <v>59</v>
      </c>
      <c r="B849" s="182" t="s">
        <v>415</v>
      </c>
      <c r="C849" s="182" t="s">
        <v>415</v>
      </c>
      <c r="D849" s="182" t="s">
        <v>636</v>
      </c>
      <c r="E849" s="183">
        <v>7</v>
      </c>
      <c r="F849" s="176"/>
      <c r="G849" s="178"/>
      <c r="H849" s="176"/>
      <c r="I849" s="176" t="s">
        <v>575</v>
      </c>
      <c r="J849" s="176"/>
      <c r="K849" s="176" t="s">
        <v>593</v>
      </c>
      <c r="L849" s="176"/>
      <c r="M849" s="192" t="s">
        <v>759</v>
      </c>
      <c r="N849" s="179">
        <f t="shared" si="84"/>
        <v>78</v>
      </c>
      <c r="O849" s="179">
        <f t="shared" si="85"/>
        <v>240.5</v>
      </c>
      <c r="P849" s="180">
        <f t="shared" si="86"/>
        <v>318.5</v>
      </c>
      <c r="Q849" s="181">
        <f t="shared" si="87"/>
        <v>0.38373493975903616</v>
      </c>
      <c r="R849" s="122">
        <f t="shared" si="88"/>
        <v>63.7</v>
      </c>
      <c r="S849" s="122">
        <f t="shared" si="89"/>
        <v>0.30698795180722893</v>
      </c>
      <c r="T849" s="133">
        <v>0.35</v>
      </c>
    </row>
    <row r="850" spans="1:20" ht="15.75" hidden="1" customHeight="1" x14ac:dyDescent="0.3">
      <c r="A850" s="198" t="s">
        <v>59</v>
      </c>
      <c r="B850" s="182" t="s">
        <v>415</v>
      </c>
      <c r="C850" s="182" t="s">
        <v>415</v>
      </c>
      <c r="D850" s="182" t="s">
        <v>636</v>
      </c>
      <c r="E850" s="183">
        <v>3.5</v>
      </c>
      <c r="F850" s="176"/>
      <c r="G850" s="178"/>
      <c r="H850" s="176"/>
      <c r="I850" s="176" t="s">
        <v>116</v>
      </c>
      <c r="J850" s="176"/>
      <c r="K850" s="176" t="s">
        <v>593</v>
      </c>
      <c r="L850" s="176"/>
      <c r="M850" s="192" t="s">
        <v>755</v>
      </c>
      <c r="N850" s="179">
        <f t="shared" si="84"/>
        <v>233</v>
      </c>
      <c r="O850" s="179">
        <f t="shared" si="85"/>
        <v>200</v>
      </c>
      <c r="P850" s="180">
        <f t="shared" si="86"/>
        <v>433</v>
      </c>
      <c r="Q850" s="181">
        <f t="shared" si="87"/>
        <v>0.52168674698795181</v>
      </c>
      <c r="R850" s="122">
        <f t="shared" si="88"/>
        <v>86.600000000000009</v>
      </c>
      <c r="S850" s="122">
        <f t="shared" si="89"/>
        <v>0.41734939759036149</v>
      </c>
      <c r="T850" s="185">
        <v>0.5</v>
      </c>
    </row>
    <row r="851" spans="1:20" ht="15.75" hidden="1" customHeight="1" x14ac:dyDescent="0.3">
      <c r="A851" s="198" t="s">
        <v>59</v>
      </c>
      <c r="B851" s="182" t="s">
        <v>415</v>
      </c>
      <c r="C851" s="182" t="s">
        <v>415</v>
      </c>
      <c r="D851" s="182" t="s">
        <v>636</v>
      </c>
      <c r="E851" s="183">
        <v>3.5</v>
      </c>
      <c r="F851" s="176"/>
      <c r="G851" s="178"/>
      <c r="H851" s="176"/>
      <c r="I851" s="176" t="s">
        <v>579</v>
      </c>
      <c r="J851" s="176"/>
      <c r="K851" s="176" t="s">
        <v>593</v>
      </c>
      <c r="L851" s="176"/>
      <c r="M851" s="192" t="s">
        <v>755</v>
      </c>
      <c r="N851" s="179">
        <f t="shared" si="84"/>
        <v>297</v>
      </c>
      <c r="O851" s="179">
        <f t="shared" si="85"/>
        <v>310</v>
      </c>
      <c r="P851" s="180">
        <f t="shared" si="86"/>
        <v>607</v>
      </c>
      <c r="Q851" s="181">
        <f t="shared" si="87"/>
        <v>0.73132530120481931</v>
      </c>
      <c r="R851" s="122">
        <f t="shared" si="88"/>
        <v>121.4</v>
      </c>
      <c r="S851" s="122">
        <f t="shared" si="89"/>
        <v>0.58506024096385545</v>
      </c>
      <c r="T851" s="133">
        <v>0.6</v>
      </c>
    </row>
    <row r="852" spans="1:20" ht="15.75" hidden="1" customHeight="1" x14ac:dyDescent="0.3">
      <c r="A852" s="194" t="s">
        <v>59</v>
      </c>
      <c r="B852" s="182" t="s">
        <v>415</v>
      </c>
      <c r="C852" s="182" t="s">
        <v>415</v>
      </c>
      <c r="D852" s="182" t="s">
        <v>636</v>
      </c>
      <c r="E852" s="183">
        <v>3.5</v>
      </c>
      <c r="F852" s="176"/>
      <c r="G852" s="178"/>
      <c r="H852" s="176"/>
      <c r="I852" s="176" t="s">
        <v>568</v>
      </c>
      <c r="J852" s="176"/>
      <c r="K852" s="176" t="s">
        <v>593</v>
      </c>
      <c r="L852" s="176"/>
      <c r="M852" s="192" t="s">
        <v>755</v>
      </c>
      <c r="N852" s="179">
        <f t="shared" si="84"/>
        <v>239</v>
      </c>
      <c r="O852" s="179">
        <f t="shared" si="85"/>
        <v>313</v>
      </c>
      <c r="P852" s="180">
        <f t="shared" si="86"/>
        <v>552</v>
      </c>
      <c r="Q852" s="181">
        <f t="shared" si="87"/>
        <v>0.66506024096385541</v>
      </c>
      <c r="R852" s="122">
        <f t="shared" si="88"/>
        <v>110.4</v>
      </c>
      <c r="S852" s="122">
        <f t="shared" si="89"/>
        <v>0.53204819277108439</v>
      </c>
      <c r="T852" s="133">
        <v>0.55000000000000004</v>
      </c>
    </row>
    <row r="853" spans="1:20" ht="15.75" hidden="1" customHeight="1" x14ac:dyDescent="0.3">
      <c r="A853" s="194" t="s">
        <v>59</v>
      </c>
      <c r="B853" s="176" t="s">
        <v>415</v>
      </c>
      <c r="C853" s="176" t="s">
        <v>415</v>
      </c>
      <c r="D853" s="176" t="s">
        <v>595</v>
      </c>
      <c r="E853" s="177">
        <v>20</v>
      </c>
      <c r="F853" s="176"/>
      <c r="G853" s="178"/>
      <c r="H853" s="176" t="s">
        <v>692</v>
      </c>
      <c r="I853" s="176" t="s">
        <v>558</v>
      </c>
      <c r="J853" s="176"/>
      <c r="K853" s="176" t="s">
        <v>593</v>
      </c>
      <c r="L853" s="176"/>
      <c r="M853" s="176" t="s">
        <v>760</v>
      </c>
      <c r="N853" s="179">
        <f t="shared" si="84"/>
        <v>15</v>
      </c>
      <c r="O853" s="179">
        <f t="shared" si="85"/>
        <v>146</v>
      </c>
      <c r="P853" s="180">
        <f t="shared" si="86"/>
        <v>161</v>
      </c>
      <c r="Q853" s="181">
        <f t="shared" si="87"/>
        <v>0.19397590361445782</v>
      </c>
      <c r="R853" s="122">
        <f t="shared" si="88"/>
        <v>32.200000000000003</v>
      </c>
      <c r="S853" s="122">
        <f t="shared" si="89"/>
        <v>0.15518072289156626</v>
      </c>
      <c r="T853" s="133">
        <v>0.15</v>
      </c>
    </row>
    <row r="854" spans="1:20" ht="15.75" hidden="1" customHeight="1" x14ac:dyDescent="0.3">
      <c r="A854" s="194" t="s">
        <v>59</v>
      </c>
      <c r="B854" s="176" t="s">
        <v>415</v>
      </c>
      <c r="C854" s="176" t="s">
        <v>415</v>
      </c>
      <c r="D854" s="176" t="s">
        <v>595</v>
      </c>
      <c r="E854" s="177">
        <v>20</v>
      </c>
      <c r="F854" s="176"/>
      <c r="G854" s="178"/>
      <c r="H854" s="176" t="s">
        <v>622</v>
      </c>
      <c r="I854" s="176" t="s">
        <v>562</v>
      </c>
      <c r="J854" s="176"/>
      <c r="K854" s="176" t="s">
        <v>593</v>
      </c>
      <c r="L854" s="176"/>
      <c r="M854" s="176" t="s">
        <v>761</v>
      </c>
      <c r="N854" s="179">
        <f t="shared" si="84"/>
        <v>438</v>
      </c>
      <c r="O854" s="179">
        <f t="shared" si="85"/>
        <v>361</v>
      </c>
      <c r="P854" s="180">
        <f t="shared" si="86"/>
        <v>799</v>
      </c>
      <c r="Q854" s="181">
        <f t="shared" si="87"/>
        <v>0.96265060240963851</v>
      </c>
      <c r="R854" s="122">
        <f t="shared" si="88"/>
        <v>159.80000000000001</v>
      </c>
      <c r="S854" s="122">
        <f t="shared" si="89"/>
        <v>0.77012048192771088</v>
      </c>
      <c r="T854" s="133">
        <v>0.75</v>
      </c>
    </row>
    <row r="855" spans="1:20" ht="15.75" hidden="1" customHeight="1" x14ac:dyDescent="0.3">
      <c r="A855" s="194" t="s">
        <v>59</v>
      </c>
      <c r="B855" s="176" t="s">
        <v>415</v>
      </c>
      <c r="C855" s="176" t="s">
        <v>415</v>
      </c>
      <c r="D855" s="176" t="s">
        <v>595</v>
      </c>
      <c r="E855" s="177">
        <v>40</v>
      </c>
      <c r="F855" s="176"/>
      <c r="G855" s="178"/>
      <c r="H855" s="176" t="s">
        <v>598</v>
      </c>
      <c r="I855" s="176" t="s">
        <v>104</v>
      </c>
      <c r="J855" s="176"/>
      <c r="K855" s="176" t="s">
        <v>593</v>
      </c>
      <c r="L855" s="176"/>
      <c r="M855" s="176" t="s">
        <v>762</v>
      </c>
      <c r="N855" s="179">
        <f t="shared" si="84"/>
        <v>188</v>
      </c>
      <c r="O855" s="179">
        <f t="shared" si="85"/>
        <v>294</v>
      </c>
      <c r="P855" s="180">
        <f t="shared" si="86"/>
        <v>482</v>
      </c>
      <c r="Q855" s="181">
        <f t="shared" si="87"/>
        <v>0.58072289156626511</v>
      </c>
      <c r="R855" s="122">
        <f t="shared" si="88"/>
        <v>96.4</v>
      </c>
      <c r="S855" s="122">
        <f t="shared" si="89"/>
        <v>0.46457831325301213</v>
      </c>
      <c r="T855" s="133">
        <v>0.5</v>
      </c>
    </row>
    <row r="856" spans="1:20" ht="15.75" hidden="1" customHeight="1" x14ac:dyDescent="0.3">
      <c r="A856" s="194" t="s">
        <v>59</v>
      </c>
      <c r="B856" s="176" t="s">
        <v>415</v>
      </c>
      <c r="C856" s="176" t="s">
        <v>415</v>
      </c>
      <c r="D856" s="176" t="s">
        <v>595</v>
      </c>
      <c r="E856" s="177">
        <v>60</v>
      </c>
      <c r="F856" s="176"/>
      <c r="G856" s="178"/>
      <c r="H856" s="176" t="s">
        <v>615</v>
      </c>
      <c r="I856" s="176" t="s">
        <v>570</v>
      </c>
      <c r="J856" s="176"/>
      <c r="K856" s="176" t="s">
        <v>593</v>
      </c>
      <c r="L856" s="176"/>
      <c r="M856" s="176" t="s">
        <v>763</v>
      </c>
      <c r="N856" s="179">
        <f t="shared" si="84"/>
        <v>279</v>
      </c>
      <c r="O856" s="179">
        <f t="shared" si="85"/>
        <v>431</v>
      </c>
      <c r="P856" s="180">
        <f t="shared" si="86"/>
        <v>710</v>
      </c>
      <c r="Q856" s="181">
        <f t="shared" si="87"/>
        <v>0.85542168674698793</v>
      </c>
      <c r="R856" s="122">
        <f t="shared" si="88"/>
        <v>142</v>
      </c>
      <c r="S856" s="122">
        <f t="shared" si="89"/>
        <v>0.68433734939759039</v>
      </c>
      <c r="T856" s="133">
        <v>0.65</v>
      </c>
    </row>
    <row r="857" spans="1:20" ht="15.75" hidden="1" customHeight="1" x14ac:dyDescent="0.3">
      <c r="A857" s="194" t="s">
        <v>59</v>
      </c>
      <c r="B857" s="176" t="s">
        <v>415</v>
      </c>
      <c r="C857" s="176" t="s">
        <v>415</v>
      </c>
      <c r="D857" s="176" t="s">
        <v>595</v>
      </c>
      <c r="E857" s="177">
        <v>20</v>
      </c>
      <c r="F857" s="176"/>
      <c r="G857" s="178"/>
      <c r="H857" s="176" t="s">
        <v>610</v>
      </c>
      <c r="I857" s="176" t="s">
        <v>574</v>
      </c>
      <c r="J857" s="176"/>
      <c r="K857" s="176" t="s">
        <v>593</v>
      </c>
      <c r="L857" s="176"/>
      <c r="M857" s="176" t="s">
        <v>764</v>
      </c>
      <c r="N857" s="179">
        <f t="shared" si="84"/>
        <v>171</v>
      </c>
      <c r="O857" s="179">
        <f t="shared" si="85"/>
        <v>88</v>
      </c>
      <c r="P857" s="180">
        <f t="shared" si="86"/>
        <v>259</v>
      </c>
      <c r="Q857" s="181">
        <f t="shared" si="87"/>
        <v>0.31204819277108437</v>
      </c>
      <c r="R857" s="122">
        <f t="shared" si="88"/>
        <v>51.800000000000004</v>
      </c>
      <c r="S857" s="122">
        <f t="shared" si="89"/>
        <v>0.24963855421686751</v>
      </c>
      <c r="T857" s="133">
        <v>0.25</v>
      </c>
    </row>
    <row r="858" spans="1:20" ht="15.75" hidden="1" customHeight="1" x14ac:dyDescent="0.3">
      <c r="A858" s="194" t="s">
        <v>59</v>
      </c>
      <c r="B858" s="176" t="s">
        <v>415</v>
      </c>
      <c r="C858" s="176" t="s">
        <v>415</v>
      </c>
      <c r="D858" s="176" t="s">
        <v>595</v>
      </c>
      <c r="E858" s="177">
        <v>20</v>
      </c>
      <c r="F858" s="176"/>
      <c r="G858" s="178"/>
      <c r="H858" s="176" t="s">
        <v>619</v>
      </c>
      <c r="I858" s="176" t="s">
        <v>581</v>
      </c>
      <c r="J858" s="176"/>
      <c r="K858" s="176" t="s">
        <v>593</v>
      </c>
      <c r="L858" s="176"/>
      <c r="M858" s="176" t="s">
        <v>765</v>
      </c>
      <c r="N858" s="179">
        <f t="shared" si="84"/>
        <v>276</v>
      </c>
      <c r="O858" s="179">
        <f t="shared" si="85"/>
        <v>323</v>
      </c>
      <c r="P858" s="180">
        <f t="shared" si="86"/>
        <v>599</v>
      </c>
      <c r="Q858" s="181">
        <f t="shared" si="87"/>
        <v>0.72168674698795177</v>
      </c>
      <c r="R858" s="122">
        <f t="shared" si="88"/>
        <v>119.80000000000001</v>
      </c>
      <c r="S858" s="122">
        <f t="shared" si="89"/>
        <v>0.57734939759036141</v>
      </c>
      <c r="T858" s="133">
        <v>0.55000000000000004</v>
      </c>
    </row>
    <row r="859" spans="1:20" ht="15.75" hidden="1" customHeight="1" x14ac:dyDescent="0.3">
      <c r="A859" s="194" t="s">
        <v>59</v>
      </c>
      <c r="B859" s="182" t="s">
        <v>415</v>
      </c>
      <c r="C859" s="182" t="s">
        <v>415</v>
      </c>
      <c r="D859" s="182" t="s">
        <v>595</v>
      </c>
      <c r="E859" s="183">
        <v>20</v>
      </c>
      <c r="F859" s="182"/>
      <c r="G859" s="187"/>
      <c r="H859" s="182" t="s">
        <v>597</v>
      </c>
      <c r="I859" s="182" t="s">
        <v>104</v>
      </c>
      <c r="J859" s="182"/>
      <c r="K859" s="182" t="s">
        <v>593</v>
      </c>
      <c r="L859" s="182"/>
      <c r="M859" s="182" t="s">
        <v>766</v>
      </c>
      <c r="N859" s="179">
        <f t="shared" si="84"/>
        <v>188</v>
      </c>
      <c r="O859" s="179">
        <f t="shared" si="85"/>
        <v>294</v>
      </c>
      <c r="P859" s="180">
        <f t="shared" si="86"/>
        <v>482</v>
      </c>
      <c r="Q859" s="181">
        <f t="shared" si="87"/>
        <v>0.58072289156626511</v>
      </c>
      <c r="R859" s="122">
        <f t="shared" si="88"/>
        <v>96.4</v>
      </c>
      <c r="S859" s="122">
        <f t="shared" si="89"/>
        <v>0.46457831325301213</v>
      </c>
      <c r="T859" s="133">
        <v>0.5</v>
      </c>
    </row>
    <row r="860" spans="1:20" ht="15.75" hidden="1" customHeight="1" x14ac:dyDescent="0.3">
      <c r="A860" s="194" t="s">
        <v>59</v>
      </c>
      <c r="B860" s="176" t="s">
        <v>415</v>
      </c>
      <c r="C860" s="176" t="s">
        <v>415</v>
      </c>
      <c r="D860" s="176" t="s">
        <v>595</v>
      </c>
      <c r="E860" s="177">
        <v>20</v>
      </c>
      <c r="F860" s="176"/>
      <c r="G860" s="178"/>
      <c r="H860" s="176" t="s">
        <v>609</v>
      </c>
      <c r="I860" s="176" t="s">
        <v>582</v>
      </c>
      <c r="J860" s="176"/>
      <c r="K860" s="176" t="s">
        <v>593</v>
      </c>
      <c r="L860" s="176"/>
      <c r="M860" s="176" t="s">
        <v>767</v>
      </c>
      <c r="N860" s="179">
        <f t="shared" si="84"/>
        <v>298</v>
      </c>
      <c r="O860" s="179">
        <f t="shared" si="85"/>
        <v>310</v>
      </c>
      <c r="P860" s="180">
        <f t="shared" si="86"/>
        <v>608</v>
      </c>
      <c r="Q860" s="181">
        <f t="shared" si="87"/>
        <v>0.73253012048192767</v>
      </c>
      <c r="R860" s="122">
        <f t="shared" si="88"/>
        <v>121.60000000000001</v>
      </c>
      <c r="S860" s="122">
        <f t="shared" si="89"/>
        <v>0.5860240963855422</v>
      </c>
      <c r="T860" s="133">
        <v>0.7</v>
      </c>
    </row>
    <row r="861" spans="1:20" ht="15.75" hidden="1" customHeight="1" x14ac:dyDescent="0.3">
      <c r="A861" s="194" t="s">
        <v>59</v>
      </c>
      <c r="B861" s="182" t="s">
        <v>415</v>
      </c>
      <c r="C861" s="182" t="s">
        <v>415</v>
      </c>
      <c r="D861" s="182" t="s">
        <v>595</v>
      </c>
      <c r="E861" s="183">
        <v>20</v>
      </c>
      <c r="F861" s="182"/>
      <c r="G861" s="187"/>
      <c r="H861" s="182" t="s">
        <v>642</v>
      </c>
      <c r="I861" s="182" t="s">
        <v>581</v>
      </c>
      <c r="J861" s="176"/>
      <c r="K861" s="176" t="s">
        <v>593</v>
      </c>
      <c r="L861" s="176"/>
      <c r="M861" s="176" t="s">
        <v>768</v>
      </c>
      <c r="N861" s="179">
        <f t="shared" si="84"/>
        <v>276</v>
      </c>
      <c r="O861" s="179">
        <f t="shared" si="85"/>
        <v>323</v>
      </c>
      <c r="P861" s="180">
        <f t="shared" si="86"/>
        <v>599</v>
      </c>
      <c r="Q861" s="181">
        <f t="shared" si="87"/>
        <v>0.72168674698795177</v>
      </c>
      <c r="R861" s="122">
        <f t="shared" si="88"/>
        <v>119.80000000000001</v>
      </c>
      <c r="S861" s="122">
        <f t="shared" si="89"/>
        <v>0.57734939759036141</v>
      </c>
      <c r="T861" s="133">
        <v>0.55000000000000004</v>
      </c>
    </row>
    <row r="862" spans="1:20" ht="15.75" hidden="1" customHeight="1" x14ac:dyDescent="0.3">
      <c r="A862" s="198" t="s">
        <v>59</v>
      </c>
      <c r="B862" s="182" t="s">
        <v>415</v>
      </c>
      <c r="C862" s="182" t="s">
        <v>415</v>
      </c>
      <c r="D862" s="182" t="s">
        <v>595</v>
      </c>
      <c r="E862" s="183">
        <v>24</v>
      </c>
      <c r="F862" s="176"/>
      <c r="G862" s="178"/>
      <c r="H862" s="176"/>
      <c r="I862" s="176" t="s">
        <v>584</v>
      </c>
      <c r="J862" s="176"/>
      <c r="K862" s="176" t="s">
        <v>593</v>
      </c>
      <c r="L862" s="176"/>
      <c r="M862" s="192" t="s">
        <v>757</v>
      </c>
      <c r="N862" s="179">
        <f t="shared" si="84"/>
        <v>0</v>
      </c>
      <c r="O862" s="179">
        <f t="shared" si="85"/>
        <v>104</v>
      </c>
      <c r="P862" s="180">
        <f t="shared" si="86"/>
        <v>104</v>
      </c>
      <c r="Q862" s="181">
        <f t="shared" si="87"/>
        <v>0.12530120481927712</v>
      </c>
      <c r="R862" s="122">
        <f t="shared" si="88"/>
        <v>20.8</v>
      </c>
      <c r="S862" s="122">
        <f t="shared" si="89"/>
        <v>0.10024096385542169</v>
      </c>
      <c r="T862" s="185">
        <v>0</v>
      </c>
    </row>
    <row r="863" spans="1:20" ht="15.75" hidden="1" customHeight="1" x14ac:dyDescent="0.3">
      <c r="A863" s="198" t="s">
        <v>59</v>
      </c>
      <c r="B863" s="182" t="s">
        <v>415</v>
      </c>
      <c r="C863" s="182" t="s">
        <v>415</v>
      </c>
      <c r="D863" s="182" t="s">
        <v>595</v>
      </c>
      <c r="E863" s="183">
        <v>12</v>
      </c>
      <c r="F863" s="176"/>
      <c r="G863" s="178"/>
      <c r="H863" s="176"/>
      <c r="I863" s="176" t="s">
        <v>581</v>
      </c>
      <c r="J863" s="176"/>
      <c r="K863" s="176" t="s">
        <v>593</v>
      </c>
      <c r="L863" s="176"/>
      <c r="M863" s="192" t="s">
        <v>758</v>
      </c>
      <c r="N863" s="179">
        <f t="shared" si="84"/>
        <v>276</v>
      </c>
      <c r="O863" s="179">
        <f t="shared" si="85"/>
        <v>323</v>
      </c>
      <c r="P863" s="180">
        <f t="shared" si="86"/>
        <v>599</v>
      </c>
      <c r="Q863" s="181">
        <f t="shared" si="87"/>
        <v>0.72168674698795177</v>
      </c>
      <c r="R863" s="122">
        <f t="shared" si="88"/>
        <v>119.80000000000001</v>
      </c>
      <c r="S863" s="122">
        <f t="shared" si="89"/>
        <v>0.57734939759036141</v>
      </c>
      <c r="T863" s="133">
        <v>0.55000000000000004</v>
      </c>
    </row>
    <row r="864" spans="1:20" ht="15.75" hidden="1" customHeight="1" x14ac:dyDescent="0.3">
      <c r="A864" s="198" t="s">
        <v>59</v>
      </c>
      <c r="B864" s="182" t="s">
        <v>415</v>
      </c>
      <c r="C864" s="182" t="s">
        <v>415</v>
      </c>
      <c r="D864" s="182" t="s">
        <v>595</v>
      </c>
      <c r="E864" s="183">
        <v>6</v>
      </c>
      <c r="F864" s="176"/>
      <c r="G864" s="178"/>
      <c r="H864" s="176"/>
      <c r="I864" s="176" t="s">
        <v>581</v>
      </c>
      <c r="J864" s="176"/>
      <c r="K864" s="176" t="s">
        <v>593</v>
      </c>
      <c r="L864" s="176"/>
      <c r="M864" s="192" t="s">
        <v>769</v>
      </c>
      <c r="N864" s="179">
        <f t="shared" si="84"/>
        <v>276</v>
      </c>
      <c r="O864" s="179">
        <f t="shared" si="85"/>
        <v>323</v>
      </c>
      <c r="P864" s="180">
        <f t="shared" si="86"/>
        <v>599</v>
      </c>
      <c r="Q864" s="181">
        <f t="shared" si="87"/>
        <v>0.72168674698795177</v>
      </c>
      <c r="R864" s="122">
        <f t="shared" si="88"/>
        <v>119.80000000000001</v>
      </c>
      <c r="S864" s="122">
        <f t="shared" si="89"/>
        <v>0.57734939759036141</v>
      </c>
      <c r="T864" s="133">
        <v>0.55000000000000004</v>
      </c>
    </row>
    <row r="865" spans="1:20" ht="15.75" hidden="1" customHeight="1" x14ac:dyDescent="0.3">
      <c r="A865" s="198" t="s">
        <v>59</v>
      </c>
      <c r="B865" s="182" t="s">
        <v>415</v>
      </c>
      <c r="C865" s="182" t="s">
        <v>415</v>
      </c>
      <c r="D865" s="182" t="s">
        <v>595</v>
      </c>
      <c r="E865" s="183">
        <v>6</v>
      </c>
      <c r="F865" s="176"/>
      <c r="G865" s="178"/>
      <c r="H865" s="176"/>
      <c r="I865" s="176" t="s">
        <v>570</v>
      </c>
      <c r="J865" s="176"/>
      <c r="K865" s="176" t="s">
        <v>593</v>
      </c>
      <c r="L865" s="176"/>
      <c r="M865" s="192" t="s">
        <v>755</v>
      </c>
      <c r="N865" s="179">
        <f t="shared" si="84"/>
        <v>279</v>
      </c>
      <c r="O865" s="179">
        <f t="shared" si="85"/>
        <v>431</v>
      </c>
      <c r="P865" s="180">
        <f t="shared" si="86"/>
        <v>710</v>
      </c>
      <c r="Q865" s="181">
        <f t="shared" si="87"/>
        <v>0.85542168674698793</v>
      </c>
      <c r="R865" s="122">
        <f t="shared" si="88"/>
        <v>142</v>
      </c>
      <c r="S865" s="122">
        <f t="shared" si="89"/>
        <v>0.68433734939759039</v>
      </c>
      <c r="T865" s="133">
        <v>0.65</v>
      </c>
    </row>
    <row r="866" spans="1:20" ht="15.75" hidden="1" customHeight="1" x14ac:dyDescent="0.3">
      <c r="A866" s="198" t="s">
        <v>59</v>
      </c>
      <c r="B866" s="182" t="s">
        <v>415</v>
      </c>
      <c r="C866" s="182" t="s">
        <v>415</v>
      </c>
      <c r="D866" s="182" t="s">
        <v>595</v>
      </c>
      <c r="E866" s="183">
        <v>6</v>
      </c>
      <c r="F866" s="176"/>
      <c r="G866" s="178"/>
      <c r="H866" s="176"/>
      <c r="I866" s="176" t="s">
        <v>104</v>
      </c>
      <c r="J866" s="176"/>
      <c r="K866" s="176" t="s">
        <v>593</v>
      </c>
      <c r="L866" s="176"/>
      <c r="M866" s="192" t="s">
        <v>755</v>
      </c>
      <c r="N866" s="179">
        <f t="shared" si="84"/>
        <v>188</v>
      </c>
      <c r="O866" s="179">
        <f t="shared" si="85"/>
        <v>294</v>
      </c>
      <c r="P866" s="180">
        <f t="shared" si="86"/>
        <v>482</v>
      </c>
      <c r="Q866" s="181">
        <f t="shared" si="87"/>
        <v>0.58072289156626511</v>
      </c>
      <c r="R866" s="122">
        <f t="shared" si="88"/>
        <v>96.4</v>
      </c>
      <c r="S866" s="122">
        <f t="shared" si="89"/>
        <v>0.46457831325301213</v>
      </c>
      <c r="T866" s="133">
        <v>0.5</v>
      </c>
    </row>
    <row r="867" spans="1:20" ht="15.75" hidden="1" customHeight="1" x14ac:dyDescent="0.3">
      <c r="A867" s="194" t="s">
        <v>59</v>
      </c>
      <c r="B867" s="182" t="s">
        <v>415</v>
      </c>
      <c r="C867" s="182" t="s">
        <v>415</v>
      </c>
      <c r="D867" s="182" t="s">
        <v>595</v>
      </c>
      <c r="E867" s="183">
        <v>6</v>
      </c>
      <c r="F867" s="176"/>
      <c r="G867" s="178"/>
      <c r="H867" s="176"/>
      <c r="I867" s="176" t="s">
        <v>109</v>
      </c>
      <c r="J867" s="176"/>
      <c r="K867" s="176" t="s">
        <v>593</v>
      </c>
      <c r="L867" s="176"/>
      <c r="M867" s="192" t="s">
        <v>755</v>
      </c>
      <c r="N867" s="179">
        <f t="shared" si="84"/>
        <v>169</v>
      </c>
      <c r="O867" s="179">
        <f t="shared" si="85"/>
        <v>340</v>
      </c>
      <c r="P867" s="180">
        <f t="shared" si="86"/>
        <v>509</v>
      </c>
      <c r="Q867" s="181">
        <f t="shared" si="87"/>
        <v>0.61325301204819282</v>
      </c>
      <c r="R867" s="122">
        <f t="shared" si="88"/>
        <v>101.80000000000001</v>
      </c>
      <c r="S867" s="122">
        <f t="shared" si="89"/>
        <v>0.49060240963855428</v>
      </c>
      <c r="T867" s="133">
        <v>0.4</v>
      </c>
    </row>
    <row r="868" spans="1:20" ht="15.75" hidden="1" customHeight="1" x14ac:dyDescent="0.3">
      <c r="A868" s="194" t="s">
        <v>59</v>
      </c>
      <c r="B868" s="176" t="s">
        <v>415</v>
      </c>
      <c r="C868" s="176" t="s">
        <v>415</v>
      </c>
      <c r="D868" s="176" t="s">
        <v>599</v>
      </c>
      <c r="E868" s="177">
        <v>20</v>
      </c>
      <c r="F868" s="176"/>
      <c r="G868" s="178"/>
      <c r="H868" s="176" t="s">
        <v>592</v>
      </c>
      <c r="I868" s="176" t="s">
        <v>561</v>
      </c>
      <c r="J868" s="176"/>
      <c r="K868" s="176" t="s">
        <v>593</v>
      </c>
      <c r="L868" s="176"/>
      <c r="M868" s="176" t="s">
        <v>770</v>
      </c>
      <c r="N868" s="179">
        <f t="shared" ref="N868:N896" si="90">SUMIFS($E$2:$E$896,$A$2:$A$896,"осень",$I$2:$I$896,I868)</f>
        <v>442</v>
      </c>
      <c r="O868" s="179">
        <f t="shared" ref="O868:O896" si="91">SUMIFS($E$2:$E$896,$A$2:$A$896,"весна",$I$2:$I$896,I868)</f>
        <v>269</v>
      </c>
      <c r="P868" s="180">
        <f t="shared" si="86"/>
        <v>711</v>
      </c>
      <c r="Q868" s="181">
        <f t="shared" si="87"/>
        <v>0.8566265060240964</v>
      </c>
      <c r="R868" s="122">
        <f t="shared" si="88"/>
        <v>142.20000000000002</v>
      </c>
      <c r="S868" s="122">
        <f t="shared" si="89"/>
        <v>0.68530120481927714</v>
      </c>
      <c r="T868" s="133">
        <v>0.7</v>
      </c>
    </row>
    <row r="869" spans="1:20" ht="15.75" hidden="1" customHeight="1" x14ac:dyDescent="0.3">
      <c r="A869" s="194" t="s">
        <v>59</v>
      </c>
      <c r="B869" s="176" t="s">
        <v>415</v>
      </c>
      <c r="C869" s="176" t="s">
        <v>415</v>
      </c>
      <c r="D869" s="176" t="s">
        <v>599</v>
      </c>
      <c r="E869" s="177">
        <v>20</v>
      </c>
      <c r="F869" s="176"/>
      <c r="G869" s="178"/>
      <c r="H869" s="176" t="s">
        <v>643</v>
      </c>
      <c r="I869" s="176" t="s">
        <v>579</v>
      </c>
      <c r="J869" s="176"/>
      <c r="K869" s="176" t="s">
        <v>593</v>
      </c>
      <c r="L869" s="176"/>
      <c r="M869" s="176" t="s">
        <v>771</v>
      </c>
      <c r="N869" s="179">
        <f t="shared" si="90"/>
        <v>297</v>
      </c>
      <c r="O869" s="179">
        <f t="shared" si="91"/>
        <v>310</v>
      </c>
      <c r="P869" s="180">
        <f t="shared" si="86"/>
        <v>607</v>
      </c>
      <c r="Q869" s="181">
        <f t="shared" si="87"/>
        <v>0.73132530120481931</v>
      </c>
      <c r="R869" s="122">
        <f t="shared" si="88"/>
        <v>121.4</v>
      </c>
      <c r="S869" s="122">
        <f t="shared" si="89"/>
        <v>0.58506024096385545</v>
      </c>
      <c r="T869" s="133">
        <v>0.6</v>
      </c>
    </row>
    <row r="870" spans="1:20" ht="15.75" hidden="1" customHeight="1" x14ac:dyDescent="0.3">
      <c r="A870" s="194" t="s">
        <v>59</v>
      </c>
      <c r="B870" s="176" t="s">
        <v>415</v>
      </c>
      <c r="C870" s="176" t="s">
        <v>415</v>
      </c>
      <c r="D870" s="176" t="s">
        <v>599</v>
      </c>
      <c r="E870" s="177">
        <v>40</v>
      </c>
      <c r="F870" s="176"/>
      <c r="G870" s="178"/>
      <c r="H870" s="176" t="s">
        <v>642</v>
      </c>
      <c r="I870" s="176" t="s">
        <v>572</v>
      </c>
      <c r="J870" s="176"/>
      <c r="K870" s="176" t="s">
        <v>593</v>
      </c>
      <c r="L870" s="176"/>
      <c r="M870" s="176" t="s">
        <v>772</v>
      </c>
      <c r="N870" s="179">
        <f t="shared" si="90"/>
        <v>410</v>
      </c>
      <c r="O870" s="179">
        <f t="shared" si="91"/>
        <v>260</v>
      </c>
      <c r="P870" s="180">
        <f t="shared" si="86"/>
        <v>670</v>
      </c>
      <c r="Q870" s="181">
        <f t="shared" si="87"/>
        <v>0.80722891566265065</v>
      </c>
      <c r="R870" s="122">
        <f t="shared" si="88"/>
        <v>134</v>
      </c>
      <c r="S870" s="122">
        <f t="shared" si="89"/>
        <v>0.64578313253012054</v>
      </c>
      <c r="T870" s="133">
        <v>0.55000000000000004</v>
      </c>
    </row>
    <row r="871" spans="1:20" ht="15.75" hidden="1" customHeight="1" x14ac:dyDescent="0.3">
      <c r="A871" s="194" t="s">
        <v>59</v>
      </c>
      <c r="B871" s="182" t="s">
        <v>415</v>
      </c>
      <c r="C871" s="182" t="s">
        <v>415</v>
      </c>
      <c r="D871" s="182" t="s">
        <v>599</v>
      </c>
      <c r="E871" s="183">
        <v>20</v>
      </c>
      <c r="F871" s="182"/>
      <c r="G871" s="187"/>
      <c r="H871" s="182" t="s">
        <v>589</v>
      </c>
      <c r="I871" s="182" t="s">
        <v>578</v>
      </c>
      <c r="J871" s="176"/>
      <c r="K871" s="176" t="s">
        <v>593</v>
      </c>
      <c r="L871" s="176"/>
      <c r="M871" s="176" t="s">
        <v>773</v>
      </c>
      <c r="N871" s="179">
        <f t="shared" si="90"/>
        <v>381</v>
      </c>
      <c r="O871" s="179">
        <f t="shared" si="91"/>
        <v>162</v>
      </c>
      <c r="P871" s="180">
        <f t="shared" si="86"/>
        <v>543</v>
      </c>
      <c r="Q871" s="181">
        <f t="shared" si="87"/>
        <v>0.6542168674698795</v>
      </c>
      <c r="R871" s="122">
        <f t="shared" si="88"/>
        <v>108.60000000000001</v>
      </c>
      <c r="S871" s="122">
        <f t="shared" si="89"/>
        <v>0.5233734939759036</v>
      </c>
      <c r="T871" s="133">
        <v>0.5</v>
      </c>
    </row>
    <row r="872" spans="1:20" ht="15.75" hidden="1" customHeight="1" x14ac:dyDescent="0.3">
      <c r="A872" s="194" t="s">
        <v>59</v>
      </c>
      <c r="B872" s="176" t="s">
        <v>415</v>
      </c>
      <c r="C872" s="176" t="s">
        <v>415</v>
      </c>
      <c r="D872" s="176" t="s">
        <v>599</v>
      </c>
      <c r="E872" s="177">
        <v>20</v>
      </c>
      <c r="F872" s="176"/>
      <c r="G872" s="178"/>
      <c r="H872" s="176" t="s">
        <v>646</v>
      </c>
      <c r="I872" s="176" t="s">
        <v>568</v>
      </c>
      <c r="J872" s="176"/>
      <c r="K872" s="176" t="s">
        <v>593</v>
      </c>
      <c r="L872" s="176"/>
      <c r="M872" s="176" t="s">
        <v>774</v>
      </c>
      <c r="N872" s="179">
        <f t="shared" si="90"/>
        <v>239</v>
      </c>
      <c r="O872" s="179">
        <f t="shared" si="91"/>
        <v>313</v>
      </c>
      <c r="P872" s="180">
        <f t="shared" si="86"/>
        <v>552</v>
      </c>
      <c r="Q872" s="181">
        <f t="shared" si="87"/>
        <v>0.66506024096385541</v>
      </c>
      <c r="R872" s="122">
        <f t="shared" si="88"/>
        <v>110.4</v>
      </c>
      <c r="S872" s="122">
        <f t="shared" si="89"/>
        <v>0.53204819277108439</v>
      </c>
      <c r="T872" s="133">
        <v>0.55000000000000004</v>
      </c>
    </row>
    <row r="873" spans="1:20" ht="15.75" hidden="1" customHeight="1" x14ac:dyDescent="0.3">
      <c r="A873" s="194" t="s">
        <v>59</v>
      </c>
      <c r="B873" s="182" t="s">
        <v>415</v>
      </c>
      <c r="C873" s="182" t="s">
        <v>415</v>
      </c>
      <c r="D873" s="182" t="s">
        <v>599</v>
      </c>
      <c r="E873" s="183">
        <v>20</v>
      </c>
      <c r="F873" s="182"/>
      <c r="G873" s="187"/>
      <c r="H873" s="182" t="s">
        <v>607</v>
      </c>
      <c r="I873" s="182" t="s">
        <v>568</v>
      </c>
      <c r="J873" s="176"/>
      <c r="K873" s="176" t="s">
        <v>593</v>
      </c>
      <c r="L873" s="176"/>
      <c r="M873" s="176" t="s">
        <v>775</v>
      </c>
      <c r="N873" s="179">
        <f t="shared" si="90"/>
        <v>239</v>
      </c>
      <c r="O873" s="179">
        <f t="shared" si="91"/>
        <v>313</v>
      </c>
      <c r="P873" s="180">
        <f t="shared" si="86"/>
        <v>552</v>
      </c>
      <c r="Q873" s="181">
        <f t="shared" si="87"/>
        <v>0.66506024096385541</v>
      </c>
      <c r="R873" s="122">
        <f t="shared" si="88"/>
        <v>110.4</v>
      </c>
      <c r="S873" s="122">
        <f t="shared" si="89"/>
        <v>0.53204819277108439</v>
      </c>
      <c r="T873" s="133">
        <v>0.55000000000000004</v>
      </c>
    </row>
    <row r="874" spans="1:20" ht="15.75" hidden="1" customHeight="1" x14ac:dyDescent="0.3">
      <c r="A874" s="194" t="s">
        <v>59</v>
      </c>
      <c r="B874" s="182" t="s">
        <v>415</v>
      </c>
      <c r="C874" s="182" t="s">
        <v>415</v>
      </c>
      <c r="D874" s="182" t="s">
        <v>599</v>
      </c>
      <c r="E874" s="183">
        <v>20</v>
      </c>
      <c r="F874" s="182"/>
      <c r="G874" s="187"/>
      <c r="H874" s="182" t="s">
        <v>641</v>
      </c>
      <c r="I874" s="182" t="s">
        <v>575</v>
      </c>
      <c r="J874" s="182"/>
      <c r="K874" s="182" t="s">
        <v>593</v>
      </c>
      <c r="L874" s="182"/>
      <c r="M874" s="182" t="s">
        <v>776</v>
      </c>
      <c r="N874" s="179">
        <f t="shared" si="90"/>
        <v>78</v>
      </c>
      <c r="O874" s="179">
        <f t="shared" si="91"/>
        <v>240.5</v>
      </c>
      <c r="P874" s="180">
        <f t="shared" si="86"/>
        <v>318.5</v>
      </c>
      <c r="Q874" s="181">
        <f t="shared" si="87"/>
        <v>0.38373493975903616</v>
      </c>
      <c r="R874" s="122">
        <f t="shared" si="88"/>
        <v>63.7</v>
      </c>
      <c r="S874" s="122">
        <f t="shared" si="89"/>
        <v>0.30698795180722893</v>
      </c>
      <c r="T874" s="133">
        <v>0.35</v>
      </c>
    </row>
    <row r="875" spans="1:20" ht="15.75" hidden="1" customHeight="1" x14ac:dyDescent="0.3">
      <c r="A875" s="194" t="s">
        <v>59</v>
      </c>
      <c r="B875" s="176" t="s">
        <v>415</v>
      </c>
      <c r="C875" s="176" t="s">
        <v>415</v>
      </c>
      <c r="D875" s="176" t="s">
        <v>599</v>
      </c>
      <c r="E875" s="177">
        <v>20</v>
      </c>
      <c r="F875" s="176"/>
      <c r="G875" s="178"/>
      <c r="H875" s="176" t="s">
        <v>601</v>
      </c>
      <c r="I875" s="176" t="s">
        <v>116</v>
      </c>
      <c r="J875" s="176"/>
      <c r="K875" s="176" t="s">
        <v>593</v>
      </c>
      <c r="L875" s="176"/>
      <c r="M875" s="176" t="s">
        <v>777</v>
      </c>
      <c r="N875" s="179">
        <f t="shared" si="90"/>
        <v>233</v>
      </c>
      <c r="O875" s="179">
        <f t="shared" si="91"/>
        <v>200</v>
      </c>
      <c r="P875" s="180">
        <f t="shared" si="86"/>
        <v>433</v>
      </c>
      <c r="Q875" s="181">
        <f t="shared" si="87"/>
        <v>0.52168674698795181</v>
      </c>
      <c r="R875" s="122">
        <f t="shared" si="88"/>
        <v>86.600000000000009</v>
      </c>
      <c r="S875" s="122">
        <f t="shared" si="89"/>
        <v>0.41734939759036149</v>
      </c>
      <c r="T875" s="185">
        <v>0.5</v>
      </c>
    </row>
    <row r="876" spans="1:20" ht="15.75" hidden="1" customHeight="1" x14ac:dyDescent="0.3">
      <c r="A876" s="198" t="s">
        <v>59</v>
      </c>
      <c r="B876" s="182" t="s">
        <v>415</v>
      </c>
      <c r="C876" s="182" t="s">
        <v>415</v>
      </c>
      <c r="D876" s="182" t="s">
        <v>599</v>
      </c>
      <c r="E876" s="183">
        <v>18</v>
      </c>
      <c r="F876" s="176"/>
      <c r="G876" s="178"/>
      <c r="H876" s="176"/>
      <c r="I876" s="176" t="s">
        <v>584</v>
      </c>
      <c r="J876" s="176"/>
      <c r="K876" s="176" t="s">
        <v>593</v>
      </c>
      <c r="L876" s="176"/>
      <c r="M876" s="192" t="s">
        <v>778</v>
      </c>
      <c r="N876" s="179">
        <f t="shared" si="90"/>
        <v>0</v>
      </c>
      <c r="O876" s="179">
        <f t="shared" si="91"/>
        <v>104</v>
      </c>
      <c r="P876" s="180">
        <f t="shared" si="86"/>
        <v>104</v>
      </c>
      <c r="Q876" s="181">
        <f t="shared" si="87"/>
        <v>0.12530120481927712</v>
      </c>
      <c r="R876" s="122">
        <f t="shared" si="88"/>
        <v>20.8</v>
      </c>
      <c r="S876" s="122">
        <f t="shared" si="89"/>
        <v>0.10024096385542169</v>
      </c>
      <c r="T876" s="185">
        <v>0</v>
      </c>
    </row>
    <row r="877" spans="1:20" ht="15.75" hidden="1" customHeight="1" x14ac:dyDescent="0.3">
      <c r="A877" s="198" t="s">
        <v>59</v>
      </c>
      <c r="B877" s="182" t="s">
        <v>415</v>
      </c>
      <c r="C877" s="182" t="s">
        <v>415</v>
      </c>
      <c r="D877" s="182" t="s">
        <v>599</v>
      </c>
      <c r="E877" s="183">
        <v>9</v>
      </c>
      <c r="F877" s="176"/>
      <c r="G877" s="178"/>
      <c r="H877" s="176"/>
      <c r="I877" s="176" t="s">
        <v>358</v>
      </c>
      <c r="J877" s="176"/>
      <c r="K877" s="176" t="s">
        <v>593</v>
      </c>
      <c r="L877" s="176"/>
      <c r="M877" s="192" t="s">
        <v>779</v>
      </c>
      <c r="N877" s="179">
        <f t="shared" si="90"/>
        <v>111</v>
      </c>
      <c r="O877" s="179">
        <f t="shared" si="91"/>
        <v>265</v>
      </c>
      <c r="P877" s="180">
        <f t="shared" si="86"/>
        <v>376</v>
      </c>
      <c r="Q877" s="181">
        <f t="shared" si="87"/>
        <v>0.45301204819277108</v>
      </c>
      <c r="R877" s="122">
        <f t="shared" si="88"/>
        <v>75.2</v>
      </c>
      <c r="S877" s="122">
        <f t="shared" si="89"/>
        <v>0.36240963855421687</v>
      </c>
      <c r="T877" s="133">
        <v>0.45</v>
      </c>
    </row>
    <row r="878" spans="1:20" ht="15.75" hidden="1" customHeight="1" x14ac:dyDescent="0.3">
      <c r="A878" s="198" t="s">
        <v>59</v>
      </c>
      <c r="B878" s="182" t="s">
        <v>415</v>
      </c>
      <c r="C878" s="182" t="s">
        <v>415</v>
      </c>
      <c r="D878" s="182" t="s">
        <v>599</v>
      </c>
      <c r="E878" s="183">
        <v>4.5</v>
      </c>
      <c r="F878" s="176"/>
      <c r="G878" s="178"/>
      <c r="H878" s="176"/>
      <c r="I878" s="176" t="s">
        <v>575</v>
      </c>
      <c r="J878" s="176"/>
      <c r="K878" s="176" t="s">
        <v>593</v>
      </c>
      <c r="L878" s="176"/>
      <c r="M878" s="192" t="s">
        <v>780</v>
      </c>
      <c r="N878" s="179">
        <f t="shared" si="90"/>
        <v>78</v>
      </c>
      <c r="O878" s="179">
        <f t="shared" si="91"/>
        <v>240.5</v>
      </c>
      <c r="P878" s="180">
        <f t="shared" si="86"/>
        <v>318.5</v>
      </c>
      <c r="Q878" s="181">
        <f t="shared" si="87"/>
        <v>0.38373493975903616</v>
      </c>
      <c r="R878" s="122">
        <f t="shared" si="88"/>
        <v>63.7</v>
      </c>
      <c r="S878" s="122">
        <f t="shared" si="89"/>
        <v>0.30698795180722893</v>
      </c>
      <c r="T878" s="133">
        <v>0.35</v>
      </c>
    </row>
    <row r="879" spans="1:20" ht="15.75" hidden="1" customHeight="1" x14ac:dyDescent="0.3">
      <c r="A879" s="198" t="s">
        <v>59</v>
      </c>
      <c r="B879" s="182" t="s">
        <v>415</v>
      </c>
      <c r="C879" s="182" t="s">
        <v>415</v>
      </c>
      <c r="D879" s="182" t="s">
        <v>599</v>
      </c>
      <c r="E879" s="183">
        <v>4.5</v>
      </c>
      <c r="F879" s="176"/>
      <c r="G879" s="178"/>
      <c r="H879" s="176"/>
      <c r="I879" s="176" t="s">
        <v>116</v>
      </c>
      <c r="J879" s="176"/>
      <c r="K879" s="176" t="s">
        <v>593</v>
      </c>
      <c r="L879" s="176"/>
      <c r="M879" s="192" t="s">
        <v>780</v>
      </c>
      <c r="N879" s="179">
        <f t="shared" si="90"/>
        <v>233</v>
      </c>
      <c r="O879" s="179">
        <f t="shared" si="91"/>
        <v>200</v>
      </c>
      <c r="P879" s="180">
        <f t="shared" si="86"/>
        <v>433</v>
      </c>
      <c r="Q879" s="181">
        <f t="shared" si="87"/>
        <v>0.52168674698795181</v>
      </c>
      <c r="R879" s="122">
        <f t="shared" si="88"/>
        <v>86.600000000000009</v>
      </c>
      <c r="S879" s="122">
        <f t="shared" si="89"/>
        <v>0.41734939759036149</v>
      </c>
      <c r="T879" s="185">
        <v>0.5</v>
      </c>
    </row>
    <row r="880" spans="1:20" ht="15.75" hidden="1" customHeight="1" x14ac:dyDescent="0.3">
      <c r="A880" s="198" t="s">
        <v>59</v>
      </c>
      <c r="B880" s="182" t="s">
        <v>415</v>
      </c>
      <c r="C880" s="182" t="s">
        <v>415</v>
      </c>
      <c r="D880" s="182" t="s">
        <v>599</v>
      </c>
      <c r="E880" s="183">
        <v>4.5</v>
      </c>
      <c r="F880" s="176"/>
      <c r="G880" s="178"/>
      <c r="H880" s="176"/>
      <c r="I880" s="176" t="s">
        <v>579</v>
      </c>
      <c r="J880" s="176"/>
      <c r="K880" s="176" t="s">
        <v>593</v>
      </c>
      <c r="L880" s="176"/>
      <c r="M880" s="192" t="s">
        <v>780</v>
      </c>
      <c r="N880" s="179">
        <f t="shared" si="90"/>
        <v>297</v>
      </c>
      <c r="O880" s="179">
        <f t="shared" si="91"/>
        <v>310</v>
      </c>
      <c r="P880" s="180">
        <f t="shared" si="86"/>
        <v>607</v>
      </c>
      <c r="Q880" s="181">
        <f t="shared" si="87"/>
        <v>0.73132530120481931</v>
      </c>
      <c r="R880" s="122">
        <f t="shared" si="88"/>
        <v>121.4</v>
      </c>
      <c r="S880" s="122">
        <f t="shared" si="89"/>
        <v>0.58506024096385545</v>
      </c>
      <c r="T880" s="133">
        <v>0.6</v>
      </c>
    </row>
    <row r="881" spans="1:20" ht="15.75" hidden="1" customHeight="1" x14ac:dyDescent="0.3">
      <c r="A881" s="194" t="s">
        <v>59</v>
      </c>
      <c r="B881" s="182" t="s">
        <v>415</v>
      </c>
      <c r="C881" s="182" t="s">
        <v>415</v>
      </c>
      <c r="D881" s="182" t="s">
        <v>599</v>
      </c>
      <c r="E881" s="183">
        <v>4.5</v>
      </c>
      <c r="F881" s="176"/>
      <c r="G881" s="178"/>
      <c r="H881" s="176"/>
      <c r="I881" s="176" t="s">
        <v>568</v>
      </c>
      <c r="J881" s="176"/>
      <c r="K881" s="176" t="s">
        <v>593</v>
      </c>
      <c r="L881" s="176"/>
      <c r="M881" s="176" t="s">
        <v>780</v>
      </c>
      <c r="N881" s="179">
        <f t="shared" si="90"/>
        <v>239</v>
      </c>
      <c r="O881" s="179">
        <f t="shared" si="91"/>
        <v>313</v>
      </c>
      <c r="P881" s="180">
        <f t="shared" si="86"/>
        <v>552</v>
      </c>
      <c r="Q881" s="181">
        <f t="shared" si="87"/>
        <v>0.66506024096385541</v>
      </c>
      <c r="R881" s="122">
        <f t="shared" si="88"/>
        <v>110.4</v>
      </c>
      <c r="S881" s="122">
        <f t="shared" si="89"/>
        <v>0.53204819277108439</v>
      </c>
      <c r="T881" s="133">
        <v>0.55000000000000004</v>
      </c>
    </row>
    <row r="882" spans="1:20" ht="15.75" hidden="1" customHeight="1" x14ac:dyDescent="0.3">
      <c r="A882" s="194" t="s">
        <v>59</v>
      </c>
      <c r="B882" s="176" t="s">
        <v>415</v>
      </c>
      <c r="C882" s="176" t="s">
        <v>415</v>
      </c>
      <c r="D882" s="176" t="s">
        <v>624</v>
      </c>
      <c r="E882" s="177">
        <v>40</v>
      </c>
      <c r="F882" s="176"/>
      <c r="G882" s="178"/>
      <c r="H882" s="176" t="s">
        <v>622</v>
      </c>
      <c r="I882" s="176" t="s">
        <v>562</v>
      </c>
      <c r="J882" s="176"/>
      <c r="K882" s="176" t="s">
        <v>593</v>
      </c>
      <c r="L882" s="176"/>
      <c r="M882" s="176" t="s">
        <v>781</v>
      </c>
      <c r="N882" s="179">
        <f t="shared" si="90"/>
        <v>438</v>
      </c>
      <c r="O882" s="179">
        <f t="shared" si="91"/>
        <v>361</v>
      </c>
      <c r="P882" s="180">
        <f t="shared" si="86"/>
        <v>799</v>
      </c>
      <c r="Q882" s="181">
        <f t="shared" si="87"/>
        <v>0.96265060240963851</v>
      </c>
      <c r="R882" s="122">
        <f t="shared" si="88"/>
        <v>159.80000000000001</v>
      </c>
      <c r="S882" s="122">
        <f t="shared" si="89"/>
        <v>0.77012048192771088</v>
      </c>
      <c r="T882" s="133">
        <v>0.75</v>
      </c>
    </row>
    <row r="883" spans="1:20" ht="15.75" hidden="1" customHeight="1" x14ac:dyDescent="0.3">
      <c r="A883" s="194" t="s">
        <v>59</v>
      </c>
      <c r="B883" s="176" t="s">
        <v>415</v>
      </c>
      <c r="C883" s="176" t="s">
        <v>415</v>
      </c>
      <c r="D883" s="176" t="s">
        <v>624</v>
      </c>
      <c r="E883" s="177">
        <v>40</v>
      </c>
      <c r="F883" s="176"/>
      <c r="G883" s="178"/>
      <c r="H883" s="176" t="s">
        <v>623</v>
      </c>
      <c r="I883" s="176" t="s">
        <v>564</v>
      </c>
      <c r="J883" s="176"/>
      <c r="K883" s="176" t="s">
        <v>593</v>
      </c>
      <c r="L883" s="176"/>
      <c r="M883" s="176" t="s">
        <v>782</v>
      </c>
      <c r="N883" s="179">
        <f t="shared" si="90"/>
        <v>456</v>
      </c>
      <c r="O883" s="179">
        <f t="shared" si="91"/>
        <v>384</v>
      </c>
      <c r="P883" s="180">
        <f t="shared" si="86"/>
        <v>840</v>
      </c>
      <c r="Q883" s="181">
        <f t="shared" si="87"/>
        <v>1.0120481927710843</v>
      </c>
      <c r="R883" s="122">
        <f t="shared" si="88"/>
        <v>168</v>
      </c>
      <c r="S883" s="122">
        <f t="shared" si="89"/>
        <v>0.80963855421686748</v>
      </c>
      <c r="T883" s="133">
        <v>0.8</v>
      </c>
    </row>
    <row r="884" spans="1:20" ht="15.75" hidden="1" customHeight="1" x14ac:dyDescent="0.3">
      <c r="A884" s="194" t="s">
        <v>59</v>
      </c>
      <c r="B884" s="176" t="s">
        <v>415</v>
      </c>
      <c r="C884" s="176" t="s">
        <v>415</v>
      </c>
      <c r="D884" s="176" t="s">
        <v>624</v>
      </c>
      <c r="E884" s="177">
        <v>20</v>
      </c>
      <c r="F884" s="176"/>
      <c r="G884" s="178"/>
      <c r="H884" s="176" t="s">
        <v>615</v>
      </c>
      <c r="I884" s="176" t="s">
        <v>570</v>
      </c>
      <c r="J884" s="176"/>
      <c r="K884" s="176" t="s">
        <v>593</v>
      </c>
      <c r="L884" s="176"/>
      <c r="M884" s="176" t="s">
        <v>783</v>
      </c>
      <c r="N884" s="179">
        <f t="shared" si="90"/>
        <v>279</v>
      </c>
      <c r="O884" s="179">
        <f t="shared" si="91"/>
        <v>431</v>
      </c>
      <c r="P884" s="180">
        <f t="shared" si="86"/>
        <v>710</v>
      </c>
      <c r="Q884" s="181">
        <f t="shared" si="87"/>
        <v>0.85542168674698793</v>
      </c>
      <c r="R884" s="122">
        <f t="shared" si="88"/>
        <v>142</v>
      </c>
      <c r="S884" s="122">
        <f t="shared" si="89"/>
        <v>0.68433734939759039</v>
      </c>
      <c r="T884" s="133">
        <v>0.65</v>
      </c>
    </row>
    <row r="885" spans="1:20" ht="15.75" hidden="1" customHeight="1" x14ac:dyDescent="0.3">
      <c r="A885" s="194" t="s">
        <v>59</v>
      </c>
      <c r="B885" s="182" t="s">
        <v>415</v>
      </c>
      <c r="C885" s="182" t="s">
        <v>415</v>
      </c>
      <c r="D885" s="182" t="s">
        <v>624</v>
      </c>
      <c r="E885" s="183">
        <v>20</v>
      </c>
      <c r="F885" s="182"/>
      <c r="G885" s="187"/>
      <c r="H885" s="176" t="s">
        <v>627</v>
      </c>
      <c r="I885" s="176" t="s">
        <v>576</v>
      </c>
      <c r="J885" s="176"/>
      <c r="K885" s="176" t="s">
        <v>593</v>
      </c>
      <c r="L885" s="176"/>
      <c r="M885" s="176" t="s">
        <v>784</v>
      </c>
      <c r="N885" s="179">
        <f t="shared" si="90"/>
        <v>175</v>
      </c>
      <c r="O885" s="179">
        <f t="shared" si="91"/>
        <v>120</v>
      </c>
      <c r="P885" s="180">
        <f t="shared" si="86"/>
        <v>295</v>
      </c>
      <c r="Q885" s="181">
        <f t="shared" si="87"/>
        <v>0.35542168674698793</v>
      </c>
      <c r="R885" s="122">
        <f t="shared" si="88"/>
        <v>59</v>
      </c>
      <c r="S885" s="122">
        <f t="shared" si="89"/>
        <v>0.28433734939759037</v>
      </c>
      <c r="T885" s="133">
        <v>0.25</v>
      </c>
    </row>
    <row r="886" spans="1:20" ht="15.75" hidden="1" customHeight="1" x14ac:dyDescent="0.3">
      <c r="A886" s="194" t="s">
        <v>59</v>
      </c>
      <c r="B886" s="182" t="s">
        <v>415</v>
      </c>
      <c r="C886" s="182" t="s">
        <v>415</v>
      </c>
      <c r="D886" s="182" t="s">
        <v>624</v>
      </c>
      <c r="E886" s="183">
        <v>20</v>
      </c>
      <c r="F886" s="182"/>
      <c r="G886" s="187"/>
      <c r="H886" s="176" t="s">
        <v>627</v>
      </c>
      <c r="I886" s="176" t="s">
        <v>582</v>
      </c>
      <c r="J886" s="176"/>
      <c r="K886" s="176" t="s">
        <v>593</v>
      </c>
      <c r="L886" s="176"/>
      <c r="M886" s="176" t="s">
        <v>785</v>
      </c>
      <c r="N886" s="179">
        <f t="shared" si="90"/>
        <v>298</v>
      </c>
      <c r="O886" s="179">
        <f t="shared" si="91"/>
        <v>310</v>
      </c>
      <c r="P886" s="180">
        <f t="shared" si="86"/>
        <v>608</v>
      </c>
      <c r="Q886" s="181">
        <f t="shared" si="87"/>
        <v>0.73253012048192767</v>
      </c>
      <c r="R886" s="122">
        <f t="shared" si="88"/>
        <v>121.60000000000001</v>
      </c>
      <c r="S886" s="122">
        <f t="shared" si="89"/>
        <v>0.5860240963855422</v>
      </c>
      <c r="T886" s="133">
        <v>0.7</v>
      </c>
    </row>
    <row r="887" spans="1:20" ht="15.75" hidden="1" customHeight="1" x14ac:dyDescent="0.3">
      <c r="A887" s="194" t="s">
        <v>59</v>
      </c>
      <c r="B887" s="176" t="s">
        <v>415</v>
      </c>
      <c r="C887" s="176" t="s">
        <v>415</v>
      </c>
      <c r="D887" s="176" t="s">
        <v>624</v>
      </c>
      <c r="E887" s="177">
        <v>60</v>
      </c>
      <c r="F887" s="176"/>
      <c r="G887" s="178"/>
      <c r="H887" s="176" t="s">
        <v>619</v>
      </c>
      <c r="I887" s="176" t="s">
        <v>581</v>
      </c>
      <c r="J887" s="176"/>
      <c r="K887" s="176" t="s">
        <v>593</v>
      </c>
      <c r="L887" s="176"/>
      <c r="M887" s="176" t="s">
        <v>786</v>
      </c>
      <c r="N887" s="179">
        <f t="shared" si="90"/>
        <v>276</v>
      </c>
      <c r="O887" s="179">
        <f t="shared" si="91"/>
        <v>323</v>
      </c>
      <c r="P887" s="180">
        <f t="shared" si="86"/>
        <v>599</v>
      </c>
      <c r="Q887" s="181">
        <f t="shared" si="87"/>
        <v>0.72168674698795177</v>
      </c>
      <c r="R887" s="122">
        <f t="shared" si="88"/>
        <v>119.80000000000001</v>
      </c>
      <c r="S887" s="122">
        <f t="shared" si="89"/>
        <v>0.57734939759036141</v>
      </c>
      <c r="T887" s="133">
        <v>0.55000000000000004</v>
      </c>
    </row>
    <row r="888" spans="1:20" ht="15.75" hidden="1" customHeight="1" x14ac:dyDescent="0.3">
      <c r="A888" s="194" t="s">
        <v>59</v>
      </c>
      <c r="B888" s="176" t="s">
        <v>415</v>
      </c>
      <c r="C888" s="176" t="s">
        <v>415</v>
      </c>
      <c r="D888" s="176" t="s">
        <v>624</v>
      </c>
      <c r="E888" s="177">
        <v>40</v>
      </c>
      <c r="F888" s="176"/>
      <c r="G888" s="178"/>
      <c r="H888" s="176" t="s">
        <v>609</v>
      </c>
      <c r="I888" s="176" t="s">
        <v>582</v>
      </c>
      <c r="J888" s="176"/>
      <c r="K888" s="176" t="s">
        <v>593</v>
      </c>
      <c r="L888" s="176"/>
      <c r="M888" s="176" t="s">
        <v>787</v>
      </c>
      <c r="N888" s="179">
        <f t="shared" si="90"/>
        <v>298</v>
      </c>
      <c r="O888" s="179">
        <f t="shared" si="91"/>
        <v>310</v>
      </c>
      <c r="P888" s="180">
        <f t="shared" si="86"/>
        <v>608</v>
      </c>
      <c r="Q888" s="181">
        <f t="shared" si="87"/>
        <v>0.73253012048192767</v>
      </c>
      <c r="R888" s="122">
        <f t="shared" si="88"/>
        <v>121.60000000000001</v>
      </c>
      <c r="S888" s="122">
        <f t="shared" si="89"/>
        <v>0.5860240963855422</v>
      </c>
      <c r="T888" s="133">
        <v>0.7</v>
      </c>
    </row>
    <row r="889" spans="1:20" ht="15.75" hidden="1" customHeight="1" x14ac:dyDescent="0.3">
      <c r="A889" s="198" t="s">
        <v>59</v>
      </c>
      <c r="B889" s="182" t="s">
        <v>415</v>
      </c>
      <c r="C889" s="182" t="s">
        <v>415</v>
      </c>
      <c r="D889" s="182" t="s">
        <v>624</v>
      </c>
      <c r="E889" s="183">
        <v>24</v>
      </c>
      <c r="F889" s="176"/>
      <c r="G889" s="178"/>
      <c r="H889" s="176"/>
      <c r="I889" s="176" t="s">
        <v>584</v>
      </c>
      <c r="J889" s="176"/>
      <c r="K889" s="176" t="s">
        <v>593</v>
      </c>
      <c r="L889" s="176"/>
      <c r="M889" s="192" t="s">
        <v>778</v>
      </c>
      <c r="N889" s="179">
        <f t="shared" si="90"/>
        <v>0</v>
      </c>
      <c r="O889" s="179">
        <f t="shared" si="91"/>
        <v>104</v>
      </c>
      <c r="P889" s="180">
        <f t="shared" si="86"/>
        <v>104</v>
      </c>
      <c r="Q889" s="181">
        <f t="shared" si="87"/>
        <v>0.12530120481927712</v>
      </c>
      <c r="R889" s="122">
        <f t="shared" si="88"/>
        <v>20.8</v>
      </c>
      <c r="S889" s="122">
        <f t="shared" si="89"/>
        <v>0.10024096385542169</v>
      </c>
      <c r="T889" s="185">
        <v>0</v>
      </c>
    </row>
    <row r="890" spans="1:20" ht="15.75" hidden="1" customHeight="1" x14ac:dyDescent="0.3">
      <c r="A890" s="198" t="s">
        <v>59</v>
      </c>
      <c r="B890" s="182" t="s">
        <v>415</v>
      </c>
      <c r="C890" s="182" t="s">
        <v>415</v>
      </c>
      <c r="D890" s="182" t="s">
        <v>624</v>
      </c>
      <c r="E890" s="183">
        <v>6</v>
      </c>
      <c r="F890" s="176"/>
      <c r="G890" s="178"/>
      <c r="H890" s="176"/>
      <c r="I890" s="176" t="s">
        <v>570</v>
      </c>
      <c r="J890" s="176"/>
      <c r="K890" s="176" t="s">
        <v>593</v>
      </c>
      <c r="L890" s="176"/>
      <c r="M890" s="192" t="s">
        <v>420</v>
      </c>
      <c r="N890" s="179">
        <f t="shared" si="90"/>
        <v>279</v>
      </c>
      <c r="O890" s="179">
        <f t="shared" si="91"/>
        <v>431</v>
      </c>
      <c r="P890" s="180">
        <f t="shared" si="86"/>
        <v>710</v>
      </c>
      <c r="Q890" s="181">
        <f t="shared" si="87"/>
        <v>0.85542168674698793</v>
      </c>
      <c r="R890" s="122">
        <f t="shared" si="88"/>
        <v>142</v>
      </c>
      <c r="S890" s="122">
        <f t="shared" si="89"/>
        <v>0.68433734939759039</v>
      </c>
      <c r="T890" s="133">
        <v>0.65</v>
      </c>
    </row>
    <row r="891" spans="1:20" ht="15.75" hidden="1" customHeight="1" x14ac:dyDescent="0.3">
      <c r="A891" s="198" t="s">
        <v>59</v>
      </c>
      <c r="B891" s="182" t="s">
        <v>415</v>
      </c>
      <c r="C891" s="182" t="s">
        <v>415</v>
      </c>
      <c r="D891" s="182" t="s">
        <v>624</v>
      </c>
      <c r="E891" s="183">
        <v>12</v>
      </c>
      <c r="F891" s="176"/>
      <c r="G891" s="178"/>
      <c r="H891" s="176"/>
      <c r="I891" s="176" t="s">
        <v>581</v>
      </c>
      <c r="J891" s="176"/>
      <c r="K891" s="176" t="s">
        <v>593</v>
      </c>
      <c r="L891" s="176"/>
      <c r="M891" s="192" t="s">
        <v>788</v>
      </c>
      <c r="N891" s="179">
        <f t="shared" si="90"/>
        <v>276</v>
      </c>
      <c r="O891" s="179">
        <f t="shared" si="91"/>
        <v>323</v>
      </c>
      <c r="P891" s="180">
        <f t="shared" si="86"/>
        <v>599</v>
      </c>
      <c r="Q891" s="181">
        <f t="shared" si="87"/>
        <v>0.72168674698795177</v>
      </c>
      <c r="R891" s="122">
        <f t="shared" si="88"/>
        <v>119.80000000000001</v>
      </c>
      <c r="S891" s="122">
        <f t="shared" si="89"/>
        <v>0.57734939759036141</v>
      </c>
      <c r="T891" s="133">
        <v>0.55000000000000004</v>
      </c>
    </row>
    <row r="892" spans="1:20" ht="15.75" hidden="1" customHeight="1" x14ac:dyDescent="0.3">
      <c r="A892" s="198" t="s">
        <v>59</v>
      </c>
      <c r="B892" s="182" t="s">
        <v>415</v>
      </c>
      <c r="C892" s="182" t="s">
        <v>415</v>
      </c>
      <c r="D892" s="182" t="s">
        <v>624</v>
      </c>
      <c r="E892" s="183">
        <v>6</v>
      </c>
      <c r="F892" s="176"/>
      <c r="G892" s="178"/>
      <c r="H892" s="176"/>
      <c r="I892" s="176" t="s">
        <v>564</v>
      </c>
      <c r="J892" s="176"/>
      <c r="K892" s="176" t="s">
        <v>593</v>
      </c>
      <c r="L892" s="176"/>
      <c r="M892" s="192" t="s">
        <v>780</v>
      </c>
      <c r="N892" s="179">
        <f t="shared" si="90"/>
        <v>456</v>
      </c>
      <c r="O892" s="179">
        <f t="shared" si="91"/>
        <v>384</v>
      </c>
      <c r="P892" s="180">
        <f t="shared" si="86"/>
        <v>840</v>
      </c>
      <c r="Q892" s="181">
        <f t="shared" si="87"/>
        <v>1.0120481927710843</v>
      </c>
      <c r="R892" s="122">
        <f t="shared" si="88"/>
        <v>168</v>
      </c>
      <c r="S892" s="122">
        <f t="shared" si="89"/>
        <v>0.80963855421686748</v>
      </c>
      <c r="T892" s="133">
        <v>0.8</v>
      </c>
    </row>
    <row r="893" spans="1:20" ht="15.75" hidden="1" customHeight="1" x14ac:dyDescent="0.3">
      <c r="A893" s="198" t="s">
        <v>59</v>
      </c>
      <c r="B893" s="182" t="s">
        <v>415</v>
      </c>
      <c r="C893" s="182" t="s">
        <v>415</v>
      </c>
      <c r="D893" s="182" t="s">
        <v>624</v>
      </c>
      <c r="E893" s="183">
        <v>6</v>
      </c>
      <c r="F893" s="176"/>
      <c r="G893" s="178"/>
      <c r="H893" s="176"/>
      <c r="I893" s="176" t="s">
        <v>582</v>
      </c>
      <c r="J893" s="176"/>
      <c r="K893" s="176" t="s">
        <v>593</v>
      </c>
      <c r="L893" s="176"/>
      <c r="M893" s="192" t="s">
        <v>780</v>
      </c>
      <c r="N893" s="179">
        <f t="shared" si="90"/>
        <v>298</v>
      </c>
      <c r="O893" s="179">
        <f t="shared" si="91"/>
        <v>310</v>
      </c>
      <c r="P893" s="180">
        <f t="shared" si="86"/>
        <v>608</v>
      </c>
      <c r="Q893" s="181">
        <f t="shared" si="87"/>
        <v>0.73253012048192767</v>
      </c>
      <c r="R893" s="122">
        <f t="shared" si="88"/>
        <v>121.60000000000001</v>
      </c>
      <c r="S893" s="122">
        <f t="shared" si="89"/>
        <v>0.5860240963855422</v>
      </c>
      <c r="T893" s="133">
        <v>0.7</v>
      </c>
    </row>
    <row r="894" spans="1:20" ht="15.75" hidden="1" customHeight="1" x14ac:dyDescent="0.3">
      <c r="A894" s="194" t="s">
        <v>59</v>
      </c>
      <c r="B894" s="182" t="s">
        <v>415</v>
      </c>
      <c r="C894" s="182" t="s">
        <v>415</v>
      </c>
      <c r="D894" s="182" t="s">
        <v>624</v>
      </c>
      <c r="E894" s="183">
        <v>6</v>
      </c>
      <c r="F894" s="176"/>
      <c r="G894" s="178"/>
      <c r="H894" s="176"/>
      <c r="I894" s="176" t="s">
        <v>562</v>
      </c>
      <c r="J894" s="176"/>
      <c r="K894" s="176" t="s">
        <v>593</v>
      </c>
      <c r="L894" s="176"/>
      <c r="M894" s="176" t="s">
        <v>780</v>
      </c>
      <c r="N894" s="179">
        <f t="shared" si="90"/>
        <v>438</v>
      </c>
      <c r="O894" s="179">
        <f t="shared" si="91"/>
        <v>361</v>
      </c>
      <c r="P894" s="180">
        <f t="shared" si="86"/>
        <v>799</v>
      </c>
      <c r="Q894" s="181">
        <f t="shared" si="87"/>
        <v>0.96265060240963851</v>
      </c>
      <c r="R894" s="122">
        <f t="shared" si="88"/>
        <v>159.80000000000001</v>
      </c>
      <c r="S894" s="122">
        <f t="shared" si="89"/>
        <v>0.77012048192771088</v>
      </c>
      <c r="T894" s="133">
        <v>0.75</v>
      </c>
    </row>
    <row r="895" spans="1:20" ht="15.75" hidden="1" customHeight="1" x14ac:dyDescent="0.3">
      <c r="A895" s="194" t="s">
        <v>59</v>
      </c>
      <c r="B895" s="176" t="s">
        <v>415</v>
      </c>
      <c r="C895" s="176" t="s">
        <v>415</v>
      </c>
      <c r="D895" s="176" t="s">
        <v>710</v>
      </c>
      <c r="E895" s="177">
        <v>25</v>
      </c>
      <c r="F895" s="176"/>
      <c r="G895" s="178"/>
      <c r="H895" s="176" t="s">
        <v>646</v>
      </c>
      <c r="I895" s="176" t="s">
        <v>568</v>
      </c>
      <c r="J895" s="176"/>
      <c r="K895" s="176" t="s">
        <v>593</v>
      </c>
      <c r="L895" s="176"/>
      <c r="M895" s="176" t="s">
        <v>712</v>
      </c>
      <c r="N895" s="179">
        <f t="shared" si="90"/>
        <v>239</v>
      </c>
      <c r="O895" s="179">
        <f t="shared" si="91"/>
        <v>313</v>
      </c>
      <c r="P895" s="180">
        <f t="shared" si="86"/>
        <v>552</v>
      </c>
      <c r="Q895" s="181">
        <f t="shared" si="87"/>
        <v>0.66506024096385541</v>
      </c>
      <c r="R895" s="122">
        <f t="shared" si="88"/>
        <v>110.4</v>
      </c>
      <c r="S895" s="122">
        <f t="shared" si="89"/>
        <v>0.53204819277108439</v>
      </c>
      <c r="T895" s="133">
        <v>0.55000000000000004</v>
      </c>
    </row>
    <row r="896" spans="1:20" ht="15.75" hidden="1" customHeight="1" x14ac:dyDescent="0.3">
      <c r="A896" s="194" t="s">
        <v>59</v>
      </c>
      <c r="B896" s="176" t="s">
        <v>415</v>
      </c>
      <c r="C896" s="176" t="s">
        <v>415</v>
      </c>
      <c r="D896" s="176" t="s">
        <v>710</v>
      </c>
      <c r="E896" s="177">
        <v>25</v>
      </c>
      <c r="F896" s="176"/>
      <c r="G896" s="178"/>
      <c r="H896" s="176" t="s">
        <v>682</v>
      </c>
      <c r="I896" s="176" t="s">
        <v>497</v>
      </c>
      <c r="J896" s="176"/>
      <c r="K896" s="176" t="s">
        <v>593</v>
      </c>
      <c r="L896" s="176"/>
      <c r="M896" s="176" t="s">
        <v>711</v>
      </c>
      <c r="N896" s="179">
        <f t="shared" si="90"/>
        <v>180</v>
      </c>
      <c r="O896" s="179">
        <f t="shared" si="91"/>
        <v>129</v>
      </c>
      <c r="P896" s="180">
        <f t="shared" si="86"/>
        <v>309</v>
      </c>
      <c r="Q896" s="181">
        <f t="shared" si="87"/>
        <v>0.37228915662650602</v>
      </c>
      <c r="R896" s="122">
        <f t="shared" si="88"/>
        <v>61.800000000000004</v>
      </c>
      <c r="S896" s="122">
        <f t="shared" si="89"/>
        <v>0.29783132530120482</v>
      </c>
      <c r="T896" s="133">
        <v>0.3</v>
      </c>
    </row>
    <row r="897" spans="2:17" ht="15" customHeight="1" x14ac:dyDescent="0.3">
      <c r="B897" s="97"/>
      <c r="C897" s="97"/>
      <c r="D897" s="97"/>
      <c r="E897" s="98"/>
      <c r="F897" s="97"/>
      <c r="G897" s="97"/>
      <c r="H897" s="97"/>
      <c r="I897" s="97"/>
      <c r="J897" s="97"/>
      <c r="K897" s="97"/>
      <c r="L897" s="97"/>
      <c r="M897" s="97"/>
    </row>
    <row r="898" spans="2:17" ht="15" customHeight="1" x14ac:dyDescent="0.3">
      <c r="B898" s="97"/>
      <c r="C898" s="97"/>
      <c r="D898" s="97"/>
      <c r="E898" s="98">
        <f>SUBTOTAL(9,E2:E897)</f>
        <v>95.5</v>
      </c>
      <c r="F898" s="97"/>
      <c r="G898" s="97"/>
      <c r="H898" s="97"/>
      <c r="I898" s="97"/>
      <c r="J898" s="97"/>
      <c r="K898" s="97"/>
      <c r="L898" s="97"/>
      <c r="M898" s="97"/>
    </row>
    <row r="899" spans="2:17" ht="15" customHeight="1" x14ac:dyDescent="0.3">
      <c r="B899" s="97"/>
      <c r="C899" s="97"/>
      <c r="D899" s="97"/>
      <c r="E899" s="98"/>
      <c r="F899" s="97"/>
      <c r="G899" s="97"/>
      <c r="H899" s="97"/>
      <c r="I899" s="97"/>
      <c r="J899" s="97"/>
      <c r="K899" s="97"/>
      <c r="L899" s="97"/>
      <c r="M899" s="97"/>
    </row>
    <row r="900" spans="2:17" ht="15" customHeight="1" x14ac:dyDescent="0.3">
      <c r="B900" s="97"/>
      <c r="C900" s="97"/>
      <c r="D900" s="97"/>
      <c r="E900" s="98"/>
      <c r="F900" s="97"/>
      <c r="G900" s="97"/>
      <c r="H900" s="97">
        <f>E898/830</f>
        <v>0.11506024096385542</v>
      </c>
      <c r="I900" s="97"/>
      <c r="J900" s="97"/>
      <c r="K900" s="97"/>
      <c r="L900" s="97"/>
      <c r="M900" s="97"/>
    </row>
    <row r="901" spans="2:17" ht="15" customHeight="1" x14ac:dyDescent="0.3">
      <c r="B901" s="97"/>
      <c r="C901" s="97"/>
      <c r="D901" s="97"/>
      <c r="E901" s="98"/>
      <c r="F901" s="97"/>
      <c r="G901" s="97"/>
      <c r="H901" s="97">
        <f>H900*0.9</f>
        <v>0.10355421686746988</v>
      </c>
      <c r="I901" s="97"/>
      <c r="J901" s="99"/>
      <c r="K901" s="99"/>
      <c r="L901" s="97"/>
      <c r="M901" s="97"/>
    </row>
    <row r="902" spans="2:17" ht="15" customHeight="1" x14ac:dyDescent="0.3">
      <c r="B902" s="97"/>
      <c r="C902" s="97"/>
      <c r="D902" s="100"/>
      <c r="E902" s="101" t="s">
        <v>477</v>
      </c>
      <c r="F902" s="102" t="s">
        <v>478</v>
      </c>
      <c r="G902" s="100"/>
      <c r="H902" s="100"/>
      <c r="I902" s="100"/>
      <c r="J902" s="100"/>
      <c r="K902" s="100"/>
      <c r="L902" s="97"/>
      <c r="M902" s="97"/>
    </row>
    <row r="903" spans="2:17" ht="15" customHeight="1" x14ac:dyDescent="0.3">
      <c r="B903" s="97"/>
      <c r="C903" s="97"/>
      <c r="D903" s="100"/>
      <c r="E903" s="101">
        <v>300</v>
      </c>
      <c r="F903" s="102">
        <f>E903/25</f>
        <v>12</v>
      </c>
      <c r="G903" s="100"/>
      <c r="H903" s="103"/>
      <c r="I903" s="100"/>
      <c r="J903" s="100"/>
      <c r="K903" s="100"/>
      <c r="L903" s="97"/>
      <c r="M903" s="97"/>
    </row>
    <row r="904" spans="2:17" ht="15" customHeight="1" x14ac:dyDescent="0.3">
      <c r="B904" s="97"/>
      <c r="C904" s="97"/>
      <c r="D904" s="103" t="s">
        <v>479</v>
      </c>
      <c r="E904" s="104" t="s">
        <v>480</v>
      </c>
      <c r="F904" s="100">
        <v>20</v>
      </c>
      <c r="G904" s="100">
        <v>120</v>
      </c>
      <c r="H904" s="100">
        <f>F903*5</f>
        <v>60</v>
      </c>
      <c r="I904" s="100"/>
      <c r="J904" s="100"/>
      <c r="K904" s="100"/>
      <c r="L904" s="97"/>
      <c r="M904" s="97"/>
    </row>
    <row r="905" spans="2:17" ht="15" customHeight="1" x14ac:dyDescent="0.3">
      <c r="B905" s="97"/>
      <c r="C905" s="97"/>
      <c r="D905" s="103"/>
      <c r="E905" s="105" t="s">
        <v>481</v>
      </c>
      <c r="F905" s="106">
        <v>1</v>
      </c>
      <c r="G905" s="106">
        <f t="shared" ref="G905:G913" si="92">F905*$F$903</f>
        <v>12</v>
      </c>
      <c r="H905" s="100"/>
      <c r="I905" s="100"/>
      <c r="J905" s="100"/>
      <c r="K905" s="100"/>
      <c r="L905" s="97"/>
      <c r="M905" s="97"/>
    </row>
    <row r="906" spans="2:17" ht="15" customHeight="1" x14ac:dyDescent="0.3">
      <c r="B906" s="97"/>
      <c r="C906" s="97"/>
      <c r="D906" s="103"/>
      <c r="E906" s="199" t="s">
        <v>420</v>
      </c>
      <c r="F906" s="200">
        <v>0.5</v>
      </c>
      <c r="G906" s="200">
        <f t="shared" si="92"/>
        <v>6</v>
      </c>
      <c r="H906" s="100"/>
      <c r="I906" s="100"/>
      <c r="J906" s="100"/>
      <c r="K906" s="100"/>
      <c r="L906" s="97"/>
      <c r="M906" s="97"/>
    </row>
    <row r="907" spans="2:17" ht="15" customHeight="1" x14ac:dyDescent="0.3">
      <c r="B907" s="97"/>
      <c r="C907" s="97"/>
      <c r="D907" s="103"/>
      <c r="E907" s="109" t="s">
        <v>482</v>
      </c>
      <c r="F907" s="110">
        <v>0.5</v>
      </c>
      <c r="G907" s="110">
        <f t="shared" si="92"/>
        <v>6</v>
      </c>
      <c r="H907" s="100"/>
      <c r="I907" s="100"/>
      <c r="J907" s="100"/>
      <c r="K907" s="100"/>
      <c r="L907" s="97"/>
      <c r="M907" s="97"/>
    </row>
    <row r="908" spans="2:17" ht="15" customHeight="1" x14ac:dyDescent="0.3">
      <c r="B908" s="97"/>
      <c r="C908" s="97"/>
      <c r="D908" s="103"/>
      <c r="E908" s="109" t="s">
        <v>483</v>
      </c>
      <c r="F908" s="110">
        <v>0.5</v>
      </c>
      <c r="G908" s="110">
        <f t="shared" si="92"/>
        <v>6</v>
      </c>
      <c r="H908" s="100"/>
      <c r="I908" s="100"/>
      <c r="J908" s="100"/>
      <c r="K908" s="100"/>
      <c r="L908" s="97"/>
      <c r="M908" s="97"/>
    </row>
    <row r="909" spans="2:17" ht="15" customHeight="1" x14ac:dyDescent="0.3">
      <c r="B909" s="97"/>
      <c r="C909" s="97"/>
      <c r="D909" s="103"/>
      <c r="E909" s="105" t="s">
        <v>484</v>
      </c>
      <c r="F909" s="106">
        <v>0.5</v>
      </c>
      <c r="G909" s="106">
        <f t="shared" si="92"/>
        <v>6</v>
      </c>
      <c r="H909" s="100"/>
      <c r="I909" s="100"/>
      <c r="J909" s="100"/>
      <c r="K909" s="100"/>
      <c r="L909" s="97"/>
      <c r="M909" s="97"/>
      <c r="Q909" s="133"/>
    </row>
    <row r="910" spans="2:17" ht="15" customHeight="1" x14ac:dyDescent="0.3">
      <c r="B910" s="97"/>
      <c r="C910" s="97"/>
      <c r="D910" s="103"/>
      <c r="E910" s="105" t="s">
        <v>485</v>
      </c>
      <c r="F910" s="106">
        <v>0.5</v>
      </c>
      <c r="G910" s="106">
        <f t="shared" si="92"/>
        <v>6</v>
      </c>
      <c r="H910" s="100"/>
      <c r="I910" s="100" t="s">
        <v>486</v>
      </c>
      <c r="J910" s="100"/>
      <c r="K910" s="100"/>
      <c r="L910" s="97"/>
      <c r="M910" s="97"/>
    </row>
    <row r="911" spans="2:17" ht="15" customHeight="1" x14ac:dyDescent="0.3">
      <c r="B911" s="97"/>
      <c r="C911" s="97"/>
      <c r="D911" s="103"/>
      <c r="E911" s="105" t="s">
        <v>485</v>
      </c>
      <c r="F911" s="106">
        <v>0.5</v>
      </c>
      <c r="G911" s="106">
        <f t="shared" si="92"/>
        <v>6</v>
      </c>
      <c r="H911" s="100"/>
      <c r="I911" s="106">
        <f>G909+G910+G911</f>
        <v>18</v>
      </c>
      <c r="J911" s="111" t="s">
        <v>487</v>
      </c>
      <c r="K911" s="111"/>
      <c r="L911" s="97"/>
      <c r="M911" s="97"/>
    </row>
    <row r="912" spans="2:17" ht="15" customHeight="1" x14ac:dyDescent="0.3">
      <c r="B912" s="97"/>
      <c r="C912" s="97"/>
      <c r="D912" s="103"/>
      <c r="E912" s="109" t="s">
        <v>409</v>
      </c>
      <c r="F912" s="110">
        <v>1</v>
      </c>
      <c r="G912" s="110">
        <f t="shared" si="92"/>
        <v>12</v>
      </c>
      <c r="H912" s="112"/>
      <c r="I912" s="109">
        <f>G912+G908+G907</f>
        <v>24</v>
      </c>
      <c r="J912" s="111" t="s">
        <v>488</v>
      </c>
      <c r="K912" s="111"/>
      <c r="L912" s="97"/>
      <c r="M912" s="97"/>
    </row>
    <row r="913" spans="2:13" ht="15" customHeight="1" x14ac:dyDescent="0.3">
      <c r="B913" s="97"/>
      <c r="C913" s="97"/>
      <c r="D913" s="113"/>
      <c r="E913" s="114"/>
      <c r="F913" s="115">
        <f>SUBTOTAL(9,F904:F912)</f>
        <v>25</v>
      </c>
      <c r="G913" s="115">
        <f t="shared" si="92"/>
        <v>300</v>
      </c>
      <c r="H913" s="115"/>
      <c r="I913" s="100"/>
      <c r="J913" s="111"/>
      <c r="K913" s="111"/>
      <c r="L913" s="97"/>
      <c r="M913" s="97"/>
    </row>
    <row r="914" spans="2:13" ht="15" customHeight="1" x14ac:dyDescent="0.3">
      <c r="B914" s="97"/>
      <c r="C914" s="97"/>
      <c r="D914" s="103"/>
      <c r="E914" s="100"/>
      <c r="F914" s="100"/>
      <c r="G914" s="100"/>
      <c r="H914" s="100"/>
      <c r="I914" s="100"/>
      <c r="J914" s="111"/>
      <c r="K914" s="111"/>
      <c r="L914" s="97"/>
      <c r="M914" s="97"/>
    </row>
    <row r="915" spans="2:13" ht="15" customHeight="1" x14ac:dyDescent="0.3">
      <c r="B915" s="97"/>
      <c r="C915" s="97"/>
      <c r="D915" s="103"/>
      <c r="E915" s="101" t="s">
        <v>477</v>
      </c>
      <c r="F915" s="102" t="s">
        <v>478</v>
      </c>
      <c r="G915" s="100"/>
      <c r="H915" s="100"/>
      <c r="I915" s="100"/>
      <c r="J915" s="111"/>
      <c r="K915" s="111"/>
      <c r="L915" s="97"/>
      <c r="M915" s="97"/>
    </row>
    <row r="916" spans="2:13" ht="15" customHeight="1" x14ac:dyDescent="0.3">
      <c r="B916" s="97"/>
      <c r="C916" s="97"/>
      <c r="D916" s="103"/>
      <c r="E916" s="101">
        <v>210</v>
      </c>
      <c r="F916" s="102">
        <f>E916/30</f>
        <v>7</v>
      </c>
      <c r="G916" s="100"/>
      <c r="H916" s="100"/>
      <c r="I916" s="100"/>
      <c r="J916" s="111"/>
      <c r="K916" s="111"/>
      <c r="L916" s="97"/>
      <c r="M916" s="97"/>
    </row>
    <row r="917" spans="2:13" ht="15" customHeight="1" x14ac:dyDescent="0.3">
      <c r="B917" s="97"/>
      <c r="C917" s="97"/>
      <c r="D917" s="103" t="s">
        <v>489</v>
      </c>
      <c r="E917" s="104" t="s">
        <v>480</v>
      </c>
      <c r="F917" s="100">
        <v>25</v>
      </c>
      <c r="G917" s="100">
        <f t="shared" ref="G917:G926" si="93">$F$916*F917</f>
        <v>175</v>
      </c>
      <c r="H917" s="100"/>
      <c r="I917" s="100"/>
      <c r="J917" s="111"/>
      <c r="K917" s="111"/>
      <c r="L917" s="97"/>
      <c r="M917" s="97"/>
    </row>
    <row r="918" spans="2:13" ht="15" customHeight="1" x14ac:dyDescent="0.3">
      <c r="B918" s="97"/>
      <c r="C918" s="97"/>
      <c r="D918" s="103"/>
      <c r="E918" s="105" t="s">
        <v>481</v>
      </c>
      <c r="F918" s="106">
        <v>1</v>
      </c>
      <c r="G918" s="106">
        <f t="shared" si="93"/>
        <v>7</v>
      </c>
      <c r="H918" s="100"/>
      <c r="I918" s="100"/>
      <c r="J918" s="111"/>
      <c r="K918" s="111"/>
      <c r="L918" s="97"/>
      <c r="M918" s="97"/>
    </row>
    <row r="919" spans="2:13" ht="15" customHeight="1" x14ac:dyDescent="0.3">
      <c r="B919" s="97"/>
      <c r="C919" s="97"/>
      <c r="D919" s="103"/>
      <c r="E919" s="107" t="s">
        <v>420</v>
      </c>
      <c r="F919" s="108">
        <v>0.5</v>
      </c>
      <c r="G919" s="108">
        <f t="shared" si="93"/>
        <v>3.5</v>
      </c>
      <c r="H919" s="100"/>
      <c r="I919" s="100"/>
      <c r="J919" s="111"/>
      <c r="K919" s="111"/>
      <c r="L919" s="97"/>
      <c r="M919" s="97"/>
    </row>
    <row r="920" spans="2:13" ht="15" customHeight="1" x14ac:dyDescent="0.3">
      <c r="B920" s="97"/>
      <c r="C920" s="97"/>
      <c r="D920" s="103"/>
      <c r="E920" s="109" t="s">
        <v>482</v>
      </c>
      <c r="F920" s="110">
        <v>0.5</v>
      </c>
      <c r="G920" s="110">
        <f t="shared" si="93"/>
        <v>3.5</v>
      </c>
      <c r="H920" s="100"/>
      <c r="I920" s="100"/>
      <c r="J920" s="111"/>
      <c r="K920" s="111"/>
      <c r="L920" s="97"/>
      <c r="M920" s="97"/>
    </row>
    <row r="921" spans="2:13" ht="15" customHeight="1" x14ac:dyDescent="0.3">
      <c r="B921" s="97"/>
      <c r="C921" s="97"/>
      <c r="D921" s="103"/>
      <c r="E921" s="109" t="s">
        <v>483</v>
      </c>
      <c r="F921" s="110">
        <v>0.5</v>
      </c>
      <c r="G921" s="110">
        <f t="shared" si="93"/>
        <v>3.5</v>
      </c>
      <c r="H921" s="100"/>
      <c r="I921" s="100"/>
      <c r="J921" s="111"/>
      <c r="K921" s="111"/>
      <c r="L921" s="97"/>
      <c r="M921" s="97"/>
    </row>
    <row r="922" spans="2:13" ht="15" customHeight="1" x14ac:dyDescent="0.3">
      <c r="B922" s="97"/>
      <c r="C922" s="97"/>
      <c r="D922" s="103"/>
      <c r="E922" s="105" t="s">
        <v>484</v>
      </c>
      <c r="F922" s="106">
        <v>0.5</v>
      </c>
      <c r="G922" s="106">
        <f t="shared" si="93"/>
        <v>3.5</v>
      </c>
      <c r="H922" s="100"/>
      <c r="I922" s="100"/>
      <c r="J922" s="111"/>
      <c r="K922" s="111"/>
      <c r="L922" s="97"/>
      <c r="M922" s="97"/>
    </row>
    <row r="923" spans="2:13" ht="15" customHeight="1" x14ac:dyDescent="0.3">
      <c r="B923" s="97"/>
      <c r="C923" s="97"/>
      <c r="D923" s="103"/>
      <c r="E923" s="105" t="s">
        <v>485</v>
      </c>
      <c r="F923" s="106">
        <v>0.5</v>
      </c>
      <c r="G923" s="106">
        <f t="shared" si="93"/>
        <v>3.5</v>
      </c>
      <c r="H923" s="100"/>
      <c r="I923" s="100" t="s">
        <v>486</v>
      </c>
      <c r="J923" s="201">
        <f>E916-G917</f>
        <v>35</v>
      </c>
      <c r="K923" s="111"/>
      <c r="L923" s="97"/>
      <c r="M923" s="97"/>
    </row>
    <row r="924" spans="2:13" ht="15" customHeight="1" x14ac:dyDescent="0.3">
      <c r="B924" s="97"/>
      <c r="C924" s="97"/>
      <c r="D924" s="103"/>
      <c r="E924" s="105" t="s">
        <v>485</v>
      </c>
      <c r="F924" s="106">
        <v>0.5</v>
      </c>
      <c r="G924" s="106">
        <f t="shared" si="93"/>
        <v>3.5</v>
      </c>
      <c r="H924" s="100"/>
      <c r="I924" s="106">
        <f>G922+G923+G924</f>
        <v>10.5</v>
      </c>
      <c r="J924" s="111" t="s">
        <v>487</v>
      </c>
      <c r="K924" s="111"/>
      <c r="L924" s="97"/>
      <c r="M924" s="97"/>
    </row>
    <row r="925" spans="2:13" ht="15" customHeight="1" x14ac:dyDescent="0.3">
      <c r="B925" s="97"/>
      <c r="C925" s="97"/>
      <c r="D925" s="103"/>
      <c r="E925" s="109" t="s">
        <v>409</v>
      </c>
      <c r="F925" s="110">
        <v>1</v>
      </c>
      <c r="G925" s="110">
        <f t="shared" si="93"/>
        <v>7</v>
      </c>
      <c r="H925" s="112"/>
      <c r="I925" s="109">
        <f>G925+G921+G920</f>
        <v>14</v>
      </c>
      <c r="J925" s="111" t="s">
        <v>488</v>
      </c>
      <c r="K925" s="111"/>
      <c r="L925" s="97"/>
      <c r="M925" s="97"/>
    </row>
    <row r="926" spans="2:13" ht="15" customHeight="1" x14ac:dyDescent="0.3">
      <c r="B926" s="97"/>
      <c r="C926" s="97"/>
      <c r="D926" s="113"/>
      <c r="E926" s="114"/>
      <c r="F926" s="115">
        <f>SUBTOTAL(9,F917:F925)</f>
        <v>30</v>
      </c>
      <c r="G926" s="115">
        <f t="shared" si="93"/>
        <v>210</v>
      </c>
      <c r="H926" s="115"/>
      <c r="I926" s="100"/>
      <c r="J926" s="100"/>
      <c r="K926" s="100"/>
      <c r="L926" s="97"/>
      <c r="M926" s="97"/>
    </row>
    <row r="927" spans="2:13" ht="15" customHeight="1" x14ac:dyDescent="0.3">
      <c r="B927" s="97"/>
      <c r="C927" s="97"/>
      <c r="D927" s="97"/>
      <c r="E927" s="98"/>
      <c r="F927" s="97"/>
      <c r="G927" s="97"/>
      <c r="H927" s="97"/>
      <c r="I927" s="97"/>
      <c r="J927" s="97"/>
      <c r="K927" s="97"/>
      <c r="L927" s="97"/>
      <c r="M927" s="97"/>
    </row>
    <row r="928" spans="2:13" ht="15" customHeight="1" x14ac:dyDescent="0.3">
      <c r="B928" s="97"/>
      <c r="C928" s="97"/>
      <c r="D928" s="97"/>
      <c r="E928" s="98"/>
      <c r="F928" s="97"/>
      <c r="G928" s="97"/>
      <c r="H928" s="97"/>
      <c r="I928" s="97"/>
      <c r="J928" s="97"/>
      <c r="K928" s="97"/>
      <c r="L928" s="97"/>
      <c r="M928" s="97"/>
    </row>
    <row r="929" spans="2:13" ht="15" customHeight="1" x14ac:dyDescent="0.3">
      <c r="B929" s="97"/>
      <c r="C929" s="97"/>
      <c r="D929" s="103"/>
      <c r="E929" s="101" t="s">
        <v>477</v>
      </c>
      <c r="F929" s="102" t="s">
        <v>478</v>
      </c>
      <c r="G929" s="100"/>
      <c r="H929" s="97"/>
      <c r="I929" s="97"/>
      <c r="J929" s="97"/>
      <c r="K929" s="97"/>
      <c r="L929" s="97"/>
      <c r="M929" s="97"/>
    </row>
    <row r="930" spans="2:13" ht="15" customHeight="1" x14ac:dyDescent="0.3">
      <c r="B930" s="97"/>
      <c r="C930" s="97"/>
      <c r="D930" s="103"/>
      <c r="E930" s="101">
        <v>75</v>
      </c>
      <c r="F930" s="102">
        <f>E930/F931</f>
        <v>5</v>
      </c>
      <c r="G930" s="100"/>
      <c r="H930" s="97"/>
      <c r="I930" s="97"/>
      <c r="J930" s="97"/>
      <c r="K930" s="97"/>
      <c r="L930" s="97"/>
      <c r="M930" s="97"/>
    </row>
    <row r="931" spans="2:13" ht="15" customHeight="1" x14ac:dyDescent="0.3">
      <c r="B931" s="97"/>
      <c r="C931" s="97"/>
      <c r="D931" s="103" t="s">
        <v>490</v>
      </c>
      <c r="E931" s="104" t="s">
        <v>480</v>
      </c>
      <c r="F931" s="100">
        <v>15</v>
      </c>
      <c r="G931" s="100"/>
      <c r="H931" s="97"/>
      <c r="I931" s="97"/>
      <c r="J931" s="97"/>
      <c r="K931" s="97"/>
      <c r="L931" s="97"/>
      <c r="M931" s="97"/>
    </row>
    <row r="932" spans="2:13" ht="15" customHeight="1" x14ac:dyDescent="0.3">
      <c r="B932" s="97"/>
      <c r="C932" s="97"/>
      <c r="D932" s="97"/>
      <c r="E932" s="98"/>
      <c r="F932" s="97"/>
      <c r="G932" s="97"/>
      <c r="H932" s="97"/>
      <c r="I932" s="97"/>
      <c r="J932" s="97"/>
      <c r="K932" s="97"/>
      <c r="L932" s="97"/>
      <c r="M932" s="97"/>
    </row>
    <row r="933" spans="2:13" ht="15" customHeight="1" x14ac:dyDescent="0.3">
      <c r="B933" s="97"/>
      <c r="C933" s="97"/>
      <c r="D933" s="97"/>
      <c r="E933" s="98"/>
      <c r="F933" s="97"/>
      <c r="G933" s="97"/>
      <c r="H933" s="97"/>
      <c r="I933" s="97"/>
      <c r="J933" s="97"/>
      <c r="K933" s="97"/>
      <c r="L933" s="97"/>
      <c r="M933" s="97"/>
    </row>
    <row r="934" spans="2:13" ht="15" customHeight="1" x14ac:dyDescent="0.3">
      <c r="B934" s="97"/>
      <c r="C934" s="97"/>
      <c r="D934" s="97"/>
      <c r="E934" s="98"/>
      <c r="F934" s="97"/>
      <c r="G934" s="97"/>
      <c r="H934" s="97"/>
      <c r="I934" s="97"/>
      <c r="J934" s="97"/>
      <c r="K934" s="97"/>
      <c r="L934" s="97"/>
      <c r="M934" s="97"/>
    </row>
  </sheetData>
  <autoFilter ref="A1:AK896" xr:uid="{00000000-0009-0000-0000-000007000000}">
    <filterColumn colId="8">
      <filters>
        <filter val="э-резерв"/>
      </filters>
    </filterColumn>
  </autoFilter>
  <pageMargins left="0.7" right="0.7" top="0.75" bottom="0.75" header="0" footer="0"/>
  <pageSetup paperSize="9" orientation="landscape"/>
  <headerFooter>
    <oddFooter>&amp;CСтраница &amp;P из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defaultColWidth="14.44140625" defaultRowHeight="15" customHeight="1" x14ac:dyDescent="0.3"/>
  <cols>
    <col min="1" max="1" width="36" customWidth="1"/>
    <col min="2" max="5" width="8" customWidth="1"/>
    <col min="6" max="6" width="7.88671875" customWidth="1"/>
    <col min="7" max="7" width="7.33203125" customWidth="1"/>
    <col min="8" max="8" width="7.6640625" customWidth="1"/>
    <col min="9" max="9" width="8" customWidth="1"/>
    <col min="10" max="10" width="7.5546875" customWidth="1"/>
    <col min="11" max="11" width="8" customWidth="1"/>
    <col min="12" max="12" width="7.33203125" customWidth="1"/>
    <col min="13" max="14" width="12.6640625" customWidth="1"/>
    <col min="15" max="26" width="8" customWidth="1"/>
  </cols>
  <sheetData>
    <row r="1" spans="1:26" ht="14.4" x14ac:dyDescent="0.3">
      <c r="L1" s="202" t="s">
        <v>789</v>
      </c>
      <c r="M1" s="202"/>
      <c r="N1" s="202"/>
      <c r="O1" s="202"/>
      <c r="P1" s="202"/>
    </row>
    <row r="2" spans="1:26" ht="14.4" x14ac:dyDescent="0.3">
      <c r="F2" s="2" t="s">
        <v>790</v>
      </c>
      <c r="I2" s="203" t="s">
        <v>791</v>
      </c>
    </row>
    <row r="3" spans="1:26" ht="33" customHeight="1" x14ac:dyDescent="0.3">
      <c r="A3" s="53" t="s">
        <v>54</v>
      </c>
      <c r="B3" s="53" t="s">
        <v>58</v>
      </c>
      <c r="C3" s="53" t="s">
        <v>59</v>
      </c>
      <c r="D3" s="53" t="s">
        <v>60</v>
      </c>
      <c r="E3" s="53" t="s">
        <v>492</v>
      </c>
      <c r="F3" s="204" t="s">
        <v>792</v>
      </c>
      <c r="G3" s="205" t="s">
        <v>793</v>
      </c>
      <c r="H3" s="205" t="s">
        <v>794</v>
      </c>
      <c r="I3" s="206" t="s">
        <v>795</v>
      </c>
      <c r="J3" s="75" t="s">
        <v>793</v>
      </c>
      <c r="K3" s="75" t="s">
        <v>794</v>
      </c>
      <c r="L3" s="205" t="s">
        <v>796</v>
      </c>
      <c r="M3" s="207" t="s">
        <v>797</v>
      </c>
      <c r="N3" s="208" t="s">
        <v>798</v>
      </c>
      <c r="O3" s="209" t="s">
        <v>799</v>
      </c>
      <c r="P3" s="209" t="s">
        <v>800</v>
      </c>
      <c r="Q3" s="209" t="s">
        <v>801</v>
      </c>
      <c r="R3" s="209" t="s">
        <v>802</v>
      </c>
      <c r="S3" s="209" t="s">
        <v>803</v>
      </c>
      <c r="T3" s="209" t="s">
        <v>804</v>
      </c>
      <c r="U3" s="209" t="s">
        <v>805</v>
      </c>
      <c r="V3" s="209" t="s">
        <v>806</v>
      </c>
      <c r="W3" s="209" t="s">
        <v>807</v>
      </c>
      <c r="X3" s="209" t="s">
        <v>808</v>
      </c>
    </row>
    <row r="4" spans="1:26" ht="14.4" x14ac:dyDescent="0.3">
      <c r="A4" s="39" t="s">
        <v>68</v>
      </c>
      <c r="B4" s="39">
        <v>437</v>
      </c>
      <c r="C4" s="39">
        <v>228</v>
      </c>
      <c r="D4" s="39">
        <v>665</v>
      </c>
      <c r="E4" s="134">
        <v>0.8012048192771084</v>
      </c>
      <c r="F4" s="210">
        <v>0.8</v>
      </c>
      <c r="G4" s="53">
        <f t="shared" ref="G4:G38" si="0">D4-F4*$E$3</f>
        <v>1</v>
      </c>
      <c r="H4" s="211">
        <f t="shared" ref="H4:H38" si="1">G4/D4</f>
        <v>1.5037593984962407E-3</v>
      </c>
      <c r="I4" s="212">
        <v>0.8</v>
      </c>
      <c r="J4" s="53">
        <f t="shared" ref="J4:J38" si="2">D4-I4*$E$3</f>
        <v>1</v>
      </c>
      <c r="K4" s="211">
        <f t="shared" ref="K4:K38" si="3">J4/D4</f>
        <v>1.5037593984962407E-3</v>
      </c>
      <c r="L4" s="213">
        <f t="shared" ref="L4:L38" si="4">G4/8</f>
        <v>0.125</v>
      </c>
      <c r="M4" s="214" t="s">
        <v>4</v>
      </c>
      <c r="N4" s="214" t="s">
        <v>4</v>
      </c>
      <c r="O4" s="215">
        <v>0</v>
      </c>
      <c r="P4" s="215">
        <v>0</v>
      </c>
      <c r="Q4" s="215">
        <v>0</v>
      </c>
      <c r="R4" s="215">
        <v>0</v>
      </c>
      <c r="S4" s="215"/>
      <c r="T4" s="215">
        <v>0</v>
      </c>
      <c r="U4" s="215">
        <v>0</v>
      </c>
      <c r="V4" s="215">
        <v>0</v>
      </c>
      <c r="W4" s="215">
        <v>0</v>
      </c>
      <c r="X4" s="215">
        <v>0</v>
      </c>
      <c r="Y4" s="216">
        <f t="shared" ref="Y4:Y23" si="5">SUM(O4:X4)</f>
        <v>0</v>
      </c>
      <c r="Z4" s="53">
        <f t="shared" ref="Z4:Z38" si="6">Y4-G4</f>
        <v>-1</v>
      </c>
    </row>
    <row r="5" spans="1:26" ht="14.4" x14ac:dyDescent="0.3">
      <c r="A5" s="39" t="s">
        <v>155</v>
      </c>
      <c r="B5" s="39">
        <v>384</v>
      </c>
      <c r="C5" s="39">
        <v>139.5</v>
      </c>
      <c r="D5" s="39">
        <v>523.5</v>
      </c>
      <c r="E5" s="134">
        <v>0.63072289156626504</v>
      </c>
      <c r="F5" s="217">
        <v>0.5</v>
      </c>
      <c r="G5" s="53">
        <f t="shared" si="0"/>
        <v>108.5</v>
      </c>
      <c r="H5" s="211">
        <f t="shared" si="1"/>
        <v>0.2072588347659981</v>
      </c>
      <c r="I5" s="212">
        <v>0.55000000000000004</v>
      </c>
      <c r="J5" s="53">
        <f t="shared" si="2"/>
        <v>66.999999999999943</v>
      </c>
      <c r="K5" s="211">
        <f t="shared" si="3"/>
        <v>0.1279847182425978</v>
      </c>
      <c r="L5" s="213">
        <f t="shared" si="4"/>
        <v>13.5625</v>
      </c>
      <c r="M5" s="214" t="s">
        <v>8</v>
      </c>
      <c r="N5" s="214" t="s">
        <v>8</v>
      </c>
      <c r="O5" s="215">
        <v>0</v>
      </c>
      <c r="P5" s="215">
        <v>0</v>
      </c>
      <c r="Q5" s="43">
        <v>0</v>
      </c>
      <c r="R5" s="53">
        <v>0</v>
      </c>
      <c r="S5" s="53"/>
      <c r="T5" s="215">
        <v>0</v>
      </c>
      <c r="U5" s="215">
        <v>0</v>
      </c>
      <c r="V5" s="43">
        <v>0</v>
      </c>
      <c r="W5" s="53">
        <v>0</v>
      </c>
      <c r="X5" s="53"/>
      <c r="Y5" s="216">
        <f t="shared" si="5"/>
        <v>0</v>
      </c>
      <c r="Z5" s="53">
        <f t="shared" si="6"/>
        <v>-108.5</v>
      </c>
    </row>
    <row r="6" spans="1:26" ht="16.5" customHeight="1" x14ac:dyDescent="0.3">
      <c r="A6" s="39" t="s">
        <v>116</v>
      </c>
      <c r="B6" s="39">
        <v>344</v>
      </c>
      <c r="C6" s="39">
        <v>366</v>
      </c>
      <c r="D6" s="39">
        <v>710</v>
      </c>
      <c r="E6" s="134">
        <v>0.85542168674698793</v>
      </c>
      <c r="F6" s="217">
        <v>0.95</v>
      </c>
      <c r="G6" s="53">
        <f t="shared" si="0"/>
        <v>-78.5</v>
      </c>
      <c r="H6" s="211">
        <f t="shared" si="1"/>
        <v>-0.11056338028169015</v>
      </c>
      <c r="I6" s="212">
        <v>1</v>
      </c>
      <c r="J6" s="53">
        <f t="shared" si="2"/>
        <v>-120</v>
      </c>
      <c r="K6" s="211">
        <f t="shared" si="3"/>
        <v>-0.16901408450704225</v>
      </c>
      <c r="L6" s="213">
        <f t="shared" si="4"/>
        <v>-9.8125</v>
      </c>
      <c r="M6" s="214" t="s">
        <v>4</v>
      </c>
      <c r="N6" s="214" t="s">
        <v>4</v>
      </c>
      <c r="O6" s="215">
        <v>0</v>
      </c>
      <c r="P6" s="215">
        <v>0</v>
      </c>
      <c r="Q6" s="43">
        <v>0</v>
      </c>
      <c r="R6" s="53">
        <v>0</v>
      </c>
      <c r="S6" s="53"/>
      <c r="T6" s="215">
        <v>0</v>
      </c>
      <c r="U6" s="215">
        <v>0</v>
      </c>
      <c r="V6" s="43">
        <v>0</v>
      </c>
      <c r="W6" s="53">
        <v>0</v>
      </c>
      <c r="X6" s="53"/>
      <c r="Y6" s="216">
        <f t="shared" si="5"/>
        <v>0</v>
      </c>
      <c r="Z6" s="53">
        <f t="shared" si="6"/>
        <v>78.5</v>
      </c>
    </row>
    <row r="7" spans="1:26" ht="14.4" x14ac:dyDescent="0.3">
      <c r="A7" s="39" t="s">
        <v>231</v>
      </c>
      <c r="B7" s="39">
        <v>116</v>
      </c>
      <c r="C7" s="39">
        <v>105</v>
      </c>
      <c r="D7" s="39">
        <v>221</v>
      </c>
      <c r="E7" s="134">
        <v>0.26626506024096386</v>
      </c>
      <c r="F7" s="212">
        <v>0.3</v>
      </c>
      <c r="G7" s="53">
        <f t="shared" si="0"/>
        <v>-28</v>
      </c>
      <c r="H7" s="211">
        <f t="shared" si="1"/>
        <v>-0.12669683257918551</v>
      </c>
      <c r="I7" s="212">
        <v>0.3</v>
      </c>
      <c r="J7" s="53">
        <f t="shared" si="2"/>
        <v>-28</v>
      </c>
      <c r="K7" s="211">
        <f t="shared" si="3"/>
        <v>-0.12669683257918551</v>
      </c>
      <c r="L7" s="213">
        <f t="shared" si="4"/>
        <v>-3.5</v>
      </c>
      <c r="M7" s="214" t="s">
        <v>4</v>
      </c>
      <c r="N7" s="214" t="s">
        <v>4</v>
      </c>
      <c r="O7" s="218">
        <v>4</v>
      </c>
      <c r="P7" s="218">
        <v>2</v>
      </c>
      <c r="Q7" s="219">
        <v>2</v>
      </c>
      <c r="R7" s="220">
        <v>2</v>
      </c>
      <c r="S7" s="53"/>
      <c r="T7" s="53">
        <v>0</v>
      </c>
      <c r="U7" s="53">
        <v>0</v>
      </c>
      <c r="V7" s="53">
        <v>0</v>
      </c>
      <c r="W7" s="53">
        <v>0</v>
      </c>
      <c r="X7" s="53"/>
      <c r="Y7" s="216">
        <f t="shared" si="5"/>
        <v>10</v>
      </c>
      <c r="Z7" s="53">
        <f t="shared" si="6"/>
        <v>38</v>
      </c>
    </row>
    <row r="8" spans="1:26" ht="14.4" x14ac:dyDescent="0.3">
      <c r="A8" s="39" t="s">
        <v>392</v>
      </c>
      <c r="B8" s="39">
        <v>0</v>
      </c>
      <c r="C8" s="39">
        <v>311</v>
      </c>
      <c r="D8" s="39">
        <v>311</v>
      </c>
      <c r="E8" s="134">
        <v>0.37469879518072291</v>
      </c>
      <c r="F8" s="212">
        <v>0.5</v>
      </c>
      <c r="G8" s="53">
        <f t="shared" si="0"/>
        <v>-104</v>
      </c>
      <c r="H8" s="211">
        <f t="shared" si="1"/>
        <v>-0.33440514469453375</v>
      </c>
      <c r="I8" s="212">
        <v>0.5</v>
      </c>
      <c r="J8" s="53">
        <f t="shared" si="2"/>
        <v>-104</v>
      </c>
      <c r="K8" s="211">
        <f t="shared" si="3"/>
        <v>-0.33440514469453375</v>
      </c>
      <c r="L8" s="213">
        <f t="shared" si="4"/>
        <v>-13</v>
      </c>
      <c r="M8" s="214" t="s">
        <v>4</v>
      </c>
      <c r="N8" s="214" t="s">
        <v>4</v>
      </c>
      <c r="O8" s="218">
        <v>2</v>
      </c>
      <c r="P8" s="218">
        <v>2</v>
      </c>
      <c r="Q8" s="219">
        <v>2</v>
      </c>
      <c r="R8" s="220">
        <v>2</v>
      </c>
      <c r="S8" s="53"/>
      <c r="T8" s="215">
        <v>0</v>
      </c>
      <c r="U8" s="215">
        <v>0</v>
      </c>
      <c r="V8" s="43">
        <v>0</v>
      </c>
      <c r="W8" s="53">
        <v>0</v>
      </c>
      <c r="X8" s="53"/>
      <c r="Y8" s="216">
        <f t="shared" si="5"/>
        <v>8</v>
      </c>
      <c r="Z8" s="53">
        <f t="shared" si="6"/>
        <v>112</v>
      </c>
    </row>
    <row r="9" spans="1:26" ht="14.25" customHeight="1" x14ac:dyDescent="0.3">
      <c r="A9" s="39" t="s">
        <v>66</v>
      </c>
      <c r="B9" s="39">
        <v>289</v>
      </c>
      <c r="C9" s="39">
        <v>650.5</v>
      </c>
      <c r="D9" s="39">
        <v>939.5</v>
      </c>
      <c r="E9" s="134">
        <v>1.1319277108433734</v>
      </c>
      <c r="F9" s="217">
        <v>1</v>
      </c>
      <c r="G9" s="53">
        <f t="shared" si="0"/>
        <v>109.5</v>
      </c>
      <c r="H9" s="211">
        <f t="shared" si="1"/>
        <v>0.116551357104843</v>
      </c>
      <c r="I9" s="212">
        <v>0.9</v>
      </c>
      <c r="J9" s="53">
        <f t="shared" si="2"/>
        <v>192.5</v>
      </c>
      <c r="K9" s="211">
        <f t="shared" si="3"/>
        <v>0.2048962213943587</v>
      </c>
      <c r="L9" s="213">
        <f t="shared" si="4"/>
        <v>13.6875</v>
      </c>
      <c r="M9" s="214" t="s">
        <v>4</v>
      </c>
      <c r="N9" s="214" t="s">
        <v>4</v>
      </c>
      <c r="O9" s="215">
        <v>0</v>
      </c>
      <c r="P9" s="215">
        <v>0</v>
      </c>
      <c r="Q9" s="43">
        <v>0</v>
      </c>
      <c r="R9" s="53">
        <v>0</v>
      </c>
      <c r="S9" s="53"/>
      <c r="T9" s="215">
        <v>0</v>
      </c>
      <c r="U9" s="215">
        <v>0</v>
      </c>
      <c r="V9" s="43">
        <v>0</v>
      </c>
      <c r="W9" s="53">
        <v>0</v>
      </c>
      <c r="X9" s="53"/>
      <c r="Y9" s="216">
        <f t="shared" si="5"/>
        <v>0</v>
      </c>
      <c r="Z9" s="53">
        <f t="shared" si="6"/>
        <v>-109.5</v>
      </c>
    </row>
    <row r="10" spans="1:26" ht="12.75" customHeight="1" x14ac:dyDescent="0.3">
      <c r="A10" s="39" t="s">
        <v>137</v>
      </c>
      <c r="B10" s="39">
        <v>204</v>
      </c>
      <c r="C10" s="39">
        <v>8</v>
      </c>
      <c r="D10" s="39">
        <v>212</v>
      </c>
      <c r="E10" s="134">
        <v>0.25542168674698795</v>
      </c>
      <c r="F10" s="217">
        <v>0.5</v>
      </c>
      <c r="G10" s="53">
        <f t="shared" si="0"/>
        <v>-203</v>
      </c>
      <c r="H10" s="211">
        <f t="shared" si="1"/>
        <v>-0.95754716981132071</v>
      </c>
      <c r="I10" s="212">
        <v>0.6</v>
      </c>
      <c r="J10" s="53">
        <f t="shared" si="2"/>
        <v>-286</v>
      </c>
      <c r="K10" s="211">
        <f t="shared" si="3"/>
        <v>-1.3490566037735849</v>
      </c>
      <c r="L10" s="213">
        <f t="shared" si="4"/>
        <v>-25.375</v>
      </c>
      <c r="M10" s="214" t="s">
        <v>809</v>
      </c>
      <c r="N10" s="214" t="s">
        <v>809</v>
      </c>
      <c r="O10" s="215">
        <v>0</v>
      </c>
      <c r="P10" s="215">
        <v>0</v>
      </c>
      <c r="Q10" s="43">
        <v>0</v>
      </c>
      <c r="R10" s="53">
        <v>0</v>
      </c>
      <c r="S10" s="53"/>
      <c r="T10" s="215">
        <v>0</v>
      </c>
      <c r="U10" s="215">
        <v>0</v>
      </c>
      <c r="V10" s="43">
        <v>0</v>
      </c>
      <c r="W10" s="53">
        <v>0</v>
      </c>
      <c r="X10" s="53"/>
      <c r="Y10" s="216">
        <f t="shared" si="5"/>
        <v>0</v>
      </c>
      <c r="Z10" s="53">
        <f t="shared" si="6"/>
        <v>203</v>
      </c>
    </row>
    <row r="11" spans="1:26" ht="14.4" x14ac:dyDescent="0.3">
      <c r="A11" s="39" t="s">
        <v>129</v>
      </c>
      <c r="B11" s="39">
        <v>355</v>
      </c>
      <c r="C11" s="39">
        <v>584</v>
      </c>
      <c r="D11" s="39">
        <v>939</v>
      </c>
      <c r="E11" s="134">
        <v>1.1313253012048192</v>
      </c>
      <c r="F11" s="212">
        <v>1</v>
      </c>
      <c r="G11" s="53">
        <f t="shared" si="0"/>
        <v>109</v>
      </c>
      <c r="H11" s="211">
        <f t="shared" si="1"/>
        <v>0.11608093716719915</v>
      </c>
      <c r="I11" s="212">
        <v>1</v>
      </c>
      <c r="J11" s="53">
        <f t="shared" si="2"/>
        <v>109</v>
      </c>
      <c r="K11" s="211">
        <f t="shared" si="3"/>
        <v>0.11608093716719915</v>
      </c>
      <c r="L11" s="213">
        <f t="shared" si="4"/>
        <v>13.625</v>
      </c>
      <c r="M11" s="214" t="s">
        <v>8</v>
      </c>
      <c r="N11" s="214" t="s">
        <v>8</v>
      </c>
      <c r="O11" s="218">
        <v>36</v>
      </c>
      <c r="P11" s="218">
        <v>22</v>
      </c>
      <c r="Q11" s="218">
        <v>22</v>
      </c>
      <c r="R11" s="218">
        <v>22</v>
      </c>
      <c r="S11" s="53"/>
      <c r="T11" s="218">
        <v>22</v>
      </c>
      <c r="U11" s="218">
        <v>22</v>
      </c>
      <c r="V11" s="218">
        <v>22</v>
      </c>
      <c r="W11" s="218">
        <v>14</v>
      </c>
      <c r="X11" s="53"/>
      <c r="Y11" s="216">
        <f t="shared" si="5"/>
        <v>182</v>
      </c>
      <c r="Z11" s="53">
        <f t="shared" si="6"/>
        <v>73</v>
      </c>
    </row>
    <row r="12" spans="1:26" ht="14.4" x14ac:dyDescent="0.3">
      <c r="A12" s="39" t="s">
        <v>201</v>
      </c>
      <c r="B12" s="39">
        <v>639</v>
      </c>
      <c r="C12" s="39">
        <v>456.5</v>
      </c>
      <c r="D12" s="39">
        <v>1095.5</v>
      </c>
      <c r="E12" s="134">
        <v>1.3198795180722891</v>
      </c>
      <c r="F12" s="212">
        <v>1</v>
      </c>
      <c r="G12" s="53">
        <f t="shared" si="0"/>
        <v>265.5</v>
      </c>
      <c r="H12" s="211">
        <f t="shared" si="1"/>
        <v>0.24235508900045641</v>
      </c>
      <c r="I12" s="212">
        <v>1</v>
      </c>
      <c r="J12" s="53">
        <f t="shared" si="2"/>
        <v>265.5</v>
      </c>
      <c r="K12" s="211">
        <f t="shared" si="3"/>
        <v>0.24235508900045641</v>
      </c>
      <c r="L12" s="213">
        <f t="shared" si="4"/>
        <v>33.1875</v>
      </c>
      <c r="M12" s="214" t="s">
        <v>4</v>
      </c>
      <c r="N12" s="214" t="s">
        <v>4</v>
      </c>
      <c r="O12" s="218">
        <v>32</v>
      </c>
      <c r="P12" s="218">
        <v>32</v>
      </c>
      <c r="Q12" s="218">
        <v>36</v>
      </c>
      <c r="R12" s="218">
        <v>30</v>
      </c>
      <c r="S12" s="53"/>
      <c r="T12" s="218">
        <v>48</v>
      </c>
      <c r="U12" s="218">
        <v>48</v>
      </c>
      <c r="V12" s="218">
        <v>48</v>
      </c>
      <c r="W12" s="218">
        <v>14</v>
      </c>
      <c r="X12" s="53"/>
      <c r="Y12" s="216">
        <f t="shared" si="5"/>
        <v>288</v>
      </c>
      <c r="Z12" s="53">
        <f t="shared" si="6"/>
        <v>22.5</v>
      </c>
    </row>
    <row r="13" spans="1:26" ht="14.25" customHeight="1" x14ac:dyDescent="0.3">
      <c r="A13" s="39" t="s">
        <v>223</v>
      </c>
      <c r="B13" s="39">
        <v>41</v>
      </c>
      <c r="C13" s="39">
        <v>161</v>
      </c>
      <c r="D13" s="39">
        <v>202</v>
      </c>
      <c r="E13" s="134">
        <v>0.2433734939759036</v>
      </c>
      <c r="F13" s="217">
        <v>0.15</v>
      </c>
      <c r="G13" s="53">
        <f t="shared" si="0"/>
        <v>77.5</v>
      </c>
      <c r="H13" s="211">
        <f t="shared" si="1"/>
        <v>0.38366336633663367</v>
      </c>
      <c r="I13" s="210">
        <v>0.25</v>
      </c>
      <c r="J13" s="53">
        <f t="shared" si="2"/>
        <v>-5.5</v>
      </c>
      <c r="K13" s="211">
        <f t="shared" si="3"/>
        <v>-2.7227722772277228E-2</v>
      </c>
      <c r="L13" s="213">
        <f t="shared" si="4"/>
        <v>9.6875</v>
      </c>
      <c r="M13" s="214" t="s">
        <v>4</v>
      </c>
      <c r="N13" s="214" t="s">
        <v>4</v>
      </c>
      <c r="O13" s="215">
        <v>0</v>
      </c>
      <c r="P13" s="215">
        <v>0</v>
      </c>
      <c r="Q13" s="215">
        <v>0</v>
      </c>
      <c r="R13" s="215">
        <v>0</v>
      </c>
      <c r="S13" s="53"/>
      <c r="T13" s="215">
        <v>0</v>
      </c>
      <c r="U13" s="215">
        <v>0</v>
      </c>
      <c r="V13" s="215">
        <v>0</v>
      </c>
      <c r="W13" s="215">
        <v>0</v>
      </c>
      <c r="X13" s="53"/>
      <c r="Y13" s="216">
        <f t="shared" si="5"/>
        <v>0</v>
      </c>
      <c r="Z13" s="53">
        <f t="shared" si="6"/>
        <v>-77.5</v>
      </c>
    </row>
    <row r="14" spans="1:26" ht="15.75" customHeight="1" x14ac:dyDescent="0.3">
      <c r="A14" s="39" t="s">
        <v>180</v>
      </c>
      <c r="B14" s="39">
        <v>705</v>
      </c>
      <c r="C14" s="39">
        <v>175.5</v>
      </c>
      <c r="D14" s="39">
        <v>880.5</v>
      </c>
      <c r="E14" s="134">
        <v>1.0608433734939759</v>
      </c>
      <c r="F14" s="212">
        <v>1</v>
      </c>
      <c r="G14" s="53">
        <f t="shared" si="0"/>
        <v>50.5</v>
      </c>
      <c r="H14" s="211">
        <f t="shared" si="1"/>
        <v>5.7353776263486658E-2</v>
      </c>
      <c r="I14" s="212">
        <v>1</v>
      </c>
      <c r="J14" s="53">
        <f t="shared" si="2"/>
        <v>50.5</v>
      </c>
      <c r="K14" s="211">
        <f t="shared" si="3"/>
        <v>5.7353776263486658E-2</v>
      </c>
      <c r="L14" s="213">
        <f t="shared" si="4"/>
        <v>6.3125</v>
      </c>
      <c r="M14" s="214" t="s">
        <v>4</v>
      </c>
      <c r="N14" s="214" t="s">
        <v>4</v>
      </c>
      <c r="O14" s="218">
        <v>22</v>
      </c>
      <c r="P14" s="221">
        <v>32</v>
      </c>
      <c r="Q14" s="218">
        <v>32</v>
      </c>
      <c r="R14" s="218">
        <v>32</v>
      </c>
      <c r="S14" s="53"/>
      <c r="T14" s="218">
        <v>14</v>
      </c>
      <c r="U14" s="218">
        <v>14</v>
      </c>
      <c r="V14" s="218">
        <v>14</v>
      </c>
      <c r="W14" s="218">
        <v>6</v>
      </c>
      <c r="X14" s="53"/>
      <c r="Y14" s="216">
        <f t="shared" si="5"/>
        <v>166</v>
      </c>
      <c r="Z14" s="53">
        <f t="shared" si="6"/>
        <v>115.5</v>
      </c>
    </row>
    <row r="15" spans="1:26" ht="14.4" x14ac:dyDescent="0.3">
      <c r="A15" s="39" t="s">
        <v>187</v>
      </c>
      <c r="B15" s="39">
        <v>127</v>
      </c>
      <c r="C15" s="39">
        <v>133.5</v>
      </c>
      <c r="D15" s="39">
        <v>260.5</v>
      </c>
      <c r="E15" s="134">
        <v>0.31385542168674696</v>
      </c>
      <c r="F15" s="212">
        <v>0.25</v>
      </c>
      <c r="G15" s="53">
        <f t="shared" si="0"/>
        <v>53</v>
      </c>
      <c r="H15" s="211">
        <f t="shared" si="1"/>
        <v>0.2034548944337812</v>
      </c>
      <c r="I15" s="212">
        <v>0.25</v>
      </c>
      <c r="J15" s="53">
        <f t="shared" si="2"/>
        <v>53</v>
      </c>
      <c r="K15" s="211">
        <f t="shared" si="3"/>
        <v>0.2034548944337812</v>
      </c>
      <c r="L15" s="213">
        <f t="shared" si="4"/>
        <v>6.625</v>
      </c>
      <c r="M15" s="222" t="s">
        <v>810</v>
      </c>
      <c r="N15" s="222" t="s">
        <v>810</v>
      </c>
      <c r="O15" s="215">
        <v>0</v>
      </c>
      <c r="P15" s="215">
        <v>0</v>
      </c>
      <c r="Q15" s="215">
        <v>0</v>
      </c>
      <c r="R15" s="215">
        <v>0</v>
      </c>
      <c r="S15" s="53"/>
      <c r="T15" s="223">
        <v>0</v>
      </c>
      <c r="U15" s="223">
        <v>0</v>
      </c>
      <c r="V15" s="223">
        <v>0</v>
      </c>
      <c r="W15" s="223">
        <v>0</v>
      </c>
      <c r="X15" s="53"/>
      <c r="Y15" s="216">
        <f t="shared" si="5"/>
        <v>0</v>
      </c>
      <c r="Z15" s="53">
        <f t="shared" si="6"/>
        <v>-53</v>
      </c>
    </row>
    <row r="16" spans="1:26" ht="14.4" x14ac:dyDescent="0.3">
      <c r="A16" s="39" t="s">
        <v>95</v>
      </c>
      <c r="B16" s="39">
        <v>310.8</v>
      </c>
      <c r="C16" s="39">
        <v>455</v>
      </c>
      <c r="D16" s="39">
        <v>765.8</v>
      </c>
      <c r="E16" s="134">
        <v>0.92265060240963848</v>
      </c>
      <c r="F16" s="217">
        <v>0.7</v>
      </c>
      <c r="G16" s="53">
        <f t="shared" si="0"/>
        <v>184.79999999999995</v>
      </c>
      <c r="H16" s="211">
        <f t="shared" si="1"/>
        <v>0.24131627056672755</v>
      </c>
      <c r="I16" s="212">
        <v>0.6</v>
      </c>
      <c r="J16" s="53">
        <f t="shared" si="2"/>
        <v>267.79999999999995</v>
      </c>
      <c r="K16" s="211">
        <f t="shared" si="3"/>
        <v>0.34969966048576651</v>
      </c>
      <c r="L16" s="213">
        <f t="shared" si="4"/>
        <v>23.099999999999994</v>
      </c>
      <c r="M16" s="222" t="s">
        <v>8</v>
      </c>
      <c r="N16" s="222" t="s">
        <v>8</v>
      </c>
      <c r="O16" s="218">
        <v>2</v>
      </c>
      <c r="P16" s="218">
        <v>2</v>
      </c>
      <c r="Q16" s="218">
        <v>2</v>
      </c>
      <c r="R16" s="215">
        <v>0</v>
      </c>
      <c r="S16" s="53"/>
      <c r="T16" s="215">
        <v>0</v>
      </c>
      <c r="U16" s="215">
        <v>0</v>
      </c>
      <c r="V16" s="215">
        <v>0</v>
      </c>
      <c r="W16" s="215">
        <v>0</v>
      </c>
      <c r="X16" s="53"/>
      <c r="Y16" s="216">
        <f t="shared" si="5"/>
        <v>6</v>
      </c>
      <c r="Z16" s="53">
        <f t="shared" si="6"/>
        <v>-178.79999999999995</v>
      </c>
    </row>
    <row r="17" spans="1:26" ht="14.4" x14ac:dyDescent="0.3">
      <c r="A17" s="39" t="s">
        <v>260</v>
      </c>
      <c r="B17" s="39">
        <v>225</v>
      </c>
      <c r="C17" s="39">
        <v>111.5</v>
      </c>
      <c r="D17" s="39">
        <v>336.5</v>
      </c>
      <c r="E17" s="134">
        <v>0.40542168674698797</v>
      </c>
      <c r="F17" s="212">
        <v>0.45</v>
      </c>
      <c r="G17" s="53">
        <f t="shared" si="0"/>
        <v>-37</v>
      </c>
      <c r="H17" s="211">
        <f t="shared" si="1"/>
        <v>-0.10995542347696879</v>
      </c>
      <c r="I17" s="212">
        <v>0.45</v>
      </c>
      <c r="J17" s="53">
        <f t="shared" si="2"/>
        <v>-37</v>
      </c>
      <c r="K17" s="211">
        <f t="shared" si="3"/>
        <v>-0.10995542347696879</v>
      </c>
      <c r="L17" s="213">
        <f t="shared" si="4"/>
        <v>-4.625</v>
      </c>
      <c r="M17" s="222" t="s">
        <v>810</v>
      </c>
      <c r="N17" s="222" t="s">
        <v>810</v>
      </c>
      <c r="O17" s="215">
        <v>0</v>
      </c>
      <c r="P17" s="215">
        <v>0</v>
      </c>
      <c r="Q17" s="215">
        <v>0</v>
      </c>
      <c r="R17" s="215">
        <v>0</v>
      </c>
      <c r="S17" s="53"/>
      <c r="T17" s="215">
        <v>0</v>
      </c>
      <c r="U17" s="215">
        <v>0</v>
      </c>
      <c r="V17" s="215">
        <v>0</v>
      </c>
      <c r="W17" s="215">
        <v>0</v>
      </c>
      <c r="X17" s="53"/>
      <c r="Y17" s="216">
        <f t="shared" si="5"/>
        <v>0</v>
      </c>
      <c r="Z17" s="53">
        <f t="shared" si="6"/>
        <v>37</v>
      </c>
    </row>
    <row r="18" spans="1:26" ht="14.4" x14ac:dyDescent="0.3">
      <c r="A18" s="39" t="s">
        <v>307</v>
      </c>
      <c r="B18" s="39">
        <v>0</v>
      </c>
      <c r="C18" s="39">
        <v>72</v>
      </c>
      <c r="D18" s="39">
        <v>72</v>
      </c>
      <c r="E18" s="134">
        <v>8.6746987951807228E-2</v>
      </c>
      <c r="F18" s="212">
        <v>0.1</v>
      </c>
      <c r="G18" s="53">
        <f t="shared" si="0"/>
        <v>-11</v>
      </c>
      <c r="H18" s="211">
        <f t="shared" si="1"/>
        <v>-0.15277777777777779</v>
      </c>
      <c r="I18" s="212">
        <v>0.1</v>
      </c>
      <c r="J18" s="53">
        <f t="shared" si="2"/>
        <v>-11</v>
      </c>
      <c r="K18" s="211">
        <f t="shared" si="3"/>
        <v>-0.15277777777777779</v>
      </c>
      <c r="L18" s="213">
        <f t="shared" si="4"/>
        <v>-1.375</v>
      </c>
      <c r="M18" s="214" t="s">
        <v>809</v>
      </c>
      <c r="N18" s="214" t="s">
        <v>809</v>
      </c>
      <c r="O18" s="215">
        <v>0</v>
      </c>
      <c r="P18" s="215">
        <v>0</v>
      </c>
      <c r="Q18" s="215">
        <v>0</v>
      </c>
      <c r="R18" s="215">
        <v>0</v>
      </c>
      <c r="S18" s="53"/>
      <c r="T18" s="215">
        <v>0</v>
      </c>
      <c r="U18" s="215">
        <v>0</v>
      </c>
      <c r="V18" s="215">
        <v>0</v>
      </c>
      <c r="W18" s="215">
        <v>0</v>
      </c>
      <c r="X18" s="53"/>
      <c r="Y18" s="216">
        <f t="shared" si="5"/>
        <v>0</v>
      </c>
      <c r="Z18" s="53">
        <f t="shared" si="6"/>
        <v>11</v>
      </c>
    </row>
    <row r="19" spans="1:26" ht="14.25" customHeight="1" x14ac:dyDescent="0.3">
      <c r="A19" s="39" t="s">
        <v>258</v>
      </c>
      <c r="B19" s="39">
        <v>331</v>
      </c>
      <c r="C19" s="39">
        <v>512</v>
      </c>
      <c r="D19" s="39">
        <v>843</v>
      </c>
      <c r="E19" s="134">
        <v>1.0156626506024096</v>
      </c>
      <c r="F19" s="212">
        <v>0.1</v>
      </c>
      <c r="G19" s="53">
        <f t="shared" si="0"/>
        <v>760</v>
      </c>
      <c r="H19" s="211">
        <f t="shared" si="1"/>
        <v>0.9015421115065243</v>
      </c>
      <c r="I19" s="212">
        <v>0.1</v>
      </c>
      <c r="J19" s="53">
        <f t="shared" si="2"/>
        <v>760</v>
      </c>
      <c r="K19" s="211">
        <f t="shared" si="3"/>
        <v>0.9015421115065243</v>
      </c>
      <c r="L19" s="213">
        <f t="shared" si="4"/>
        <v>95</v>
      </c>
      <c r="M19" s="214" t="s">
        <v>8</v>
      </c>
      <c r="N19" s="224" t="s">
        <v>809</v>
      </c>
      <c r="O19" s="215">
        <v>0</v>
      </c>
      <c r="P19" s="215">
        <v>0</v>
      </c>
      <c r="Q19" s="215">
        <v>0</v>
      </c>
      <c r="R19" s="215">
        <v>0</v>
      </c>
      <c r="S19" s="53"/>
      <c r="T19" s="215">
        <v>0</v>
      </c>
      <c r="U19" s="215">
        <v>0</v>
      </c>
      <c r="V19" s="215">
        <v>0</v>
      </c>
      <c r="W19" s="215">
        <v>0</v>
      </c>
      <c r="X19" s="53"/>
      <c r="Y19" s="216">
        <f t="shared" si="5"/>
        <v>0</v>
      </c>
      <c r="Z19" s="53">
        <f t="shared" si="6"/>
        <v>-760</v>
      </c>
    </row>
    <row r="20" spans="1:26" ht="14.4" x14ac:dyDescent="0.3">
      <c r="A20" s="39" t="s">
        <v>71</v>
      </c>
      <c r="B20" s="39">
        <v>359</v>
      </c>
      <c r="C20" s="39">
        <v>436.5</v>
      </c>
      <c r="D20" s="39">
        <v>795.5</v>
      </c>
      <c r="E20" s="134">
        <v>0.95843373493975903</v>
      </c>
      <c r="F20" s="212">
        <v>1</v>
      </c>
      <c r="G20" s="53">
        <f t="shared" si="0"/>
        <v>-34.5</v>
      </c>
      <c r="H20" s="211">
        <f t="shared" si="1"/>
        <v>-4.3368950345694532E-2</v>
      </c>
      <c r="I20" s="212">
        <v>1</v>
      </c>
      <c r="J20" s="53">
        <f t="shared" si="2"/>
        <v>-34.5</v>
      </c>
      <c r="K20" s="211">
        <f t="shared" si="3"/>
        <v>-4.3368950345694532E-2</v>
      </c>
      <c r="L20" s="213">
        <f t="shared" si="4"/>
        <v>-4.3125</v>
      </c>
      <c r="M20" s="214" t="s">
        <v>8</v>
      </c>
      <c r="N20" s="214" t="s">
        <v>8</v>
      </c>
      <c r="O20" s="218">
        <v>28</v>
      </c>
      <c r="P20" s="218">
        <v>32</v>
      </c>
      <c r="Q20" s="218">
        <v>32</v>
      </c>
      <c r="R20" s="218">
        <v>32</v>
      </c>
      <c r="S20" s="53"/>
      <c r="T20" s="218">
        <v>38</v>
      </c>
      <c r="U20" s="218">
        <v>38</v>
      </c>
      <c r="V20" s="218">
        <v>38</v>
      </c>
      <c r="W20" s="218">
        <v>14</v>
      </c>
      <c r="X20" s="53"/>
      <c r="Y20" s="216">
        <f t="shared" si="5"/>
        <v>252</v>
      </c>
      <c r="Z20" s="53">
        <f t="shared" si="6"/>
        <v>286.5</v>
      </c>
    </row>
    <row r="21" spans="1:26" ht="14.25" customHeight="1" x14ac:dyDescent="0.3">
      <c r="A21" s="39" t="s">
        <v>268</v>
      </c>
      <c r="B21" s="39">
        <v>9</v>
      </c>
      <c r="C21" s="39">
        <v>77</v>
      </c>
      <c r="D21" s="39">
        <v>86</v>
      </c>
      <c r="E21" s="134">
        <v>0.10361445783132531</v>
      </c>
      <c r="F21" s="212">
        <v>1</v>
      </c>
      <c r="G21" s="53">
        <f t="shared" si="0"/>
        <v>-744</v>
      </c>
      <c r="H21" s="211">
        <f t="shared" si="1"/>
        <v>-8.6511627906976738</v>
      </c>
      <c r="I21" s="212">
        <v>1</v>
      </c>
      <c r="J21" s="53">
        <f t="shared" si="2"/>
        <v>-744</v>
      </c>
      <c r="K21" s="211">
        <f t="shared" si="3"/>
        <v>-8.6511627906976738</v>
      </c>
      <c r="L21" s="213">
        <f t="shared" si="4"/>
        <v>-93</v>
      </c>
      <c r="M21" s="214" t="s">
        <v>811</v>
      </c>
      <c r="N21" s="214" t="s">
        <v>811</v>
      </c>
      <c r="O21" s="215">
        <v>0</v>
      </c>
      <c r="P21" s="215">
        <v>0</v>
      </c>
      <c r="Q21" s="215">
        <v>0</v>
      </c>
      <c r="R21" s="215">
        <v>0</v>
      </c>
      <c r="S21" s="53"/>
      <c r="T21" s="215">
        <v>0</v>
      </c>
      <c r="U21" s="215">
        <v>0</v>
      </c>
      <c r="V21" s="215">
        <v>0</v>
      </c>
      <c r="W21" s="215">
        <v>0</v>
      </c>
      <c r="X21" s="53"/>
      <c r="Y21" s="216">
        <f t="shared" si="5"/>
        <v>0</v>
      </c>
      <c r="Z21" s="53">
        <f t="shared" si="6"/>
        <v>744</v>
      </c>
    </row>
    <row r="22" spans="1:26" ht="17.25" customHeight="1" x14ac:dyDescent="0.3">
      <c r="A22" s="39" t="s">
        <v>147</v>
      </c>
      <c r="B22" s="39">
        <v>291.8</v>
      </c>
      <c r="C22" s="39">
        <v>473.5</v>
      </c>
      <c r="D22" s="39">
        <v>765.3</v>
      </c>
      <c r="E22" s="134">
        <v>0.9220481927710843</v>
      </c>
      <c r="F22" s="210">
        <v>0.9</v>
      </c>
      <c r="G22" s="53">
        <f t="shared" si="0"/>
        <v>18.299999999999955</v>
      </c>
      <c r="H22" s="211">
        <f t="shared" si="1"/>
        <v>2.3912191297530323E-2</v>
      </c>
      <c r="I22" s="212">
        <v>0.9</v>
      </c>
      <c r="J22" s="53">
        <f t="shared" si="2"/>
        <v>18.299999999999955</v>
      </c>
      <c r="K22" s="211">
        <f t="shared" si="3"/>
        <v>2.3912191297530323E-2</v>
      </c>
      <c r="L22" s="213">
        <f t="shared" si="4"/>
        <v>2.2874999999999943</v>
      </c>
      <c r="M22" s="214" t="s">
        <v>8</v>
      </c>
      <c r="N22" s="214" t="s">
        <v>8</v>
      </c>
      <c r="O22" s="218">
        <v>8</v>
      </c>
      <c r="P22" s="218">
        <v>8</v>
      </c>
      <c r="Q22" s="218">
        <v>8</v>
      </c>
      <c r="R22" s="218">
        <v>8</v>
      </c>
      <c r="S22" s="53"/>
      <c r="T22" s="218">
        <v>6</v>
      </c>
      <c r="U22" s="218">
        <v>6</v>
      </c>
      <c r="V22" s="218">
        <v>6</v>
      </c>
      <c r="W22" s="218">
        <v>6</v>
      </c>
      <c r="X22" s="53"/>
      <c r="Y22" s="216">
        <f t="shared" si="5"/>
        <v>56</v>
      </c>
      <c r="Z22" s="53">
        <f t="shared" si="6"/>
        <v>37.700000000000045</v>
      </c>
    </row>
    <row r="23" spans="1:26" ht="15.75" customHeight="1" x14ac:dyDescent="0.3">
      <c r="A23" s="39" t="s">
        <v>85</v>
      </c>
      <c r="B23" s="39">
        <v>274</v>
      </c>
      <c r="C23" s="39">
        <v>647.5</v>
      </c>
      <c r="D23" s="39">
        <v>921.5</v>
      </c>
      <c r="E23" s="134">
        <v>1.1102409638554216</v>
      </c>
      <c r="F23" s="212">
        <v>1</v>
      </c>
      <c r="G23" s="53">
        <f t="shared" si="0"/>
        <v>91.5</v>
      </c>
      <c r="H23" s="211">
        <f t="shared" si="1"/>
        <v>9.9294628323385786E-2</v>
      </c>
      <c r="I23" s="212">
        <v>1</v>
      </c>
      <c r="J23" s="53">
        <f t="shared" si="2"/>
        <v>91.5</v>
      </c>
      <c r="K23" s="211">
        <f t="shared" si="3"/>
        <v>9.9294628323385786E-2</v>
      </c>
      <c r="L23" s="213">
        <f t="shared" si="4"/>
        <v>11.4375</v>
      </c>
      <c r="M23" s="214" t="s">
        <v>4</v>
      </c>
      <c r="N23" s="214" t="s">
        <v>4</v>
      </c>
      <c r="O23" s="218">
        <v>8</v>
      </c>
      <c r="P23" s="218">
        <v>8</v>
      </c>
      <c r="Q23" s="218">
        <v>8</v>
      </c>
      <c r="R23" s="218">
        <v>8</v>
      </c>
      <c r="S23" s="53"/>
      <c r="T23" s="218">
        <v>6</v>
      </c>
      <c r="U23" s="218">
        <v>6</v>
      </c>
      <c r="V23" s="218">
        <v>6</v>
      </c>
      <c r="W23" s="218">
        <v>6</v>
      </c>
      <c r="X23" s="53"/>
      <c r="Y23" s="216">
        <f t="shared" si="5"/>
        <v>56</v>
      </c>
      <c r="Z23" s="53">
        <f t="shared" si="6"/>
        <v>-35.5</v>
      </c>
    </row>
    <row r="24" spans="1:26" ht="15.75" customHeight="1" x14ac:dyDescent="0.3">
      <c r="A24" s="39" t="s">
        <v>77</v>
      </c>
      <c r="B24" s="39">
        <v>248</v>
      </c>
      <c r="C24" s="39">
        <v>294</v>
      </c>
      <c r="D24" s="39">
        <v>542</v>
      </c>
      <c r="E24" s="134">
        <v>0.65301204819277103</v>
      </c>
      <c r="F24" s="217">
        <v>0.65</v>
      </c>
      <c r="G24" s="53">
        <f t="shared" si="0"/>
        <v>2.5</v>
      </c>
      <c r="H24" s="211">
        <f t="shared" si="1"/>
        <v>4.6125461254612546E-3</v>
      </c>
      <c r="I24" s="212">
        <v>0.85</v>
      </c>
      <c r="J24" s="53">
        <f t="shared" si="2"/>
        <v>-163.5</v>
      </c>
      <c r="K24" s="211">
        <f t="shared" si="3"/>
        <v>-0.30166051660516607</v>
      </c>
      <c r="L24" s="213">
        <f t="shared" si="4"/>
        <v>0.3125</v>
      </c>
      <c r="M24" s="214" t="s">
        <v>8</v>
      </c>
      <c r="N24" s="214" t="s">
        <v>8</v>
      </c>
      <c r="O24" s="225">
        <v>0</v>
      </c>
      <c r="P24" s="225">
        <v>0</v>
      </c>
      <c r="Q24" s="225">
        <v>0</v>
      </c>
      <c r="R24" s="225">
        <v>0</v>
      </c>
      <c r="S24" s="53"/>
      <c r="T24" s="225">
        <v>0</v>
      </c>
      <c r="U24" s="225">
        <v>0</v>
      </c>
      <c r="V24" s="225">
        <v>0</v>
      </c>
      <c r="W24" s="225">
        <v>0</v>
      </c>
      <c r="X24" s="53"/>
      <c r="Y24" s="216">
        <f>SUM(S24:X24)</f>
        <v>0</v>
      </c>
      <c r="Z24" s="53">
        <f t="shared" si="6"/>
        <v>-2.5</v>
      </c>
    </row>
    <row r="25" spans="1:26" ht="15.75" customHeight="1" x14ac:dyDescent="0.3">
      <c r="A25" s="39" t="s">
        <v>172</v>
      </c>
      <c r="B25" s="39">
        <v>325</v>
      </c>
      <c r="C25" s="39">
        <v>286</v>
      </c>
      <c r="D25" s="39">
        <v>611</v>
      </c>
      <c r="E25" s="134">
        <v>0.73614457831325297</v>
      </c>
      <c r="F25" s="212">
        <v>0.9</v>
      </c>
      <c r="G25" s="53">
        <f t="shared" si="0"/>
        <v>-136</v>
      </c>
      <c r="H25" s="211">
        <f t="shared" si="1"/>
        <v>-0.22258592471358429</v>
      </c>
      <c r="I25" s="212">
        <v>0.9</v>
      </c>
      <c r="J25" s="53">
        <f t="shared" si="2"/>
        <v>-136</v>
      </c>
      <c r="K25" s="211">
        <f t="shared" si="3"/>
        <v>-0.22258592471358429</v>
      </c>
      <c r="L25" s="213">
        <f t="shared" si="4"/>
        <v>-17</v>
      </c>
      <c r="M25" s="214" t="s">
        <v>8</v>
      </c>
      <c r="N25" s="214" t="s">
        <v>8</v>
      </c>
      <c r="O25" s="218">
        <v>10</v>
      </c>
      <c r="P25" s="218">
        <v>10</v>
      </c>
      <c r="Q25" s="218">
        <v>10</v>
      </c>
      <c r="R25" s="218">
        <v>10</v>
      </c>
      <c r="S25" s="53"/>
      <c r="T25" s="218">
        <v>10</v>
      </c>
      <c r="U25" s="218">
        <v>10</v>
      </c>
      <c r="V25" s="218">
        <v>10</v>
      </c>
      <c r="W25" s="218">
        <v>10</v>
      </c>
      <c r="X25" s="53"/>
      <c r="Y25" s="216">
        <f t="shared" ref="Y25:Y46" si="7">SUM(O25:X25)</f>
        <v>80</v>
      </c>
      <c r="Z25" s="53">
        <f t="shared" si="6"/>
        <v>216</v>
      </c>
    </row>
    <row r="26" spans="1:26" ht="15.75" customHeight="1" x14ac:dyDescent="0.3">
      <c r="A26" s="39" t="s">
        <v>99</v>
      </c>
      <c r="B26" s="39">
        <v>239</v>
      </c>
      <c r="C26" s="39">
        <v>204.5</v>
      </c>
      <c r="D26" s="39">
        <v>443.5</v>
      </c>
      <c r="E26" s="134">
        <v>0.53433734939759037</v>
      </c>
      <c r="F26" s="212">
        <v>0.45</v>
      </c>
      <c r="G26" s="53">
        <f t="shared" si="0"/>
        <v>70</v>
      </c>
      <c r="H26" s="211">
        <f t="shared" si="1"/>
        <v>0.15783540022547915</v>
      </c>
      <c r="I26" s="212">
        <v>0.45</v>
      </c>
      <c r="J26" s="53">
        <f t="shared" si="2"/>
        <v>70</v>
      </c>
      <c r="K26" s="211">
        <f t="shared" si="3"/>
        <v>0.15783540022547915</v>
      </c>
      <c r="L26" s="213">
        <f t="shared" si="4"/>
        <v>8.75</v>
      </c>
      <c r="M26" s="214" t="s">
        <v>809</v>
      </c>
      <c r="N26" s="214" t="s">
        <v>809</v>
      </c>
      <c r="O26" s="218">
        <v>8</v>
      </c>
      <c r="P26" s="218">
        <v>8</v>
      </c>
      <c r="Q26" s="218">
        <v>8</v>
      </c>
      <c r="R26" s="218">
        <v>8</v>
      </c>
      <c r="S26" s="53"/>
      <c r="T26" s="218">
        <v>6</v>
      </c>
      <c r="U26" s="218">
        <v>6</v>
      </c>
      <c r="V26" s="218">
        <v>6</v>
      </c>
      <c r="W26" s="218">
        <v>4</v>
      </c>
      <c r="X26" s="53"/>
      <c r="Y26" s="216">
        <f t="shared" si="7"/>
        <v>54</v>
      </c>
      <c r="Z26" s="53">
        <f t="shared" si="6"/>
        <v>-16</v>
      </c>
    </row>
    <row r="27" spans="1:26" ht="16.5" customHeight="1" x14ac:dyDescent="0.3">
      <c r="A27" s="39" t="s">
        <v>211</v>
      </c>
      <c r="B27" s="39">
        <v>209</v>
      </c>
      <c r="C27" s="39">
        <v>396</v>
      </c>
      <c r="D27" s="39">
        <v>605</v>
      </c>
      <c r="E27" s="134">
        <v>0.72891566265060237</v>
      </c>
      <c r="F27" s="217">
        <v>0.75</v>
      </c>
      <c r="G27" s="53">
        <f t="shared" si="0"/>
        <v>-17.5</v>
      </c>
      <c r="H27" s="211">
        <f t="shared" si="1"/>
        <v>-2.8925619834710745E-2</v>
      </c>
      <c r="I27" s="212">
        <v>0.6</v>
      </c>
      <c r="J27" s="53">
        <f t="shared" si="2"/>
        <v>107</v>
      </c>
      <c r="K27" s="211">
        <f t="shared" si="3"/>
        <v>0.17685950413223139</v>
      </c>
      <c r="L27" s="213">
        <f t="shared" si="4"/>
        <v>-2.1875</v>
      </c>
      <c r="M27" s="214" t="s">
        <v>4</v>
      </c>
      <c r="N27" s="214" t="s">
        <v>4</v>
      </c>
      <c r="O27" s="226">
        <v>18</v>
      </c>
      <c r="P27" s="215">
        <v>0</v>
      </c>
      <c r="Q27" s="215">
        <v>0</v>
      </c>
      <c r="R27" s="215">
        <v>0</v>
      </c>
      <c r="S27" s="53"/>
      <c r="T27" s="215">
        <v>0</v>
      </c>
      <c r="U27" s="215">
        <v>0</v>
      </c>
      <c r="V27" s="215">
        <v>0</v>
      </c>
      <c r="W27" s="215">
        <v>0</v>
      </c>
      <c r="X27" s="53"/>
      <c r="Y27" s="216">
        <f t="shared" si="7"/>
        <v>18</v>
      </c>
      <c r="Z27" s="53">
        <f t="shared" si="6"/>
        <v>35.5</v>
      </c>
    </row>
    <row r="28" spans="1:26" ht="15.75" customHeight="1" x14ac:dyDescent="0.3">
      <c r="A28" s="39" t="s">
        <v>64</v>
      </c>
      <c r="B28" s="39">
        <v>281</v>
      </c>
      <c r="C28" s="39">
        <v>140</v>
      </c>
      <c r="D28" s="39">
        <v>421</v>
      </c>
      <c r="E28" s="134">
        <v>0.5072289156626506</v>
      </c>
      <c r="F28" s="212">
        <v>0.45</v>
      </c>
      <c r="G28" s="53">
        <f t="shared" si="0"/>
        <v>47.5</v>
      </c>
      <c r="H28" s="211">
        <f t="shared" si="1"/>
        <v>0.11282660332541568</v>
      </c>
      <c r="I28" s="212">
        <v>0.45</v>
      </c>
      <c r="J28" s="53">
        <f t="shared" si="2"/>
        <v>47.5</v>
      </c>
      <c r="K28" s="211">
        <f t="shared" si="3"/>
        <v>0.11282660332541568</v>
      </c>
      <c r="L28" s="213">
        <f t="shared" si="4"/>
        <v>5.9375</v>
      </c>
      <c r="M28" s="214" t="s">
        <v>4</v>
      </c>
      <c r="N28" s="214" t="s">
        <v>4</v>
      </c>
      <c r="O28" s="218">
        <v>10</v>
      </c>
      <c r="P28" s="218">
        <v>14</v>
      </c>
      <c r="Q28" s="218">
        <v>14</v>
      </c>
      <c r="R28" s="218">
        <v>14</v>
      </c>
      <c r="S28" s="53"/>
      <c r="T28" s="218">
        <v>14</v>
      </c>
      <c r="U28" s="218">
        <v>14</v>
      </c>
      <c r="V28" s="218">
        <v>14</v>
      </c>
      <c r="W28" s="218">
        <v>14</v>
      </c>
      <c r="X28" s="53"/>
      <c r="Y28" s="216">
        <f t="shared" si="7"/>
        <v>108</v>
      </c>
      <c r="Z28" s="53">
        <f t="shared" si="6"/>
        <v>60.5</v>
      </c>
    </row>
    <row r="29" spans="1:26" ht="16.5" customHeight="1" x14ac:dyDescent="0.3">
      <c r="A29" s="39" t="s">
        <v>97</v>
      </c>
      <c r="B29" s="39">
        <v>464</v>
      </c>
      <c r="C29" s="39">
        <v>467.5</v>
      </c>
      <c r="D29" s="39">
        <v>931.5</v>
      </c>
      <c r="E29" s="134">
        <v>1.1222891566265061</v>
      </c>
      <c r="F29" s="212">
        <v>1</v>
      </c>
      <c r="G29" s="53">
        <f t="shared" si="0"/>
        <v>101.5</v>
      </c>
      <c r="H29" s="211">
        <f t="shared" si="1"/>
        <v>0.10896403650026838</v>
      </c>
      <c r="I29" s="212">
        <v>1</v>
      </c>
      <c r="J29" s="53">
        <f t="shared" si="2"/>
        <v>101.5</v>
      </c>
      <c r="K29" s="211">
        <f t="shared" si="3"/>
        <v>0.10896403650026838</v>
      </c>
      <c r="L29" s="213">
        <f t="shared" si="4"/>
        <v>12.6875</v>
      </c>
      <c r="M29" s="214" t="s">
        <v>8</v>
      </c>
      <c r="N29" s="214" t="s">
        <v>8</v>
      </c>
      <c r="O29" s="218">
        <v>20</v>
      </c>
      <c r="P29" s="218">
        <v>24</v>
      </c>
      <c r="Q29" s="218">
        <v>24</v>
      </c>
      <c r="R29" s="218">
        <v>24</v>
      </c>
      <c r="S29" s="53"/>
      <c r="T29" s="218">
        <v>30</v>
      </c>
      <c r="U29" s="218">
        <v>30</v>
      </c>
      <c r="V29" s="218">
        <v>30</v>
      </c>
      <c r="W29" s="218">
        <v>14</v>
      </c>
      <c r="X29" s="53"/>
      <c r="Y29" s="216">
        <f t="shared" si="7"/>
        <v>196</v>
      </c>
      <c r="Z29" s="53">
        <f t="shared" si="6"/>
        <v>94.5</v>
      </c>
    </row>
    <row r="30" spans="1:26" ht="14.25" customHeight="1" x14ac:dyDescent="0.3">
      <c r="A30" s="39" t="s">
        <v>292</v>
      </c>
      <c r="B30" s="39">
        <v>56.8</v>
      </c>
      <c r="C30" s="39">
        <v>61</v>
      </c>
      <c r="D30" s="39">
        <v>117.8</v>
      </c>
      <c r="E30" s="134">
        <v>0.14192771084337349</v>
      </c>
      <c r="F30" s="217">
        <v>0.2</v>
      </c>
      <c r="G30" s="53">
        <f t="shared" si="0"/>
        <v>-48.2</v>
      </c>
      <c r="H30" s="211">
        <f t="shared" si="1"/>
        <v>-0.40916808149405776</v>
      </c>
      <c r="I30" s="212">
        <v>0.25</v>
      </c>
      <c r="J30" s="53">
        <f t="shared" si="2"/>
        <v>-89.7</v>
      </c>
      <c r="K30" s="211">
        <f t="shared" si="3"/>
        <v>-0.76146010186757218</v>
      </c>
      <c r="L30" s="213">
        <f t="shared" si="4"/>
        <v>-6.0250000000000004</v>
      </c>
      <c r="M30" s="214" t="s">
        <v>8</v>
      </c>
      <c r="N30" s="214" t="s">
        <v>8</v>
      </c>
      <c r="O30" s="215">
        <v>0</v>
      </c>
      <c r="P30" s="215">
        <v>0</v>
      </c>
      <c r="Q30" s="215">
        <v>0</v>
      </c>
      <c r="R30" s="215">
        <v>0</v>
      </c>
      <c r="S30" s="53"/>
      <c r="T30" s="215">
        <v>0</v>
      </c>
      <c r="U30" s="215">
        <v>0</v>
      </c>
      <c r="V30" s="215">
        <v>0</v>
      </c>
      <c r="W30" s="215">
        <v>0</v>
      </c>
      <c r="X30" s="53"/>
      <c r="Y30" s="216">
        <f t="shared" si="7"/>
        <v>0</v>
      </c>
      <c r="Z30" s="53">
        <f t="shared" si="6"/>
        <v>48.2</v>
      </c>
    </row>
    <row r="31" spans="1:26" ht="15.75" customHeight="1" x14ac:dyDescent="0.3">
      <c r="A31" s="39" t="s">
        <v>273</v>
      </c>
      <c r="B31" s="39">
        <v>527</v>
      </c>
      <c r="C31" s="39">
        <v>171</v>
      </c>
      <c r="D31" s="39">
        <v>698</v>
      </c>
      <c r="E31" s="134">
        <v>0.84096385542168672</v>
      </c>
      <c r="F31" s="212">
        <v>1</v>
      </c>
      <c r="G31" s="53">
        <f t="shared" si="0"/>
        <v>-132</v>
      </c>
      <c r="H31" s="211">
        <f t="shared" si="1"/>
        <v>-0.18911174785100288</v>
      </c>
      <c r="I31" s="212">
        <v>1</v>
      </c>
      <c r="J31" s="53">
        <f t="shared" si="2"/>
        <v>-132</v>
      </c>
      <c r="K31" s="211">
        <f t="shared" si="3"/>
        <v>-0.18911174785100288</v>
      </c>
      <c r="L31" s="213">
        <f t="shared" si="4"/>
        <v>-16.5</v>
      </c>
      <c r="M31" s="214" t="s">
        <v>8</v>
      </c>
      <c r="N31" s="214" t="s">
        <v>8</v>
      </c>
      <c r="O31" s="218">
        <v>4</v>
      </c>
      <c r="P31" s="218">
        <v>4</v>
      </c>
      <c r="Q31" s="218">
        <v>4</v>
      </c>
      <c r="R31" s="218">
        <v>4</v>
      </c>
      <c r="S31" s="53"/>
      <c r="T31" s="218">
        <v>2</v>
      </c>
      <c r="U31" s="218">
        <v>2</v>
      </c>
      <c r="V31" s="218">
        <v>2</v>
      </c>
      <c r="W31" s="218">
        <v>2</v>
      </c>
      <c r="X31" s="53"/>
      <c r="Y31" s="216">
        <f t="shared" si="7"/>
        <v>24</v>
      </c>
      <c r="Z31" s="53">
        <f t="shared" si="6"/>
        <v>156</v>
      </c>
    </row>
    <row r="32" spans="1:26" ht="14.25" customHeight="1" x14ac:dyDescent="0.3">
      <c r="A32" s="39" t="s">
        <v>92</v>
      </c>
      <c r="B32" s="39">
        <v>404</v>
      </c>
      <c r="C32" s="39">
        <v>495</v>
      </c>
      <c r="D32" s="39">
        <v>899</v>
      </c>
      <c r="E32" s="134">
        <v>1.0831325301204819</v>
      </c>
      <c r="F32" s="212">
        <v>1</v>
      </c>
      <c r="G32" s="53">
        <f t="shared" si="0"/>
        <v>69</v>
      </c>
      <c r="H32" s="211">
        <f t="shared" si="1"/>
        <v>7.6751946607341484E-2</v>
      </c>
      <c r="I32" s="212">
        <v>1</v>
      </c>
      <c r="J32" s="53">
        <f t="shared" si="2"/>
        <v>69</v>
      </c>
      <c r="K32" s="211">
        <f t="shared" si="3"/>
        <v>7.6751946607341484E-2</v>
      </c>
      <c r="L32" s="213">
        <f t="shared" si="4"/>
        <v>8.625</v>
      </c>
      <c r="M32" s="214" t="s">
        <v>4</v>
      </c>
      <c r="N32" s="214" t="s">
        <v>4</v>
      </c>
      <c r="O32" s="218">
        <v>12</v>
      </c>
      <c r="P32" s="218">
        <v>16</v>
      </c>
      <c r="Q32" s="218">
        <v>16</v>
      </c>
      <c r="R32" s="218">
        <v>16</v>
      </c>
      <c r="S32" s="53"/>
      <c r="T32" s="218">
        <v>14</v>
      </c>
      <c r="U32" s="218">
        <v>14</v>
      </c>
      <c r="V32" s="218">
        <v>14</v>
      </c>
      <c r="W32" s="218">
        <v>14</v>
      </c>
      <c r="X32" s="53"/>
      <c r="Y32" s="216">
        <f t="shared" si="7"/>
        <v>116</v>
      </c>
      <c r="Z32" s="53">
        <f t="shared" si="6"/>
        <v>47</v>
      </c>
    </row>
    <row r="33" spans="1:26" ht="15.75" customHeight="1" x14ac:dyDescent="0.3">
      <c r="A33" s="39" t="s">
        <v>109</v>
      </c>
      <c r="B33" s="39">
        <v>249.8</v>
      </c>
      <c r="C33" s="39">
        <v>210</v>
      </c>
      <c r="D33" s="39">
        <v>459.8</v>
      </c>
      <c r="E33" s="134">
        <v>0.55397590361445781</v>
      </c>
      <c r="F33" s="212">
        <v>0.45</v>
      </c>
      <c r="G33" s="53">
        <f t="shared" si="0"/>
        <v>86.300000000000011</v>
      </c>
      <c r="H33" s="211">
        <f t="shared" si="1"/>
        <v>0.18769030013049154</v>
      </c>
      <c r="I33" s="212">
        <v>0.45</v>
      </c>
      <c r="J33" s="53">
        <f t="shared" si="2"/>
        <v>86.300000000000011</v>
      </c>
      <c r="K33" s="211">
        <f t="shared" si="3"/>
        <v>0.18769030013049154</v>
      </c>
      <c r="L33" s="213">
        <f t="shared" si="4"/>
        <v>10.787500000000001</v>
      </c>
      <c r="M33" s="214" t="s">
        <v>4</v>
      </c>
      <c r="N33" s="214" t="s">
        <v>4</v>
      </c>
      <c r="O33" s="218">
        <v>8</v>
      </c>
      <c r="P33" s="218">
        <v>8</v>
      </c>
      <c r="Q33" s="218">
        <v>8</v>
      </c>
      <c r="R33" s="218">
        <v>8</v>
      </c>
      <c r="S33" s="53"/>
      <c r="T33" s="218">
        <v>8</v>
      </c>
      <c r="U33" s="218">
        <v>10</v>
      </c>
      <c r="V33" s="218">
        <v>10</v>
      </c>
      <c r="W33" s="218">
        <v>4</v>
      </c>
      <c r="X33" s="53"/>
      <c r="Y33" s="216">
        <f t="shared" si="7"/>
        <v>64</v>
      </c>
      <c r="Z33" s="53">
        <f t="shared" si="6"/>
        <v>-22.300000000000011</v>
      </c>
    </row>
    <row r="34" spans="1:26" ht="15.75" customHeight="1" x14ac:dyDescent="0.3">
      <c r="A34" s="39" t="s">
        <v>329</v>
      </c>
      <c r="B34" s="39">
        <v>39</v>
      </c>
      <c r="C34" s="39">
        <v>190</v>
      </c>
      <c r="D34" s="39">
        <v>229</v>
      </c>
      <c r="E34" s="134">
        <v>0.27590361445783135</v>
      </c>
      <c r="F34" s="212">
        <v>0.25</v>
      </c>
      <c r="G34" s="53">
        <f t="shared" si="0"/>
        <v>21.5</v>
      </c>
      <c r="H34" s="211">
        <f t="shared" si="1"/>
        <v>9.3886462882096067E-2</v>
      </c>
      <c r="I34" s="212">
        <v>0.25</v>
      </c>
      <c r="J34" s="53">
        <f t="shared" si="2"/>
        <v>21.5</v>
      </c>
      <c r="K34" s="211">
        <f t="shared" si="3"/>
        <v>9.3886462882096067E-2</v>
      </c>
      <c r="L34" s="213">
        <f t="shared" si="4"/>
        <v>2.6875</v>
      </c>
      <c r="M34" s="214" t="s">
        <v>4</v>
      </c>
      <c r="N34" s="214" t="s">
        <v>4</v>
      </c>
      <c r="O34" s="215">
        <v>0</v>
      </c>
      <c r="P34" s="215">
        <v>0</v>
      </c>
      <c r="Q34" s="215">
        <v>0</v>
      </c>
      <c r="R34" s="215">
        <v>0</v>
      </c>
      <c r="S34" s="53"/>
      <c r="T34" s="215">
        <v>0</v>
      </c>
      <c r="U34" s="215">
        <v>0</v>
      </c>
      <c r="V34" s="215">
        <v>0</v>
      </c>
      <c r="W34" s="215">
        <v>0</v>
      </c>
      <c r="X34" s="53"/>
      <c r="Y34" s="216">
        <f t="shared" si="7"/>
        <v>0</v>
      </c>
      <c r="Z34" s="53">
        <f t="shared" si="6"/>
        <v>-21.5</v>
      </c>
    </row>
    <row r="35" spans="1:26" ht="15.75" customHeight="1" x14ac:dyDescent="0.3">
      <c r="A35" s="39" t="s">
        <v>175</v>
      </c>
      <c r="B35" s="39">
        <v>317</v>
      </c>
      <c r="C35" s="39">
        <v>169</v>
      </c>
      <c r="D35" s="39">
        <v>486</v>
      </c>
      <c r="E35" s="134">
        <v>0.58554216867469877</v>
      </c>
      <c r="F35" s="212">
        <v>0.25</v>
      </c>
      <c r="G35" s="53">
        <f t="shared" si="0"/>
        <v>278.5</v>
      </c>
      <c r="H35" s="211">
        <f t="shared" si="1"/>
        <v>0.57304526748971196</v>
      </c>
      <c r="I35" s="212">
        <v>0.25</v>
      </c>
      <c r="J35" s="53">
        <f t="shared" si="2"/>
        <v>278.5</v>
      </c>
      <c r="K35" s="211">
        <f t="shared" si="3"/>
        <v>0.57304526748971196</v>
      </c>
      <c r="L35" s="213">
        <f t="shared" si="4"/>
        <v>34.8125</v>
      </c>
      <c r="M35" s="214" t="s">
        <v>8</v>
      </c>
      <c r="N35" s="214" t="s">
        <v>8</v>
      </c>
      <c r="O35" s="215">
        <v>0</v>
      </c>
      <c r="P35" s="215">
        <v>0</v>
      </c>
      <c r="Q35" s="215">
        <v>0</v>
      </c>
      <c r="R35" s="215">
        <v>0</v>
      </c>
      <c r="S35" s="53"/>
      <c r="T35" s="215">
        <v>0</v>
      </c>
      <c r="U35" s="215">
        <v>0</v>
      </c>
      <c r="V35" s="215">
        <v>0</v>
      </c>
      <c r="W35" s="215">
        <v>0</v>
      </c>
      <c r="X35" s="53"/>
      <c r="Y35" s="216">
        <f t="shared" si="7"/>
        <v>0</v>
      </c>
      <c r="Z35" s="53">
        <f t="shared" si="6"/>
        <v>-278.5</v>
      </c>
    </row>
    <row r="36" spans="1:26" ht="15.75" customHeight="1" x14ac:dyDescent="0.3">
      <c r="A36" s="39" t="s">
        <v>246</v>
      </c>
      <c r="B36" s="39">
        <v>212.8</v>
      </c>
      <c r="C36" s="39">
        <v>271</v>
      </c>
      <c r="D36" s="39">
        <v>483.8</v>
      </c>
      <c r="E36" s="134">
        <v>0.58289156626506022</v>
      </c>
      <c r="F36" s="212">
        <v>0.1</v>
      </c>
      <c r="G36" s="53">
        <f t="shared" si="0"/>
        <v>400.8</v>
      </c>
      <c r="H36" s="211">
        <f t="shared" si="1"/>
        <v>0.82844150475403056</v>
      </c>
      <c r="I36" s="212">
        <v>0.1</v>
      </c>
      <c r="J36" s="53">
        <f t="shared" si="2"/>
        <v>400.8</v>
      </c>
      <c r="K36" s="211">
        <f t="shared" si="3"/>
        <v>0.82844150475403056</v>
      </c>
      <c r="L36" s="213">
        <f t="shared" si="4"/>
        <v>50.1</v>
      </c>
      <c r="M36" s="214" t="s">
        <v>8</v>
      </c>
      <c r="N36" s="214" t="s">
        <v>8</v>
      </c>
      <c r="O36" s="215">
        <v>0</v>
      </c>
      <c r="P36" s="215">
        <v>0</v>
      </c>
      <c r="Q36" s="215">
        <v>0</v>
      </c>
      <c r="R36" s="215">
        <v>0</v>
      </c>
      <c r="S36" s="53"/>
      <c r="T36" s="215">
        <v>0</v>
      </c>
      <c r="U36" s="215">
        <v>0</v>
      </c>
      <c r="V36" s="215">
        <v>0</v>
      </c>
      <c r="W36" s="215">
        <v>0</v>
      </c>
      <c r="X36" s="53"/>
      <c r="Y36" s="216">
        <f t="shared" si="7"/>
        <v>0</v>
      </c>
      <c r="Z36" s="53">
        <f t="shared" si="6"/>
        <v>-400.8</v>
      </c>
    </row>
    <row r="37" spans="1:26" ht="15.75" customHeight="1" x14ac:dyDescent="0.3">
      <c r="A37" s="39" t="s">
        <v>168</v>
      </c>
      <c r="B37" s="39">
        <v>447</v>
      </c>
      <c r="C37" s="39">
        <v>355</v>
      </c>
      <c r="D37" s="39">
        <v>802</v>
      </c>
      <c r="E37" s="134">
        <v>0.96626506024096381</v>
      </c>
      <c r="F37" s="212">
        <v>0.35</v>
      </c>
      <c r="G37" s="53">
        <f t="shared" si="0"/>
        <v>511.5</v>
      </c>
      <c r="H37" s="211">
        <f t="shared" si="1"/>
        <v>0.63778054862842892</v>
      </c>
      <c r="I37" s="212">
        <v>0.35</v>
      </c>
      <c r="J37" s="53">
        <f t="shared" si="2"/>
        <v>511.5</v>
      </c>
      <c r="K37" s="211">
        <f t="shared" si="3"/>
        <v>0.63778054862842892</v>
      </c>
      <c r="L37" s="213">
        <f t="shared" si="4"/>
        <v>63.9375</v>
      </c>
      <c r="M37" s="214" t="s">
        <v>8</v>
      </c>
      <c r="N37" s="224" t="s">
        <v>810</v>
      </c>
      <c r="O37" s="215">
        <v>0</v>
      </c>
      <c r="P37" s="215">
        <v>0</v>
      </c>
      <c r="Q37" s="215">
        <v>0</v>
      </c>
      <c r="R37" s="215">
        <v>0</v>
      </c>
      <c r="S37" s="53"/>
      <c r="T37" s="215">
        <v>0</v>
      </c>
      <c r="U37" s="215">
        <v>0</v>
      </c>
      <c r="V37" s="215">
        <v>0</v>
      </c>
      <c r="W37" s="215">
        <v>0</v>
      </c>
      <c r="X37" s="53"/>
      <c r="Y37" s="216">
        <f t="shared" si="7"/>
        <v>0</v>
      </c>
      <c r="Z37" s="53">
        <f t="shared" si="6"/>
        <v>-511.5</v>
      </c>
    </row>
    <row r="38" spans="1:26" ht="15.75" customHeight="1" x14ac:dyDescent="0.3">
      <c r="A38" s="39" t="s">
        <v>358</v>
      </c>
      <c r="B38" s="39">
        <v>0</v>
      </c>
      <c r="C38" s="39">
        <v>210</v>
      </c>
      <c r="D38" s="39">
        <v>210</v>
      </c>
      <c r="E38" s="134">
        <v>0.25301204819277107</v>
      </c>
      <c r="F38" s="217">
        <v>0.75</v>
      </c>
      <c r="G38" s="53">
        <f t="shared" si="0"/>
        <v>-412.5</v>
      </c>
      <c r="H38" s="211">
        <f t="shared" si="1"/>
        <v>-1.9642857142857142</v>
      </c>
      <c r="I38" s="212">
        <v>0.7</v>
      </c>
      <c r="J38" s="53">
        <f t="shared" si="2"/>
        <v>-371</v>
      </c>
      <c r="K38" s="211">
        <f t="shared" si="3"/>
        <v>-1.7666666666666666</v>
      </c>
      <c r="L38" s="213">
        <f t="shared" si="4"/>
        <v>-51.5625</v>
      </c>
      <c r="M38" s="214" t="s">
        <v>4</v>
      </c>
      <c r="N38" s="214" t="s">
        <v>4</v>
      </c>
      <c r="O38" s="218">
        <v>6</v>
      </c>
      <c r="P38" s="215">
        <v>0</v>
      </c>
      <c r="Q38" s="215">
        <v>0</v>
      </c>
      <c r="R38" s="215">
        <v>0</v>
      </c>
      <c r="S38" s="53"/>
      <c r="T38" s="215">
        <v>0</v>
      </c>
      <c r="U38" s="215">
        <v>0</v>
      </c>
      <c r="V38" s="215">
        <v>0</v>
      </c>
      <c r="W38" s="215">
        <v>0</v>
      </c>
      <c r="X38" s="53"/>
      <c r="Y38" s="216">
        <f t="shared" si="7"/>
        <v>6</v>
      </c>
      <c r="Z38" s="53">
        <f t="shared" si="6"/>
        <v>418.5</v>
      </c>
    </row>
    <row r="39" spans="1:26" ht="15.75" customHeight="1" x14ac:dyDescent="0.3">
      <c r="A39" s="39" t="s">
        <v>436</v>
      </c>
      <c r="B39" s="39">
        <v>0</v>
      </c>
      <c r="C39" s="39">
        <v>46</v>
      </c>
      <c r="D39" s="39">
        <v>46</v>
      </c>
      <c r="E39" s="134">
        <v>5.5421686746987948E-2</v>
      </c>
      <c r="F39" s="217"/>
      <c r="G39" s="53"/>
      <c r="H39" s="227"/>
      <c r="I39" s="212"/>
      <c r="J39" s="53"/>
      <c r="K39" s="227"/>
      <c r="L39" s="228"/>
      <c r="M39" s="229"/>
      <c r="N39" s="229"/>
      <c r="O39" s="230"/>
      <c r="P39" s="231"/>
      <c r="Q39" s="231"/>
      <c r="R39" s="231"/>
      <c r="T39" s="231"/>
      <c r="U39" s="231"/>
      <c r="V39" s="231"/>
      <c r="W39" s="231"/>
      <c r="X39" s="53"/>
      <c r="Y39" s="216"/>
      <c r="Z39" s="53"/>
    </row>
    <row r="40" spans="1:26" ht="15.75" customHeight="1" x14ac:dyDescent="0.3">
      <c r="A40" s="39" t="s">
        <v>458</v>
      </c>
      <c r="B40" s="39">
        <v>0</v>
      </c>
      <c r="C40" s="39">
        <v>12</v>
      </c>
      <c r="D40" s="39">
        <v>12</v>
      </c>
      <c r="E40" s="134">
        <v>1.4457831325301205E-2</v>
      </c>
      <c r="F40" s="217"/>
      <c r="G40" s="53"/>
      <c r="H40" s="227"/>
      <c r="I40" s="212"/>
      <c r="J40" s="53"/>
      <c r="K40" s="227"/>
      <c r="L40" s="228"/>
      <c r="M40" s="229"/>
      <c r="N40" s="229"/>
      <c r="O40" s="230"/>
      <c r="P40" s="231"/>
      <c r="Q40" s="231"/>
      <c r="R40" s="231"/>
      <c r="T40" s="231"/>
      <c r="U40" s="231"/>
      <c r="V40" s="231"/>
      <c r="W40" s="231"/>
      <c r="X40" s="53"/>
      <c r="Y40" s="216"/>
      <c r="Z40" s="53"/>
    </row>
    <row r="41" spans="1:26" ht="15.75" customHeight="1" x14ac:dyDescent="0.3">
      <c r="A41" s="39" t="s">
        <v>463</v>
      </c>
      <c r="B41" s="39">
        <v>0</v>
      </c>
      <c r="C41" s="39">
        <v>15</v>
      </c>
      <c r="D41" s="39">
        <v>15</v>
      </c>
      <c r="E41" s="134">
        <v>1.8072289156626505E-2</v>
      </c>
      <c r="F41" s="217"/>
      <c r="G41" s="53"/>
      <c r="H41" s="227"/>
      <c r="I41" s="212"/>
      <c r="J41" s="53"/>
      <c r="K41" s="227"/>
      <c r="L41" s="228"/>
      <c r="M41" s="229"/>
      <c r="N41" s="229"/>
      <c r="O41" s="230"/>
      <c r="P41" s="231"/>
      <c r="Q41" s="231"/>
      <c r="R41" s="231"/>
      <c r="T41" s="231"/>
      <c r="U41" s="231"/>
      <c r="V41" s="231"/>
      <c r="W41" s="231"/>
      <c r="X41" s="53"/>
      <c r="Y41" s="216"/>
      <c r="Z41" s="53"/>
    </row>
    <row r="42" spans="1:26" ht="15.75" customHeight="1" x14ac:dyDescent="0.3">
      <c r="A42" s="39" t="s">
        <v>427</v>
      </c>
      <c r="B42" s="39">
        <v>0</v>
      </c>
      <c r="C42" s="39">
        <v>34</v>
      </c>
      <c r="D42" s="39">
        <v>34</v>
      </c>
      <c r="E42" s="134">
        <v>4.0963855421686748E-2</v>
      </c>
      <c r="F42" s="212"/>
      <c r="G42" s="53">
        <v>30</v>
      </c>
      <c r="H42" s="227"/>
      <c r="I42" s="212"/>
      <c r="J42" s="53">
        <v>30</v>
      </c>
      <c r="K42" s="227"/>
      <c r="L42" s="228"/>
      <c r="M42" s="229"/>
      <c r="N42" s="229"/>
      <c r="O42" s="231"/>
      <c r="P42" s="231"/>
      <c r="X42" s="53">
        <v>30</v>
      </c>
      <c r="Y42" s="216">
        <f t="shared" si="7"/>
        <v>30</v>
      </c>
      <c r="Z42" s="53">
        <f t="shared" ref="Z42:Z46" si="8">Y42-G42</f>
        <v>0</v>
      </c>
    </row>
    <row r="43" spans="1:26" ht="15.75" customHeight="1" x14ac:dyDescent="0.3">
      <c r="A43" s="39" t="s">
        <v>469</v>
      </c>
      <c r="B43" s="39">
        <v>0</v>
      </c>
      <c r="C43" s="39">
        <v>12.5</v>
      </c>
      <c r="D43" s="39">
        <v>12.5</v>
      </c>
      <c r="E43" s="134">
        <v>1.5060240963855422E-2</v>
      </c>
      <c r="F43" s="212"/>
      <c r="G43" s="53">
        <v>80</v>
      </c>
      <c r="H43" s="227"/>
      <c r="I43" s="212"/>
      <c r="J43" s="53">
        <v>80</v>
      </c>
      <c r="K43" s="227"/>
      <c r="L43" s="228"/>
      <c r="M43" s="229"/>
      <c r="N43" s="229"/>
      <c r="O43" s="231"/>
      <c r="P43" s="231"/>
      <c r="X43" s="53">
        <v>80</v>
      </c>
      <c r="Y43" s="216">
        <f t="shared" si="7"/>
        <v>80</v>
      </c>
      <c r="Z43" s="53">
        <f t="shared" si="8"/>
        <v>0</v>
      </c>
    </row>
    <row r="44" spans="1:26" ht="15.75" customHeight="1" x14ac:dyDescent="0.3">
      <c r="A44" s="39" t="s">
        <v>474</v>
      </c>
      <c r="B44" s="39">
        <v>0</v>
      </c>
      <c r="C44" s="39">
        <v>12.5</v>
      </c>
      <c r="D44" s="39">
        <v>12.5</v>
      </c>
      <c r="E44" s="134">
        <v>1.5060240963855422E-2</v>
      </c>
      <c r="F44" s="212"/>
      <c r="G44" s="53">
        <v>38</v>
      </c>
      <c r="H44" s="227"/>
      <c r="I44" s="212"/>
      <c r="J44" s="53">
        <v>38</v>
      </c>
      <c r="K44" s="227"/>
      <c r="L44" s="228"/>
      <c r="M44" s="229"/>
      <c r="N44" s="229"/>
      <c r="O44" s="231"/>
      <c r="P44" s="231"/>
      <c r="X44" s="53">
        <v>38</v>
      </c>
      <c r="Y44" s="216">
        <f t="shared" si="7"/>
        <v>38</v>
      </c>
      <c r="Z44" s="53">
        <f t="shared" si="8"/>
        <v>0</v>
      </c>
    </row>
    <row r="45" spans="1:26" ht="15.75" customHeight="1" x14ac:dyDescent="0.3">
      <c r="A45" s="39" t="s">
        <v>476</v>
      </c>
      <c r="B45" s="39">
        <v>0</v>
      </c>
      <c r="C45" s="39">
        <v>22.5</v>
      </c>
      <c r="D45" s="39">
        <v>22.5</v>
      </c>
      <c r="E45" s="134">
        <v>2.710843373493976E-2</v>
      </c>
      <c r="F45" s="212"/>
      <c r="G45" s="53">
        <v>38</v>
      </c>
      <c r="H45" s="227"/>
      <c r="I45" s="212"/>
      <c r="J45" s="53">
        <v>38</v>
      </c>
      <c r="K45" s="227"/>
      <c r="L45" s="228"/>
      <c r="M45" s="229"/>
      <c r="N45" s="229"/>
      <c r="O45" s="231"/>
      <c r="P45" s="231"/>
      <c r="X45" s="53">
        <v>38</v>
      </c>
      <c r="Y45" s="216">
        <f t="shared" si="7"/>
        <v>38</v>
      </c>
      <c r="Z45" s="53">
        <f t="shared" si="8"/>
        <v>0</v>
      </c>
    </row>
    <row r="46" spans="1:26" ht="15.75" customHeight="1" x14ac:dyDescent="0.3">
      <c r="A46" s="39" t="s">
        <v>812</v>
      </c>
      <c r="B46" s="39">
        <v>53</v>
      </c>
      <c r="C46" s="39">
        <v>140</v>
      </c>
      <c r="D46" s="39">
        <v>193</v>
      </c>
      <c r="E46" s="134">
        <v>0.2325301204819277</v>
      </c>
      <c r="F46" s="53"/>
      <c r="G46" s="53">
        <v>38</v>
      </c>
      <c r="I46" s="53"/>
      <c r="J46" s="53">
        <v>38</v>
      </c>
      <c r="T46" s="232" t="s">
        <v>813</v>
      </c>
      <c r="X46" s="53">
        <v>38</v>
      </c>
      <c r="Y46" s="216">
        <f t="shared" si="7"/>
        <v>38</v>
      </c>
      <c r="Z46" s="53">
        <f t="shared" si="8"/>
        <v>0</v>
      </c>
    </row>
    <row r="47" spans="1:26" ht="15.75" customHeight="1" x14ac:dyDescent="0.3">
      <c r="D47" s="2">
        <f t="shared" ref="D47:G47" si="9">SUM(D4:D46)</f>
        <v>19831.999999999996</v>
      </c>
      <c r="E47" s="133">
        <f t="shared" si="9"/>
        <v>23.893975903614468</v>
      </c>
      <c r="F47" s="133">
        <f t="shared" si="9"/>
        <v>21.75</v>
      </c>
      <c r="G47" s="2">
        <f t="shared" si="9"/>
        <v>1655.9999999999998</v>
      </c>
      <c r="I47" s="133">
        <f t="shared" ref="I47:J47" si="10">SUM(I4:I46)</f>
        <v>21.9</v>
      </c>
      <c r="J47" s="2">
        <f t="shared" si="10"/>
        <v>1531.5</v>
      </c>
      <c r="K47" s="227"/>
      <c r="L47" s="228"/>
      <c r="O47" s="233">
        <f t="shared" ref="O47:Z47" si="11">SUM(O4:O46)</f>
        <v>238</v>
      </c>
      <c r="P47" s="233">
        <f t="shared" si="11"/>
        <v>224</v>
      </c>
      <c r="Q47" s="233">
        <f t="shared" si="11"/>
        <v>228</v>
      </c>
      <c r="R47" s="233">
        <f t="shared" si="11"/>
        <v>220</v>
      </c>
      <c r="S47" s="233">
        <f t="shared" si="11"/>
        <v>0</v>
      </c>
      <c r="T47" s="234">
        <f t="shared" si="11"/>
        <v>218</v>
      </c>
      <c r="U47" s="233">
        <f t="shared" si="11"/>
        <v>220</v>
      </c>
      <c r="V47" s="233">
        <f t="shared" si="11"/>
        <v>220</v>
      </c>
      <c r="W47" s="233">
        <f t="shared" si="11"/>
        <v>122</v>
      </c>
      <c r="X47" s="233">
        <f t="shared" si="11"/>
        <v>224</v>
      </c>
      <c r="Y47" s="233">
        <f t="shared" si="11"/>
        <v>1914</v>
      </c>
      <c r="Z47" s="233">
        <f t="shared" si="11"/>
        <v>258.00000000000017</v>
      </c>
    </row>
    <row r="48" spans="1:26" ht="15.75" customHeight="1" x14ac:dyDescent="0.3">
      <c r="I48" s="2">
        <f>D47*0.9/830</f>
        <v>21.504578313253006</v>
      </c>
      <c r="O48" s="233"/>
      <c r="P48" s="233"/>
      <c r="Q48" s="233"/>
      <c r="R48" s="233"/>
      <c r="S48" s="233"/>
      <c r="T48" s="233"/>
      <c r="U48" s="233"/>
      <c r="V48" s="233"/>
      <c r="W48" s="233"/>
      <c r="X48" s="233"/>
      <c r="Y48" s="233"/>
      <c r="Z48" s="233"/>
    </row>
    <row r="49" spans="2:26" ht="15.75" customHeight="1" x14ac:dyDescent="0.3">
      <c r="B49" s="2">
        <v>10009</v>
      </c>
      <c r="C49" s="2">
        <v>11754.99</v>
      </c>
      <c r="D49" s="2">
        <f t="shared" ref="D49:D50" si="12">B49+C49</f>
        <v>21763.989999999998</v>
      </c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>
        <f>D47-I47*830</f>
        <v>1654.9999999999964</v>
      </c>
      <c r="Z49" s="233">
        <f>Y49-Y47</f>
        <v>-259.00000000000364</v>
      </c>
    </row>
    <row r="50" spans="2:26" ht="15.75" customHeight="1" x14ac:dyDescent="0.3">
      <c r="B50" s="2">
        <v>10033</v>
      </c>
      <c r="C50" s="2">
        <v>11689</v>
      </c>
      <c r="D50" s="2">
        <f t="shared" si="12"/>
        <v>21722</v>
      </c>
      <c r="I50" s="2">
        <f>(D47-I47*830)/D47*100</f>
        <v>8.3450988301734412</v>
      </c>
      <c r="U50" s="235" t="s">
        <v>814</v>
      </c>
      <c r="V50" s="235"/>
    </row>
    <row r="51" spans="2:26" ht="15.75" customHeight="1" x14ac:dyDescent="0.3">
      <c r="E51" s="203" t="s">
        <v>547</v>
      </c>
      <c r="F51" s="203">
        <f>SUBTOTAL(9,F4:F46)</f>
        <v>21.75</v>
      </c>
      <c r="G51" s="203">
        <f t="shared" ref="G51:H51" si="13">SUBTOTAL(9,G47,G15:G17)</f>
        <v>1856.7999999999997</v>
      </c>
      <c r="H51" s="203">
        <f t="shared" si="13"/>
        <v>0.33481574152353993</v>
      </c>
      <c r="I51" s="203">
        <f>SUBTOTAL(9,I4:I46)</f>
        <v>21.9</v>
      </c>
      <c r="Z51" s="233"/>
    </row>
    <row r="52" spans="2:26" ht="15.75" customHeight="1" x14ac:dyDescent="0.3">
      <c r="Y52" s="203" t="s">
        <v>815</v>
      </c>
    </row>
    <row r="53" spans="2:26" ht="15.75" customHeight="1" x14ac:dyDescent="0.3">
      <c r="F53" s="236" t="s">
        <v>816</v>
      </c>
      <c r="G53" s="237">
        <f>21722-23.8*830</f>
        <v>1968</v>
      </c>
      <c r="H53" s="238">
        <f>G53/D50</f>
        <v>9.0599392321149066E-2</v>
      </c>
    </row>
    <row r="54" spans="2:26" ht="15.75" customHeight="1" x14ac:dyDescent="0.3">
      <c r="D54" s="2">
        <f>D49/830</f>
        <v>26.221674698795177</v>
      </c>
      <c r="O54" s="203"/>
    </row>
    <row r="55" spans="2:26" ht="15.75" customHeight="1" x14ac:dyDescent="0.3">
      <c r="I55" s="2">
        <f>J47/D49</f>
        <v>7.0368530770322915E-2</v>
      </c>
      <c r="M55" s="239"/>
      <c r="N55" s="239"/>
      <c r="O55" s="239" t="s">
        <v>817</v>
      </c>
      <c r="P55" s="239" t="s">
        <v>818</v>
      </c>
    </row>
    <row r="56" spans="2:26" ht="15.75" customHeight="1" x14ac:dyDescent="0.3">
      <c r="E56" s="2">
        <f>D49*0.1</f>
        <v>2176.3989999999999</v>
      </c>
      <c r="M56" s="239" t="s">
        <v>819</v>
      </c>
      <c r="N56" s="239"/>
      <c r="O56" s="239" t="s">
        <v>1</v>
      </c>
      <c r="P56" s="239"/>
    </row>
    <row r="57" spans="2:26" ht="15.75" customHeight="1" x14ac:dyDescent="0.3">
      <c r="D57" s="203" t="s">
        <v>820</v>
      </c>
      <c r="E57" s="203">
        <v>21210</v>
      </c>
      <c r="M57" s="240" t="s">
        <v>821</v>
      </c>
      <c r="N57" s="240"/>
      <c r="O57" s="241" t="s">
        <v>822</v>
      </c>
      <c r="P57" s="242"/>
    </row>
    <row r="58" spans="2:26" ht="15.75" customHeight="1" x14ac:dyDescent="0.3">
      <c r="M58" s="240" t="s">
        <v>21</v>
      </c>
      <c r="N58" s="240">
        <v>0.35</v>
      </c>
      <c r="O58" s="243">
        <v>1.05</v>
      </c>
      <c r="P58" s="244">
        <v>1.05</v>
      </c>
    </row>
    <row r="59" spans="2:26" ht="15.75" customHeight="1" x14ac:dyDescent="0.3">
      <c r="F59" s="2">
        <v>22</v>
      </c>
      <c r="I59" s="2">
        <v>23.8</v>
      </c>
      <c r="M59" s="240" t="s">
        <v>809</v>
      </c>
      <c r="N59" s="240">
        <v>1.65</v>
      </c>
      <c r="O59" s="243">
        <v>1.9</v>
      </c>
      <c r="P59" s="245">
        <v>1.95</v>
      </c>
    </row>
    <row r="60" spans="2:26" ht="15.75" customHeight="1" x14ac:dyDescent="0.3">
      <c r="F60" s="2">
        <f>D49-830*22</f>
        <v>3503.989999999998</v>
      </c>
      <c r="I60" s="2">
        <f>D49-830*23.8</f>
        <v>2009.989999999998</v>
      </c>
      <c r="M60" s="240" t="s">
        <v>823</v>
      </c>
      <c r="N60" s="240">
        <v>10.45</v>
      </c>
      <c r="O60" s="243">
        <v>10.95</v>
      </c>
      <c r="P60" s="245">
        <v>11.1</v>
      </c>
    </row>
    <row r="61" spans="2:26" ht="15.75" customHeight="1" x14ac:dyDescent="0.3">
      <c r="E61" s="246"/>
      <c r="F61" s="227">
        <f>F60/D49</f>
        <v>0.16099943071100467</v>
      </c>
      <c r="I61" s="227">
        <f>I60/D49</f>
        <v>9.2353929587359579E-2</v>
      </c>
      <c r="M61" s="240" t="s">
        <v>824</v>
      </c>
      <c r="N61" s="240">
        <v>8.5500000000000007</v>
      </c>
      <c r="O61" s="243">
        <v>8.9</v>
      </c>
      <c r="P61" s="245">
        <v>8.6999999999999993</v>
      </c>
    </row>
    <row r="62" spans="2:26" ht="15.75" customHeight="1" x14ac:dyDescent="0.3">
      <c r="M62" s="240" t="s">
        <v>811</v>
      </c>
      <c r="N62" s="240">
        <v>1</v>
      </c>
      <c r="O62" s="243">
        <v>1</v>
      </c>
      <c r="P62" s="244">
        <v>1</v>
      </c>
    </row>
    <row r="63" spans="2:26" ht="15.75" customHeight="1" x14ac:dyDescent="0.3">
      <c r="M63" s="240"/>
      <c r="N63" s="240">
        <f t="shared" ref="N63:P63" si="14">SUBTOTAL(9,N58:N62)</f>
        <v>22</v>
      </c>
      <c r="O63" s="241">
        <f t="shared" si="14"/>
        <v>23.799999999999997</v>
      </c>
      <c r="P63" s="242">
        <f t="shared" si="14"/>
        <v>23.799999999999997</v>
      </c>
    </row>
    <row r="64" spans="2:26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3:Z50" xr:uid="{00000000-0009-0000-0000-000008000000}"/>
  <pageMargins left="0.7" right="0.7" top="0.75" bottom="0.75" header="0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K1000"/>
  <sheetViews>
    <sheetView workbookViewId="0">
      <selection activeCell="E18" sqref="E18"/>
    </sheetView>
  </sheetViews>
  <sheetFormatPr defaultColWidth="14.44140625" defaultRowHeight="15" customHeight="1" x14ac:dyDescent="0.3"/>
  <cols>
    <col min="1" max="1" width="42.6640625" customWidth="1"/>
    <col min="2" max="2" width="8.44140625" customWidth="1"/>
    <col min="3" max="3" width="8.33203125" customWidth="1"/>
    <col min="4" max="4" width="8" customWidth="1"/>
    <col min="5" max="5" width="6.33203125" customWidth="1"/>
    <col min="6" max="6" width="7.44140625" customWidth="1"/>
    <col min="7" max="26" width="8" customWidth="1"/>
  </cols>
  <sheetData>
    <row r="3" spans="1:11" ht="14.4" x14ac:dyDescent="0.3">
      <c r="A3" s="247"/>
      <c r="B3" s="248"/>
      <c r="C3" s="248"/>
      <c r="D3" s="248"/>
      <c r="E3" s="248"/>
      <c r="F3" s="247"/>
      <c r="G3" s="248"/>
      <c r="H3" s="248"/>
      <c r="I3" s="248"/>
      <c r="J3" s="248"/>
      <c r="K3" s="249"/>
    </row>
    <row r="4" spans="1:11" ht="14.4" x14ac:dyDescent="0.3">
      <c r="A4" s="247" t="s">
        <v>54</v>
      </c>
      <c r="B4" s="247" t="s">
        <v>58</v>
      </c>
      <c r="C4" s="247" t="s">
        <v>59</v>
      </c>
      <c r="D4" s="247" t="s">
        <v>60</v>
      </c>
      <c r="E4" s="247" t="s">
        <v>492</v>
      </c>
      <c r="F4" s="250"/>
      <c r="G4" s="251"/>
      <c r="H4" s="251"/>
      <c r="I4" s="251"/>
      <c r="J4" s="251"/>
      <c r="K4" s="252"/>
    </row>
    <row r="5" spans="1:11" ht="14.4" x14ac:dyDescent="0.3">
      <c r="A5" s="247" t="s">
        <v>68</v>
      </c>
      <c r="B5" s="247">
        <v>366</v>
      </c>
      <c r="C5" s="247">
        <v>175</v>
      </c>
      <c r="D5" s="247">
        <v>541</v>
      </c>
      <c r="E5" s="253">
        <v>0.65180722891566267</v>
      </c>
      <c r="F5" s="247"/>
      <c r="G5" s="248"/>
      <c r="H5" s="248"/>
      <c r="I5" s="248"/>
      <c r="J5" s="248"/>
      <c r="K5" s="249"/>
    </row>
    <row r="6" spans="1:11" ht="14.4" x14ac:dyDescent="0.3">
      <c r="A6" s="247" t="s">
        <v>251</v>
      </c>
      <c r="B6" s="247">
        <v>179</v>
      </c>
      <c r="C6" s="247">
        <v>72</v>
      </c>
      <c r="D6" s="247">
        <v>251</v>
      </c>
      <c r="E6" s="253">
        <v>0.30240963855421688</v>
      </c>
      <c r="F6" s="250"/>
      <c r="G6" s="251"/>
      <c r="H6" s="251"/>
      <c r="I6" s="251"/>
      <c r="J6" s="251"/>
      <c r="K6" s="252"/>
    </row>
    <row r="7" spans="1:11" ht="14.4" x14ac:dyDescent="0.3">
      <c r="A7" s="247" t="s">
        <v>155</v>
      </c>
      <c r="B7" s="247">
        <v>370</v>
      </c>
      <c r="C7" s="247">
        <v>124.5</v>
      </c>
      <c r="D7" s="247">
        <v>494.5</v>
      </c>
      <c r="E7" s="253">
        <v>0.5957831325301205</v>
      </c>
      <c r="F7" s="250"/>
      <c r="G7" s="251"/>
      <c r="H7" s="251"/>
      <c r="I7" s="251"/>
      <c r="J7" s="251"/>
      <c r="K7" s="252"/>
    </row>
    <row r="8" spans="1:11" ht="14.4" x14ac:dyDescent="0.3">
      <c r="A8" s="247" t="s">
        <v>116</v>
      </c>
      <c r="B8" s="247">
        <v>353</v>
      </c>
      <c r="C8" s="247">
        <v>367</v>
      </c>
      <c r="D8" s="247">
        <v>720</v>
      </c>
      <c r="E8" s="253">
        <v>0.86746987951807231</v>
      </c>
      <c r="F8" s="250"/>
      <c r="G8" s="251"/>
      <c r="H8" s="251"/>
      <c r="I8" s="251"/>
      <c r="J8" s="251"/>
      <c r="K8" s="252"/>
    </row>
    <row r="9" spans="1:11" ht="14.4" x14ac:dyDescent="0.3">
      <c r="A9" s="247" t="s">
        <v>231</v>
      </c>
      <c r="B9" s="247">
        <v>116</v>
      </c>
      <c r="C9" s="247">
        <v>105</v>
      </c>
      <c r="D9" s="247">
        <v>221</v>
      </c>
      <c r="E9" s="253">
        <v>0.26626506024096386</v>
      </c>
      <c r="F9" s="250"/>
      <c r="G9" s="251"/>
      <c r="H9" s="251"/>
      <c r="I9" s="251"/>
      <c r="J9" s="251"/>
      <c r="K9" s="252"/>
    </row>
    <row r="10" spans="1:11" ht="14.4" x14ac:dyDescent="0.3">
      <c r="A10" s="247" t="s">
        <v>66</v>
      </c>
      <c r="B10" s="247">
        <v>291</v>
      </c>
      <c r="C10" s="247">
        <v>650.5</v>
      </c>
      <c r="D10" s="247">
        <v>941.5</v>
      </c>
      <c r="E10" s="253">
        <v>1.1343373493975903</v>
      </c>
      <c r="F10" s="250"/>
      <c r="G10" s="251"/>
      <c r="H10" s="251"/>
      <c r="I10" s="251"/>
      <c r="J10" s="251"/>
      <c r="K10" s="252"/>
    </row>
    <row r="11" spans="1:11" ht="14.4" x14ac:dyDescent="0.3">
      <c r="A11" s="247" t="s">
        <v>137</v>
      </c>
      <c r="B11" s="247">
        <v>212</v>
      </c>
      <c r="C11" s="247">
        <v>8</v>
      </c>
      <c r="D11" s="247">
        <v>220</v>
      </c>
      <c r="E11" s="253">
        <v>0.26506024096385544</v>
      </c>
      <c r="F11" s="250"/>
      <c r="G11" s="251"/>
      <c r="H11" s="251"/>
      <c r="I11" s="251"/>
      <c r="J11" s="251"/>
      <c r="K11" s="252"/>
    </row>
    <row r="12" spans="1:11" ht="14.4" x14ac:dyDescent="0.3">
      <c r="A12" s="247" t="s">
        <v>129</v>
      </c>
      <c r="B12" s="247">
        <v>348</v>
      </c>
      <c r="C12" s="247">
        <v>583</v>
      </c>
      <c r="D12" s="247">
        <v>931</v>
      </c>
      <c r="E12" s="253">
        <v>1.1216867469879519</v>
      </c>
      <c r="F12" s="250"/>
      <c r="G12" s="251"/>
      <c r="H12" s="251"/>
      <c r="I12" s="251"/>
      <c r="J12" s="251"/>
      <c r="K12" s="252"/>
    </row>
    <row r="13" spans="1:11" ht="14.4" x14ac:dyDescent="0.3">
      <c r="A13" s="247" t="s">
        <v>201</v>
      </c>
      <c r="B13" s="247">
        <v>647</v>
      </c>
      <c r="C13" s="247">
        <v>461.5</v>
      </c>
      <c r="D13" s="247">
        <v>1108.5</v>
      </c>
      <c r="E13" s="253">
        <v>1.3355421686746989</v>
      </c>
      <c r="F13" s="250"/>
      <c r="G13" s="251"/>
      <c r="H13" s="251"/>
      <c r="I13" s="251"/>
      <c r="J13" s="251"/>
      <c r="K13" s="252"/>
    </row>
    <row r="14" spans="1:11" ht="14.4" x14ac:dyDescent="0.3">
      <c r="A14" s="247" t="s">
        <v>223</v>
      </c>
      <c r="B14" s="247">
        <v>41</v>
      </c>
      <c r="C14" s="247">
        <v>124</v>
      </c>
      <c r="D14" s="247">
        <v>165</v>
      </c>
      <c r="E14" s="253">
        <v>0.19879518072289157</v>
      </c>
      <c r="F14" s="250"/>
      <c r="G14" s="251"/>
      <c r="H14" s="251"/>
      <c r="I14" s="251"/>
      <c r="J14" s="251"/>
      <c r="K14" s="252"/>
    </row>
    <row r="15" spans="1:11" ht="14.4" x14ac:dyDescent="0.3">
      <c r="A15" s="247" t="s">
        <v>180</v>
      </c>
      <c r="B15" s="247">
        <v>703</v>
      </c>
      <c r="C15" s="247">
        <v>179.5</v>
      </c>
      <c r="D15" s="247">
        <v>882.5</v>
      </c>
      <c r="E15" s="253">
        <v>1.0632530120481927</v>
      </c>
      <c r="F15" s="250"/>
      <c r="G15" s="251"/>
      <c r="H15" s="251"/>
      <c r="I15" s="251"/>
      <c r="J15" s="251"/>
      <c r="K15" s="252"/>
    </row>
    <row r="16" spans="1:11" ht="14.4" x14ac:dyDescent="0.3">
      <c r="A16" s="247" t="s">
        <v>187</v>
      </c>
      <c r="B16" s="247">
        <v>127</v>
      </c>
      <c r="C16" s="247">
        <v>133.5</v>
      </c>
      <c r="D16" s="247">
        <v>260.5</v>
      </c>
      <c r="E16" s="253">
        <v>0.31385542168674696</v>
      </c>
      <c r="F16" s="250"/>
      <c r="G16" s="251"/>
      <c r="H16" s="251"/>
      <c r="I16" s="251"/>
      <c r="J16" s="251"/>
      <c r="K16" s="252"/>
    </row>
    <row r="17" spans="1:11" ht="14.4" x14ac:dyDescent="0.3">
      <c r="A17" s="247" t="s">
        <v>95</v>
      </c>
      <c r="B17" s="247">
        <v>283</v>
      </c>
      <c r="C17" s="247">
        <v>440</v>
      </c>
      <c r="D17" s="247">
        <v>723</v>
      </c>
      <c r="E17" s="253">
        <v>0.87108433734939761</v>
      </c>
      <c r="F17" s="250"/>
      <c r="G17" s="251"/>
      <c r="H17" s="251"/>
      <c r="I17" s="251"/>
      <c r="J17" s="251"/>
      <c r="K17" s="252"/>
    </row>
    <row r="18" spans="1:11" ht="14.4" x14ac:dyDescent="0.3">
      <c r="A18" s="247" t="s">
        <v>260</v>
      </c>
      <c r="B18" s="247">
        <v>144</v>
      </c>
      <c r="C18" s="247">
        <v>88.5</v>
      </c>
      <c r="D18" s="247">
        <v>232.5</v>
      </c>
      <c r="E18" s="253">
        <v>0.28012048192771083</v>
      </c>
      <c r="F18" s="250"/>
      <c r="G18" s="251"/>
      <c r="H18" s="251"/>
      <c r="I18" s="251"/>
      <c r="J18" s="251"/>
      <c r="K18" s="252"/>
    </row>
    <row r="19" spans="1:11" ht="14.4" x14ac:dyDescent="0.3">
      <c r="A19" s="247" t="s">
        <v>258</v>
      </c>
      <c r="B19" s="247">
        <v>331</v>
      </c>
      <c r="C19" s="247">
        <v>520</v>
      </c>
      <c r="D19" s="247">
        <v>851</v>
      </c>
      <c r="E19" s="253">
        <v>1.0253012048192771</v>
      </c>
      <c r="F19" s="250"/>
      <c r="G19" s="251"/>
      <c r="H19" s="251"/>
      <c r="I19" s="251"/>
      <c r="J19" s="251"/>
      <c r="K19" s="252"/>
    </row>
    <row r="20" spans="1:11" ht="14.4" x14ac:dyDescent="0.3">
      <c r="A20" s="247" t="s">
        <v>71</v>
      </c>
      <c r="B20" s="247">
        <v>391</v>
      </c>
      <c r="C20" s="247">
        <v>436.5</v>
      </c>
      <c r="D20" s="247">
        <v>827.5</v>
      </c>
      <c r="E20" s="253">
        <v>0.99698795180722888</v>
      </c>
      <c r="F20" s="250"/>
      <c r="G20" s="251"/>
      <c r="H20" s="251"/>
      <c r="I20" s="251"/>
      <c r="J20" s="251"/>
      <c r="K20" s="252"/>
    </row>
    <row r="21" spans="1:11" ht="15.75" customHeight="1" x14ac:dyDescent="0.3">
      <c r="A21" s="247" t="s">
        <v>268</v>
      </c>
      <c r="B21" s="247">
        <v>9</v>
      </c>
      <c r="C21" s="247">
        <v>77</v>
      </c>
      <c r="D21" s="247">
        <v>86</v>
      </c>
      <c r="E21" s="253">
        <v>0.10361445783132531</v>
      </c>
      <c r="F21" s="250"/>
      <c r="G21" s="251"/>
      <c r="H21" s="251"/>
      <c r="I21" s="251"/>
      <c r="J21" s="251"/>
      <c r="K21" s="252"/>
    </row>
    <row r="22" spans="1:11" ht="15.75" customHeight="1" x14ac:dyDescent="0.3">
      <c r="A22" s="247" t="s">
        <v>147</v>
      </c>
      <c r="B22" s="247">
        <v>279</v>
      </c>
      <c r="C22" s="247">
        <v>475.5</v>
      </c>
      <c r="D22" s="247">
        <v>754.5</v>
      </c>
      <c r="E22" s="253">
        <v>0.90903614457831328</v>
      </c>
      <c r="F22" s="250"/>
      <c r="G22" s="251"/>
      <c r="H22" s="251"/>
      <c r="I22" s="251"/>
      <c r="J22" s="251"/>
      <c r="K22" s="252"/>
    </row>
    <row r="23" spans="1:11" ht="15.75" customHeight="1" x14ac:dyDescent="0.3">
      <c r="A23" s="247" t="s">
        <v>85</v>
      </c>
      <c r="B23" s="247">
        <v>284</v>
      </c>
      <c r="C23" s="247">
        <v>691.5</v>
      </c>
      <c r="D23" s="247">
        <v>975.5</v>
      </c>
      <c r="E23" s="253">
        <v>1.175301204819277</v>
      </c>
      <c r="F23" s="250"/>
      <c r="G23" s="251"/>
      <c r="H23" s="251"/>
      <c r="I23" s="251"/>
      <c r="J23" s="251"/>
      <c r="K23" s="252"/>
    </row>
    <row r="24" spans="1:11" ht="15.75" customHeight="1" x14ac:dyDescent="0.3">
      <c r="A24" s="247" t="s">
        <v>77</v>
      </c>
      <c r="B24" s="247">
        <v>249</v>
      </c>
      <c r="C24" s="247">
        <v>294</v>
      </c>
      <c r="D24" s="247">
        <v>543</v>
      </c>
      <c r="E24" s="253">
        <v>0.6542168674698795</v>
      </c>
      <c r="F24" s="250"/>
      <c r="G24" s="251"/>
      <c r="H24" s="251"/>
      <c r="I24" s="251"/>
      <c r="J24" s="251"/>
      <c r="K24" s="252"/>
    </row>
    <row r="25" spans="1:11" ht="15.75" customHeight="1" x14ac:dyDescent="0.3">
      <c r="A25" s="247" t="s">
        <v>172</v>
      </c>
      <c r="B25" s="247">
        <v>339</v>
      </c>
      <c r="C25" s="247">
        <v>296</v>
      </c>
      <c r="D25" s="247">
        <v>635</v>
      </c>
      <c r="E25" s="253">
        <v>0.76506024096385539</v>
      </c>
      <c r="F25" s="250"/>
      <c r="G25" s="251"/>
      <c r="H25" s="251"/>
      <c r="I25" s="251"/>
      <c r="J25" s="251"/>
      <c r="K25" s="252"/>
    </row>
    <row r="26" spans="1:11" ht="15.75" customHeight="1" x14ac:dyDescent="0.3">
      <c r="A26" s="247" t="s">
        <v>99</v>
      </c>
      <c r="B26" s="247">
        <v>239</v>
      </c>
      <c r="C26" s="247">
        <v>196.5</v>
      </c>
      <c r="D26" s="247">
        <v>435.5</v>
      </c>
      <c r="E26" s="253">
        <v>0.52469879518072293</v>
      </c>
      <c r="F26" s="250"/>
      <c r="G26" s="251"/>
      <c r="H26" s="251"/>
      <c r="I26" s="251"/>
      <c r="J26" s="251"/>
      <c r="K26" s="252"/>
    </row>
    <row r="27" spans="1:11" ht="15.75" customHeight="1" x14ac:dyDescent="0.3">
      <c r="A27" s="247" t="s">
        <v>211</v>
      </c>
      <c r="B27" s="247">
        <v>213</v>
      </c>
      <c r="C27" s="247">
        <v>399</v>
      </c>
      <c r="D27" s="247">
        <v>612</v>
      </c>
      <c r="E27" s="253">
        <v>0.73734939759036144</v>
      </c>
      <c r="F27" s="250"/>
      <c r="G27" s="251"/>
      <c r="H27" s="251"/>
      <c r="I27" s="251"/>
      <c r="J27" s="251"/>
      <c r="K27" s="252"/>
    </row>
    <row r="28" spans="1:11" ht="15.75" customHeight="1" x14ac:dyDescent="0.3">
      <c r="A28" s="247" t="s">
        <v>64</v>
      </c>
      <c r="B28" s="247">
        <v>284</v>
      </c>
      <c r="C28" s="247">
        <v>140</v>
      </c>
      <c r="D28" s="247">
        <v>424</v>
      </c>
      <c r="E28" s="253">
        <v>0.51084337349397591</v>
      </c>
      <c r="F28" s="250"/>
      <c r="G28" s="251"/>
      <c r="H28" s="251"/>
      <c r="I28" s="251"/>
      <c r="J28" s="251"/>
      <c r="K28" s="252"/>
    </row>
    <row r="29" spans="1:11" ht="15.75" customHeight="1" x14ac:dyDescent="0.3">
      <c r="A29" s="247" t="s">
        <v>97</v>
      </c>
      <c r="B29" s="247">
        <v>501</v>
      </c>
      <c r="C29" s="247">
        <v>486.5</v>
      </c>
      <c r="D29" s="247">
        <v>987.5</v>
      </c>
      <c r="E29" s="253">
        <v>1.1897590361445782</v>
      </c>
      <c r="F29" s="250"/>
      <c r="G29" s="251"/>
      <c r="H29" s="251"/>
      <c r="I29" s="251"/>
      <c r="J29" s="251"/>
      <c r="K29" s="252"/>
    </row>
    <row r="30" spans="1:11" ht="15.75" customHeight="1" x14ac:dyDescent="0.3">
      <c r="A30" s="247" t="s">
        <v>292</v>
      </c>
      <c r="B30" s="247">
        <v>44</v>
      </c>
      <c r="C30" s="247">
        <v>61</v>
      </c>
      <c r="D30" s="247">
        <v>105</v>
      </c>
      <c r="E30" s="253">
        <v>0.12650602409638553</v>
      </c>
      <c r="F30" s="250"/>
      <c r="G30" s="251"/>
      <c r="H30" s="251"/>
      <c r="I30" s="251"/>
      <c r="J30" s="251"/>
      <c r="K30" s="252"/>
    </row>
    <row r="31" spans="1:11" ht="15.75" customHeight="1" x14ac:dyDescent="0.3">
      <c r="A31" s="247" t="s">
        <v>273</v>
      </c>
      <c r="B31" s="247">
        <v>552</v>
      </c>
      <c r="C31" s="247">
        <v>171</v>
      </c>
      <c r="D31" s="247">
        <v>723</v>
      </c>
      <c r="E31" s="253">
        <v>0.87108433734939761</v>
      </c>
      <c r="F31" s="250"/>
      <c r="G31" s="251"/>
      <c r="H31" s="251"/>
      <c r="I31" s="251"/>
      <c r="J31" s="251"/>
      <c r="K31" s="252"/>
    </row>
    <row r="32" spans="1:11" ht="15.75" customHeight="1" x14ac:dyDescent="0.3">
      <c r="A32" s="247" t="s">
        <v>92</v>
      </c>
      <c r="B32" s="247">
        <v>405</v>
      </c>
      <c r="C32" s="247">
        <v>478</v>
      </c>
      <c r="D32" s="247">
        <v>883</v>
      </c>
      <c r="E32" s="253">
        <v>1.0638554216867471</v>
      </c>
      <c r="F32" s="250"/>
      <c r="G32" s="251"/>
      <c r="H32" s="251"/>
      <c r="I32" s="251"/>
      <c r="J32" s="251"/>
      <c r="K32" s="252"/>
    </row>
    <row r="33" spans="1:11" ht="15.75" customHeight="1" x14ac:dyDescent="0.3">
      <c r="A33" s="247" t="s">
        <v>109</v>
      </c>
      <c r="B33" s="247">
        <v>284</v>
      </c>
      <c r="C33" s="247">
        <v>193</v>
      </c>
      <c r="D33" s="247">
        <v>477</v>
      </c>
      <c r="E33" s="253">
        <v>0.57469879518072287</v>
      </c>
      <c r="F33" s="250"/>
      <c r="G33" s="251"/>
      <c r="H33" s="251"/>
      <c r="I33" s="251"/>
      <c r="J33" s="251"/>
      <c r="K33" s="252"/>
    </row>
    <row r="34" spans="1:11" ht="15.75" customHeight="1" x14ac:dyDescent="0.3">
      <c r="A34" s="247" t="s">
        <v>175</v>
      </c>
      <c r="B34" s="247">
        <v>320</v>
      </c>
      <c r="C34" s="247">
        <v>169</v>
      </c>
      <c r="D34" s="247">
        <v>489</v>
      </c>
      <c r="E34" s="253">
        <v>0.58915662650602407</v>
      </c>
      <c r="F34" s="250"/>
      <c r="G34" s="251"/>
      <c r="H34" s="251"/>
      <c r="I34" s="251"/>
      <c r="J34" s="251"/>
      <c r="K34" s="252"/>
    </row>
    <row r="35" spans="1:11" ht="15.75" customHeight="1" x14ac:dyDescent="0.3">
      <c r="A35" s="247" t="s">
        <v>246</v>
      </c>
      <c r="B35" s="247">
        <v>200</v>
      </c>
      <c r="C35" s="247">
        <v>271</v>
      </c>
      <c r="D35" s="247">
        <v>471</v>
      </c>
      <c r="E35" s="253">
        <v>0.56746987951807226</v>
      </c>
      <c r="F35" s="250"/>
      <c r="G35" s="251"/>
      <c r="H35" s="251"/>
      <c r="I35" s="251"/>
      <c r="J35" s="251"/>
      <c r="K35" s="252"/>
    </row>
    <row r="36" spans="1:11" ht="15.75" customHeight="1" x14ac:dyDescent="0.3">
      <c r="A36" s="247" t="s">
        <v>168</v>
      </c>
      <c r="B36" s="247">
        <v>456</v>
      </c>
      <c r="C36" s="247">
        <v>362</v>
      </c>
      <c r="D36" s="247">
        <v>818</v>
      </c>
      <c r="E36" s="253">
        <v>0.98554216867469879</v>
      </c>
      <c r="F36" s="250"/>
      <c r="G36" s="251"/>
      <c r="H36" s="251"/>
      <c r="I36" s="251"/>
      <c r="J36" s="251"/>
      <c r="K36" s="252"/>
    </row>
    <row r="37" spans="1:11" ht="15.75" customHeight="1" x14ac:dyDescent="0.3">
      <c r="A37" s="254" t="s">
        <v>504</v>
      </c>
      <c r="B37" s="255"/>
      <c r="C37" s="255"/>
      <c r="D37" s="255"/>
      <c r="E37" s="255"/>
      <c r="F37" s="256"/>
      <c r="G37" s="257"/>
      <c r="H37" s="257"/>
      <c r="I37" s="257"/>
      <c r="J37" s="257"/>
      <c r="K37" s="258"/>
    </row>
    <row r="38" spans="1:11" ht="15.75" customHeight="1" x14ac:dyDescent="0.3"/>
    <row r="39" spans="1:11" ht="15.75" customHeight="1" x14ac:dyDescent="0.3"/>
    <row r="40" spans="1:11" ht="15.75" customHeight="1" x14ac:dyDescent="0.3"/>
    <row r="41" spans="1:11" ht="15.75" customHeight="1" x14ac:dyDescent="0.3"/>
    <row r="42" spans="1:11" ht="15.75" customHeight="1" x14ac:dyDescent="0.3"/>
    <row r="43" spans="1:11" ht="15.75" customHeight="1" x14ac:dyDescent="0.3"/>
    <row r="44" spans="1:11" ht="15.75" customHeight="1" x14ac:dyDescent="0.3"/>
    <row r="45" spans="1:11" ht="15.75" customHeight="1" x14ac:dyDescent="0.3"/>
    <row r="46" spans="1:11" ht="15.75" customHeight="1" x14ac:dyDescent="0.3"/>
    <row r="47" spans="1:11" ht="15.75" customHeight="1" x14ac:dyDescent="0.3"/>
    <row r="48" spans="1:1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3:E1000"/>
  <sheetViews>
    <sheetView workbookViewId="0"/>
  </sheetViews>
  <sheetFormatPr defaultColWidth="14.44140625" defaultRowHeight="15" customHeight="1" x14ac:dyDescent="0.3"/>
  <cols>
    <col min="1" max="2" width="8" customWidth="1"/>
    <col min="3" max="3" width="57.6640625" customWidth="1"/>
    <col min="4" max="4" width="38.33203125" customWidth="1"/>
    <col min="5" max="26" width="8" customWidth="1"/>
  </cols>
  <sheetData>
    <row r="3" spans="3:5" ht="14.4" x14ac:dyDescent="0.3">
      <c r="C3" s="259" t="s">
        <v>144</v>
      </c>
    </row>
    <row r="4" spans="3:5" ht="14.4" x14ac:dyDescent="0.3">
      <c r="C4" s="53" t="s">
        <v>825</v>
      </c>
    </row>
    <row r="5" spans="3:5" ht="14.4" x14ac:dyDescent="0.3">
      <c r="C5" s="53" t="s">
        <v>826</v>
      </c>
    </row>
    <row r="6" spans="3:5" ht="14.4" x14ac:dyDescent="0.3">
      <c r="C6" s="53" t="s">
        <v>827</v>
      </c>
    </row>
    <row r="7" spans="3:5" ht="14.4" x14ac:dyDescent="0.3">
      <c r="C7" s="53" t="s">
        <v>828</v>
      </c>
    </row>
    <row r="8" spans="3:5" ht="14.4" x14ac:dyDescent="0.3">
      <c r="C8" s="53" t="s">
        <v>649</v>
      </c>
    </row>
    <row r="9" spans="3:5" ht="14.4" x14ac:dyDescent="0.3">
      <c r="C9" s="53" t="s">
        <v>829</v>
      </c>
    </row>
    <row r="10" spans="3:5" ht="14.4" x14ac:dyDescent="0.3">
      <c r="C10" s="53" t="s">
        <v>830</v>
      </c>
    </row>
    <row r="11" spans="3:5" ht="14.4" x14ac:dyDescent="0.3">
      <c r="C11" s="53" t="s">
        <v>831</v>
      </c>
    </row>
    <row r="12" spans="3:5" ht="14.4" x14ac:dyDescent="0.3">
      <c r="C12" s="53" t="s">
        <v>832</v>
      </c>
    </row>
    <row r="14" spans="3:5" ht="14.4" x14ac:dyDescent="0.3">
      <c r="C14" s="259" t="s">
        <v>152</v>
      </c>
    </row>
    <row r="15" spans="3:5" ht="14.4" x14ac:dyDescent="0.3">
      <c r="C15" s="53" t="s">
        <v>833</v>
      </c>
      <c r="D15" s="260" t="s">
        <v>834</v>
      </c>
      <c r="E15" s="260" t="s">
        <v>835</v>
      </c>
    </row>
    <row r="16" spans="3:5" ht="14.4" x14ac:dyDescent="0.3">
      <c r="C16" s="53" t="s">
        <v>713</v>
      </c>
      <c r="D16" s="2" t="s">
        <v>836</v>
      </c>
    </row>
    <row r="17" spans="3:5" ht="14.4" x14ac:dyDescent="0.3">
      <c r="C17" s="53" t="s">
        <v>837</v>
      </c>
      <c r="D17" s="2" t="s">
        <v>838</v>
      </c>
    </row>
    <row r="18" spans="3:5" ht="14.4" x14ac:dyDescent="0.3">
      <c r="C18" s="53" t="s">
        <v>839</v>
      </c>
      <c r="D18" s="2" t="s">
        <v>840</v>
      </c>
    </row>
    <row r="19" spans="3:5" ht="14.4" x14ac:dyDescent="0.3">
      <c r="C19" s="53" t="s">
        <v>841</v>
      </c>
      <c r="D19" s="260" t="s">
        <v>842</v>
      </c>
      <c r="E19" s="260" t="s">
        <v>835</v>
      </c>
    </row>
    <row r="20" spans="3:5" ht="14.4" x14ac:dyDescent="0.3">
      <c r="C20" s="53" t="s">
        <v>843</v>
      </c>
      <c r="D20" s="2" t="s">
        <v>844</v>
      </c>
    </row>
    <row r="21" spans="3:5" ht="15.75" customHeight="1" x14ac:dyDescent="0.3">
      <c r="C21" s="53" t="s">
        <v>845</v>
      </c>
      <c r="D21" s="2" t="s">
        <v>844</v>
      </c>
    </row>
    <row r="22" spans="3:5" ht="15.75" customHeight="1" x14ac:dyDescent="0.3"/>
    <row r="23" spans="3:5" ht="15.75" customHeight="1" x14ac:dyDescent="0.3">
      <c r="C23" s="259" t="s">
        <v>237</v>
      </c>
    </row>
    <row r="24" spans="3:5" ht="15.75" customHeight="1" x14ac:dyDescent="0.3">
      <c r="C24" s="53" t="s">
        <v>846</v>
      </c>
    </row>
    <row r="25" spans="3:5" ht="15.75" customHeight="1" x14ac:dyDescent="0.3">
      <c r="C25" s="53" t="s">
        <v>847</v>
      </c>
    </row>
    <row r="26" spans="3:5" ht="15.75" customHeight="1" x14ac:dyDescent="0.3">
      <c r="C26" s="53" t="s">
        <v>848</v>
      </c>
    </row>
    <row r="27" spans="3:5" ht="15.75" customHeight="1" x14ac:dyDescent="0.3">
      <c r="C27" s="53" t="s">
        <v>849</v>
      </c>
    </row>
    <row r="28" spans="3:5" ht="15.75" customHeight="1" x14ac:dyDescent="0.3">
      <c r="C28" s="53" t="s">
        <v>850</v>
      </c>
    </row>
    <row r="29" spans="3:5" ht="15.75" customHeight="1" x14ac:dyDescent="0.3">
      <c r="C29" s="53" t="s">
        <v>851</v>
      </c>
    </row>
    <row r="30" spans="3:5" ht="15.75" customHeight="1" x14ac:dyDescent="0.3"/>
    <row r="31" spans="3:5" ht="15.75" customHeight="1" x14ac:dyDescent="0.3">
      <c r="C31" s="259" t="s">
        <v>165</v>
      </c>
    </row>
    <row r="32" spans="3:5" ht="15.75" customHeight="1" x14ac:dyDescent="0.3">
      <c r="C32" s="53" t="s">
        <v>852</v>
      </c>
      <c r="D32" s="2" t="s">
        <v>211</v>
      </c>
    </row>
    <row r="33" spans="3:4" ht="15.75" customHeight="1" x14ac:dyDescent="0.3">
      <c r="C33" s="53" t="s">
        <v>715</v>
      </c>
      <c r="D33" s="2" t="s">
        <v>129</v>
      </c>
    </row>
    <row r="34" spans="3:4" ht="15.75" customHeight="1" x14ac:dyDescent="0.3">
      <c r="C34" s="53" t="s">
        <v>853</v>
      </c>
      <c r="D34" s="2" t="s">
        <v>175</v>
      </c>
    </row>
    <row r="35" spans="3:4" ht="15.75" customHeight="1" x14ac:dyDescent="0.3">
      <c r="C35" s="53" t="s">
        <v>854</v>
      </c>
      <c r="D35" s="2" t="s">
        <v>168</v>
      </c>
    </row>
    <row r="36" spans="3:4" ht="15.75" customHeight="1" x14ac:dyDescent="0.3">
      <c r="C36" s="53" t="s">
        <v>855</v>
      </c>
      <c r="D36" s="2" t="s">
        <v>175</v>
      </c>
    </row>
    <row r="37" spans="3:4" ht="15.75" customHeight="1" x14ac:dyDescent="0.3">
      <c r="C37" s="53" t="s">
        <v>856</v>
      </c>
      <c r="D37" s="2" t="s">
        <v>172</v>
      </c>
    </row>
    <row r="38" spans="3:4" ht="15.75" customHeight="1" x14ac:dyDescent="0.3">
      <c r="C38" s="53" t="s">
        <v>857</v>
      </c>
      <c r="D38" s="2" t="s">
        <v>558</v>
      </c>
    </row>
    <row r="39" spans="3:4" ht="15.75" customHeight="1" x14ac:dyDescent="0.3"/>
    <row r="40" spans="3:4" ht="15.75" customHeight="1" x14ac:dyDescent="0.3">
      <c r="C40" s="259" t="s">
        <v>141</v>
      </c>
    </row>
    <row r="41" spans="3:4" ht="15.75" customHeight="1" x14ac:dyDescent="0.3">
      <c r="C41" s="53" t="s">
        <v>858</v>
      </c>
    </row>
    <row r="42" spans="3:4" ht="15.75" customHeight="1" x14ac:dyDescent="0.3">
      <c r="C42" s="53" t="s">
        <v>859</v>
      </c>
    </row>
    <row r="43" spans="3:4" ht="15.75" customHeight="1" x14ac:dyDescent="0.3">
      <c r="C43" s="53" t="s">
        <v>860</v>
      </c>
    </row>
    <row r="44" spans="3:4" ht="15.75" customHeight="1" x14ac:dyDescent="0.3">
      <c r="C44" s="53" t="s">
        <v>861</v>
      </c>
    </row>
    <row r="45" spans="3:4" ht="15.75" customHeight="1" x14ac:dyDescent="0.3">
      <c r="C45" s="53" t="s">
        <v>862</v>
      </c>
    </row>
    <row r="46" spans="3:4" ht="15.75" customHeight="1" x14ac:dyDescent="0.3">
      <c r="C46" s="53" t="s">
        <v>863</v>
      </c>
    </row>
    <row r="47" spans="3:4" ht="15.75" customHeight="1" x14ac:dyDescent="0.3"/>
    <row r="48" spans="3:4" ht="15.75" customHeight="1" x14ac:dyDescent="0.3">
      <c r="C48" s="259" t="s">
        <v>140</v>
      </c>
    </row>
    <row r="49" spans="3:3" ht="15.75" customHeight="1" x14ac:dyDescent="0.3">
      <c r="C49" s="53" t="s">
        <v>864</v>
      </c>
    </row>
    <row r="50" spans="3:3" ht="15.75" customHeight="1" x14ac:dyDescent="0.3">
      <c r="C50" s="53" t="s">
        <v>865</v>
      </c>
    </row>
    <row r="51" spans="3:3" ht="15.75" customHeight="1" x14ac:dyDescent="0.3">
      <c r="C51" s="53" t="s">
        <v>866</v>
      </c>
    </row>
    <row r="52" spans="3:3" ht="15.75" customHeight="1" x14ac:dyDescent="0.3">
      <c r="C52" s="53" t="s">
        <v>867</v>
      </c>
    </row>
    <row r="53" spans="3:3" ht="15.75" customHeight="1" x14ac:dyDescent="0.3">
      <c r="C53" s="53" t="s">
        <v>868</v>
      </c>
    </row>
    <row r="54" spans="3:3" ht="15.75" customHeight="1" x14ac:dyDescent="0.3"/>
    <row r="55" spans="3:3" ht="15.75" customHeight="1" x14ac:dyDescent="0.3">
      <c r="C55" s="259" t="s">
        <v>139</v>
      </c>
    </row>
    <row r="56" spans="3:3" ht="15.75" customHeight="1" x14ac:dyDescent="0.3">
      <c r="C56" s="53" t="s">
        <v>869</v>
      </c>
    </row>
    <row r="57" spans="3:3" ht="15.75" customHeight="1" x14ac:dyDescent="0.3">
      <c r="C57" s="53" t="s">
        <v>870</v>
      </c>
    </row>
    <row r="58" spans="3:3" ht="15.75" customHeight="1" x14ac:dyDescent="0.3">
      <c r="C58" s="53" t="s">
        <v>683</v>
      </c>
    </row>
    <row r="59" spans="3:3" ht="15.75" customHeight="1" x14ac:dyDescent="0.3">
      <c r="C59" s="53" t="s">
        <v>871</v>
      </c>
    </row>
    <row r="60" spans="3:3" ht="15.75" customHeight="1" x14ac:dyDescent="0.3">
      <c r="C60" s="53" t="s">
        <v>872</v>
      </c>
    </row>
    <row r="61" spans="3:3" ht="15.75" customHeight="1" x14ac:dyDescent="0.3"/>
    <row r="62" spans="3:3" ht="15.75" customHeight="1" x14ac:dyDescent="0.3">
      <c r="C62" s="259" t="s">
        <v>134</v>
      </c>
    </row>
    <row r="63" spans="3:3" ht="15.75" customHeight="1" x14ac:dyDescent="0.3">
      <c r="C63" s="53" t="s">
        <v>873</v>
      </c>
    </row>
    <row r="64" spans="3:3" ht="15.75" customHeight="1" x14ac:dyDescent="0.3">
      <c r="C64" s="53" t="s">
        <v>874</v>
      </c>
    </row>
    <row r="65" spans="3:3" ht="15.75" customHeight="1" x14ac:dyDescent="0.3">
      <c r="C65" s="53" t="s">
        <v>875</v>
      </c>
    </row>
    <row r="66" spans="3:3" ht="15.75" customHeight="1" x14ac:dyDescent="0.3">
      <c r="C66" s="53" t="s">
        <v>876</v>
      </c>
    </row>
    <row r="67" spans="3:3" ht="15.75" customHeight="1" x14ac:dyDescent="0.3">
      <c r="C67" s="53" t="s">
        <v>877</v>
      </c>
    </row>
    <row r="68" spans="3:3" ht="15.75" customHeight="1" x14ac:dyDescent="0.3">
      <c r="C68" s="53" t="s">
        <v>878</v>
      </c>
    </row>
    <row r="69" spans="3:3" ht="15.75" customHeight="1" x14ac:dyDescent="0.3">
      <c r="C69" s="261" t="s">
        <v>879</v>
      </c>
    </row>
    <row r="70" spans="3:3" ht="15.75" customHeight="1" x14ac:dyDescent="0.3"/>
    <row r="71" spans="3:3" ht="15.75" customHeight="1" x14ac:dyDescent="0.3"/>
    <row r="72" spans="3:3" ht="15.75" customHeight="1" x14ac:dyDescent="0.3"/>
    <row r="73" spans="3:3" ht="15.75" customHeight="1" x14ac:dyDescent="0.3"/>
    <row r="74" spans="3:3" ht="15.75" customHeight="1" x14ac:dyDescent="0.3"/>
    <row r="75" spans="3:3" ht="15.75" customHeight="1" x14ac:dyDescent="0.3"/>
    <row r="76" spans="3:3" ht="15.75" customHeight="1" x14ac:dyDescent="0.3"/>
    <row r="77" spans="3:3" ht="15.75" customHeight="1" x14ac:dyDescent="0.3"/>
    <row r="78" spans="3:3" ht="15.75" customHeight="1" x14ac:dyDescent="0.3"/>
    <row r="79" spans="3:3" ht="15.75" customHeight="1" x14ac:dyDescent="0.3"/>
    <row r="80" spans="3:3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C5:M1000"/>
  <sheetViews>
    <sheetView workbookViewId="0"/>
  </sheetViews>
  <sheetFormatPr defaultColWidth="14.44140625" defaultRowHeight="15" customHeight="1" x14ac:dyDescent="0.3"/>
  <cols>
    <col min="1" max="4" width="8" customWidth="1"/>
    <col min="5" max="5" width="39.6640625" customWidth="1"/>
    <col min="6" max="6" width="38.5546875" customWidth="1"/>
    <col min="7" max="26" width="8" customWidth="1"/>
  </cols>
  <sheetData>
    <row r="5" spans="3:13" ht="14.4" x14ac:dyDescent="0.3">
      <c r="E5" s="262">
        <v>401</v>
      </c>
    </row>
    <row r="6" spans="3:13" ht="14.4" x14ac:dyDescent="0.3">
      <c r="E6" s="263" t="s">
        <v>880</v>
      </c>
      <c r="F6" s="2" t="s">
        <v>881</v>
      </c>
    </row>
    <row r="7" spans="3:13" ht="14.4" x14ac:dyDescent="0.3">
      <c r="E7" s="262" t="s">
        <v>882</v>
      </c>
      <c r="F7" s="2" t="s">
        <v>883</v>
      </c>
    </row>
    <row r="8" spans="3:13" ht="14.4" x14ac:dyDescent="0.3">
      <c r="E8" s="262" t="s">
        <v>884</v>
      </c>
      <c r="F8" s="2" t="s">
        <v>885</v>
      </c>
    </row>
    <row r="9" spans="3:13" ht="14.4" x14ac:dyDescent="0.3">
      <c r="E9" s="263" t="s">
        <v>886</v>
      </c>
      <c r="F9" s="2" t="s">
        <v>887</v>
      </c>
    </row>
    <row r="10" spans="3:13" ht="14.4" x14ac:dyDescent="0.3">
      <c r="C10" s="2">
        <f>17*25</f>
        <v>425</v>
      </c>
      <c r="E10" s="263" t="s">
        <v>888</v>
      </c>
      <c r="F10" s="2" t="s">
        <v>889</v>
      </c>
    </row>
    <row r="11" spans="3:13" ht="14.4" x14ac:dyDescent="0.3">
      <c r="E11" s="262" t="s">
        <v>890</v>
      </c>
      <c r="F11" s="2" t="s">
        <v>891</v>
      </c>
    </row>
    <row r="12" spans="3:13" ht="14.4" x14ac:dyDescent="0.3">
      <c r="E12" s="262" t="s">
        <v>892</v>
      </c>
      <c r="F12" s="2" t="s">
        <v>893</v>
      </c>
    </row>
    <row r="13" spans="3:13" ht="14.4" x14ac:dyDescent="0.3">
      <c r="E13" s="262" t="s">
        <v>894</v>
      </c>
      <c r="F13" s="2" t="s">
        <v>895</v>
      </c>
    </row>
    <row r="14" spans="3:13" ht="14.4" x14ac:dyDescent="0.3">
      <c r="E14" s="263" t="s">
        <v>896</v>
      </c>
      <c r="F14" s="2" t="s">
        <v>897</v>
      </c>
      <c r="M14" s="2" t="s">
        <v>898</v>
      </c>
    </row>
    <row r="15" spans="3:13" ht="14.4" x14ac:dyDescent="0.3">
      <c r="E15" s="263" t="s">
        <v>899</v>
      </c>
      <c r="F15" s="2" t="s">
        <v>900</v>
      </c>
      <c r="M15" s="262" t="s">
        <v>901</v>
      </c>
    </row>
    <row r="16" spans="3:13" ht="14.4" x14ac:dyDescent="0.3">
      <c r="E16" s="262" t="s">
        <v>902</v>
      </c>
      <c r="F16" s="2" t="s">
        <v>903</v>
      </c>
      <c r="M16" s="262" t="s">
        <v>904</v>
      </c>
    </row>
    <row r="17" spans="5:13" ht="14.4" x14ac:dyDescent="0.3">
      <c r="E17" s="262" t="s">
        <v>905</v>
      </c>
      <c r="F17" s="2" t="s">
        <v>906</v>
      </c>
      <c r="M17" s="262" t="s">
        <v>907</v>
      </c>
    </row>
    <row r="18" spans="5:13" ht="14.4" x14ac:dyDescent="0.3">
      <c r="E18" s="263" t="s">
        <v>908</v>
      </c>
      <c r="F18" s="2" t="s">
        <v>909</v>
      </c>
      <c r="M18" s="262" t="s">
        <v>910</v>
      </c>
    </row>
    <row r="19" spans="5:13" ht="14.4" x14ac:dyDescent="0.3">
      <c r="E19" s="262" t="s">
        <v>911</v>
      </c>
      <c r="F19" s="2" t="s">
        <v>912</v>
      </c>
      <c r="M19" s="262" t="s">
        <v>913</v>
      </c>
    </row>
    <row r="20" spans="5:13" ht="14.4" x14ac:dyDescent="0.3">
      <c r="E20" s="263" t="s">
        <v>914</v>
      </c>
      <c r="F20" s="2" t="s">
        <v>915</v>
      </c>
      <c r="M20" s="262" t="s">
        <v>916</v>
      </c>
    </row>
    <row r="21" spans="5:13" ht="15.75" customHeight="1" x14ac:dyDescent="0.3">
      <c r="E21" s="262" t="s">
        <v>917</v>
      </c>
      <c r="F21" s="2" t="s">
        <v>918</v>
      </c>
      <c r="M21" s="262" t="s">
        <v>919</v>
      </c>
    </row>
    <row r="22" spans="5:13" ht="15.75" customHeight="1" x14ac:dyDescent="0.3">
      <c r="E22" s="262" t="s">
        <v>920</v>
      </c>
      <c r="F22" s="2" t="s">
        <v>921</v>
      </c>
      <c r="M22" s="262" t="s">
        <v>922</v>
      </c>
    </row>
    <row r="23" spans="5:13" ht="15.75" customHeight="1" x14ac:dyDescent="0.3">
      <c r="M23" s="262" t="s">
        <v>923</v>
      </c>
    </row>
    <row r="24" spans="5:13" ht="15.75" customHeight="1" x14ac:dyDescent="0.3">
      <c r="M24" s="262" t="s">
        <v>924</v>
      </c>
    </row>
    <row r="25" spans="5:13" ht="15.75" customHeight="1" x14ac:dyDescent="0.3">
      <c r="E25" s="262">
        <v>402</v>
      </c>
      <c r="M25" s="262" t="s">
        <v>925</v>
      </c>
    </row>
    <row r="26" spans="5:13" ht="15.75" customHeight="1" x14ac:dyDescent="0.3">
      <c r="E26" s="262" t="s">
        <v>926</v>
      </c>
      <c r="M26" s="262" t="s">
        <v>927</v>
      </c>
    </row>
    <row r="27" spans="5:13" ht="15.75" customHeight="1" x14ac:dyDescent="0.3">
      <c r="E27" s="263" t="s">
        <v>928</v>
      </c>
      <c r="F27" s="2" t="s">
        <v>844</v>
      </c>
      <c r="M27" s="262" t="s">
        <v>929</v>
      </c>
    </row>
    <row r="28" spans="5:13" ht="15.75" customHeight="1" x14ac:dyDescent="0.3">
      <c r="E28" s="263" t="s">
        <v>930</v>
      </c>
    </row>
    <row r="29" spans="5:13" ht="15.75" customHeight="1" x14ac:dyDescent="0.3">
      <c r="E29" s="262" t="s">
        <v>931</v>
      </c>
    </row>
    <row r="30" spans="5:13" ht="15.75" customHeight="1" x14ac:dyDescent="0.3">
      <c r="E30" s="262" t="s">
        <v>932</v>
      </c>
      <c r="F30" s="2" t="s">
        <v>933</v>
      </c>
    </row>
    <row r="31" spans="5:13" ht="15.75" customHeight="1" x14ac:dyDescent="0.3">
      <c r="E31" s="262" t="s">
        <v>934</v>
      </c>
    </row>
    <row r="32" spans="5:13" ht="15.75" customHeight="1" x14ac:dyDescent="0.3">
      <c r="E32" s="262" t="s">
        <v>935</v>
      </c>
    </row>
    <row r="33" spans="5:6" ht="15.75" customHeight="1" x14ac:dyDescent="0.3">
      <c r="E33" s="262" t="s">
        <v>936</v>
      </c>
    </row>
    <row r="34" spans="5:6" ht="15.75" customHeight="1" x14ac:dyDescent="0.3">
      <c r="E34" s="263" t="s">
        <v>937</v>
      </c>
      <c r="F34" s="2" t="s">
        <v>844</v>
      </c>
    </row>
    <row r="35" spans="5:6" ht="15.75" customHeight="1" x14ac:dyDescent="0.3">
      <c r="E35" s="263" t="s">
        <v>938</v>
      </c>
      <c r="F35" s="2" t="s">
        <v>844</v>
      </c>
    </row>
    <row r="36" spans="5:6" ht="15.75" customHeight="1" x14ac:dyDescent="0.3">
      <c r="E36" s="262" t="s">
        <v>939</v>
      </c>
    </row>
    <row r="37" spans="5:6" ht="15.75" customHeight="1" x14ac:dyDescent="0.3">
      <c r="E37" s="263" t="s">
        <v>940</v>
      </c>
    </row>
    <row r="38" spans="5:6" ht="15.75" customHeight="1" x14ac:dyDescent="0.3">
      <c r="E38" s="262" t="s">
        <v>941</v>
      </c>
      <c r="F38" s="2" t="s">
        <v>933</v>
      </c>
    </row>
    <row r="39" spans="5:6" ht="15.75" customHeight="1" x14ac:dyDescent="0.3">
      <c r="E39" s="263" t="s">
        <v>942</v>
      </c>
    </row>
    <row r="40" spans="5:6" ht="15.75" customHeight="1" x14ac:dyDescent="0.3"/>
    <row r="41" spans="5:6" ht="15.75" customHeight="1" x14ac:dyDescent="0.3"/>
    <row r="42" spans="5:6" ht="15.75" customHeight="1" x14ac:dyDescent="0.3"/>
    <row r="43" spans="5:6" ht="15.75" customHeight="1" x14ac:dyDescent="0.3"/>
    <row r="44" spans="5:6" ht="15.75" customHeight="1" x14ac:dyDescent="0.3"/>
    <row r="45" spans="5:6" ht="15.75" customHeight="1" x14ac:dyDescent="0.3"/>
    <row r="46" spans="5:6" ht="15.75" customHeight="1" x14ac:dyDescent="0.3"/>
    <row r="47" spans="5:6" ht="15.75" customHeight="1" x14ac:dyDescent="0.3"/>
    <row r="48" spans="5: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1000"/>
  <sheetViews>
    <sheetView workbookViewId="0"/>
  </sheetViews>
  <sheetFormatPr defaultColWidth="14.44140625" defaultRowHeight="15" customHeight="1" x14ac:dyDescent="0.3"/>
  <cols>
    <col min="1" max="1" width="40" customWidth="1"/>
    <col min="2" max="6" width="8" customWidth="1"/>
    <col min="7" max="7" width="7.5546875" customWidth="1"/>
    <col min="8" max="8" width="8" customWidth="1"/>
    <col min="9" max="9" width="7.33203125" customWidth="1"/>
    <col min="10" max="10" width="12.6640625" customWidth="1"/>
    <col min="11" max="26" width="8" customWidth="1"/>
  </cols>
  <sheetData>
    <row r="1" spans="1:22" ht="14.4" x14ac:dyDescent="0.3">
      <c r="I1" s="202" t="s">
        <v>789</v>
      </c>
      <c r="J1" s="202"/>
      <c r="K1" s="202"/>
      <c r="L1" s="202"/>
    </row>
    <row r="3" spans="1:22" ht="30" customHeight="1" x14ac:dyDescent="0.3">
      <c r="A3" s="53" t="s">
        <v>54</v>
      </c>
      <c r="B3" s="53" t="s">
        <v>58</v>
      </c>
      <c r="C3" s="53" t="s">
        <v>59</v>
      </c>
      <c r="D3" s="53" t="s">
        <v>60</v>
      </c>
      <c r="E3" s="53" t="s">
        <v>492</v>
      </c>
      <c r="F3" s="204" t="s">
        <v>792</v>
      </c>
      <c r="G3" s="205" t="s">
        <v>793</v>
      </c>
      <c r="H3" s="205" t="s">
        <v>794</v>
      </c>
      <c r="I3" s="205" t="s">
        <v>796</v>
      </c>
      <c r="J3" s="205" t="s">
        <v>2</v>
      </c>
      <c r="K3" s="209" t="s">
        <v>799</v>
      </c>
      <c r="L3" s="209" t="s">
        <v>800</v>
      </c>
      <c r="M3" s="209" t="s">
        <v>801</v>
      </c>
      <c r="N3" s="209" t="s">
        <v>802</v>
      </c>
      <c r="O3" s="209" t="s">
        <v>803</v>
      </c>
      <c r="P3" s="209" t="s">
        <v>804</v>
      </c>
      <c r="Q3" s="209" t="s">
        <v>805</v>
      </c>
      <c r="R3" s="209" t="s">
        <v>806</v>
      </c>
      <c r="S3" s="209" t="s">
        <v>807</v>
      </c>
      <c r="T3" s="209" t="s">
        <v>808</v>
      </c>
    </row>
    <row r="4" spans="1:22" ht="14.4" x14ac:dyDescent="0.3">
      <c r="A4" s="53" t="s">
        <v>68</v>
      </c>
      <c r="B4" s="53">
        <v>327</v>
      </c>
      <c r="C4" s="53">
        <v>112</v>
      </c>
      <c r="D4" s="53">
        <v>425</v>
      </c>
      <c r="E4" s="264">
        <v>0.51204819277108438</v>
      </c>
      <c r="F4" s="265">
        <v>0.6</v>
      </c>
      <c r="G4" s="53">
        <f t="shared" ref="G4:G44" si="0">D4-F4*$E$3</f>
        <v>-73</v>
      </c>
      <c r="H4" s="211">
        <f t="shared" ref="H4:H44" si="1">G4/D4</f>
        <v>-0.17176470588235293</v>
      </c>
      <c r="I4" s="53">
        <f t="shared" ref="I4:I44" si="2">G4/10</f>
        <v>-7.3</v>
      </c>
      <c r="J4" s="214" t="s">
        <v>4</v>
      </c>
      <c r="K4" s="215">
        <v>12</v>
      </c>
      <c r="L4" s="215">
        <v>0</v>
      </c>
      <c r="M4" s="43"/>
      <c r="N4" s="53"/>
      <c r="O4" s="53"/>
      <c r="P4" s="53"/>
      <c r="Q4" s="53"/>
      <c r="R4" s="53"/>
      <c r="S4" s="53"/>
      <c r="T4" s="53"/>
      <c r="U4" s="216">
        <f t="shared" ref="U4:U44" si="3">SUM(K4:T4)</f>
        <v>12</v>
      </c>
    </row>
    <row r="5" spans="1:22" ht="14.4" x14ac:dyDescent="0.3">
      <c r="A5" s="53" t="s">
        <v>943</v>
      </c>
      <c r="B5" s="53">
        <v>98</v>
      </c>
      <c r="C5" s="53">
        <v>431</v>
      </c>
      <c r="D5" s="53">
        <v>529</v>
      </c>
      <c r="E5" s="264">
        <v>0.63734939759036147</v>
      </c>
      <c r="F5" s="266">
        <v>0.5</v>
      </c>
      <c r="G5" s="53">
        <f t="shared" si="0"/>
        <v>114</v>
      </c>
      <c r="H5" s="211">
        <f t="shared" si="1"/>
        <v>0.21550094517958412</v>
      </c>
      <c r="I5" s="53">
        <f t="shared" si="2"/>
        <v>11.4</v>
      </c>
      <c r="J5" s="214" t="s">
        <v>809</v>
      </c>
      <c r="K5" s="215">
        <v>10</v>
      </c>
      <c r="L5" s="215">
        <v>10</v>
      </c>
      <c r="M5" s="43">
        <v>10</v>
      </c>
      <c r="N5" s="53">
        <v>10</v>
      </c>
      <c r="O5" s="53">
        <v>10</v>
      </c>
      <c r="P5" s="53">
        <v>10</v>
      </c>
      <c r="Q5" s="53">
        <v>10</v>
      </c>
      <c r="R5" s="53">
        <v>10</v>
      </c>
      <c r="S5" s="53">
        <v>10</v>
      </c>
      <c r="T5" s="53">
        <v>10</v>
      </c>
      <c r="U5" s="216">
        <f t="shared" si="3"/>
        <v>100</v>
      </c>
      <c r="V5" s="2">
        <f t="shared" ref="V5:V8" si="4">U5-G5</f>
        <v>-14</v>
      </c>
    </row>
    <row r="6" spans="1:22" ht="14.4" x14ac:dyDescent="0.3">
      <c r="A6" s="53" t="s">
        <v>251</v>
      </c>
      <c r="B6" s="53">
        <v>166</v>
      </c>
      <c r="C6" s="53">
        <v>112</v>
      </c>
      <c r="D6" s="53">
        <v>278</v>
      </c>
      <c r="E6" s="264">
        <v>0.33493975903614459</v>
      </c>
      <c r="F6" s="266">
        <v>0.2</v>
      </c>
      <c r="G6" s="53">
        <f t="shared" si="0"/>
        <v>112</v>
      </c>
      <c r="H6" s="211">
        <f t="shared" si="1"/>
        <v>0.40287769784172661</v>
      </c>
      <c r="I6" s="53">
        <f t="shared" si="2"/>
        <v>11.2</v>
      </c>
      <c r="J6" s="214" t="s">
        <v>8</v>
      </c>
      <c r="K6" s="215">
        <v>8</v>
      </c>
      <c r="L6" s="215">
        <v>8</v>
      </c>
      <c r="M6" s="43">
        <v>8</v>
      </c>
      <c r="N6" s="53">
        <v>8</v>
      </c>
      <c r="O6" s="53">
        <v>8</v>
      </c>
      <c r="P6" s="53">
        <v>8</v>
      </c>
      <c r="Q6" s="53">
        <v>8</v>
      </c>
      <c r="R6" s="53">
        <v>8</v>
      </c>
      <c r="S6" s="53">
        <v>8</v>
      </c>
      <c r="T6" s="53">
        <v>8</v>
      </c>
      <c r="U6" s="216">
        <f t="shared" si="3"/>
        <v>80</v>
      </c>
      <c r="V6" s="2">
        <f t="shared" si="4"/>
        <v>-32</v>
      </c>
    </row>
    <row r="7" spans="1:22" ht="14.4" x14ac:dyDescent="0.3">
      <c r="A7" s="53" t="s">
        <v>155</v>
      </c>
      <c r="B7" s="53">
        <v>171</v>
      </c>
      <c r="C7" s="53">
        <v>462</v>
      </c>
      <c r="D7" s="53">
        <v>633</v>
      </c>
      <c r="E7" s="264">
        <v>0.76265060240963856</v>
      </c>
      <c r="F7" s="266">
        <v>0.6</v>
      </c>
      <c r="G7" s="53">
        <f t="shared" si="0"/>
        <v>135</v>
      </c>
      <c r="H7" s="211">
        <f t="shared" si="1"/>
        <v>0.2132701421800948</v>
      </c>
      <c r="I7" s="53">
        <f t="shared" si="2"/>
        <v>13.5</v>
      </c>
      <c r="J7" s="214" t="s">
        <v>8</v>
      </c>
      <c r="K7" s="215">
        <v>10</v>
      </c>
      <c r="L7" s="215">
        <v>10</v>
      </c>
      <c r="M7" s="43">
        <v>12</v>
      </c>
      <c r="N7" s="53">
        <v>12</v>
      </c>
      <c r="O7" s="53">
        <v>12</v>
      </c>
      <c r="P7" s="53">
        <v>12</v>
      </c>
      <c r="Q7" s="53">
        <v>12</v>
      </c>
      <c r="R7" s="53">
        <v>12</v>
      </c>
      <c r="S7" s="53">
        <v>12</v>
      </c>
      <c r="T7" s="53">
        <v>12</v>
      </c>
      <c r="U7" s="216">
        <f t="shared" si="3"/>
        <v>116</v>
      </c>
      <c r="V7" s="2">
        <f t="shared" si="4"/>
        <v>-19</v>
      </c>
    </row>
    <row r="8" spans="1:22" ht="14.4" x14ac:dyDescent="0.3">
      <c r="A8" s="53" t="s">
        <v>944</v>
      </c>
      <c r="B8" s="53">
        <v>78</v>
      </c>
      <c r="C8" s="53">
        <v>44</v>
      </c>
      <c r="D8" s="53">
        <v>122</v>
      </c>
      <c r="E8" s="264">
        <v>0.14698795180722893</v>
      </c>
      <c r="F8" s="266">
        <v>0.1</v>
      </c>
      <c r="G8" s="53">
        <f t="shared" si="0"/>
        <v>39</v>
      </c>
      <c r="H8" s="211">
        <f t="shared" si="1"/>
        <v>0.31967213114754101</v>
      </c>
      <c r="I8" s="53">
        <f t="shared" si="2"/>
        <v>3.9</v>
      </c>
      <c r="J8" s="214" t="s">
        <v>809</v>
      </c>
      <c r="K8" s="215">
        <v>2</v>
      </c>
      <c r="L8" s="215">
        <v>2</v>
      </c>
      <c r="M8" s="43">
        <v>6</v>
      </c>
      <c r="N8" s="53">
        <v>4</v>
      </c>
      <c r="O8" s="53">
        <v>4</v>
      </c>
      <c r="P8" s="53">
        <v>4</v>
      </c>
      <c r="Q8" s="53">
        <v>4</v>
      </c>
      <c r="R8" s="53">
        <v>4</v>
      </c>
      <c r="S8" s="53">
        <v>4</v>
      </c>
      <c r="T8" s="53">
        <v>4</v>
      </c>
      <c r="U8" s="216">
        <f t="shared" si="3"/>
        <v>38</v>
      </c>
      <c r="V8" s="2">
        <f t="shared" si="4"/>
        <v>-1</v>
      </c>
    </row>
    <row r="9" spans="1:22" ht="14.4" x14ac:dyDescent="0.3">
      <c r="A9" s="53" t="s">
        <v>116</v>
      </c>
      <c r="B9" s="53">
        <v>260</v>
      </c>
      <c r="C9" s="53">
        <v>458</v>
      </c>
      <c r="D9" s="53">
        <v>718</v>
      </c>
      <c r="E9" s="264">
        <v>0.86506024096385548</v>
      </c>
      <c r="F9" s="266">
        <v>0.9</v>
      </c>
      <c r="G9" s="53">
        <f t="shared" si="0"/>
        <v>-29</v>
      </c>
      <c r="H9" s="211">
        <f t="shared" si="1"/>
        <v>-4.0389972144846797E-2</v>
      </c>
      <c r="I9" s="53">
        <f t="shared" si="2"/>
        <v>-2.9</v>
      </c>
      <c r="J9" s="214" t="s">
        <v>4</v>
      </c>
      <c r="K9" s="215">
        <v>4</v>
      </c>
      <c r="L9" s="215">
        <v>4</v>
      </c>
      <c r="M9" s="43"/>
      <c r="N9" s="53"/>
      <c r="O9" s="53"/>
      <c r="P9" s="53"/>
      <c r="Q9" s="53"/>
      <c r="R9" s="53"/>
      <c r="S9" s="53"/>
      <c r="T9" s="53"/>
      <c r="U9" s="216">
        <f t="shared" si="3"/>
        <v>8</v>
      </c>
    </row>
    <row r="10" spans="1:22" ht="14.4" x14ac:dyDescent="0.3">
      <c r="A10" s="53" t="s">
        <v>231</v>
      </c>
      <c r="B10" s="53">
        <v>28.75</v>
      </c>
      <c r="C10" s="53">
        <v>148.75</v>
      </c>
      <c r="D10" s="53">
        <v>177.5</v>
      </c>
      <c r="E10" s="264">
        <v>0.21385542168674698</v>
      </c>
      <c r="F10" s="266">
        <v>0.2</v>
      </c>
      <c r="G10" s="53">
        <f t="shared" si="0"/>
        <v>11.5</v>
      </c>
      <c r="H10" s="211">
        <f t="shared" si="1"/>
        <v>6.4788732394366194E-2</v>
      </c>
      <c r="I10" s="53">
        <f t="shared" si="2"/>
        <v>1.1499999999999999</v>
      </c>
      <c r="J10" s="214" t="s">
        <v>4</v>
      </c>
      <c r="K10" s="215">
        <v>4</v>
      </c>
      <c r="L10" s="215">
        <v>4</v>
      </c>
      <c r="M10" s="43">
        <v>0</v>
      </c>
      <c r="N10" s="53">
        <v>0</v>
      </c>
      <c r="O10" s="53"/>
      <c r="P10" s="53"/>
      <c r="Q10" s="53"/>
      <c r="R10" s="53"/>
      <c r="S10" s="53"/>
      <c r="T10" s="53"/>
      <c r="U10" s="216">
        <f t="shared" si="3"/>
        <v>8</v>
      </c>
      <c r="V10" s="2">
        <f t="shared" ref="V10:V44" si="5">U10-G10</f>
        <v>-3.5</v>
      </c>
    </row>
    <row r="11" spans="1:22" ht="14.4" x14ac:dyDescent="0.3">
      <c r="A11" s="53" t="s">
        <v>392</v>
      </c>
      <c r="B11" s="53">
        <v>424</v>
      </c>
      <c r="C11" s="53">
        <v>131</v>
      </c>
      <c r="D11" s="53">
        <v>555</v>
      </c>
      <c r="E11" s="264">
        <v>0.66867469879518071</v>
      </c>
      <c r="F11" s="266">
        <v>0.4</v>
      </c>
      <c r="G11" s="53">
        <f t="shared" si="0"/>
        <v>223</v>
      </c>
      <c r="H11" s="211">
        <f t="shared" si="1"/>
        <v>0.40180180180180181</v>
      </c>
      <c r="I11" s="53">
        <f t="shared" si="2"/>
        <v>22.3</v>
      </c>
      <c r="J11" s="214" t="s">
        <v>4</v>
      </c>
      <c r="K11" s="215">
        <v>6</v>
      </c>
      <c r="L11" s="215">
        <v>6</v>
      </c>
      <c r="M11" s="43">
        <v>26</v>
      </c>
      <c r="N11" s="53">
        <v>26</v>
      </c>
      <c r="O11" s="53">
        <v>28</v>
      </c>
      <c r="P11" s="53">
        <v>26</v>
      </c>
      <c r="Q11" s="53">
        <v>26</v>
      </c>
      <c r="R11" s="53">
        <v>26</v>
      </c>
      <c r="S11" s="53">
        <v>26</v>
      </c>
      <c r="T11" s="53">
        <v>26</v>
      </c>
      <c r="U11" s="216">
        <f t="shared" si="3"/>
        <v>222</v>
      </c>
      <c r="V11" s="2">
        <f t="shared" si="5"/>
        <v>-1</v>
      </c>
    </row>
    <row r="12" spans="1:22" ht="14.4" x14ac:dyDescent="0.3">
      <c r="A12" s="53" t="s">
        <v>66</v>
      </c>
      <c r="B12" s="53">
        <v>377</v>
      </c>
      <c r="C12" s="53">
        <v>520</v>
      </c>
      <c r="D12" s="53">
        <v>897</v>
      </c>
      <c r="E12" s="264">
        <v>1.080722891566265</v>
      </c>
      <c r="F12" s="265">
        <v>0.9</v>
      </c>
      <c r="G12" s="53">
        <f t="shared" si="0"/>
        <v>150</v>
      </c>
      <c r="H12" s="211">
        <f t="shared" si="1"/>
        <v>0.16722408026755853</v>
      </c>
      <c r="I12" s="53">
        <f t="shared" si="2"/>
        <v>15</v>
      </c>
      <c r="J12" s="214" t="s">
        <v>4</v>
      </c>
      <c r="K12" s="215">
        <v>20</v>
      </c>
      <c r="L12" s="267">
        <v>14</v>
      </c>
      <c r="M12" s="43">
        <v>16</v>
      </c>
      <c r="N12" s="53">
        <v>16</v>
      </c>
      <c r="O12" s="53">
        <v>16</v>
      </c>
      <c r="P12" s="53">
        <v>16</v>
      </c>
      <c r="Q12" s="53">
        <v>16</v>
      </c>
      <c r="R12" s="53">
        <v>14</v>
      </c>
      <c r="S12" s="53">
        <v>8</v>
      </c>
      <c r="T12" s="53">
        <v>8</v>
      </c>
      <c r="U12" s="216">
        <f t="shared" si="3"/>
        <v>144</v>
      </c>
      <c r="V12" s="2">
        <f t="shared" si="5"/>
        <v>-6</v>
      </c>
    </row>
    <row r="13" spans="1:22" ht="14.4" x14ac:dyDescent="0.3">
      <c r="A13" s="53" t="s">
        <v>945</v>
      </c>
      <c r="B13" s="53">
        <v>131</v>
      </c>
      <c r="C13" s="53">
        <v>366</v>
      </c>
      <c r="D13" s="53">
        <v>497</v>
      </c>
      <c r="E13" s="264">
        <v>0.59879518072289162</v>
      </c>
      <c r="F13" s="268">
        <v>0.5</v>
      </c>
      <c r="G13" s="53">
        <f t="shared" si="0"/>
        <v>82</v>
      </c>
      <c r="H13" s="211">
        <f t="shared" si="1"/>
        <v>0.16498993963782696</v>
      </c>
      <c r="I13" s="53">
        <f t="shared" si="2"/>
        <v>8.1999999999999993</v>
      </c>
      <c r="J13" s="214" t="s">
        <v>809</v>
      </c>
      <c r="K13" s="215">
        <v>10</v>
      </c>
      <c r="L13" s="267">
        <v>8</v>
      </c>
      <c r="M13" s="43">
        <v>8</v>
      </c>
      <c r="N13" s="53">
        <v>8</v>
      </c>
      <c r="O13" s="53">
        <v>8</v>
      </c>
      <c r="P13" s="53">
        <v>8</v>
      </c>
      <c r="Q13" s="53">
        <v>8</v>
      </c>
      <c r="R13" s="53">
        <v>8</v>
      </c>
      <c r="S13" s="53">
        <v>8</v>
      </c>
      <c r="T13" s="53">
        <v>6</v>
      </c>
      <c r="U13" s="216">
        <f t="shared" si="3"/>
        <v>80</v>
      </c>
      <c r="V13" s="2">
        <f t="shared" si="5"/>
        <v>-2</v>
      </c>
    </row>
    <row r="14" spans="1:22" ht="14.4" x14ac:dyDescent="0.3">
      <c r="A14" s="53" t="s">
        <v>129</v>
      </c>
      <c r="B14" s="53">
        <v>442.75</v>
      </c>
      <c r="C14" s="53">
        <v>534.75</v>
      </c>
      <c r="D14" s="53">
        <v>977.5</v>
      </c>
      <c r="E14" s="264">
        <v>1.177710843373494</v>
      </c>
      <c r="F14" s="265">
        <v>1</v>
      </c>
      <c r="G14" s="53">
        <f t="shared" si="0"/>
        <v>147.5</v>
      </c>
      <c r="H14" s="211">
        <f t="shared" si="1"/>
        <v>0.15089514066496162</v>
      </c>
      <c r="I14" s="53">
        <f t="shared" si="2"/>
        <v>14.75</v>
      </c>
      <c r="J14" s="214" t="s">
        <v>8</v>
      </c>
      <c r="K14" s="215">
        <v>24</v>
      </c>
      <c r="L14" s="215">
        <v>24</v>
      </c>
      <c r="M14" s="43">
        <v>14</v>
      </c>
      <c r="N14" s="53">
        <v>12</v>
      </c>
      <c r="O14" s="53">
        <v>14</v>
      </c>
      <c r="P14" s="53">
        <v>12</v>
      </c>
      <c r="Q14" s="53">
        <v>12</v>
      </c>
      <c r="R14" s="53">
        <v>12</v>
      </c>
      <c r="S14" s="53">
        <v>12</v>
      </c>
      <c r="T14" s="53">
        <v>12</v>
      </c>
      <c r="U14" s="216">
        <f t="shared" si="3"/>
        <v>148</v>
      </c>
      <c r="V14" s="2">
        <f t="shared" si="5"/>
        <v>0.5</v>
      </c>
    </row>
    <row r="15" spans="1:22" ht="14.4" x14ac:dyDescent="0.3">
      <c r="A15" s="53" t="s">
        <v>201</v>
      </c>
      <c r="B15" s="53">
        <v>479.25</v>
      </c>
      <c r="C15" s="247">
        <v>368.25</v>
      </c>
      <c r="D15" s="53">
        <v>847.5</v>
      </c>
      <c r="E15" s="264">
        <v>1.0210843373493976</v>
      </c>
      <c r="F15" s="266">
        <v>0.9</v>
      </c>
      <c r="G15" s="53">
        <f t="shared" si="0"/>
        <v>100.5</v>
      </c>
      <c r="H15" s="211">
        <f t="shared" si="1"/>
        <v>0.11858407079646018</v>
      </c>
      <c r="I15" s="53">
        <f t="shared" si="2"/>
        <v>10.050000000000001</v>
      </c>
      <c r="J15" s="214" t="s">
        <v>4</v>
      </c>
      <c r="K15" s="215">
        <v>14</v>
      </c>
      <c r="L15" s="267">
        <v>12</v>
      </c>
      <c r="M15" s="43">
        <v>10</v>
      </c>
      <c r="N15" s="53">
        <v>10</v>
      </c>
      <c r="O15" s="53">
        <v>8</v>
      </c>
      <c r="P15" s="53">
        <v>12</v>
      </c>
      <c r="Q15" s="53">
        <v>8</v>
      </c>
      <c r="R15" s="53">
        <v>8</v>
      </c>
      <c r="S15" s="53">
        <v>8</v>
      </c>
      <c r="T15" s="53">
        <v>8</v>
      </c>
      <c r="U15" s="216">
        <f t="shared" si="3"/>
        <v>98</v>
      </c>
      <c r="V15" s="2">
        <f t="shared" si="5"/>
        <v>-2.5</v>
      </c>
    </row>
    <row r="16" spans="1:22" ht="14.4" x14ac:dyDescent="0.3">
      <c r="A16" s="53" t="s">
        <v>946</v>
      </c>
      <c r="B16" s="53">
        <v>28.75</v>
      </c>
      <c r="C16" s="53">
        <v>86.75</v>
      </c>
      <c r="D16" s="53">
        <v>115.5</v>
      </c>
      <c r="E16" s="264">
        <v>0.13915662650602409</v>
      </c>
      <c r="F16" s="266">
        <v>0.1</v>
      </c>
      <c r="G16" s="53">
        <f t="shared" si="0"/>
        <v>32.5</v>
      </c>
      <c r="H16" s="211">
        <f t="shared" si="1"/>
        <v>0.2813852813852814</v>
      </c>
      <c r="I16" s="53">
        <f t="shared" si="2"/>
        <v>3.25</v>
      </c>
      <c r="J16" s="214" t="s">
        <v>4</v>
      </c>
      <c r="K16" s="215">
        <v>4</v>
      </c>
      <c r="L16" s="269">
        <v>0</v>
      </c>
      <c r="M16" s="43">
        <v>2</v>
      </c>
      <c r="N16" s="53">
        <v>2</v>
      </c>
      <c r="O16" s="53">
        <v>2</v>
      </c>
      <c r="P16" s="53">
        <v>2</v>
      </c>
      <c r="Q16" s="53">
        <v>2</v>
      </c>
      <c r="R16" s="53">
        <v>2</v>
      </c>
      <c r="S16" s="53">
        <v>2</v>
      </c>
      <c r="T16" s="53">
        <v>2</v>
      </c>
      <c r="U16" s="216">
        <f t="shared" si="3"/>
        <v>20</v>
      </c>
      <c r="V16" s="2">
        <f t="shared" si="5"/>
        <v>-12.5</v>
      </c>
    </row>
    <row r="17" spans="1:22" ht="14.4" x14ac:dyDescent="0.3">
      <c r="A17" s="53" t="s">
        <v>223</v>
      </c>
      <c r="B17" s="53">
        <v>85</v>
      </c>
      <c r="C17" s="53">
        <v>215</v>
      </c>
      <c r="D17" s="53">
        <v>300</v>
      </c>
      <c r="E17" s="264">
        <v>0.36144578313253012</v>
      </c>
      <c r="F17" s="266">
        <v>0.25</v>
      </c>
      <c r="G17" s="53">
        <f t="shared" si="0"/>
        <v>92.5</v>
      </c>
      <c r="H17" s="211">
        <f t="shared" si="1"/>
        <v>0.30833333333333335</v>
      </c>
      <c r="I17" s="53">
        <f t="shared" si="2"/>
        <v>9.25</v>
      </c>
      <c r="J17" s="214" t="s">
        <v>4</v>
      </c>
      <c r="K17" s="215">
        <v>8</v>
      </c>
      <c r="L17" s="267">
        <v>6</v>
      </c>
      <c r="M17" s="43">
        <v>10</v>
      </c>
      <c r="N17" s="53">
        <v>14</v>
      </c>
      <c r="O17" s="53">
        <v>10</v>
      </c>
      <c r="P17" s="53">
        <v>10</v>
      </c>
      <c r="Q17" s="53">
        <v>10</v>
      </c>
      <c r="R17" s="53">
        <v>10</v>
      </c>
      <c r="S17" s="53">
        <v>10</v>
      </c>
      <c r="T17" s="53">
        <v>10</v>
      </c>
      <c r="U17" s="216">
        <f t="shared" si="3"/>
        <v>98</v>
      </c>
      <c r="V17" s="2">
        <f t="shared" si="5"/>
        <v>5.5</v>
      </c>
    </row>
    <row r="18" spans="1:22" ht="14.4" x14ac:dyDescent="0.3">
      <c r="A18" s="53" t="s">
        <v>180</v>
      </c>
      <c r="B18" s="53">
        <v>502.75</v>
      </c>
      <c r="C18" s="53">
        <v>253.75</v>
      </c>
      <c r="D18" s="53">
        <v>756.5</v>
      </c>
      <c r="E18" s="264">
        <v>0.91144578313253011</v>
      </c>
      <c r="F18" s="266">
        <v>0.9</v>
      </c>
      <c r="G18" s="53">
        <f t="shared" si="0"/>
        <v>9.5</v>
      </c>
      <c r="H18" s="211">
        <f t="shared" si="1"/>
        <v>1.255783212161269E-2</v>
      </c>
      <c r="I18" s="53">
        <f t="shared" si="2"/>
        <v>0.95</v>
      </c>
      <c r="J18" s="214" t="s">
        <v>4</v>
      </c>
      <c r="K18" s="215">
        <v>0</v>
      </c>
      <c r="L18" s="215">
        <v>0</v>
      </c>
      <c r="M18" s="43"/>
      <c r="N18" s="53"/>
      <c r="O18" s="53"/>
      <c r="P18" s="53"/>
      <c r="Q18" s="53"/>
      <c r="R18" s="53"/>
      <c r="S18" s="53"/>
      <c r="T18" s="53"/>
      <c r="U18" s="216">
        <f t="shared" si="3"/>
        <v>0</v>
      </c>
      <c r="V18" s="2">
        <f t="shared" si="5"/>
        <v>-9.5</v>
      </c>
    </row>
    <row r="19" spans="1:22" ht="14.4" x14ac:dyDescent="0.3">
      <c r="A19" s="53" t="s">
        <v>187</v>
      </c>
      <c r="B19" s="53">
        <v>38</v>
      </c>
      <c r="C19" s="53">
        <v>55</v>
      </c>
      <c r="D19" s="53">
        <v>93</v>
      </c>
      <c r="E19" s="264">
        <v>0.11204819277108434</v>
      </c>
      <c r="F19" s="266">
        <v>0.1</v>
      </c>
      <c r="G19" s="53">
        <f t="shared" si="0"/>
        <v>10</v>
      </c>
      <c r="H19" s="211">
        <f t="shared" si="1"/>
        <v>0.10752688172043011</v>
      </c>
      <c r="I19" s="53">
        <f t="shared" si="2"/>
        <v>1</v>
      </c>
      <c r="J19" s="214" t="s">
        <v>810</v>
      </c>
      <c r="K19" s="215"/>
      <c r="L19" s="215"/>
      <c r="M19" s="43"/>
      <c r="N19" s="53"/>
      <c r="O19" s="53"/>
      <c r="P19" s="53"/>
      <c r="Q19" s="53"/>
      <c r="R19" s="53"/>
      <c r="S19" s="53"/>
      <c r="T19" s="53"/>
      <c r="U19" s="216">
        <f t="shared" si="3"/>
        <v>0</v>
      </c>
      <c r="V19" s="2">
        <f t="shared" si="5"/>
        <v>-10</v>
      </c>
    </row>
    <row r="20" spans="1:22" ht="14.4" x14ac:dyDescent="0.3">
      <c r="A20" s="53" t="s">
        <v>95</v>
      </c>
      <c r="B20" s="53">
        <v>256</v>
      </c>
      <c r="C20" s="53">
        <v>346</v>
      </c>
      <c r="D20" s="53">
        <v>602</v>
      </c>
      <c r="E20" s="264">
        <v>0.72530120481927707</v>
      </c>
      <c r="F20" s="266">
        <v>0.6</v>
      </c>
      <c r="G20" s="53">
        <f t="shared" si="0"/>
        <v>104</v>
      </c>
      <c r="H20" s="211">
        <f t="shared" si="1"/>
        <v>0.17275747508305647</v>
      </c>
      <c r="I20" s="53">
        <f t="shared" si="2"/>
        <v>10.4</v>
      </c>
      <c r="J20" s="214" t="s">
        <v>8</v>
      </c>
      <c r="K20" s="215">
        <v>10</v>
      </c>
      <c r="L20" s="215">
        <v>10</v>
      </c>
      <c r="M20" s="43">
        <v>10</v>
      </c>
      <c r="N20" s="53">
        <v>10</v>
      </c>
      <c r="O20" s="53">
        <v>12</v>
      </c>
      <c r="P20" s="53">
        <v>12</v>
      </c>
      <c r="Q20" s="53">
        <v>10</v>
      </c>
      <c r="R20" s="53">
        <v>10</v>
      </c>
      <c r="S20" s="53">
        <v>10</v>
      </c>
      <c r="T20" s="53">
        <v>10</v>
      </c>
      <c r="U20" s="216">
        <f t="shared" si="3"/>
        <v>104</v>
      </c>
      <c r="V20" s="2">
        <f t="shared" si="5"/>
        <v>0</v>
      </c>
    </row>
    <row r="21" spans="1:22" ht="15.75" customHeight="1" x14ac:dyDescent="0.3">
      <c r="A21" s="53" t="s">
        <v>260</v>
      </c>
      <c r="B21" s="53">
        <v>48</v>
      </c>
      <c r="C21" s="53">
        <v>79</v>
      </c>
      <c r="D21" s="53">
        <v>127</v>
      </c>
      <c r="E21" s="264">
        <v>0.15301204819277109</v>
      </c>
      <c r="F21" s="265">
        <v>0.25</v>
      </c>
      <c r="G21" s="53">
        <f t="shared" si="0"/>
        <v>-80.5</v>
      </c>
      <c r="H21" s="211">
        <f t="shared" si="1"/>
        <v>-0.63385826771653542</v>
      </c>
      <c r="I21" s="53">
        <f t="shared" si="2"/>
        <v>-8.0500000000000007</v>
      </c>
      <c r="J21" s="270" t="s">
        <v>810</v>
      </c>
      <c r="K21" s="215">
        <v>0</v>
      </c>
      <c r="L21" s="215">
        <v>0</v>
      </c>
      <c r="M21" s="43"/>
      <c r="N21" s="53"/>
      <c r="O21" s="53"/>
      <c r="P21" s="53"/>
      <c r="Q21" s="53"/>
      <c r="R21" s="53"/>
      <c r="S21" s="53"/>
      <c r="T21" s="53"/>
      <c r="U21" s="216">
        <f t="shared" si="3"/>
        <v>0</v>
      </c>
    </row>
    <row r="22" spans="1:22" ht="15.75" customHeight="1" x14ac:dyDescent="0.3">
      <c r="A22" s="53" t="s">
        <v>307</v>
      </c>
      <c r="B22" s="53">
        <v>49</v>
      </c>
      <c r="C22" s="53">
        <v>26</v>
      </c>
      <c r="D22" s="53">
        <v>75</v>
      </c>
      <c r="E22" s="264">
        <v>9.036144578313253E-2</v>
      </c>
      <c r="F22" s="266">
        <v>0.1</v>
      </c>
      <c r="G22" s="53">
        <f t="shared" si="0"/>
        <v>-8</v>
      </c>
      <c r="H22" s="211">
        <f t="shared" si="1"/>
        <v>-0.10666666666666667</v>
      </c>
      <c r="I22" s="53">
        <f t="shared" si="2"/>
        <v>-0.8</v>
      </c>
      <c r="J22" s="214" t="s">
        <v>809</v>
      </c>
      <c r="K22" s="215">
        <v>2</v>
      </c>
      <c r="L22" s="215">
        <v>2</v>
      </c>
      <c r="M22" s="43"/>
      <c r="N22" s="53"/>
      <c r="O22" s="53"/>
      <c r="P22" s="53"/>
      <c r="Q22" s="53"/>
      <c r="R22" s="53"/>
      <c r="S22" s="53"/>
      <c r="T22" s="53"/>
      <c r="U22" s="216">
        <f t="shared" si="3"/>
        <v>4</v>
      </c>
      <c r="V22" s="2">
        <f t="shared" si="5"/>
        <v>12</v>
      </c>
    </row>
    <row r="23" spans="1:22" ht="15.75" customHeight="1" x14ac:dyDescent="0.3">
      <c r="A23" s="53" t="s">
        <v>947</v>
      </c>
      <c r="B23" s="53">
        <v>15</v>
      </c>
      <c r="C23" s="53">
        <v>190</v>
      </c>
      <c r="D23" s="53">
        <v>205</v>
      </c>
      <c r="E23" s="264">
        <v>0.24698795180722891</v>
      </c>
      <c r="F23" s="266">
        <v>0.2</v>
      </c>
      <c r="G23" s="53">
        <f t="shared" si="0"/>
        <v>39</v>
      </c>
      <c r="H23" s="211">
        <f t="shared" si="1"/>
        <v>0.19024390243902439</v>
      </c>
      <c r="I23" s="53">
        <f t="shared" si="2"/>
        <v>3.9</v>
      </c>
      <c r="J23" s="214" t="s">
        <v>8</v>
      </c>
      <c r="K23" s="215">
        <v>6</v>
      </c>
      <c r="L23" s="215">
        <v>6</v>
      </c>
      <c r="M23" s="43"/>
      <c r="N23" s="53"/>
      <c r="O23" s="53"/>
      <c r="P23" s="53"/>
      <c r="Q23" s="53"/>
      <c r="R23" s="53"/>
      <c r="S23" s="53"/>
      <c r="T23" s="53"/>
      <c r="U23" s="216">
        <f t="shared" si="3"/>
        <v>12</v>
      </c>
      <c r="V23" s="2">
        <f t="shared" si="5"/>
        <v>-27</v>
      </c>
    </row>
    <row r="24" spans="1:22" ht="15.75" customHeight="1" x14ac:dyDescent="0.3">
      <c r="A24" s="53" t="s">
        <v>258</v>
      </c>
      <c r="B24" s="53">
        <v>409</v>
      </c>
      <c r="C24" s="53">
        <v>546</v>
      </c>
      <c r="D24" s="53">
        <v>969</v>
      </c>
      <c r="E24" s="264">
        <v>1.1674698795180722</v>
      </c>
      <c r="F24" s="265">
        <v>1</v>
      </c>
      <c r="G24" s="53">
        <f t="shared" si="0"/>
        <v>139</v>
      </c>
      <c r="H24" s="211">
        <f t="shared" si="1"/>
        <v>0.1434468524251806</v>
      </c>
      <c r="I24" s="53">
        <f t="shared" si="2"/>
        <v>13.9</v>
      </c>
      <c r="J24" s="214" t="s">
        <v>8</v>
      </c>
      <c r="K24" s="215">
        <v>28</v>
      </c>
      <c r="L24" s="267">
        <v>12</v>
      </c>
      <c r="M24" s="43">
        <v>12</v>
      </c>
      <c r="N24" s="53">
        <v>12</v>
      </c>
      <c r="O24" s="53">
        <v>10</v>
      </c>
      <c r="P24" s="53">
        <v>10</v>
      </c>
      <c r="Q24" s="53">
        <v>10</v>
      </c>
      <c r="R24" s="53">
        <v>10</v>
      </c>
      <c r="S24" s="53">
        <v>10</v>
      </c>
      <c r="T24" s="53">
        <v>10</v>
      </c>
      <c r="U24" s="216">
        <f t="shared" si="3"/>
        <v>124</v>
      </c>
      <c r="V24" s="2">
        <f t="shared" si="5"/>
        <v>-15</v>
      </c>
    </row>
    <row r="25" spans="1:22" ht="15.75" customHeight="1" x14ac:dyDescent="0.3">
      <c r="A25" s="53" t="s">
        <v>71</v>
      </c>
      <c r="B25" s="53">
        <v>379</v>
      </c>
      <c r="C25" s="53">
        <v>351</v>
      </c>
      <c r="D25" s="53">
        <v>730</v>
      </c>
      <c r="E25" s="264">
        <v>0.87951807228915657</v>
      </c>
      <c r="F25" s="266">
        <v>1</v>
      </c>
      <c r="G25" s="53">
        <f t="shared" si="0"/>
        <v>-100</v>
      </c>
      <c r="H25" s="211">
        <f t="shared" si="1"/>
        <v>-0.13698630136986301</v>
      </c>
      <c r="I25" s="53">
        <f t="shared" si="2"/>
        <v>-10</v>
      </c>
      <c r="J25" s="214" t="s">
        <v>811</v>
      </c>
      <c r="K25" s="215">
        <v>10</v>
      </c>
      <c r="L25" s="215">
        <v>10</v>
      </c>
      <c r="M25" s="43"/>
      <c r="N25" s="53"/>
      <c r="O25" s="53"/>
      <c r="P25" s="53"/>
      <c r="Q25" s="53"/>
      <c r="R25" s="53"/>
      <c r="S25" s="53"/>
      <c r="T25" s="53"/>
      <c r="U25" s="216">
        <f t="shared" si="3"/>
        <v>20</v>
      </c>
    </row>
    <row r="26" spans="1:22" ht="15.75" customHeight="1" x14ac:dyDescent="0.3">
      <c r="A26" s="53" t="s">
        <v>147</v>
      </c>
      <c r="B26" s="53">
        <v>386</v>
      </c>
      <c r="C26" s="53">
        <v>460</v>
      </c>
      <c r="D26" s="53">
        <v>846</v>
      </c>
      <c r="E26" s="264">
        <v>1.0192771084337349</v>
      </c>
      <c r="F26" s="266">
        <v>0.85</v>
      </c>
      <c r="G26" s="53">
        <f t="shared" si="0"/>
        <v>140.5</v>
      </c>
      <c r="H26" s="211">
        <f t="shared" si="1"/>
        <v>0.1660756501182033</v>
      </c>
      <c r="I26" s="53">
        <f t="shared" si="2"/>
        <v>14.05</v>
      </c>
      <c r="J26" s="214" t="s">
        <v>8</v>
      </c>
      <c r="K26" s="215">
        <v>18</v>
      </c>
      <c r="L26" s="271">
        <v>18</v>
      </c>
      <c r="M26" s="43">
        <v>12</v>
      </c>
      <c r="N26" s="53">
        <v>12</v>
      </c>
      <c r="O26" s="53">
        <v>14</v>
      </c>
      <c r="P26" s="53">
        <v>14</v>
      </c>
      <c r="Q26" s="53">
        <v>14</v>
      </c>
      <c r="R26" s="53">
        <v>14</v>
      </c>
      <c r="S26" s="53">
        <v>12</v>
      </c>
      <c r="T26" s="53">
        <v>12</v>
      </c>
      <c r="U26" s="216">
        <f t="shared" si="3"/>
        <v>140</v>
      </c>
      <c r="V26" s="2">
        <f t="shared" si="5"/>
        <v>-0.5</v>
      </c>
    </row>
    <row r="27" spans="1:22" ht="15.75" customHeight="1" x14ac:dyDescent="0.3">
      <c r="A27" s="53" t="s">
        <v>85</v>
      </c>
      <c r="B27" s="53">
        <v>505.5</v>
      </c>
      <c r="C27" s="53">
        <v>311.5</v>
      </c>
      <c r="D27" s="53">
        <v>817</v>
      </c>
      <c r="E27" s="264">
        <v>0.98433734939759032</v>
      </c>
      <c r="F27" s="266">
        <v>0.9</v>
      </c>
      <c r="G27" s="53">
        <f t="shared" si="0"/>
        <v>70</v>
      </c>
      <c r="H27" s="211">
        <f t="shared" si="1"/>
        <v>8.5679314565483472E-2</v>
      </c>
      <c r="I27" s="53">
        <f t="shared" si="2"/>
        <v>7</v>
      </c>
      <c r="J27" s="214" t="s">
        <v>4</v>
      </c>
      <c r="K27" s="215">
        <v>10</v>
      </c>
      <c r="L27" s="267">
        <v>8</v>
      </c>
      <c r="M27" s="43">
        <v>6</v>
      </c>
      <c r="N27" s="53">
        <v>6</v>
      </c>
      <c r="O27" s="53">
        <v>8</v>
      </c>
      <c r="P27" s="53">
        <v>6</v>
      </c>
      <c r="Q27" s="53">
        <v>6</v>
      </c>
      <c r="R27" s="53">
        <v>6</v>
      </c>
      <c r="S27" s="53">
        <v>6</v>
      </c>
      <c r="T27" s="53">
        <v>6</v>
      </c>
      <c r="U27" s="216">
        <f t="shared" si="3"/>
        <v>68</v>
      </c>
      <c r="V27" s="2">
        <f t="shared" si="5"/>
        <v>-2</v>
      </c>
    </row>
    <row r="28" spans="1:22" ht="15.75" customHeight="1" x14ac:dyDescent="0.3">
      <c r="A28" s="53" t="s">
        <v>77</v>
      </c>
      <c r="B28" s="53">
        <v>240</v>
      </c>
      <c r="C28" s="53">
        <v>213</v>
      </c>
      <c r="D28" s="53">
        <v>453</v>
      </c>
      <c r="E28" s="264">
        <v>0.54578313253012045</v>
      </c>
      <c r="F28" s="265">
        <v>0.5</v>
      </c>
      <c r="G28" s="53">
        <f t="shared" si="0"/>
        <v>38</v>
      </c>
      <c r="H28" s="211">
        <f t="shared" si="1"/>
        <v>8.3885209713024281E-2</v>
      </c>
      <c r="I28" s="53">
        <f t="shared" si="2"/>
        <v>3.8</v>
      </c>
      <c r="J28" s="214" t="s">
        <v>8</v>
      </c>
      <c r="K28" s="215">
        <v>8</v>
      </c>
      <c r="L28" s="215">
        <v>8</v>
      </c>
      <c r="M28" s="43">
        <v>2</v>
      </c>
      <c r="N28" s="53">
        <v>2</v>
      </c>
      <c r="O28" s="53">
        <v>4</v>
      </c>
      <c r="P28" s="53">
        <v>4</v>
      </c>
      <c r="Q28" s="53">
        <v>4</v>
      </c>
      <c r="R28" s="53">
        <v>2</v>
      </c>
      <c r="S28" s="53">
        <v>2</v>
      </c>
      <c r="T28" s="53">
        <v>2</v>
      </c>
      <c r="U28" s="216">
        <f t="shared" si="3"/>
        <v>38</v>
      </c>
      <c r="V28" s="2">
        <f t="shared" si="5"/>
        <v>0</v>
      </c>
    </row>
    <row r="29" spans="1:22" ht="15.75" customHeight="1" x14ac:dyDescent="0.3">
      <c r="A29" s="53" t="s">
        <v>574</v>
      </c>
      <c r="B29" s="53">
        <v>255.75</v>
      </c>
      <c r="C29" s="53">
        <v>293.75</v>
      </c>
      <c r="D29" s="53">
        <v>549.5</v>
      </c>
      <c r="E29" s="264">
        <v>0.66204819277108429</v>
      </c>
      <c r="F29" s="266">
        <v>0.65</v>
      </c>
      <c r="G29" s="53">
        <f t="shared" si="0"/>
        <v>10</v>
      </c>
      <c r="H29" s="211">
        <f t="shared" si="1"/>
        <v>1.8198362147406732E-2</v>
      </c>
      <c r="I29" s="53">
        <f t="shared" si="2"/>
        <v>1</v>
      </c>
      <c r="J29" s="214" t="s">
        <v>8</v>
      </c>
      <c r="K29" s="215">
        <v>12</v>
      </c>
      <c r="L29" s="215">
        <v>12</v>
      </c>
      <c r="M29" s="43"/>
      <c r="N29" s="53"/>
      <c r="O29" s="53"/>
      <c r="P29" s="53"/>
      <c r="Q29" s="53"/>
      <c r="R29" s="53"/>
      <c r="S29" s="53"/>
      <c r="T29" s="53"/>
      <c r="U29" s="216">
        <f t="shared" si="3"/>
        <v>24</v>
      </c>
    </row>
    <row r="30" spans="1:22" ht="15.75" customHeight="1" x14ac:dyDescent="0.3">
      <c r="A30" s="53" t="s">
        <v>99</v>
      </c>
      <c r="B30" s="53">
        <v>333</v>
      </c>
      <c r="C30" s="53">
        <v>195</v>
      </c>
      <c r="D30" s="53">
        <v>528</v>
      </c>
      <c r="E30" s="264">
        <v>0.636144578313253</v>
      </c>
      <c r="F30" s="266">
        <v>0.45</v>
      </c>
      <c r="G30" s="53">
        <f t="shared" si="0"/>
        <v>154.5</v>
      </c>
      <c r="H30" s="211">
        <f t="shared" si="1"/>
        <v>0.29261363636363635</v>
      </c>
      <c r="I30" s="53">
        <f t="shared" si="2"/>
        <v>15.45</v>
      </c>
      <c r="J30" s="214" t="s">
        <v>809</v>
      </c>
      <c r="K30" s="215">
        <v>8</v>
      </c>
      <c r="L30" s="215">
        <v>8</v>
      </c>
      <c r="M30" s="43">
        <v>18</v>
      </c>
      <c r="N30" s="53">
        <v>16</v>
      </c>
      <c r="O30" s="53">
        <v>18</v>
      </c>
      <c r="P30" s="53">
        <v>18</v>
      </c>
      <c r="Q30" s="53">
        <v>18</v>
      </c>
      <c r="R30" s="53">
        <v>18</v>
      </c>
      <c r="S30" s="53">
        <v>16</v>
      </c>
      <c r="T30" s="53">
        <v>16</v>
      </c>
      <c r="U30" s="216">
        <f t="shared" si="3"/>
        <v>154</v>
      </c>
      <c r="V30" s="2">
        <f t="shared" si="5"/>
        <v>-0.5</v>
      </c>
    </row>
    <row r="31" spans="1:22" ht="15.75" customHeight="1" x14ac:dyDescent="0.3">
      <c r="A31" s="53" t="s">
        <v>211</v>
      </c>
      <c r="B31" s="53">
        <v>102.75</v>
      </c>
      <c r="C31" s="53">
        <v>327.75</v>
      </c>
      <c r="D31" s="53">
        <v>430.5</v>
      </c>
      <c r="E31" s="264">
        <v>0.51867469879518069</v>
      </c>
      <c r="F31" s="266">
        <v>0.35</v>
      </c>
      <c r="G31" s="53">
        <f t="shared" si="0"/>
        <v>140</v>
      </c>
      <c r="H31" s="211">
        <f t="shared" si="1"/>
        <v>0.32520325203252032</v>
      </c>
      <c r="I31" s="53">
        <f t="shared" si="2"/>
        <v>14</v>
      </c>
      <c r="J31" s="214" t="s">
        <v>4</v>
      </c>
      <c r="K31" s="215">
        <v>12</v>
      </c>
      <c r="L31" s="215">
        <v>12</v>
      </c>
      <c r="M31" s="43">
        <v>14</v>
      </c>
      <c r="N31" s="53">
        <v>14</v>
      </c>
      <c r="O31" s="53">
        <v>14</v>
      </c>
      <c r="P31" s="53">
        <v>16</v>
      </c>
      <c r="Q31" s="53">
        <v>14</v>
      </c>
      <c r="R31" s="53">
        <v>14</v>
      </c>
      <c r="S31" s="53">
        <v>16</v>
      </c>
      <c r="T31" s="53">
        <v>14</v>
      </c>
      <c r="U31" s="216">
        <f t="shared" si="3"/>
        <v>140</v>
      </c>
      <c r="V31" s="2">
        <f t="shared" si="5"/>
        <v>0</v>
      </c>
    </row>
    <row r="32" spans="1:22" ht="15.75" customHeight="1" x14ac:dyDescent="0.3">
      <c r="A32" s="53" t="s">
        <v>64</v>
      </c>
      <c r="B32" s="53">
        <v>237</v>
      </c>
      <c r="C32" s="53">
        <v>263</v>
      </c>
      <c r="D32" s="53">
        <v>500</v>
      </c>
      <c r="E32" s="264">
        <v>0.60240963855421692</v>
      </c>
      <c r="F32" s="266">
        <v>0.45</v>
      </c>
      <c r="G32" s="53">
        <f t="shared" si="0"/>
        <v>126.5</v>
      </c>
      <c r="H32" s="211">
        <f t="shared" si="1"/>
        <v>0.253</v>
      </c>
      <c r="I32" s="53">
        <f t="shared" si="2"/>
        <v>12.65</v>
      </c>
      <c r="J32" s="214" t="s">
        <v>4</v>
      </c>
      <c r="K32" s="215">
        <v>8</v>
      </c>
      <c r="L32" s="215">
        <v>8</v>
      </c>
      <c r="M32" s="43">
        <v>12</v>
      </c>
      <c r="N32" s="53">
        <v>14</v>
      </c>
      <c r="O32" s="53">
        <v>14</v>
      </c>
      <c r="P32" s="53">
        <v>14</v>
      </c>
      <c r="Q32" s="53">
        <v>14</v>
      </c>
      <c r="R32" s="53">
        <v>14</v>
      </c>
      <c r="S32" s="53">
        <v>14</v>
      </c>
      <c r="T32" s="53">
        <v>14</v>
      </c>
      <c r="U32" s="216">
        <f t="shared" si="3"/>
        <v>126</v>
      </c>
      <c r="V32" s="2">
        <f t="shared" si="5"/>
        <v>-0.5</v>
      </c>
    </row>
    <row r="33" spans="1:22" ht="15.75" customHeight="1" x14ac:dyDescent="0.3">
      <c r="A33" s="53" t="s">
        <v>97</v>
      </c>
      <c r="B33" s="53">
        <v>406</v>
      </c>
      <c r="C33" s="53">
        <v>423</v>
      </c>
      <c r="D33" s="53">
        <v>829</v>
      </c>
      <c r="E33" s="264">
        <v>0.99879518072289153</v>
      </c>
      <c r="F33" s="265">
        <v>0.95</v>
      </c>
      <c r="G33" s="53">
        <f t="shared" si="0"/>
        <v>40.5</v>
      </c>
      <c r="H33" s="211">
        <f t="shared" si="1"/>
        <v>4.8854041013268998E-2</v>
      </c>
      <c r="I33" s="53">
        <f t="shared" si="2"/>
        <v>4.05</v>
      </c>
      <c r="J33" s="214" t="s">
        <v>8</v>
      </c>
      <c r="K33" s="215">
        <v>18</v>
      </c>
      <c r="L33" s="267">
        <v>10</v>
      </c>
      <c r="M33" s="43">
        <v>2</v>
      </c>
      <c r="N33" s="53">
        <v>2</v>
      </c>
      <c r="O33" s="53"/>
      <c r="P33" s="53"/>
      <c r="Q33" s="53"/>
      <c r="R33" s="53"/>
      <c r="S33" s="53"/>
      <c r="T33" s="53"/>
      <c r="U33" s="216">
        <f t="shared" si="3"/>
        <v>32</v>
      </c>
      <c r="V33" s="2">
        <f t="shared" si="5"/>
        <v>-8.5</v>
      </c>
    </row>
    <row r="34" spans="1:22" ht="15.75" customHeight="1" x14ac:dyDescent="0.3">
      <c r="A34" s="53" t="s">
        <v>292</v>
      </c>
      <c r="B34" s="53">
        <v>45</v>
      </c>
      <c r="C34" s="53">
        <v>288</v>
      </c>
      <c r="D34" s="53">
        <v>333</v>
      </c>
      <c r="E34" s="264">
        <v>0.40120481927710844</v>
      </c>
      <c r="F34" s="266">
        <v>0.45</v>
      </c>
      <c r="G34" s="53">
        <f t="shared" si="0"/>
        <v>-40.5</v>
      </c>
      <c r="H34" s="211">
        <f t="shared" si="1"/>
        <v>-0.12162162162162163</v>
      </c>
      <c r="I34" s="53">
        <f t="shared" si="2"/>
        <v>-4.05</v>
      </c>
      <c r="J34" s="214" t="s">
        <v>8</v>
      </c>
      <c r="K34" s="215">
        <v>0</v>
      </c>
      <c r="L34" s="215">
        <v>0</v>
      </c>
      <c r="M34" s="43"/>
      <c r="N34" s="53"/>
      <c r="O34" s="53"/>
      <c r="P34" s="53"/>
      <c r="Q34" s="53"/>
      <c r="R34" s="53"/>
      <c r="S34" s="53"/>
      <c r="T34" s="53"/>
      <c r="U34" s="216">
        <f t="shared" si="3"/>
        <v>0</v>
      </c>
      <c r="V34" s="2">
        <f t="shared" si="5"/>
        <v>40.5</v>
      </c>
    </row>
    <row r="35" spans="1:22" ht="15.75" customHeight="1" x14ac:dyDescent="0.3">
      <c r="A35" s="53" t="s">
        <v>273</v>
      </c>
      <c r="B35" s="53">
        <v>467</v>
      </c>
      <c r="C35" s="53">
        <v>450</v>
      </c>
      <c r="D35" s="53">
        <v>917</v>
      </c>
      <c r="E35" s="264">
        <v>1.1048192771084338</v>
      </c>
      <c r="F35" s="265">
        <v>0.9</v>
      </c>
      <c r="G35" s="53">
        <f t="shared" si="0"/>
        <v>170</v>
      </c>
      <c r="H35" s="211">
        <f t="shared" si="1"/>
        <v>0.18538713195201745</v>
      </c>
      <c r="I35" s="53">
        <f t="shared" si="2"/>
        <v>17</v>
      </c>
      <c r="J35" s="214" t="s">
        <v>8</v>
      </c>
      <c r="K35" s="215">
        <v>12</v>
      </c>
      <c r="L35" s="215">
        <v>12</v>
      </c>
      <c r="M35" s="43">
        <v>18</v>
      </c>
      <c r="N35" s="53">
        <v>18</v>
      </c>
      <c r="O35" s="53">
        <v>20</v>
      </c>
      <c r="P35" s="53">
        <v>18</v>
      </c>
      <c r="Q35" s="53">
        <v>20</v>
      </c>
      <c r="R35" s="53">
        <v>18</v>
      </c>
      <c r="S35" s="53">
        <v>18</v>
      </c>
      <c r="T35" s="53">
        <v>16</v>
      </c>
      <c r="U35" s="216">
        <f t="shared" si="3"/>
        <v>170</v>
      </c>
      <c r="V35" s="2">
        <f t="shared" si="5"/>
        <v>0</v>
      </c>
    </row>
    <row r="36" spans="1:22" ht="15.75" customHeight="1" x14ac:dyDescent="0.3">
      <c r="A36" s="53" t="s">
        <v>92</v>
      </c>
      <c r="B36" s="53">
        <v>240.75</v>
      </c>
      <c r="C36" s="53">
        <v>592.75</v>
      </c>
      <c r="D36" s="53">
        <v>833.5</v>
      </c>
      <c r="E36" s="264">
        <v>1.0042168674698795</v>
      </c>
      <c r="F36" s="265">
        <v>0.95</v>
      </c>
      <c r="G36" s="53">
        <f t="shared" si="0"/>
        <v>45</v>
      </c>
      <c r="H36" s="211">
        <f t="shared" si="1"/>
        <v>5.3989202159568088E-2</v>
      </c>
      <c r="I36" s="53">
        <f t="shared" si="2"/>
        <v>4.5</v>
      </c>
      <c r="J36" s="214" t="s">
        <v>4</v>
      </c>
      <c r="K36" s="215">
        <v>12</v>
      </c>
      <c r="L36" s="267">
        <v>6</v>
      </c>
      <c r="M36" s="43">
        <v>4</v>
      </c>
      <c r="N36" s="53">
        <v>4</v>
      </c>
      <c r="O36" s="53">
        <v>4</v>
      </c>
      <c r="P36" s="53">
        <v>2</v>
      </c>
      <c r="Q36" s="53">
        <v>2</v>
      </c>
      <c r="R36" s="53">
        <v>2</v>
      </c>
      <c r="S36" s="53">
        <v>2</v>
      </c>
      <c r="T36" s="53">
        <v>2</v>
      </c>
      <c r="U36" s="216">
        <f t="shared" si="3"/>
        <v>40</v>
      </c>
      <c r="V36" s="2">
        <f t="shared" si="5"/>
        <v>-5</v>
      </c>
    </row>
    <row r="37" spans="1:22" ht="15.75" customHeight="1" x14ac:dyDescent="0.3">
      <c r="A37" s="272" t="s">
        <v>109</v>
      </c>
      <c r="B37" s="272">
        <v>210</v>
      </c>
      <c r="C37" s="272">
        <v>214.5</v>
      </c>
      <c r="D37" s="272">
        <v>424.5</v>
      </c>
      <c r="E37" s="273">
        <v>0.51144578313253009</v>
      </c>
      <c r="F37" s="266">
        <v>0.4</v>
      </c>
      <c r="G37" s="53">
        <f t="shared" si="0"/>
        <v>92.5</v>
      </c>
      <c r="H37" s="211">
        <f t="shared" si="1"/>
        <v>0.21790341578327443</v>
      </c>
      <c r="I37" s="53">
        <f t="shared" si="2"/>
        <v>9.25</v>
      </c>
      <c r="J37" s="214" t="s">
        <v>4</v>
      </c>
      <c r="K37" s="215">
        <v>10</v>
      </c>
      <c r="L37" s="215">
        <v>10</v>
      </c>
      <c r="M37" s="43">
        <v>10</v>
      </c>
      <c r="N37" s="53">
        <v>8</v>
      </c>
      <c r="O37" s="53">
        <v>10</v>
      </c>
      <c r="P37" s="53">
        <v>8</v>
      </c>
      <c r="Q37" s="53">
        <v>8</v>
      </c>
      <c r="R37" s="53">
        <v>8</v>
      </c>
      <c r="S37" s="53">
        <v>8</v>
      </c>
      <c r="T37" s="53">
        <v>8</v>
      </c>
      <c r="U37" s="216">
        <f t="shared" si="3"/>
        <v>88</v>
      </c>
      <c r="V37" s="2">
        <f t="shared" si="5"/>
        <v>-4.5</v>
      </c>
    </row>
    <row r="38" spans="1:22" ht="15.75" customHeight="1" x14ac:dyDescent="0.3">
      <c r="A38" s="53" t="s">
        <v>329</v>
      </c>
      <c r="B38" s="53">
        <v>306</v>
      </c>
      <c r="C38" s="53">
        <v>335</v>
      </c>
      <c r="D38" s="53">
        <v>641</v>
      </c>
      <c r="E38" s="264">
        <v>0.77228915662650599</v>
      </c>
      <c r="F38" s="266">
        <v>0.65</v>
      </c>
      <c r="G38" s="53">
        <f t="shared" si="0"/>
        <v>101.5</v>
      </c>
      <c r="H38" s="211">
        <f t="shared" si="1"/>
        <v>0.15834633385335414</v>
      </c>
      <c r="I38" s="53">
        <f t="shared" si="2"/>
        <v>10.15</v>
      </c>
      <c r="J38" s="214" t="s">
        <v>4</v>
      </c>
      <c r="K38" s="215">
        <v>10</v>
      </c>
      <c r="L38" s="215">
        <v>10</v>
      </c>
      <c r="M38" s="43">
        <v>10</v>
      </c>
      <c r="N38" s="53">
        <v>10</v>
      </c>
      <c r="O38" s="53">
        <v>10</v>
      </c>
      <c r="P38" s="53">
        <v>10</v>
      </c>
      <c r="Q38" s="53">
        <v>10</v>
      </c>
      <c r="R38" s="53">
        <v>12</v>
      </c>
      <c r="S38" s="53">
        <v>10</v>
      </c>
      <c r="T38" s="53">
        <v>10</v>
      </c>
      <c r="U38" s="216">
        <f t="shared" si="3"/>
        <v>102</v>
      </c>
      <c r="V38" s="2">
        <f t="shared" si="5"/>
        <v>0.5</v>
      </c>
    </row>
    <row r="39" spans="1:22" ht="15.75" customHeight="1" x14ac:dyDescent="0.3">
      <c r="A39" s="53" t="s">
        <v>175</v>
      </c>
      <c r="B39" s="53">
        <v>128.75</v>
      </c>
      <c r="C39" s="53">
        <v>172.75</v>
      </c>
      <c r="D39" s="53">
        <v>301.5</v>
      </c>
      <c r="E39" s="264">
        <v>0.36325301204819277</v>
      </c>
      <c r="F39" s="266">
        <v>0.25</v>
      </c>
      <c r="G39" s="53">
        <f t="shared" si="0"/>
        <v>94</v>
      </c>
      <c r="H39" s="211">
        <f t="shared" si="1"/>
        <v>0.3117744610281924</v>
      </c>
      <c r="I39" s="53">
        <f t="shared" si="2"/>
        <v>9.4</v>
      </c>
      <c r="J39" s="214" t="s">
        <v>8</v>
      </c>
      <c r="K39" s="215">
        <v>8</v>
      </c>
      <c r="L39" s="215">
        <v>8</v>
      </c>
      <c r="M39" s="43">
        <v>10</v>
      </c>
      <c r="N39" s="53">
        <v>10</v>
      </c>
      <c r="O39" s="53">
        <v>10</v>
      </c>
      <c r="P39" s="53">
        <v>10</v>
      </c>
      <c r="Q39" s="53">
        <v>10</v>
      </c>
      <c r="R39" s="53">
        <v>10</v>
      </c>
      <c r="S39" s="53">
        <v>10</v>
      </c>
      <c r="T39" s="53">
        <v>8</v>
      </c>
      <c r="U39" s="216">
        <f t="shared" si="3"/>
        <v>94</v>
      </c>
      <c r="V39" s="2">
        <f t="shared" si="5"/>
        <v>0</v>
      </c>
    </row>
    <row r="40" spans="1:22" ht="15.75" customHeight="1" x14ac:dyDescent="0.3">
      <c r="A40" s="53" t="s">
        <v>246</v>
      </c>
      <c r="B40" s="53">
        <v>431</v>
      </c>
      <c r="C40" s="53">
        <v>448</v>
      </c>
      <c r="D40" s="53">
        <v>879</v>
      </c>
      <c r="E40" s="264">
        <v>1.0590361445783132</v>
      </c>
      <c r="F40" s="265">
        <v>0.9</v>
      </c>
      <c r="G40" s="53">
        <f t="shared" si="0"/>
        <v>132</v>
      </c>
      <c r="H40" s="211">
        <f t="shared" si="1"/>
        <v>0.15017064846416384</v>
      </c>
      <c r="I40" s="53">
        <f t="shared" si="2"/>
        <v>13.2</v>
      </c>
      <c r="J40" s="214" t="s">
        <v>4</v>
      </c>
      <c r="K40" s="215">
        <v>16</v>
      </c>
      <c r="L40" s="267">
        <v>12</v>
      </c>
      <c r="M40" s="43">
        <v>16</v>
      </c>
      <c r="N40" s="53">
        <v>14</v>
      </c>
      <c r="O40" s="53">
        <v>14</v>
      </c>
      <c r="P40" s="53">
        <v>12</v>
      </c>
      <c r="Q40" s="53">
        <v>12</v>
      </c>
      <c r="R40" s="53">
        <v>12</v>
      </c>
      <c r="S40" s="53">
        <v>10</v>
      </c>
      <c r="T40" s="53">
        <v>10</v>
      </c>
      <c r="U40" s="216">
        <f t="shared" si="3"/>
        <v>128</v>
      </c>
      <c r="V40" s="2">
        <f t="shared" si="5"/>
        <v>-4</v>
      </c>
    </row>
    <row r="41" spans="1:22" ht="15.75" customHeight="1" x14ac:dyDescent="0.3">
      <c r="A41" s="53" t="s">
        <v>948</v>
      </c>
      <c r="B41" s="53">
        <v>195</v>
      </c>
      <c r="C41" s="53">
        <v>99</v>
      </c>
      <c r="D41" s="53">
        <v>294</v>
      </c>
      <c r="E41" s="264">
        <v>0.35421686746987951</v>
      </c>
      <c r="F41" s="266">
        <v>0.3</v>
      </c>
      <c r="G41" s="53">
        <f t="shared" si="0"/>
        <v>45</v>
      </c>
      <c r="H41" s="211">
        <f t="shared" si="1"/>
        <v>0.15306122448979592</v>
      </c>
      <c r="I41" s="53">
        <f t="shared" si="2"/>
        <v>4.5</v>
      </c>
      <c r="J41" s="214" t="s">
        <v>8</v>
      </c>
      <c r="K41" s="215">
        <v>6</v>
      </c>
      <c r="L41" s="215">
        <v>6</v>
      </c>
      <c r="M41" s="43">
        <v>4</v>
      </c>
      <c r="N41" s="53">
        <v>4</v>
      </c>
      <c r="O41" s="53">
        <v>4</v>
      </c>
      <c r="P41" s="53">
        <v>4</v>
      </c>
      <c r="Q41" s="53">
        <v>4</v>
      </c>
      <c r="R41" s="53">
        <v>4</v>
      </c>
      <c r="S41" s="53">
        <v>4</v>
      </c>
      <c r="T41" s="53">
        <v>4</v>
      </c>
      <c r="U41" s="216">
        <f t="shared" si="3"/>
        <v>44</v>
      </c>
      <c r="V41" s="2">
        <f t="shared" si="5"/>
        <v>-1</v>
      </c>
    </row>
    <row r="42" spans="1:22" ht="15.75" customHeight="1" x14ac:dyDescent="0.3">
      <c r="A42" s="53" t="s">
        <v>949</v>
      </c>
      <c r="B42" s="53">
        <v>87</v>
      </c>
      <c r="C42" s="53">
        <v>0</v>
      </c>
      <c r="D42" s="53">
        <v>87</v>
      </c>
      <c r="E42" s="264">
        <v>0.10481927710843374</v>
      </c>
      <c r="F42" s="266">
        <v>0.1</v>
      </c>
      <c r="G42" s="53">
        <f t="shared" si="0"/>
        <v>4</v>
      </c>
      <c r="H42" s="211">
        <f t="shared" si="1"/>
        <v>4.5977011494252873E-2</v>
      </c>
      <c r="I42" s="53">
        <f t="shared" si="2"/>
        <v>0.4</v>
      </c>
      <c r="J42" s="270" t="s">
        <v>810</v>
      </c>
      <c r="K42" s="269"/>
      <c r="L42" s="269"/>
      <c r="M42" s="43"/>
      <c r="N42" s="53"/>
      <c r="O42" s="53"/>
      <c r="P42" s="53"/>
      <c r="Q42" s="53"/>
      <c r="R42" s="53"/>
      <c r="S42" s="53"/>
      <c r="T42" s="53"/>
      <c r="U42" s="216">
        <f t="shared" si="3"/>
        <v>0</v>
      </c>
      <c r="V42" s="2">
        <f t="shared" si="5"/>
        <v>-4</v>
      </c>
    </row>
    <row r="43" spans="1:22" ht="15.75" customHeight="1" x14ac:dyDescent="0.3">
      <c r="A43" s="53" t="s">
        <v>950</v>
      </c>
      <c r="B43" s="53">
        <v>32</v>
      </c>
      <c r="C43" s="53">
        <v>44</v>
      </c>
      <c r="D43" s="53">
        <v>76</v>
      </c>
      <c r="E43" s="264">
        <v>9.1566265060240959E-2</v>
      </c>
      <c r="F43" s="266">
        <v>0.1</v>
      </c>
      <c r="G43" s="53">
        <f t="shared" si="0"/>
        <v>-7</v>
      </c>
      <c r="H43" s="211">
        <f t="shared" si="1"/>
        <v>-9.2105263157894732E-2</v>
      </c>
      <c r="I43" s="53">
        <f t="shared" si="2"/>
        <v>-0.7</v>
      </c>
      <c r="J43" s="214" t="s">
        <v>8</v>
      </c>
      <c r="K43" s="215">
        <v>0</v>
      </c>
      <c r="L43" s="215">
        <v>0</v>
      </c>
      <c r="M43" s="43"/>
      <c r="N43" s="53"/>
      <c r="O43" s="53"/>
      <c r="P43" s="53"/>
      <c r="Q43" s="53"/>
      <c r="R43" s="53"/>
      <c r="S43" s="53"/>
      <c r="T43" s="53"/>
      <c r="U43" s="216">
        <f t="shared" si="3"/>
        <v>0</v>
      </c>
      <c r="V43" s="2">
        <f t="shared" si="5"/>
        <v>7</v>
      </c>
    </row>
    <row r="44" spans="1:22" ht="15.75" customHeight="1" x14ac:dyDescent="0.3">
      <c r="A44" s="53" t="s">
        <v>168</v>
      </c>
      <c r="B44" s="53">
        <v>303.25</v>
      </c>
      <c r="C44" s="53">
        <v>254.25</v>
      </c>
      <c r="D44" s="53">
        <v>557.5</v>
      </c>
      <c r="E44" s="264">
        <v>0.67168674698795183</v>
      </c>
      <c r="F44" s="274">
        <v>0.6</v>
      </c>
      <c r="G44" s="53">
        <f t="shared" si="0"/>
        <v>59.5</v>
      </c>
      <c r="H44" s="211">
        <f t="shared" si="1"/>
        <v>0.10672645739910314</v>
      </c>
      <c r="I44" s="53">
        <f t="shared" si="2"/>
        <v>5.95</v>
      </c>
      <c r="J44" s="214" t="s">
        <v>4</v>
      </c>
      <c r="K44" s="215">
        <v>10</v>
      </c>
      <c r="L44" s="215">
        <v>10</v>
      </c>
      <c r="M44" s="43">
        <v>4</v>
      </c>
      <c r="N44" s="53">
        <v>4</v>
      </c>
      <c r="O44" s="53">
        <v>4</v>
      </c>
      <c r="P44" s="53">
        <v>6</v>
      </c>
      <c r="Q44" s="53">
        <v>4</v>
      </c>
      <c r="R44" s="53">
        <v>6</v>
      </c>
      <c r="S44" s="53">
        <v>6</v>
      </c>
      <c r="T44" s="53">
        <v>6</v>
      </c>
      <c r="U44" s="216">
        <f t="shared" si="3"/>
        <v>60</v>
      </c>
      <c r="V44" s="2">
        <f t="shared" si="5"/>
        <v>0.5</v>
      </c>
    </row>
    <row r="45" spans="1:22" ht="15.75" customHeight="1" x14ac:dyDescent="0.3">
      <c r="A45" s="53" t="s">
        <v>951</v>
      </c>
      <c r="B45" s="53">
        <v>0</v>
      </c>
      <c r="C45" s="53">
        <v>295</v>
      </c>
      <c r="D45" s="53">
        <v>295</v>
      </c>
      <c r="E45" s="264">
        <v>0.35542168674698793</v>
      </c>
      <c r="F45" s="53"/>
      <c r="G45" s="275"/>
    </row>
    <row r="46" spans="1:22" ht="15.75" customHeight="1" x14ac:dyDescent="0.3">
      <c r="D46" s="2">
        <f>SUM(D4:D45)</f>
        <v>21221.5</v>
      </c>
      <c r="F46" s="133">
        <f>SUM(F4:F45)</f>
        <v>21.999999999999996</v>
      </c>
      <c r="K46" s="2">
        <f t="shared" ref="K46:U46" si="6">SUM(K4:K44)</f>
        <v>370</v>
      </c>
      <c r="L46" s="2">
        <f t="shared" si="6"/>
        <v>306</v>
      </c>
      <c r="M46" s="2">
        <f t="shared" si="6"/>
        <v>286</v>
      </c>
      <c r="N46" s="2">
        <f t="shared" si="6"/>
        <v>282</v>
      </c>
      <c r="O46" s="2">
        <f t="shared" si="6"/>
        <v>290</v>
      </c>
      <c r="P46" s="2">
        <f t="shared" si="6"/>
        <v>284</v>
      </c>
      <c r="Q46" s="2">
        <f t="shared" si="6"/>
        <v>276</v>
      </c>
      <c r="R46" s="2">
        <f t="shared" si="6"/>
        <v>274</v>
      </c>
      <c r="S46" s="2">
        <f t="shared" si="6"/>
        <v>262</v>
      </c>
      <c r="T46" s="2">
        <f t="shared" si="6"/>
        <v>254</v>
      </c>
      <c r="U46" s="2">
        <f t="shared" si="6"/>
        <v>2884</v>
      </c>
    </row>
    <row r="47" spans="1:22" ht="15.75" customHeight="1" x14ac:dyDescent="0.3">
      <c r="K47" s="227">
        <f t="shared" ref="K47:U47" si="7">K46/$F$51</f>
        <v>0.14025777103866566</v>
      </c>
      <c r="L47" s="227">
        <f t="shared" si="7"/>
        <v>0.11599696739954511</v>
      </c>
      <c r="M47" s="227">
        <f t="shared" si="7"/>
        <v>0.10841546626231995</v>
      </c>
      <c r="N47" s="227">
        <f t="shared" si="7"/>
        <v>0.1068991660348749</v>
      </c>
      <c r="O47" s="227">
        <f t="shared" si="7"/>
        <v>0.10993176648976498</v>
      </c>
      <c r="P47" s="227">
        <f t="shared" si="7"/>
        <v>0.10765731614859743</v>
      </c>
      <c r="Q47" s="227">
        <f t="shared" si="7"/>
        <v>0.10462471569370735</v>
      </c>
      <c r="R47" s="227">
        <f t="shared" si="7"/>
        <v>0.10386656557998483</v>
      </c>
      <c r="S47" s="227">
        <f t="shared" si="7"/>
        <v>9.9317664897649732E-2</v>
      </c>
      <c r="T47" s="227">
        <f t="shared" si="7"/>
        <v>9.6285064442759666E-2</v>
      </c>
      <c r="U47" s="227">
        <f t="shared" si="7"/>
        <v>1.0932524639878696</v>
      </c>
    </row>
    <row r="48" spans="1:22" ht="15.75" customHeight="1" x14ac:dyDescent="0.3">
      <c r="F48" s="2">
        <f>F46*830</f>
        <v>18259.999999999996</v>
      </c>
    </row>
    <row r="49" spans="6:7" ht="15.75" customHeight="1" x14ac:dyDescent="0.3"/>
    <row r="50" spans="6:7" ht="15.75" customHeight="1" x14ac:dyDescent="0.3">
      <c r="F50" s="2">
        <f>D46-F48</f>
        <v>2961.5000000000036</v>
      </c>
      <c r="G50" s="2">
        <f>F50-200</f>
        <v>2761.5000000000036</v>
      </c>
    </row>
    <row r="51" spans="6:7" ht="15.75" customHeight="1" x14ac:dyDescent="0.3">
      <c r="F51" s="2">
        <v>2638</v>
      </c>
    </row>
    <row r="52" spans="6:7" ht="15.75" customHeight="1" x14ac:dyDescent="0.3"/>
    <row r="53" spans="6:7" ht="15.75" customHeight="1" x14ac:dyDescent="0.3"/>
    <row r="54" spans="6:7" ht="15.75" customHeight="1" x14ac:dyDescent="0.3"/>
    <row r="55" spans="6:7" ht="15.75" customHeight="1" x14ac:dyDescent="0.3"/>
    <row r="56" spans="6:7" ht="15.75" customHeight="1" x14ac:dyDescent="0.3"/>
    <row r="57" spans="6:7" ht="15.75" customHeight="1" x14ac:dyDescent="0.3"/>
    <row r="58" spans="6:7" ht="15.75" customHeight="1" x14ac:dyDescent="0.3"/>
    <row r="59" spans="6:7" ht="15.75" customHeight="1" x14ac:dyDescent="0.3"/>
    <row r="60" spans="6:7" ht="15.75" customHeight="1" x14ac:dyDescent="0.3"/>
    <row r="61" spans="6:7" ht="15.75" customHeight="1" x14ac:dyDescent="0.3"/>
    <row r="62" spans="6:7" ht="15.75" customHeight="1" x14ac:dyDescent="0.3"/>
    <row r="63" spans="6:7" ht="15.75" customHeight="1" x14ac:dyDescent="0.3"/>
    <row r="64" spans="6:7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K1000"/>
  <sheetViews>
    <sheetView workbookViewId="0"/>
  </sheetViews>
  <sheetFormatPr defaultColWidth="14.44140625" defaultRowHeight="15" customHeight="1" x14ac:dyDescent="0.3"/>
  <cols>
    <col min="1" max="1" width="40" customWidth="1"/>
    <col min="2" max="2" width="10.33203125" customWidth="1"/>
    <col min="3" max="3" width="11.33203125" customWidth="1"/>
    <col min="4" max="4" width="8.109375" customWidth="1"/>
    <col min="5" max="5" width="8.44140625" customWidth="1"/>
    <col min="6" max="26" width="8" customWidth="1"/>
  </cols>
  <sheetData>
    <row r="3" spans="1:11" ht="14.4" x14ac:dyDescent="0.3">
      <c r="A3" s="39"/>
      <c r="B3" s="276"/>
      <c r="C3" s="276"/>
      <c r="D3" s="276"/>
      <c r="E3" s="276"/>
      <c r="F3" s="39"/>
      <c r="G3" s="276"/>
      <c r="H3" s="276"/>
      <c r="I3" s="276"/>
      <c r="J3" s="276"/>
      <c r="K3" s="277"/>
    </row>
    <row r="4" spans="1:11" ht="14.4" x14ac:dyDescent="0.3">
      <c r="A4" s="39" t="s">
        <v>54</v>
      </c>
      <c r="B4" s="39" t="s">
        <v>58</v>
      </c>
      <c r="C4" s="39" t="s">
        <v>59</v>
      </c>
      <c r="D4" s="39" t="s">
        <v>60</v>
      </c>
      <c r="E4" s="39" t="s">
        <v>492</v>
      </c>
      <c r="F4" s="278"/>
      <c r="G4" s="251"/>
      <c r="H4" s="251"/>
      <c r="I4" s="251"/>
      <c r="J4" s="251"/>
      <c r="K4" s="279"/>
    </row>
    <row r="5" spans="1:11" ht="14.4" x14ac:dyDescent="0.3">
      <c r="A5" s="39" t="s">
        <v>68</v>
      </c>
      <c r="B5" s="39">
        <v>447</v>
      </c>
      <c r="C5" s="39">
        <v>196</v>
      </c>
      <c r="D5" s="39">
        <v>643</v>
      </c>
      <c r="E5" s="134">
        <v>0.77469879518072293</v>
      </c>
      <c r="F5" s="39"/>
      <c r="G5" s="276"/>
      <c r="H5" s="276"/>
      <c r="I5" s="276"/>
      <c r="J5" s="276"/>
      <c r="K5" s="277"/>
    </row>
    <row r="6" spans="1:11" ht="14.4" x14ac:dyDescent="0.3">
      <c r="A6" s="278"/>
      <c r="B6" s="278"/>
      <c r="C6" s="278"/>
      <c r="D6" s="39" t="s">
        <v>952</v>
      </c>
      <c r="E6" s="276"/>
      <c r="F6" s="278"/>
      <c r="G6" s="251"/>
      <c r="H6" s="251"/>
      <c r="I6" s="251"/>
      <c r="J6" s="251"/>
      <c r="K6" s="279"/>
    </row>
    <row r="7" spans="1:11" ht="14.4" x14ac:dyDescent="0.3">
      <c r="A7" s="278"/>
      <c r="B7" s="278"/>
      <c r="C7" s="39" t="s">
        <v>953</v>
      </c>
      <c r="D7" s="276"/>
      <c r="E7" s="276"/>
      <c r="F7" s="278"/>
      <c r="G7" s="251"/>
      <c r="H7" s="251"/>
      <c r="I7" s="251"/>
      <c r="J7" s="251"/>
      <c r="K7" s="279"/>
    </row>
    <row r="8" spans="1:11" ht="14.4" x14ac:dyDescent="0.3">
      <c r="A8" s="278"/>
      <c r="B8" s="39" t="s">
        <v>954</v>
      </c>
      <c r="C8" s="276"/>
      <c r="D8" s="276"/>
      <c r="E8" s="276"/>
      <c r="F8" s="278"/>
      <c r="G8" s="251"/>
      <c r="H8" s="251"/>
      <c r="I8" s="251"/>
      <c r="J8" s="251"/>
      <c r="K8" s="279"/>
    </row>
    <row r="9" spans="1:11" ht="14.4" x14ac:dyDescent="0.3">
      <c r="A9" s="39" t="s">
        <v>955</v>
      </c>
      <c r="B9" s="276"/>
      <c r="C9" s="276"/>
      <c r="D9" s="276"/>
      <c r="E9" s="276"/>
      <c r="F9" s="278"/>
      <c r="G9" s="251"/>
      <c r="H9" s="251"/>
      <c r="I9" s="251"/>
      <c r="J9" s="251"/>
      <c r="K9" s="279"/>
    </row>
    <row r="10" spans="1:11" ht="14.4" x14ac:dyDescent="0.3">
      <c r="A10" s="39" t="s">
        <v>943</v>
      </c>
      <c r="B10" s="39">
        <v>19</v>
      </c>
      <c r="C10" s="39">
        <v>464</v>
      </c>
      <c r="D10" s="39">
        <v>483</v>
      </c>
      <c r="E10" s="134">
        <v>0.58192771084337347</v>
      </c>
      <c r="F10" s="278"/>
      <c r="G10" s="251"/>
      <c r="H10" s="251"/>
      <c r="I10" s="251"/>
      <c r="J10" s="251"/>
      <c r="K10" s="279"/>
    </row>
    <row r="11" spans="1:11" ht="14.4" x14ac:dyDescent="0.3">
      <c r="A11" s="278"/>
      <c r="B11" s="278"/>
      <c r="C11" s="278"/>
      <c r="D11" s="39" t="s">
        <v>956</v>
      </c>
      <c r="E11" s="276"/>
      <c r="F11" s="278"/>
      <c r="G11" s="251"/>
      <c r="H11" s="251"/>
      <c r="I11" s="251"/>
      <c r="J11" s="251"/>
      <c r="K11" s="279"/>
    </row>
    <row r="12" spans="1:11" ht="14.4" x14ac:dyDescent="0.3">
      <c r="A12" s="278"/>
      <c r="B12" s="278"/>
      <c r="C12" s="39" t="s">
        <v>957</v>
      </c>
      <c r="D12" s="276"/>
      <c r="E12" s="276"/>
      <c r="F12" s="278"/>
      <c r="G12" s="251"/>
      <c r="H12" s="251"/>
      <c r="I12" s="251"/>
      <c r="J12" s="251"/>
      <c r="K12" s="279"/>
    </row>
    <row r="13" spans="1:11" ht="14.4" x14ac:dyDescent="0.3">
      <c r="A13" s="278"/>
      <c r="B13" s="39" t="s">
        <v>958</v>
      </c>
      <c r="C13" s="276"/>
      <c r="D13" s="276"/>
      <c r="E13" s="276"/>
      <c r="F13" s="278"/>
      <c r="G13" s="251"/>
      <c r="H13" s="251"/>
      <c r="I13" s="251"/>
      <c r="J13" s="251"/>
      <c r="K13" s="279"/>
    </row>
    <row r="14" spans="1:11" ht="14.4" x14ac:dyDescent="0.3">
      <c r="A14" s="39" t="s">
        <v>959</v>
      </c>
      <c r="B14" s="276"/>
      <c r="C14" s="276"/>
      <c r="D14" s="276"/>
      <c r="E14" s="276"/>
      <c r="F14" s="278"/>
      <c r="G14" s="251"/>
      <c r="H14" s="251"/>
      <c r="I14" s="251"/>
      <c r="J14" s="251"/>
      <c r="K14" s="279"/>
    </row>
    <row r="15" spans="1:11" ht="14.4" x14ac:dyDescent="0.3">
      <c r="A15" s="39" t="s">
        <v>251</v>
      </c>
      <c r="B15" s="39">
        <v>137</v>
      </c>
      <c r="C15" s="39">
        <v>60</v>
      </c>
      <c r="D15" s="39">
        <v>197</v>
      </c>
      <c r="E15" s="134">
        <v>0.23734939759036144</v>
      </c>
      <c r="F15" s="278"/>
      <c r="G15" s="251"/>
      <c r="H15" s="251"/>
      <c r="I15" s="251"/>
      <c r="J15" s="251"/>
      <c r="K15" s="279"/>
    </row>
    <row r="16" spans="1:11" ht="14.4" x14ac:dyDescent="0.3">
      <c r="A16" s="278"/>
      <c r="B16" s="278"/>
      <c r="C16" s="278"/>
      <c r="D16" s="39" t="s">
        <v>960</v>
      </c>
      <c r="E16" s="276"/>
      <c r="F16" s="278"/>
      <c r="G16" s="251"/>
      <c r="H16" s="251"/>
      <c r="I16" s="251"/>
      <c r="J16" s="251"/>
      <c r="K16" s="279"/>
    </row>
    <row r="17" spans="1:11" ht="14.4" x14ac:dyDescent="0.3">
      <c r="A17" s="278"/>
      <c r="B17" s="278"/>
      <c r="C17" s="39" t="s">
        <v>961</v>
      </c>
      <c r="D17" s="276"/>
      <c r="E17" s="276"/>
      <c r="F17" s="278"/>
      <c r="G17" s="251"/>
      <c r="H17" s="251"/>
      <c r="I17" s="251"/>
      <c r="J17" s="251"/>
      <c r="K17" s="279"/>
    </row>
    <row r="18" spans="1:11" ht="14.4" x14ac:dyDescent="0.3">
      <c r="A18" s="278"/>
      <c r="B18" s="39" t="s">
        <v>962</v>
      </c>
      <c r="C18" s="276"/>
      <c r="D18" s="276"/>
      <c r="E18" s="276"/>
      <c r="F18" s="278"/>
      <c r="G18" s="251"/>
      <c r="H18" s="251"/>
      <c r="I18" s="251"/>
      <c r="J18" s="251"/>
      <c r="K18" s="279"/>
    </row>
    <row r="19" spans="1:11" ht="14.4" x14ac:dyDescent="0.3">
      <c r="A19" s="39" t="s">
        <v>963</v>
      </c>
      <c r="B19" s="276"/>
      <c r="C19" s="276"/>
      <c r="D19" s="276"/>
      <c r="E19" s="276"/>
      <c r="F19" s="278"/>
      <c r="G19" s="251"/>
      <c r="H19" s="251"/>
      <c r="I19" s="251"/>
      <c r="J19" s="251"/>
      <c r="K19" s="279"/>
    </row>
    <row r="20" spans="1:11" ht="14.4" x14ac:dyDescent="0.3">
      <c r="A20" s="39" t="s">
        <v>155</v>
      </c>
      <c r="B20" s="39">
        <v>305</v>
      </c>
      <c r="C20" s="39">
        <v>391</v>
      </c>
      <c r="D20" s="39">
        <v>696</v>
      </c>
      <c r="E20" s="134">
        <v>0.83855421686746989</v>
      </c>
      <c r="F20" s="278"/>
      <c r="G20" s="251"/>
      <c r="H20" s="251"/>
      <c r="I20" s="251"/>
      <c r="J20" s="251"/>
      <c r="K20" s="279"/>
    </row>
    <row r="21" spans="1:11" ht="15.75" customHeight="1" x14ac:dyDescent="0.3">
      <c r="A21" s="278"/>
      <c r="B21" s="278"/>
      <c r="C21" s="278"/>
      <c r="D21" s="39" t="s">
        <v>964</v>
      </c>
      <c r="E21" s="276"/>
      <c r="F21" s="278"/>
      <c r="G21" s="251"/>
      <c r="H21" s="251"/>
      <c r="I21" s="251"/>
      <c r="J21" s="251"/>
      <c r="K21" s="279"/>
    </row>
    <row r="22" spans="1:11" ht="15.75" customHeight="1" x14ac:dyDescent="0.3">
      <c r="A22" s="278"/>
      <c r="B22" s="278"/>
      <c r="C22" s="39" t="s">
        <v>965</v>
      </c>
      <c r="D22" s="276"/>
      <c r="E22" s="276"/>
      <c r="F22" s="278"/>
      <c r="G22" s="251"/>
      <c r="H22" s="251"/>
      <c r="I22" s="251"/>
      <c r="J22" s="251"/>
      <c r="K22" s="279"/>
    </row>
    <row r="23" spans="1:11" ht="15.75" customHeight="1" x14ac:dyDescent="0.3">
      <c r="A23" s="278"/>
      <c r="B23" s="39" t="s">
        <v>966</v>
      </c>
      <c r="C23" s="276"/>
      <c r="D23" s="276"/>
      <c r="E23" s="276"/>
      <c r="F23" s="278"/>
      <c r="G23" s="251"/>
      <c r="H23" s="251"/>
      <c r="I23" s="251"/>
      <c r="J23" s="251"/>
      <c r="K23" s="279"/>
    </row>
    <row r="24" spans="1:11" ht="15.75" customHeight="1" x14ac:dyDescent="0.3">
      <c r="A24" s="39" t="s">
        <v>967</v>
      </c>
      <c r="B24" s="276"/>
      <c r="C24" s="276"/>
      <c r="D24" s="276"/>
      <c r="E24" s="276"/>
      <c r="F24" s="278"/>
      <c r="G24" s="251"/>
      <c r="H24" s="251"/>
      <c r="I24" s="251"/>
      <c r="J24" s="251"/>
      <c r="K24" s="279"/>
    </row>
    <row r="25" spans="1:11" ht="15.75" customHeight="1" x14ac:dyDescent="0.3">
      <c r="A25" s="39" t="s">
        <v>116</v>
      </c>
      <c r="B25" s="39">
        <v>268</v>
      </c>
      <c r="C25" s="39">
        <v>429</v>
      </c>
      <c r="D25" s="39">
        <v>697</v>
      </c>
      <c r="E25" s="134">
        <v>0.83975903614457836</v>
      </c>
      <c r="F25" s="278"/>
      <c r="G25" s="251"/>
      <c r="H25" s="251"/>
      <c r="I25" s="251"/>
      <c r="J25" s="251"/>
      <c r="K25" s="279"/>
    </row>
    <row r="26" spans="1:11" ht="15.75" customHeight="1" x14ac:dyDescent="0.3">
      <c r="A26" s="278"/>
      <c r="B26" s="278"/>
      <c r="C26" s="278"/>
      <c r="D26" s="39" t="s">
        <v>968</v>
      </c>
      <c r="E26" s="276"/>
      <c r="F26" s="278"/>
      <c r="G26" s="251"/>
      <c r="H26" s="251"/>
      <c r="I26" s="251"/>
      <c r="J26" s="251"/>
      <c r="K26" s="279"/>
    </row>
    <row r="27" spans="1:11" ht="15.75" customHeight="1" x14ac:dyDescent="0.3">
      <c r="A27" s="278"/>
      <c r="B27" s="278"/>
      <c r="C27" s="39" t="s">
        <v>969</v>
      </c>
      <c r="D27" s="276"/>
      <c r="E27" s="276"/>
      <c r="F27" s="278"/>
      <c r="G27" s="251"/>
      <c r="H27" s="251"/>
      <c r="I27" s="251"/>
      <c r="J27" s="251"/>
      <c r="K27" s="279"/>
    </row>
    <row r="28" spans="1:11" ht="15.75" customHeight="1" x14ac:dyDescent="0.3">
      <c r="A28" s="278"/>
      <c r="B28" s="39" t="s">
        <v>970</v>
      </c>
      <c r="C28" s="276"/>
      <c r="D28" s="276"/>
      <c r="E28" s="276"/>
      <c r="F28" s="278"/>
      <c r="G28" s="251"/>
      <c r="H28" s="251"/>
      <c r="I28" s="251"/>
      <c r="J28" s="251"/>
      <c r="K28" s="279"/>
    </row>
    <row r="29" spans="1:11" ht="15.75" customHeight="1" x14ac:dyDescent="0.3">
      <c r="A29" s="39" t="s">
        <v>971</v>
      </c>
      <c r="B29" s="276"/>
      <c r="C29" s="276"/>
      <c r="D29" s="276"/>
      <c r="E29" s="276"/>
      <c r="F29" s="278"/>
      <c r="G29" s="251"/>
      <c r="H29" s="251"/>
      <c r="I29" s="251"/>
      <c r="J29" s="251"/>
      <c r="K29" s="279"/>
    </row>
    <row r="30" spans="1:11" ht="15.75" customHeight="1" x14ac:dyDescent="0.3">
      <c r="A30" s="39" t="s">
        <v>231</v>
      </c>
      <c r="B30" s="39">
        <v>102</v>
      </c>
      <c r="C30" s="39">
        <v>125</v>
      </c>
      <c r="D30" s="39">
        <v>227</v>
      </c>
      <c r="E30" s="134">
        <v>0.27349397590361446</v>
      </c>
      <c r="F30" s="278"/>
      <c r="G30" s="251"/>
      <c r="H30" s="251"/>
      <c r="I30" s="251"/>
      <c r="J30" s="251"/>
      <c r="K30" s="279"/>
    </row>
    <row r="31" spans="1:11" ht="15.75" customHeight="1" x14ac:dyDescent="0.3">
      <c r="A31" s="278"/>
      <c r="B31" s="278"/>
      <c r="C31" s="278"/>
      <c r="D31" s="39" t="s">
        <v>972</v>
      </c>
      <c r="E31" s="276"/>
      <c r="F31" s="278"/>
      <c r="G31" s="251"/>
      <c r="H31" s="251"/>
      <c r="I31" s="251"/>
      <c r="J31" s="251"/>
      <c r="K31" s="279"/>
    </row>
    <row r="32" spans="1:11" ht="15.75" customHeight="1" x14ac:dyDescent="0.3">
      <c r="A32" s="278"/>
      <c r="B32" s="278"/>
      <c r="C32" s="39" t="s">
        <v>973</v>
      </c>
      <c r="D32" s="276"/>
      <c r="E32" s="276"/>
      <c r="F32" s="278"/>
      <c r="G32" s="251"/>
      <c r="H32" s="251"/>
      <c r="I32" s="251"/>
      <c r="J32" s="251"/>
      <c r="K32" s="279"/>
    </row>
    <row r="33" spans="1:11" ht="15.75" customHeight="1" x14ac:dyDescent="0.3">
      <c r="A33" s="278"/>
      <c r="B33" s="39" t="s">
        <v>974</v>
      </c>
      <c r="C33" s="276"/>
      <c r="D33" s="276"/>
      <c r="E33" s="276"/>
      <c r="F33" s="278"/>
      <c r="G33" s="251"/>
      <c r="H33" s="251"/>
      <c r="I33" s="251"/>
      <c r="J33" s="251"/>
      <c r="K33" s="279"/>
    </row>
    <row r="34" spans="1:11" ht="15.75" customHeight="1" x14ac:dyDescent="0.3">
      <c r="A34" s="39" t="s">
        <v>975</v>
      </c>
      <c r="B34" s="276"/>
      <c r="C34" s="276"/>
      <c r="D34" s="276"/>
      <c r="E34" s="276"/>
      <c r="F34" s="278"/>
      <c r="G34" s="251"/>
      <c r="H34" s="251"/>
      <c r="I34" s="251"/>
      <c r="J34" s="251"/>
      <c r="K34" s="279"/>
    </row>
    <row r="35" spans="1:11" ht="15.75" customHeight="1" x14ac:dyDescent="0.3">
      <c r="A35" s="39" t="s">
        <v>392</v>
      </c>
      <c r="B35" s="39">
        <v>408</v>
      </c>
      <c r="C35" s="39">
        <v>95</v>
      </c>
      <c r="D35" s="39">
        <v>503</v>
      </c>
      <c r="E35" s="134">
        <v>0.60602409638554222</v>
      </c>
      <c r="F35" s="278"/>
      <c r="G35" s="251"/>
      <c r="H35" s="251"/>
      <c r="I35" s="251"/>
      <c r="J35" s="251"/>
      <c r="K35" s="279"/>
    </row>
    <row r="36" spans="1:11" ht="15.75" customHeight="1" x14ac:dyDescent="0.3">
      <c r="A36" s="278"/>
      <c r="B36" s="278"/>
      <c r="C36" s="278"/>
      <c r="D36" s="39" t="s">
        <v>976</v>
      </c>
      <c r="E36" s="276"/>
      <c r="F36" s="278"/>
      <c r="G36" s="251"/>
      <c r="H36" s="251"/>
      <c r="I36" s="251"/>
      <c r="J36" s="251"/>
      <c r="K36" s="279"/>
    </row>
    <row r="37" spans="1:11" ht="15.75" customHeight="1" x14ac:dyDescent="0.3">
      <c r="A37" s="278"/>
      <c r="B37" s="278"/>
      <c r="C37" s="39" t="s">
        <v>977</v>
      </c>
      <c r="D37" s="276"/>
      <c r="E37" s="276"/>
      <c r="F37" s="278"/>
      <c r="G37" s="251"/>
      <c r="H37" s="251"/>
      <c r="I37" s="251"/>
      <c r="J37" s="251"/>
      <c r="K37" s="279"/>
    </row>
    <row r="38" spans="1:11" ht="15.75" customHeight="1" x14ac:dyDescent="0.3">
      <c r="A38" s="278"/>
      <c r="B38" s="39" t="s">
        <v>978</v>
      </c>
      <c r="C38" s="276"/>
      <c r="D38" s="276"/>
      <c r="E38" s="276"/>
      <c r="F38" s="278"/>
      <c r="G38" s="251"/>
      <c r="H38" s="251"/>
      <c r="I38" s="251"/>
      <c r="J38" s="251"/>
      <c r="K38" s="279"/>
    </row>
    <row r="39" spans="1:11" ht="15.75" customHeight="1" x14ac:dyDescent="0.3">
      <c r="A39" s="39" t="s">
        <v>979</v>
      </c>
      <c r="B39" s="276"/>
      <c r="C39" s="276"/>
      <c r="D39" s="276"/>
      <c r="E39" s="276"/>
      <c r="F39" s="278"/>
      <c r="G39" s="251"/>
      <c r="H39" s="251"/>
      <c r="I39" s="251"/>
      <c r="J39" s="251"/>
      <c r="K39" s="279"/>
    </row>
    <row r="40" spans="1:11" ht="15.75" customHeight="1" x14ac:dyDescent="0.3">
      <c r="A40" s="39" t="s">
        <v>66</v>
      </c>
      <c r="B40" s="39">
        <v>248</v>
      </c>
      <c r="C40" s="39">
        <v>431</v>
      </c>
      <c r="D40" s="39">
        <v>679</v>
      </c>
      <c r="E40" s="134">
        <v>0.81807228915662655</v>
      </c>
      <c r="F40" s="278"/>
      <c r="G40" s="251"/>
      <c r="H40" s="251"/>
      <c r="I40" s="251"/>
      <c r="J40" s="251"/>
      <c r="K40" s="279"/>
    </row>
    <row r="41" spans="1:11" ht="15.75" customHeight="1" x14ac:dyDescent="0.3">
      <c r="A41" s="278"/>
      <c r="B41" s="278"/>
      <c r="C41" s="278"/>
      <c r="D41" s="39" t="s">
        <v>980</v>
      </c>
      <c r="E41" s="276"/>
      <c r="F41" s="278"/>
      <c r="G41" s="251"/>
      <c r="H41" s="251"/>
      <c r="I41" s="251"/>
      <c r="J41" s="251"/>
      <c r="K41" s="279"/>
    </row>
    <row r="42" spans="1:11" ht="15.75" customHeight="1" x14ac:dyDescent="0.3">
      <c r="A42" s="278"/>
      <c r="B42" s="278"/>
      <c r="C42" s="39" t="s">
        <v>981</v>
      </c>
      <c r="D42" s="276"/>
      <c r="E42" s="276"/>
      <c r="F42" s="278"/>
      <c r="G42" s="251"/>
      <c r="H42" s="251"/>
      <c r="I42" s="251"/>
      <c r="J42" s="251"/>
      <c r="K42" s="279"/>
    </row>
    <row r="43" spans="1:11" ht="15.75" customHeight="1" x14ac:dyDescent="0.3">
      <c r="A43" s="278"/>
      <c r="B43" s="39" t="s">
        <v>982</v>
      </c>
      <c r="C43" s="276"/>
      <c r="D43" s="276"/>
      <c r="E43" s="276"/>
      <c r="F43" s="278"/>
      <c r="G43" s="251"/>
      <c r="H43" s="251"/>
      <c r="I43" s="251"/>
      <c r="J43" s="251"/>
      <c r="K43" s="279"/>
    </row>
    <row r="44" spans="1:11" ht="15.75" customHeight="1" x14ac:dyDescent="0.3">
      <c r="A44" s="39" t="s">
        <v>983</v>
      </c>
      <c r="B44" s="276"/>
      <c r="C44" s="276"/>
      <c r="D44" s="276"/>
      <c r="E44" s="276"/>
      <c r="F44" s="278"/>
      <c r="G44" s="251"/>
      <c r="H44" s="251"/>
      <c r="I44" s="251"/>
      <c r="J44" s="251"/>
      <c r="K44" s="279"/>
    </row>
    <row r="45" spans="1:11" ht="15.75" customHeight="1" x14ac:dyDescent="0.3">
      <c r="A45" s="39" t="s">
        <v>137</v>
      </c>
      <c r="B45" s="39">
        <v>169</v>
      </c>
      <c r="C45" s="39">
        <v>316</v>
      </c>
      <c r="D45" s="39">
        <v>485</v>
      </c>
      <c r="E45" s="134">
        <v>0.58433734939759041</v>
      </c>
      <c r="F45" s="278"/>
      <c r="G45" s="251"/>
      <c r="H45" s="251"/>
      <c r="I45" s="251"/>
      <c r="J45" s="251"/>
      <c r="K45" s="279"/>
    </row>
    <row r="46" spans="1:11" ht="15.75" customHeight="1" x14ac:dyDescent="0.3">
      <c r="A46" s="278"/>
      <c r="B46" s="278"/>
      <c r="C46" s="278"/>
      <c r="D46" s="39" t="s">
        <v>984</v>
      </c>
      <c r="E46" s="276"/>
      <c r="F46" s="278"/>
      <c r="G46" s="251"/>
      <c r="H46" s="251"/>
      <c r="I46" s="251"/>
      <c r="J46" s="251"/>
      <c r="K46" s="279"/>
    </row>
    <row r="47" spans="1:11" ht="15.75" customHeight="1" x14ac:dyDescent="0.3">
      <c r="A47" s="278"/>
      <c r="B47" s="278"/>
      <c r="C47" s="39" t="s">
        <v>985</v>
      </c>
      <c r="D47" s="276"/>
      <c r="E47" s="276"/>
      <c r="F47" s="278"/>
      <c r="G47" s="251"/>
      <c r="H47" s="251"/>
      <c r="I47" s="251"/>
      <c r="J47" s="251"/>
      <c r="K47" s="279"/>
    </row>
    <row r="48" spans="1:11" ht="15.75" customHeight="1" x14ac:dyDescent="0.3">
      <c r="A48" s="278"/>
      <c r="B48" s="39" t="s">
        <v>986</v>
      </c>
      <c r="C48" s="276"/>
      <c r="D48" s="276"/>
      <c r="E48" s="276"/>
      <c r="F48" s="278"/>
      <c r="G48" s="251"/>
      <c r="H48" s="251"/>
      <c r="I48" s="251"/>
      <c r="J48" s="251"/>
      <c r="K48" s="279"/>
    </row>
    <row r="49" spans="1:11" ht="15.75" customHeight="1" x14ac:dyDescent="0.3">
      <c r="A49" s="39" t="s">
        <v>987</v>
      </c>
      <c r="B49" s="276"/>
      <c r="C49" s="276"/>
      <c r="D49" s="276"/>
      <c r="E49" s="276"/>
      <c r="F49" s="278"/>
      <c r="G49" s="251"/>
      <c r="H49" s="251"/>
      <c r="I49" s="251"/>
      <c r="J49" s="251"/>
      <c r="K49" s="279"/>
    </row>
    <row r="50" spans="1:11" ht="15.75" customHeight="1" x14ac:dyDescent="0.3">
      <c r="A50" s="39" t="s">
        <v>562</v>
      </c>
      <c r="B50" s="39">
        <v>318</v>
      </c>
      <c r="C50" s="39">
        <v>471</v>
      </c>
      <c r="D50" s="39">
        <v>789</v>
      </c>
      <c r="E50" s="134">
        <v>0.95060240963855425</v>
      </c>
      <c r="F50" s="278"/>
      <c r="G50" s="251"/>
      <c r="H50" s="251"/>
      <c r="I50" s="251"/>
      <c r="J50" s="251"/>
      <c r="K50" s="279"/>
    </row>
    <row r="51" spans="1:11" ht="15.75" customHeight="1" x14ac:dyDescent="0.3">
      <c r="A51" s="278"/>
      <c r="B51" s="278"/>
      <c r="C51" s="278"/>
      <c r="D51" s="39" t="s">
        <v>988</v>
      </c>
      <c r="E51" s="276"/>
      <c r="F51" s="278"/>
      <c r="G51" s="251"/>
      <c r="H51" s="251"/>
      <c r="I51" s="251"/>
      <c r="J51" s="251"/>
      <c r="K51" s="279"/>
    </row>
    <row r="52" spans="1:11" ht="15.75" customHeight="1" x14ac:dyDescent="0.3">
      <c r="A52" s="278"/>
      <c r="B52" s="278"/>
      <c r="C52" s="39" t="s">
        <v>989</v>
      </c>
      <c r="D52" s="276"/>
      <c r="E52" s="276"/>
      <c r="F52" s="278"/>
      <c r="G52" s="251"/>
      <c r="H52" s="251"/>
      <c r="I52" s="251"/>
      <c r="J52" s="251"/>
      <c r="K52" s="279"/>
    </row>
    <row r="53" spans="1:11" ht="15.75" customHeight="1" x14ac:dyDescent="0.3">
      <c r="A53" s="278"/>
      <c r="B53" s="39" t="s">
        <v>990</v>
      </c>
      <c r="C53" s="276"/>
      <c r="D53" s="276"/>
      <c r="E53" s="276"/>
      <c r="F53" s="278"/>
      <c r="G53" s="251"/>
      <c r="H53" s="251"/>
      <c r="I53" s="251"/>
      <c r="J53" s="251"/>
      <c r="K53" s="279"/>
    </row>
    <row r="54" spans="1:11" ht="15.75" customHeight="1" x14ac:dyDescent="0.3">
      <c r="A54" s="39" t="s">
        <v>991</v>
      </c>
      <c r="B54" s="276"/>
      <c r="C54" s="276"/>
      <c r="D54" s="276"/>
      <c r="E54" s="276"/>
      <c r="F54" s="278"/>
      <c r="G54" s="251"/>
      <c r="H54" s="251"/>
      <c r="I54" s="251"/>
      <c r="J54" s="251"/>
      <c r="K54" s="279"/>
    </row>
    <row r="55" spans="1:11" ht="15.75" customHeight="1" x14ac:dyDescent="0.3">
      <c r="A55" s="39" t="s">
        <v>129</v>
      </c>
      <c r="B55" s="39">
        <v>42</v>
      </c>
      <c r="C55" s="39">
        <v>0</v>
      </c>
      <c r="D55" s="39">
        <v>42</v>
      </c>
      <c r="E55" s="134">
        <v>5.0602409638554217E-2</v>
      </c>
      <c r="F55" s="278"/>
      <c r="G55" s="251"/>
      <c r="H55" s="251"/>
      <c r="I55" s="251"/>
      <c r="J55" s="251"/>
      <c r="K55" s="279"/>
    </row>
    <row r="56" spans="1:11" ht="15.75" customHeight="1" x14ac:dyDescent="0.3">
      <c r="A56" s="278"/>
      <c r="B56" s="278"/>
      <c r="C56" s="278"/>
      <c r="D56" s="39" t="s">
        <v>992</v>
      </c>
      <c r="E56" s="276"/>
      <c r="F56" s="278"/>
      <c r="G56" s="251"/>
      <c r="H56" s="251"/>
      <c r="I56" s="251"/>
      <c r="J56" s="251"/>
      <c r="K56" s="279"/>
    </row>
    <row r="57" spans="1:11" ht="15.75" customHeight="1" x14ac:dyDescent="0.3">
      <c r="A57" s="278"/>
      <c r="B57" s="278"/>
      <c r="C57" s="39" t="s">
        <v>993</v>
      </c>
      <c r="D57" s="276"/>
      <c r="E57" s="276"/>
      <c r="F57" s="278"/>
      <c r="G57" s="251"/>
      <c r="H57" s="251"/>
      <c r="I57" s="251"/>
      <c r="J57" s="251"/>
      <c r="K57" s="279"/>
    </row>
    <row r="58" spans="1:11" ht="15.75" customHeight="1" x14ac:dyDescent="0.3">
      <c r="A58" s="278"/>
      <c r="B58" s="39" t="s">
        <v>992</v>
      </c>
      <c r="C58" s="276"/>
      <c r="D58" s="276"/>
      <c r="E58" s="276"/>
      <c r="F58" s="278"/>
      <c r="G58" s="251"/>
      <c r="H58" s="251"/>
      <c r="I58" s="251"/>
      <c r="J58" s="251"/>
      <c r="K58" s="279"/>
    </row>
    <row r="59" spans="1:11" ht="15.75" customHeight="1" x14ac:dyDescent="0.3">
      <c r="A59" s="39" t="s">
        <v>994</v>
      </c>
      <c r="B59" s="276"/>
      <c r="C59" s="276"/>
      <c r="D59" s="276"/>
      <c r="E59" s="276"/>
      <c r="F59" s="278"/>
      <c r="G59" s="251"/>
      <c r="H59" s="251"/>
      <c r="I59" s="251"/>
      <c r="J59" s="251"/>
      <c r="K59" s="279"/>
    </row>
    <row r="60" spans="1:11" ht="15.75" customHeight="1" x14ac:dyDescent="0.3">
      <c r="A60" s="39" t="s">
        <v>201</v>
      </c>
      <c r="B60" s="39">
        <v>399.5</v>
      </c>
      <c r="C60" s="39">
        <v>432.5</v>
      </c>
      <c r="D60" s="39">
        <v>832</v>
      </c>
      <c r="E60" s="134">
        <v>1.0024096385542169</v>
      </c>
      <c r="F60" s="278"/>
      <c r="G60" s="251"/>
      <c r="H60" s="251"/>
      <c r="I60" s="251"/>
      <c r="J60" s="251"/>
      <c r="K60" s="279"/>
    </row>
    <row r="61" spans="1:11" ht="15.75" customHeight="1" x14ac:dyDescent="0.3">
      <c r="A61" s="278"/>
      <c r="B61" s="278"/>
      <c r="C61" s="278"/>
      <c r="D61" s="39" t="s">
        <v>995</v>
      </c>
      <c r="E61" s="276"/>
      <c r="F61" s="278"/>
      <c r="G61" s="251"/>
      <c r="H61" s="251"/>
      <c r="I61" s="251"/>
      <c r="J61" s="251"/>
      <c r="K61" s="279"/>
    </row>
    <row r="62" spans="1:11" ht="15.75" customHeight="1" x14ac:dyDescent="0.3">
      <c r="A62" s="278"/>
      <c r="B62" s="278"/>
      <c r="C62" s="39" t="s">
        <v>996</v>
      </c>
      <c r="D62" s="276"/>
      <c r="E62" s="276"/>
      <c r="F62" s="278"/>
      <c r="G62" s="251"/>
      <c r="H62" s="251"/>
      <c r="I62" s="251"/>
      <c r="J62" s="251"/>
      <c r="K62" s="279"/>
    </row>
    <row r="63" spans="1:11" ht="15.75" customHeight="1" x14ac:dyDescent="0.3">
      <c r="A63" s="278"/>
      <c r="B63" s="39" t="s">
        <v>997</v>
      </c>
      <c r="C63" s="276"/>
      <c r="D63" s="276"/>
      <c r="E63" s="276"/>
      <c r="F63" s="278"/>
      <c r="G63" s="251"/>
      <c r="H63" s="251"/>
      <c r="I63" s="251"/>
      <c r="J63" s="251"/>
      <c r="K63" s="279"/>
    </row>
    <row r="64" spans="1:11" ht="15.75" customHeight="1" x14ac:dyDescent="0.3">
      <c r="A64" s="39" t="s">
        <v>998</v>
      </c>
      <c r="B64" s="276"/>
      <c r="C64" s="276"/>
      <c r="D64" s="276"/>
      <c r="E64" s="276"/>
      <c r="F64" s="278"/>
      <c r="G64" s="251"/>
      <c r="H64" s="251"/>
      <c r="I64" s="251"/>
      <c r="J64" s="251"/>
      <c r="K64" s="279"/>
    </row>
    <row r="65" spans="1:11" ht="15.75" customHeight="1" x14ac:dyDescent="0.3">
      <c r="A65" s="39" t="s">
        <v>946</v>
      </c>
      <c r="B65" s="39">
        <v>30</v>
      </c>
      <c r="C65" s="39">
        <v>88</v>
      </c>
      <c r="D65" s="39">
        <v>118</v>
      </c>
      <c r="E65" s="134">
        <v>0.14216867469879518</v>
      </c>
      <c r="F65" s="278"/>
      <c r="G65" s="251"/>
      <c r="H65" s="251"/>
      <c r="I65" s="251"/>
      <c r="J65" s="251"/>
      <c r="K65" s="279"/>
    </row>
    <row r="66" spans="1:11" ht="15.75" customHeight="1" x14ac:dyDescent="0.3">
      <c r="A66" s="278"/>
      <c r="B66" s="278"/>
      <c r="C66" s="278"/>
      <c r="D66" s="39" t="s">
        <v>999</v>
      </c>
      <c r="E66" s="276"/>
      <c r="F66" s="278"/>
      <c r="G66" s="251"/>
      <c r="H66" s="251"/>
      <c r="I66" s="251"/>
      <c r="J66" s="251"/>
      <c r="K66" s="279"/>
    </row>
    <row r="67" spans="1:11" ht="15.75" customHeight="1" x14ac:dyDescent="0.3">
      <c r="A67" s="278"/>
      <c r="B67" s="278"/>
      <c r="C67" s="39" t="s">
        <v>1000</v>
      </c>
      <c r="D67" s="276"/>
      <c r="E67" s="276"/>
      <c r="F67" s="278"/>
      <c r="G67" s="251"/>
      <c r="H67" s="251"/>
      <c r="I67" s="251"/>
      <c r="J67" s="251"/>
      <c r="K67" s="279"/>
    </row>
    <row r="68" spans="1:11" ht="15.75" customHeight="1" x14ac:dyDescent="0.3">
      <c r="A68" s="278"/>
      <c r="B68" s="39" t="s">
        <v>1001</v>
      </c>
      <c r="C68" s="276"/>
      <c r="D68" s="276"/>
      <c r="E68" s="276"/>
      <c r="F68" s="278"/>
      <c r="G68" s="251"/>
      <c r="H68" s="251"/>
      <c r="I68" s="251"/>
      <c r="J68" s="251"/>
      <c r="K68" s="279"/>
    </row>
    <row r="69" spans="1:11" ht="15.75" customHeight="1" x14ac:dyDescent="0.3">
      <c r="A69" s="39" t="s">
        <v>1002</v>
      </c>
      <c r="B69" s="276"/>
      <c r="C69" s="276"/>
      <c r="D69" s="276"/>
      <c r="E69" s="276"/>
      <c r="F69" s="278"/>
      <c r="G69" s="251"/>
      <c r="H69" s="251"/>
      <c r="I69" s="251"/>
      <c r="J69" s="251"/>
      <c r="K69" s="279"/>
    </row>
    <row r="70" spans="1:11" ht="15.75" customHeight="1" x14ac:dyDescent="0.3">
      <c r="A70" s="39" t="s">
        <v>223</v>
      </c>
      <c r="B70" s="39">
        <v>0</v>
      </c>
      <c r="C70" s="39">
        <v>155</v>
      </c>
      <c r="D70" s="39">
        <v>155</v>
      </c>
      <c r="E70" s="134">
        <v>0.18674698795180722</v>
      </c>
      <c r="F70" s="278"/>
      <c r="G70" s="251"/>
      <c r="H70" s="251"/>
      <c r="I70" s="251"/>
      <c r="J70" s="251"/>
      <c r="K70" s="279"/>
    </row>
    <row r="71" spans="1:11" ht="15.75" customHeight="1" x14ac:dyDescent="0.3">
      <c r="A71" s="278"/>
      <c r="B71" s="278"/>
      <c r="C71" s="278"/>
      <c r="D71" s="39" t="s">
        <v>1003</v>
      </c>
      <c r="E71" s="276"/>
      <c r="F71" s="278"/>
      <c r="G71" s="251"/>
      <c r="H71" s="251"/>
      <c r="I71" s="251"/>
      <c r="J71" s="251"/>
      <c r="K71" s="279"/>
    </row>
    <row r="72" spans="1:11" ht="15.75" customHeight="1" x14ac:dyDescent="0.3">
      <c r="A72" s="278"/>
      <c r="B72" s="278"/>
      <c r="C72" s="39" t="s">
        <v>1003</v>
      </c>
      <c r="D72" s="276"/>
      <c r="E72" s="276"/>
      <c r="F72" s="278"/>
      <c r="G72" s="251"/>
      <c r="H72" s="251"/>
      <c r="I72" s="251"/>
      <c r="J72" s="251"/>
      <c r="K72" s="279"/>
    </row>
    <row r="73" spans="1:11" ht="15.75" customHeight="1" x14ac:dyDescent="0.3">
      <c r="A73" s="278"/>
      <c r="B73" s="39" t="s">
        <v>993</v>
      </c>
      <c r="C73" s="276"/>
      <c r="D73" s="276"/>
      <c r="E73" s="276"/>
      <c r="F73" s="278"/>
      <c r="G73" s="251"/>
      <c r="H73" s="251"/>
      <c r="I73" s="251"/>
      <c r="J73" s="251"/>
      <c r="K73" s="279"/>
    </row>
    <row r="74" spans="1:11" ht="15.75" customHeight="1" x14ac:dyDescent="0.3">
      <c r="A74" s="39" t="s">
        <v>1004</v>
      </c>
      <c r="B74" s="276"/>
      <c r="C74" s="276"/>
      <c r="D74" s="276"/>
      <c r="E74" s="276"/>
      <c r="F74" s="278"/>
      <c r="G74" s="251"/>
      <c r="H74" s="251"/>
      <c r="I74" s="251"/>
      <c r="J74" s="251"/>
      <c r="K74" s="279"/>
    </row>
    <row r="75" spans="1:11" ht="15.75" customHeight="1" x14ac:dyDescent="0.3">
      <c r="A75" s="39" t="s">
        <v>180</v>
      </c>
      <c r="B75" s="39">
        <v>487</v>
      </c>
      <c r="C75" s="39">
        <v>251</v>
      </c>
      <c r="D75" s="39">
        <v>738</v>
      </c>
      <c r="E75" s="134">
        <v>0.88915662650602412</v>
      </c>
      <c r="F75" s="278"/>
      <c r="G75" s="251"/>
      <c r="H75" s="251"/>
      <c r="I75" s="251"/>
      <c r="J75" s="251"/>
      <c r="K75" s="279"/>
    </row>
    <row r="76" spans="1:11" ht="15.75" customHeight="1" x14ac:dyDescent="0.3">
      <c r="A76" s="278"/>
      <c r="B76" s="278"/>
      <c r="C76" s="278"/>
      <c r="D76" s="39" t="s">
        <v>1005</v>
      </c>
      <c r="E76" s="276"/>
      <c r="F76" s="278"/>
      <c r="G76" s="251"/>
      <c r="H76" s="251"/>
      <c r="I76" s="251"/>
      <c r="J76" s="251"/>
      <c r="K76" s="279"/>
    </row>
    <row r="77" spans="1:11" ht="15.75" customHeight="1" x14ac:dyDescent="0.3">
      <c r="A77" s="278"/>
      <c r="B77" s="278"/>
      <c r="C77" s="39" t="s">
        <v>1006</v>
      </c>
      <c r="D77" s="276"/>
      <c r="E77" s="276"/>
      <c r="F77" s="278"/>
      <c r="G77" s="251"/>
      <c r="H77" s="251"/>
      <c r="I77" s="251"/>
      <c r="J77" s="251"/>
      <c r="K77" s="279"/>
    </row>
    <row r="78" spans="1:11" ht="15.75" customHeight="1" x14ac:dyDescent="0.3">
      <c r="A78" s="278"/>
      <c r="B78" s="39" t="s">
        <v>1007</v>
      </c>
      <c r="C78" s="276"/>
      <c r="D78" s="276"/>
      <c r="E78" s="276"/>
      <c r="F78" s="278"/>
      <c r="G78" s="251"/>
      <c r="H78" s="251"/>
      <c r="I78" s="251"/>
      <c r="J78" s="251"/>
      <c r="K78" s="279"/>
    </row>
    <row r="79" spans="1:11" ht="15.75" customHeight="1" x14ac:dyDescent="0.3">
      <c r="A79" s="39" t="s">
        <v>1008</v>
      </c>
      <c r="B79" s="276"/>
      <c r="C79" s="276"/>
      <c r="D79" s="276"/>
      <c r="E79" s="276"/>
      <c r="F79" s="278"/>
      <c r="G79" s="251"/>
      <c r="H79" s="251"/>
      <c r="I79" s="251"/>
      <c r="J79" s="251"/>
      <c r="K79" s="279"/>
    </row>
    <row r="80" spans="1:11" ht="15.75" customHeight="1" x14ac:dyDescent="0.3">
      <c r="A80" s="39" t="s">
        <v>187</v>
      </c>
      <c r="B80" s="39">
        <v>74</v>
      </c>
      <c r="C80" s="39">
        <v>118</v>
      </c>
      <c r="D80" s="39">
        <v>192</v>
      </c>
      <c r="E80" s="134">
        <v>0.23132530120481928</v>
      </c>
      <c r="F80" s="278"/>
      <c r="G80" s="251"/>
      <c r="H80" s="251"/>
      <c r="I80" s="251"/>
      <c r="J80" s="251"/>
      <c r="K80" s="279"/>
    </row>
    <row r="81" spans="1:11" ht="15.75" customHeight="1" x14ac:dyDescent="0.3">
      <c r="A81" s="278"/>
      <c r="B81" s="278"/>
      <c r="C81" s="278"/>
      <c r="D81" s="39" t="s">
        <v>1009</v>
      </c>
      <c r="E81" s="276"/>
      <c r="F81" s="278"/>
      <c r="G81" s="251"/>
      <c r="H81" s="251"/>
      <c r="I81" s="251"/>
      <c r="J81" s="251"/>
      <c r="K81" s="279"/>
    </row>
    <row r="82" spans="1:11" ht="15.75" customHeight="1" x14ac:dyDescent="0.3">
      <c r="A82" s="278"/>
      <c r="B82" s="278"/>
      <c r="C82" s="39" t="s">
        <v>999</v>
      </c>
      <c r="D82" s="276"/>
      <c r="E82" s="276"/>
      <c r="F82" s="278"/>
      <c r="G82" s="251"/>
      <c r="H82" s="251"/>
      <c r="I82" s="251"/>
      <c r="J82" s="251"/>
      <c r="K82" s="279"/>
    </row>
    <row r="83" spans="1:11" ht="15.75" customHeight="1" x14ac:dyDescent="0.3">
      <c r="A83" s="278"/>
      <c r="B83" s="39" t="s">
        <v>1010</v>
      </c>
      <c r="C83" s="276"/>
      <c r="D83" s="276"/>
      <c r="E83" s="276"/>
      <c r="F83" s="278"/>
      <c r="G83" s="251"/>
      <c r="H83" s="251"/>
      <c r="I83" s="251"/>
      <c r="J83" s="251"/>
      <c r="K83" s="279"/>
    </row>
    <row r="84" spans="1:11" ht="15.75" customHeight="1" x14ac:dyDescent="0.3">
      <c r="A84" s="39" t="s">
        <v>1011</v>
      </c>
      <c r="B84" s="276"/>
      <c r="C84" s="276"/>
      <c r="D84" s="276"/>
      <c r="E84" s="276"/>
      <c r="F84" s="278"/>
      <c r="G84" s="251"/>
      <c r="H84" s="251"/>
      <c r="I84" s="251"/>
      <c r="J84" s="251"/>
      <c r="K84" s="279"/>
    </row>
    <row r="85" spans="1:11" ht="15.75" customHeight="1" x14ac:dyDescent="0.3">
      <c r="A85" s="39" t="s">
        <v>95</v>
      </c>
      <c r="B85" s="39">
        <v>239</v>
      </c>
      <c r="C85" s="39">
        <v>381</v>
      </c>
      <c r="D85" s="39">
        <v>620</v>
      </c>
      <c r="E85" s="134">
        <v>0.74698795180722888</v>
      </c>
      <c r="F85" s="278"/>
      <c r="G85" s="251"/>
      <c r="H85" s="251"/>
      <c r="I85" s="251"/>
      <c r="J85" s="251"/>
      <c r="K85" s="279"/>
    </row>
    <row r="86" spans="1:11" ht="15.75" customHeight="1" x14ac:dyDescent="0.3">
      <c r="A86" s="278"/>
      <c r="B86" s="278"/>
      <c r="C86" s="278"/>
      <c r="D86" s="39" t="s">
        <v>1012</v>
      </c>
      <c r="E86" s="276"/>
      <c r="F86" s="278"/>
      <c r="G86" s="251"/>
      <c r="H86" s="251"/>
      <c r="I86" s="251"/>
      <c r="J86" s="251"/>
      <c r="K86" s="279"/>
    </row>
    <row r="87" spans="1:11" ht="15.75" customHeight="1" x14ac:dyDescent="0.3">
      <c r="A87" s="278"/>
      <c r="B87" s="278"/>
      <c r="C87" s="39" t="s">
        <v>1013</v>
      </c>
      <c r="D87" s="276"/>
      <c r="E87" s="276"/>
      <c r="F87" s="278"/>
      <c r="G87" s="251"/>
      <c r="H87" s="251"/>
      <c r="I87" s="251"/>
      <c r="J87" s="251"/>
      <c r="K87" s="279"/>
    </row>
    <row r="88" spans="1:11" ht="15.75" customHeight="1" x14ac:dyDescent="0.3">
      <c r="A88" s="278"/>
      <c r="B88" s="39" t="s">
        <v>1014</v>
      </c>
      <c r="C88" s="276"/>
      <c r="D88" s="276"/>
      <c r="E88" s="276"/>
      <c r="F88" s="278"/>
      <c r="G88" s="251"/>
      <c r="H88" s="251"/>
      <c r="I88" s="251"/>
      <c r="J88" s="251"/>
      <c r="K88" s="279"/>
    </row>
    <row r="89" spans="1:11" ht="15.75" customHeight="1" x14ac:dyDescent="0.3">
      <c r="A89" s="39" t="s">
        <v>1015</v>
      </c>
      <c r="B89" s="276"/>
      <c r="C89" s="276"/>
      <c r="D89" s="276"/>
      <c r="E89" s="276"/>
      <c r="F89" s="278"/>
      <c r="G89" s="251"/>
      <c r="H89" s="251"/>
      <c r="I89" s="251"/>
      <c r="J89" s="251"/>
      <c r="K89" s="279"/>
    </row>
    <row r="90" spans="1:11" ht="15.75" customHeight="1" x14ac:dyDescent="0.3">
      <c r="A90" s="39" t="s">
        <v>1016</v>
      </c>
      <c r="B90" s="39">
        <v>15</v>
      </c>
      <c r="C90" s="39">
        <v>196</v>
      </c>
      <c r="D90" s="39">
        <v>211</v>
      </c>
      <c r="E90" s="134">
        <v>0.25421686746987954</v>
      </c>
      <c r="F90" s="278"/>
      <c r="G90" s="251"/>
      <c r="H90" s="251"/>
      <c r="I90" s="251"/>
      <c r="J90" s="251"/>
      <c r="K90" s="279"/>
    </row>
    <row r="91" spans="1:11" ht="15.75" customHeight="1" x14ac:dyDescent="0.3">
      <c r="A91" s="278"/>
      <c r="B91" s="278"/>
      <c r="C91" s="278"/>
      <c r="D91" s="39" t="s">
        <v>1017</v>
      </c>
      <c r="E91" s="276"/>
      <c r="F91" s="278"/>
      <c r="G91" s="251"/>
      <c r="H91" s="251"/>
      <c r="I91" s="251"/>
      <c r="J91" s="251"/>
      <c r="K91" s="279"/>
    </row>
    <row r="92" spans="1:11" ht="15.75" customHeight="1" x14ac:dyDescent="0.3">
      <c r="A92" s="278"/>
      <c r="B92" s="278"/>
      <c r="C92" s="39" t="s">
        <v>953</v>
      </c>
      <c r="D92" s="276"/>
      <c r="E92" s="276"/>
      <c r="F92" s="278"/>
      <c r="G92" s="251"/>
      <c r="H92" s="251"/>
      <c r="I92" s="251"/>
      <c r="J92" s="251"/>
      <c r="K92" s="279"/>
    </row>
    <row r="93" spans="1:11" ht="15.75" customHeight="1" x14ac:dyDescent="0.3">
      <c r="A93" s="278"/>
      <c r="B93" s="39" t="s">
        <v>1018</v>
      </c>
      <c r="C93" s="276"/>
      <c r="D93" s="276"/>
      <c r="E93" s="276"/>
      <c r="F93" s="278"/>
      <c r="G93" s="251"/>
      <c r="H93" s="251"/>
      <c r="I93" s="251"/>
      <c r="J93" s="251"/>
      <c r="K93" s="279"/>
    </row>
    <row r="94" spans="1:11" ht="15.75" customHeight="1" x14ac:dyDescent="0.3">
      <c r="A94" s="39" t="s">
        <v>1019</v>
      </c>
      <c r="B94" s="276"/>
      <c r="C94" s="276"/>
      <c r="D94" s="276"/>
      <c r="E94" s="276"/>
      <c r="F94" s="278"/>
      <c r="G94" s="251"/>
      <c r="H94" s="251"/>
      <c r="I94" s="251"/>
      <c r="J94" s="251"/>
      <c r="K94" s="279"/>
    </row>
    <row r="95" spans="1:11" ht="15.75" customHeight="1" x14ac:dyDescent="0.3">
      <c r="A95" s="39" t="s">
        <v>258</v>
      </c>
      <c r="B95" s="39">
        <v>378</v>
      </c>
      <c r="C95" s="39">
        <v>449</v>
      </c>
      <c r="D95" s="39">
        <v>827</v>
      </c>
      <c r="E95" s="134">
        <v>0.9963855421686747</v>
      </c>
      <c r="F95" s="278"/>
      <c r="G95" s="251"/>
      <c r="H95" s="251"/>
      <c r="I95" s="251"/>
      <c r="J95" s="251"/>
      <c r="K95" s="279"/>
    </row>
    <row r="96" spans="1:11" ht="15.75" customHeight="1" x14ac:dyDescent="0.3">
      <c r="A96" s="278"/>
      <c r="B96" s="278"/>
      <c r="C96" s="278"/>
      <c r="D96" s="39" t="s">
        <v>1020</v>
      </c>
      <c r="E96" s="276"/>
      <c r="F96" s="278"/>
      <c r="G96" s="251"/>
      <c r="H96" s="251"/>
      <c r="I96" s="251"/>
      <c r="J96" s="251"/>
      <c r="K96" s="279"/>
    </row>
    <row r="97" spans="1:11" ht="15.75" customHeight="1" x14ac:dyDescent="0.3">
      <c r="A97" s="278"/>
      <c r="B97" s="278"/>
      <c r="C97" s="39" t="s">
        <v>1021</v>
      </c>
      <c r="D97" s="276"/>
      <c r="E97" s="276"/>
      <c r="F97" s="278"/>
      <c r="G97" s="251"/>
      <c r="H97" s="251"/>
      <c r="I97" s="251"/>
      <c r="J97" s="251"/>
      <c r="K97" s="279"/>
    </row>
    <row r="98" spans="1:11" ht="15.75" customHeight="1" x14ac:dyDescent="0.3">
      <c r="A98" s="278"/>
      <c r="B98" s="39" t="s">
        <v>1022</v>
      </c>
      <c r="C98" s="276"/>
      <c r="D98" s="276"/>
      <c r="E98" s="276"/>
      <c r="F98" s="278"/>
      <c r="G98" s="251"/>
      <c r="H98" s="251"/>
      <c r="I98" s="251"/>
      <c r="J98" s="251"/>
      <c r="K98" s="279"/>
    </row>
    <row r="99" spans="1:11" ht="15.75" customHeight="1" x14ac:dyDescent="0.3">
      <c r="A99" s="39" t="s">
        <v>1023</v>
      </c>
      <c r="B99" s="276"/>
      <c r="C99" s="276"/>
      <c r="D99" s="276"/>
      <c r="E99" s="276"/>
      <c r="F99" s="278"/>
      <c r="G99" s="251"/>
      <c r="H99" s="251"/>
      <c r="I99" s="251"/>
      <c r="J99" s="251"/>
      <c r="K99" s="279"/>
    </row>
    <row r="100" spans="1:11" ht="15.75" customHeight="1" x14ac:dyDescent="0.3">
      <c r="A100" s="39" t="s">
        <v>71</v>
      </c>
      <c r="B100" s="39">
        <v>457</v>
      </c>
      <c r="C100" s="39">
        <v>370</v>
      </c>
      <c r="D100" s="39">
        <v>827</v>
      </c>
      <c r="E100" s="134">
        <v>0.9963855421686747</v>
      </c>
      <c r="F100" s="278"/>
      <c r="G100" s="251"/>
      <c r="H100" s="251"/>
      <c r="I100" s="251"/>
      <c r="J100" s="251"/>
      <c r="K100" s="279"/>
    </row>
    <row r="101" spans="1:11" ht="15.75" customHeight="1" x14ac:dyDescent="0.3">
      <c r="A101" s="278"/>
      <c r="B101" s="278"/>
      <c r="C101" s="278"/>
      <c r="D101" s="39" t="s">
        <v>1020</v>
      </c>
      <c r="E101" s="276"/>
      <c r="F101" s="278"/>
      <c r="G101" s="251"/>
      <c r="H101" s="251"/>
      <c r="I101" s="251"/>
      <c r="J101" s="251"/>
      <c r="K101" s="279"/>
    </row>
    <row r="102" spans="1:11" ht="15.75" customHeight="1" x14ac:dyDescent="0.3">
      <c r="A102" s="278"/>
      <c r="B102" s="278"/>
      <c r="C102" s="39" t="s">
        <v>1024</v>
      </c>
      <c r="D102" s="276"/>
      <c r="E102" s="276"/>
      <c r="F102" s="278"/>
      <c r="G102" s="251"/>
      <c r="H102" s="251"/>
      <c r="I102" s="251"/>
      <c r="J102" s="251"/>
      <c r="K102" s="279"/>
    </row>
    <row r="103" spans="1:11" ht="15.75" customHeight="1" x14ac:dyDescent="0.3">
      <c r="A103" s="278"/>
      <c r="B103" s="39" t="s">
        <v>1025</v>
      </c>
      <c r="C103" s="276"/>
      <c r="D103" s="276"/>
      <c r="E103" s="276"/>
      <c r="F103" s="278"/>
      <c r="G103" s="251"/>
      <c r="H103" s="251"/>
      <c r="I103" s="251"/>
      <c r="J103" s="251"/>
      <c r="K103" s="279"/>
    </row>
    <row r="104" spans="1:11" ht="15.75" customHeight="1" x14ac:dyDescent="0.3">
      <c r="A104" s="39" t="s">
        <v>1026</v>
      </c>
      <c r="B104" s="276"/>
      <c r="C104" s="276"/>
      <c r="D104" s="276"/>
      <c r="E104" s="276"/>
      <c r="F104" s="278"/>
      <c r="G104" s="251"/>
      <c r="H104" s="251"/>
      <c r="I104" s="251"/>
      <c r="J104" s="251"/>
      <c r="K104" s="279"/>
    </row>
    <row r="105" spans="1:11" ht="15.75" customHeight="1" x14ac:dyDescent="0.3">
      <c r="A105" s="39" t="s">
        <v>1027</v>
      </c>
      <c r="B105" s="39">
        <v>0</v>
      </c>
      <c r="C105" s="39">
        <v>34</v>
      </c>
      <c r="D105" s="39">
        <v>34</v>
      </c>
      <c r="E105" s="134">
        <v>4.0963855421686748E-2</v>
      </c>
      <c r="F105" s="278"/>
      <c r="G105" s="251"/>
      <c r="H105" s="251"/>
      <c r="I105" s="251"/>
      <c r="J105" s="251"/>
      <c r="K105" s="279"/>
    </row>
    <row r="106" spans="1:11" ht="15.75" customHeight="1" x14ac:dyDescent="0.3">
      <c r="A106" s="278"/>
      <c r="B106" s="278"/>
      <c r="C106" s="278"/>
      <c r="D106" s="39" t="s">
        <v>1028</v>
      </c>
      <c r="E106" s="276"/>
      <c r="F106" s="278"/>
      <c r="G106" s="251"/>
      <c r="H106" s="251"/>
      <c r="I106" s="251"/>
      <c r="J106" s="251"/>
      <c r="K106" s="279"/>
    </row>
    <row r="107" spans="1:11" ht="15.75" customHeight="1" x14ac:dyDescent="0.3">
      <c r="A107" s="278"/>
      <c r="B107" s="278"/>
      <c r="C107" s="39" t="s">
        <v>1028</v>
      </c>
      <c r="D107" s="276"/>
      <c r="E107" s="276"/>
      <c r="F107" s="278"/>
      <c r="G107" s="251"/>
      <c r="H107" s="251"/>
      <c r="I107" s="251"/>
      <c r="J107" s="251"/>
      <c r="K107" s="279"/>
    </row>
    <row r="108" spans="1:11" ht="15.75" customHeight="1" x14ac:dyDescent="0.3">
      <c r="A108" s="278"/>
      <c r="B108" s="39" t="s">
        <v>993</v>
      </c>
      <c r="C108" s="276"/>
      <c r="D108" s="276"/>
      <c r="E108" s="276"/>
      <c r="F108" s="278"/>
      <c r="G108" s="251"/>
      <c r="H108" s="251"/>
      <c r="I108" s="251"/>
      <c r="J108" s="251"/>
      <c r="K108" s="279"/>
    </row>
    <row r="109" spans="1:11" ht="15.75" customHeight="1" x14ac:dyDescent="0.3">
      <c r="A109" s="39" t="s">
        <v>1029</v>
      </c>
      <c r="B109" s="276"/>
      <c r="C109" s="276"/>
      <c r="D109" s="276"/>
      <c r="E109" s="276"/>
      <c r="F109" s="278"/>
      <c r="G109" s="251"/>
      <c r="H109" s="251"/>
      <c r="I109" s="251"/>
      <c r="J109" s="251"/>
      <c r="K109" s="279"/>
    </row>
    <row r="110" spans="1:11" ht="15.75" customHeight="1" x14ac:dyDescent="0.3">
      <c r="A110" s="39" t="s">
        <v>147</v>
      </c>
      <c r="B110" s="39">
        <v>386</v>
      </c>
      <c r="C110" s="39">
        <v>508</v>
      </c>
      <c r="D110" s="39">
        <v>894</v>
      </c>
      <c r="E110" s="134">
        <v>1.0771084337349397</v>
      </c>
      <c r="F110" s="278"/>
      <c r="G110" s="251"/>
      <c r="H110" s="251"/>
      <c r="I110" s="251"/>
      <c r="J110" s="251"/>
      <c r="K110" s="279"/>
    </row>
    <row r="111" spans="1:11" ht="15.75" customHeight="1" x14ac:dyDescent="0.3">
      <c r="A111" s="278"/>
      <c r="B111" s="278"/>
      <c r="C111" s="278"/>
      <c r="D111" s="39" t="s">
        <v>1030</v>
      </c>
      <c r="E111" s="276"/>
      <c r="F111" s="278"/>
      <c r="G111" s="251"/>
      <c r="H111" s="251"/>
      <c r="I111" s="251"/>
      <c r="J111" s="251"/>
      <c r="K111" s="279"/>
    </row>
    <row r="112" spans="1:11" ht="15.75" customHeight="1" x14ac:dyDescent="0.3">
      <c r="A112" s="278"/>
      <c r="B112" s="278"/>
      <c r="C112" s="39" t="s">
        <v>1031</v>
      </c>
      <c r="D112" s="276"/>
      <c r="E112" s="276"/>
      <c r="F112" s="278"/>
      <c r="G112" s="251"/>
      <c r="H112" s="251"/>
      <c r="I112" s="251"/>
      <c r="J112" s="251"/>
      <c r="K112" s="279"/>
    </row>
    <row r="113" spans="1:11" ht="15.75" customHeight="1" x14ac:dyDescent="0.3">
      <c r="A113" s="278"/>
      <c r="B113" s="39" t="s">
        <v>1032</v>
      </c>
      <c r="C113" s="276"/>
      <c r="D113" s="276"/>
      <c r="E113" s="276"/>
      <c r="F113" s="278"/>
      <c r="G113" s="251"/>
      <c r="H113" s="251"/>
      <c r="I113" s="251"/>
      <c r="J113" s="251"/>
      <c r="K113" s="279"/>
    </row>
    <row r="114" spans="1:11" ht="15.75" customHeight="1" x14ac:dyDescent="0.3">
      <c r="A114" s="39" t="s">
        <v>1033</v>
      </c>
      <c r="B114" s="276"/>
      <c r="C114" s="276"/>
      <c r="D114" s="276"/>
      <c r="E114" s="276"/>
      <c r="F114" s="278"/>
      <c r="G114" s="251"/>
      <c r="H114" s="251"/>
      <c r="I114" s="251"/>
      <c r="J114" s="251"/>
      <c r="K114" s="279"/>
    </row>
    <row r="115" spans="1:11" ht="15.75" customHeight="1" x14ac:dyDescent="0.3">
      <c r="A115" s="39" t="s">
        <v>85</v>
      </c>
      <c r="B115" s="39">
        <v>606</v>
      </c>
      <c r="C115" s="39">
        <v>329</v>
      </c>
      <c r="D115" s="39">
        <v>935</v>
      </c>
      <c r="E115" s="134">
        <v>1.1265060240963856</v>
      </c>
      <c r="F115" s="278"/>
      <c r="G115" s="251"/>
      <c r="H115" s="251"/>
      <c r="I115" s="251"/>
      <c r="J115" s="251"/>
      <c r="K115" s="279"/>
    </row>
    <row r="116" spans="1:11" ht="15.75" customHeight="1" x14ac:dyDescent="0.3">
      <c r="A116" s="278"/>
      <c r="B116" s="278"/>
      <c r="C116" s="278"/>
      <c r="D116" s="39" t="s">
        <v>1034</v>
      </c>
      <c r="E116" s="276"/>
      <c r="F116" s="278"/>
      <c r="G116" s="251"/>
      <c r="H116" s="251"/>
      <c r="I116" s="251"/>
      <c r="J116" s="251"/>
      <c r="K116" s="279"/>
    </row>
    <row r="117" spans="1:11" ht="15.75" customHeight="1" x14ac:dyDescent="0.3">
      <c r="A117" s="278"/>
      <c r="B117" s="278"/>
      <c r="C117" s="39" t="s">
        <v>1035</v>
      </c>
      <c r="D117" s="276"/>
      <c r="E117" s="276"/>
      <c r="F117" s="278"/>
      <c r="G117" s="251"/>
      <c r="H117" s="251"/>
      <c r="I117" s="251"/>
      <c r="J117" s="251"/>
      <c r="K117" s="279"/>
    </row>
    <row r="118" spans="1:11" ht="15.75" customHeight="1" x14ac:dyDescent="0.3">
      <c r="A118" s="278"/>
      <c r="B118" s="39" t="s">
        <v>1036</v>
      </c>
      <c r="C118" s="276"/>
      <c r="D118" s="276"/>
      <c r="E118" s="276"/>
      <c r="F118" s="278"/>
      <c r="G118" s="251"/>
      <c r="H118" s="251"/>
      <c r="I118" s="251"/>
      <c r="J118" s="251"/>
      <c r="K118" s="279"/>
    </row>
    <row r="119" spans="1:11" ht="15.75" customHeight="1" x14ac:dyDescent="0.3">
      <c r="A119" s="39" t="s">
        <v>1037</v>
      </c>
      <c r="B119" s="276"/>
      <c r="C119" s="276"/>
      <c r="D119" s="276"/>
      <c r="E119" s="276"/>
      <c r="F119" s="278"/>
      <c r="G119" s="251"/>
      <c r="H119" s="251"/>
      <c r="I119" s="251"/>
      <c r="J119" s="251"/>
      <c r="K119" s="279"/>
    </row>
    <row r="120" spans="1:11" ht="15.75" customHeight="1" x14ac:dyDescent="0.3">
      <c r="A120" s="39" t="s">
        <v>77</v>
      </c>
      <c r="B120" s="39">
        <v>191</v>
      </c>
      <c r="C120" s="39">
        <v>145</v>
      </c>
      <c r="D120" s="39">
        <v>336</v>
      </c>
      <c r="E120" s="134">
        <v>0.40481927710843374</v>
      </c>
      <c r="F120" s="278"/>
      <c r="G120" s="251"/>
      <c r="H120" s="251"/>
      <c r="I120" s="251"/>
      <c r="J120" s="251"/>
      <c r="K120" s="279"/>
    </row>
    <row r="121" spans="1:11" ht="15.75" customHeight="1" x14ac:dyDescent="0.3">
      <c r="A121" s="278"/>
      <c r="B121" s="278"/>
      <c r="C121" s="278"/>
      <c r="D121" s="39" t="s">
        <v>1038</v>
      </c>
      <c r="E121" s="276"/>
      <c r="F121" s="278"/>
      <c r="G121" s="251"/>
      <c r="H121" s="251"/>
      <c r="I121" s="251"/>
      <c r="J121" s="251"/>
      <c r="K121" s="279"/>
    </row>
    <row r="122" spans="1:11" ht="15.75" customHeight="1" x14ac:dyDescent="0.3">
      <c r="A122" s="278"/>
      <c r="B122" s="278"/>
      <c r="C122" s="39" t="s">
        <v>1039</v>
      </c>
      <c r="D122" s="276"/>
      <c r="E122" s="276"/>
      <c r="F122" s="278"/>
      <c r="G122" s="251"/>
      <c r="H122" s="251"/>
      <c r="I122" s="251"/>
      <c r="J122" s="251"/>
      <c r="K122" s="279"/>
    </row>
    <row r="123" spans="1:11" ht="15.75" customHeight="1" x14ac:dyDescent="0.3">
      <c r="A123" s="278"/>
      <c r="B123" s="39" t="s">
        <v>1040</v>
      </c>
      <c r="C123" s="276"/>
      <c r="D123" s="276"/>
      <c r="E123" s="276"/>
      <c r="F123" s="278"/>
      <c r="G123" s="251"/>
      <c r="H123" s="251"/>
      <c r="I123" s="251"/>
      <c r="J123" s="251"/>
      <c r="K123" s="279"/>
    </row>
    <row r="124" spans="1:11" ht="15.75" customHeight="1" x14ac:dyDescent="0.3">
      <c r="A124" s="39" t="s">
        <v>1041</v>
      </c>
      <c r="B124" s="276"/>
      <c r="C124" s="276"/>
      <c r="D124" s="276"/>
      <c r="E124" s="276"/>
      <c r="F124" s="278"/>
      <c r="G124" s="251"/>
      <c r="H124" s="251"/>
      <c r="I124" s="251"/>
      <c r="J124" s="251"/>
      <c r="K124" s="279"/>
    </row>
    <row r="125" spans="1:11" ht="15.75" customHeight="1" x14ac:dyDescent="0.3">
      <c r="A125" s="39" t="s">
        <v>574</v>
      </c>
      <c r="B125" s="39">
        <v>265</v>
      </c>
      <c r="C125" s="39">
        <v>400</v>
      </c>
      <c r="D125" s="39">
        <v>665</v>
      </c>
      <c r="E125" s="134">
        <v>0.8012048192771084</v>
      </c>
      <c r="F125" s="278"/>
      <c r="G125" s="251"/>
      <c r="H125" s="251"/>
      <c r="I125" s="251"/>
      <c r="J125" s="251"/>
      <c r="K125" s="279"/>
    </row>
    <row r="126" spans="1:11" ht="15.75" customHeight="1" x14ac:dyDescent="0.3">
      <c r="A126" s="278"/>
      <c r="B126" s="278"/>
      <c r="C126" s="278"/>
      <c r="D126" s="39" t="s">
        <v>1042</v>
      </c>
      <c r="E126" s="276"/>
      <c r="F126" s="278"/>
      <c r="G126" s="251"/>
      <c r="H126" s="251"/>
      <c r="I126" s="251"/>
      <c r="J126" s="251"/>
      <c r="K126" s="279"/>
    </row>
    <row r="127" spans="1:11" ht="15.75" customHeight="1" x14ac:dyDescent="0.3">
      <c r="A127" s="278"/>
      <c r="B127" s="278"/>
      <c r="C127" s="39" t="s">
        <v>1043</v>
      </c>
      <c r="D127" s="276"/>
      <c r="E127" s="276"/>
      <c r="F127" s="278"/>
      <c r="G127" s="251"/>
      <c r="H127" s="251"/>
      <c r="I127" s="251"/>
      <c r="J127" s="251"/>
      <c r="K127" s="279"/>
    </row>
    <row r="128" spans="1:11" ht="15.75" customHeight="1" x14ac:dyDescent="0.3">
      <c r="A128" s="278"/>
      <c r="B128" s="39" t="s">
        <v>1044</v>
      </c>
      <c r="C128" s="276"/>
      <c r="D128" s="276"/>
      <c r="E128" s="276"/>
      <c r="F128" s="278"/>
      <c r="G128" s="251"/>
      <c r="H128" s="251"/>
      <c r="I128" s="251"/>
      <c r="J128" s="251"/>
      <c r="K128" s="279"/>
    </row>
    <row r="129" spans="1:11" ht="15.75" customHeight="1" x14ac:dyDescent="0.3">
      <c r="A129" s="39" t="s">
        <v>1045</v>
      </c>
      <c r="B129" s="276"/>
      <c r="C129" s="276"/>
      <c r="D129" s="276"/>
      <c r="E129" s="276"/>
      <c r="F129" s="278"/>
      <c r="G129" s="251"/>
      <c r="H129" s="251"/>
      <c r="I129" s="251"/>
      <c r="J129" s="251"/>
      <c r="K129" s="279"/>
    </row>
    <row r="130" spans="1:11" ht="15.75" customHeight="1" x14ac:dyDescent="0.3">
      <c r="A130" s="39" t="s">
        <v>99</v>
      </c>
      <c r="B130" s="39">
        <v>275</v>
      </c>
      <c r="C130" s="39">
        <v>151</v>
      </c>
      <c r="D130" s="39">
        <v>426</v>
      </c>
      <c r="E130" s="134">
        <v>0.51325301204819274</v>
      </c>
      <c r="F130" s="278"/>
      <c r="G130" s="251"/>
      <c r="H130" s="251"/>
      <c r="I130" s="251"/>
      <c r="J130" s="251"/>
      <c r="K130" s="279"/>
    </row>
    <row r="131" spans="1:11" ht="15.75" customHeight="1" x14ac:dyDescent="0.3">
      <c r="A131" s="278"/>
      <c r="B131" s="278"/>
      <c r="C131" s="278"/>
      <c r="D131" s="39" t="s">
        <v>1046</v>
      </c>
      <c r="E131" s="276"/>
      <c r="F131" s="278"/>
      <c r="G131" s="251"/>
      <c r="H131" s="251"/>
      <c r="I131" s="251"/>
      <c r="J131" s="251"/>
      <c r="K131" s="279"/>
    </row>
    <row r="132" spans="1:11" ht="15.75" customHeight="1" x14ac:dyDescent="0.3">
      <c r="A132" s="278"/>
      <c r="B132" s="278"/>
      <c r="C132" s="39" t="s">
        <v>1047</v>
      </c>
      <c r="D132" s="276"/>
      <c r="E132" s="276"/>
      <c r="F132" s="278"/>
      <c r="G132" s="251"/>
      <c r="H132" s="251"/>
      <c r="I132" s="251"/>
      <c r="J132" s="251"/>
      <c r="K132" s="279"/>
    </row>
    <row r="133" spans="1:11" ht="15.75" customHeight="1" x14ac:dyDescent="0.3">
      <c r="A133" s="278"/>
      <c r="B133" s="39" t="s">
        <v>1048</v>
      </c>
      <c r="C133" s="276"/>
      <c r="D133" s="276"/>
      <c r="E133" s="276"/>
      <c r="F133" s="278"/>
      <c r="G133" s="251"/>
      <c r="H133" s="251"/>
      <c r="I133" s="251"/>
      <c r="J133" s="251"/>
      <c r="K133" s="279"/>
    </row>
    <row r="134" spans="1:11" ht="15.75" customHeight="1" x14ac:dyDescent="0.3">
      <c r="A134" s="39" t="s">
        <v>1049</v>
      </c>
      <c r="B134" s="276"/>
      <c r="C134" s="276"/>
      <c r="D134" s="276"/>
      <c r="E134" s="276"/>
      <c r="F134" s="278"/>
      <c r="G134" s="251"/>
      <c r="H134" s="251"/>
      <c r="I134" s="251"/>
      <c r="J134" s="251"/>
      <c r="K134" s="279"/>
    </row>
    <row r="135" spans="1:11" ht="15.75" customHeight="1" x14ac:dyDescent="0.3">
      <c r="A135" s="39" t="s">
        <v>211</v>
      </c>
      <c r="B135" s="39">
        <v>90</v>
      </c>
      <c r="C135" s="39">
        <v>296</v>
      </c>
      <c r="D135" s="39">
        <v>386</v>
      </c>
      <c r="E135" s="134">
        <v>0.4650602409638554</v>
      </c>
      <c r="F135" s="278"/>
      <c r="G135" s="251"/>
      <c r="H135" s="251"/>
      <c r="I135" s="251"/>
      <c r="J135" s="251"/>
      <c r="K135" s="279"/>
    </row>
    <row r="136" spans="1:11" ht="15.75" customHeight="1" x14ac:dyDescent="0.3">
      <c r="A136" s="278"/>
      <c r="B136" s="278"/>
      <c r="C136" s="278"/>
      <c r="D136" s="39" t="s">
        <v>1032</v>
      </c>
      <c r="E136" s="276"/>
      <c r="F136" s="278"/>
      <c r="G136" s="251"/>
      <c r="H136" s="251"/>
      <c r="I136" s="251"/>
      <c r="J136" s="251"/>
      <c r="K136" s="279"/>
    </row>
    <row r="137" spans="1:11" ht="15.75" customHeight="1" x14ac:dyDescent="0.3">
      <c r="A137" s="278"/>
      <c r="B137" s="278"/>
      <c r="C137" s="39" t="s">
        <v>1050</v>
      </c>
      <c r="D137" s="276"/>
      <c r="E137" s="276"/>
      <c r="F137" s="278"/>
      <c r="G137" s="251"/>
      <c r="H137" s="251"/>
      <c r="I137" s="251"/>
      <c r="J137" s="251"/>
      <c r="K137" s="279"/>
    </row>
    <row r="138" spans="1:11" ht="15.75" customHeight="1" x14ac:dyDescent="0.3">
      <c r="A138" s="278"/>
      <c r="B138" s="39" t="s">
        <v>1051</v>
      </c>
      <c r="C138" s="276"/>
      <c r="D138" s="276"/>
      <c r="E138" s="276"/>
      <c r="F138" s="278"/>
      <c r="G138" s="251"/>
      <c r="H138" s="251"/>
      <c r="I138" s="251"/>
      <c r="J138" s="251"/>
      <c r="K138" s="279"/>
    </row>
    <row r="139" spans="1:11" ht="15.75" customHeight="1" x14ac:dyDescent="0.3">
      <c r="A139" s="39" t="s">
        <v>1052</v>
      </c>
      <c r="B139" s="276"/>
      <c r="C139" s="276"/>
      <c r="D139" s="276"/>
      <c r="E139" s="276"/>
      <c r="F139" s="278"/>
      <c r="G139" s="251"/>
      <c r="H139" s="251"/>
      <c r="I139" s="251"/>
      <c r="J139" s="251"/>
      <c r="K139" s="279"/>
    </row>
    <row r="140" spans="1:11" ht="15.75" customHeight="1" x14ac:dyDescent="0.3">
      <c r="A140" s="39" t="s">
        <v>64</v>
      </c>
      <c r="B140" s="39">
        <v>94</v>
      </c>
      <c r="C140" s="39">
        <v>168</v>
      </c>
      <c r="D140" s="39">
        <v>262</v>
      </c>
      <c r="E140" s="134">
        <v>0.31566265060240961</v>
      </c>
      <c r="F140" s="278"/>
      <c r="G140" s="251"/>
      <c r="H140" s="251"/>
      <c r="I140" s="251"/>
      <c r="J140" s="251"/>
      <c r="K140" s="279"/>
    </row>
    <row r="141" spans="1:11" ht="15.75" customHeight="1" x14ac:dyDescent="0.3">
      <c r="A141" s="278"/>
      <c r="B141" s="278"/>
      <c r="C141" s="278"/>
      <c r="D141" s="39" t="s">
        <v>1053</v>
      </c>
      <c r="E141" s="276"/>
      <c r="F141" s="278"/>
      <c r="G141" s="251"/>
      <c r="H141" s="251"/>
      <c r="I141" s="251"/>
      <c r="J141" s="251"/>
      <c r="K141" s="279"/>
    </row>
    <row r="142" spans="1:11" ht="15.75" customHeight="1" x14ac:dyDescent="0.3">
      <c r="A142" s="278"/>
      <c r="B142" s="278"/>
      <c r="C142" s="39" t="s">
        <v>1054</v>
      </c>
      <c r="D142" s="276"/>
      <c r="E142" s="276"/>
      <c r="F142" s="278"/>
      <c r="G142" s="251"/>
      <c r="H142" s="251"/>
      <c r="I142" s="251"/>
      <c r="J142" s="251"/>
      <c r="K142" s="279"/>
    </row>
    <row r="143" spans="1:11" ht="15.75" customHeight="1" x14ac:dyDescent="0.3">
      <c r="A143" s="278"/>
      <c r="B143" s="39" t="s">
        <v>1055</v>
      </c>
      <c r="C143" s="276"/>
      <c r="D143" s="276"/>
      <c r="E143" s="276"/>
      <c r="F143" s="278"/>
      <c r="G143" s="251"/>
      <c r="H143" s="251"/>
      <c r="I143" s="251"/>
      <c r="J143" s="251"/>
      <c r="K143" s="279"/>
    </row>
    <row r="144" spans="1:11" ht="15.75" customHeight="1" x14ac:dyDescent="0.3">
      <c r="A144" s="39" t="s">
        <v>1056</v>
      </c>
      <c r="B144" s="276"/>
      <c r="C144" s="276"/>
      <c r="D144" s="276"/>
      <c r="E144" s="276"/>
      <c r="F144" s="278"/>
      <c r="G144" s="251"/>
      <c r="H144" s="251"/>
      <c r="I144" s="251"/>
      <c r="J144" s="251"/>
      <c r="K144" s="279"/>
    </row>
    <row r="145" spans="1:11" ht="15.75" customHeight="1" x14ac:dyDescent="0.3">
      <c r="A145" s="39" t="s">
        <v>97</v>
      </c>
      <c r="B145" s="39">
        <v>414</v>
      </c>
      <c r="C145" s="39">
        <v>471</v>
      </c>
      <c r="D145" s="39">
        <v>885</v>
      </c>
      <c r="E145" s="134">
        <v>1.0662650602409638</v>
      </c>
      <c r="F145" s="278"/>
      <c r="G145" s="251"/>
      <c r="H145" s="251"/>
      <c r="I145" s="251"/>
      <c r="J145" s="251"/>
      <c r="K145" s="279"/>
    </row>
    <row r="146" spans="1:11" ht="15.75" customHeight="1" x14ac:dyDescent="0.3">
      <c r="A146" s="278"/>
      <c r="B146" s="278"/>
      <c r="C146" s="278"/>
      <c r="D146" s="39" t="s">
        <v>1057</v>
      </c>
      <c r="E146" s="276"/>
      <c r="F146" s="278"/>
      <c r="G146" s="251"/>
      <c r="H146" s="251"/>
      <c r="I146" s="251"/>
      <c r="J146" s="251"/>
      <c r="K146" s="279"/>
    </row>
    <row r="147" spans="1:11" ht="15.75" customHeight="1" x14ac:dyDescent="0.3">
      <c r="A147" s="278"/>
      <c r="B147" s="278"/>
      <c r="C147" s="39" t="s">
        <v>989</v>
      </c>
      <c r="D147" s="276"/>
      <c r="E147" s="276"/>
      <c r="F147" s="278"/>
      <c r="G147" s="251"/>
      <c r="H147" s="251"/>
      <c r="I147" s="251"/>
      <c r="J147" s="251"/>
      <c r="K147" s="279"/>
    </row>
    <row r="148" spans="1:11" ht="15.75" customHeight="1" x14ac:dyDescent="0.3">
      <c r="A148" s="278"/>
      <c r="B148" s="39" t="s">
        <v>1058</v>
      </c>
      <c r="C148" s="276"/>
      <c r="D148" s="276"/>
      <c r="E148" s="276"/>
      <c r="F148" s="278"/>
      <c r="G148" s="251"/>
      <c r="H148" s="251"/>
      <c r="I148" s="251"/>
      <c r="J148" s="251"/>
      <c r="K148" s="279"/>
    </row>
    <row r="149" spans="1:11" ht="15.75" customHeight="1" x14ac:dyDescent="0.3">
      <c r="A149" s="39" t="s">
        <v>1059</v>
      </c>
      <c r="B149" s="276"/>
      <c r="C149" s="276"/>
      <c r="D149" s="276"/>
      <c r="E149" s="276"/>
      <c r="F149" s="278"/>
      <c r="G149" s="251"/>
      <c r="H149" s="251"/>
      <c r="I149" s="251"/>
      <c r="J149" s="251"/>
      <c r="K149" s="279"/>
    </row>
    <row r="150" spans="1:11" ht="15.75" customHeight="1" x14ac:dyDescent="0.3">
      <c r="A150" s="39" t="s">
        <v>292</v>
      </c>
      <c r="B150" s="39">
        <v>75</v>
      </c>
      <c r="C150" s="39">
        <v>389</v>
      </c>
      <c r="D150" s="39">
        <v>464</v>
      </c>
      <c r="E150" s="134">
        <v>0.5590361445783133</v>
      </c>
      <c r="F150" s="278"/>
      <c r="G150" s="251"/>
      <c r="H150" s="251"/>
      <c r="I150" s="251"/>
      <c r="J150" s="251"/>
      <c r="K150" s="279"/>
    </row>
    <row r="151" spans="1:11" ht="15.75" customHeight="1" x14ac:dyDescent="0.3">
      <c r="A151" s="278"/>
      <c r="B151" s="278"/>
      <c r="C151" s="278"/>
      <c r="D151" s="39" t="s">
        <v>957</v>
      </c>
      <c r="E151" s="276"/>
      <c r="F151" s="278"/>
      <c r="G151" s="251"/>
      <c r="H151" s="251"/>
      <c r="I151" s="251"/>
      <c r="J151" s="251"/>
      <c r="K151" s="279"/>
    </row>
    <row r="152" spans="1:11" ht="15.75" customHeight="1" x14ac:dyDescent="0.3">
      <c r="A152" s="278"/>
      <c r="B152" s="278"/>
      <c r="C152" s="39" t="s">
        <v>1060</v>
      </c>
      <c r="D152" s="276"/>
      <c r="E152" s="276"/>
      <c r="F152" s="278"/>
      <c r="G152" s="251"/>
      <c r="H152" s="251"/>
      <c r="I152" s="251"/>
      <c r="J152" s="251"/>
      <c r="K152" s="279"/>
    </row>
    <row r="153" spans="1:11" ht="15.75" customHeight="1" x14ac:dyDescent="0.3">
      <c r="A153" s="278"/>
      <c r="B153" s="39" t="s">
        <v>1061</v>
      </c>
      <c r="C153" s="276"/>
      <c r="D153" s="276"/>
      <c r="E153" s="276"/>
      <c r="F153" s="278"/>
      <c r="G153" s="251"/>
      <c r="H153" s="251"/>
      <c r="I153" s="251"/>
      <c r="J153" s="251"/>
      <c r="K153" s="279"/>
    </row>
    <row r="154" spans="1:11" ht="15.75" customHeight="1" x14ac:dyDescent="0.3">
      <c r="A154" s="39" t="s">
        <v>1062</v>
      </c>
      <c r="B154" s="276"/>
      <c r="C154" s="276"/>
      <c r="D154" s="276"/>
      <c r="E154" s="276"/>
      <c r="F154" s="278"/>
      <c r="G154" s="251"/>
      <c r="H154" s="251"/>
      <c r="I154" s="251"/>
      <c r="J154" s="251"/>
      <c r="K154" s="279"/>
    </row>
    <row r="155" spans="1:11" ht="15.75" customHeight="1" x14ac:dyDescent="0.3">
      <c r="A155" s="39" t="s">
        <v>273</v>
      </c>
      <c r="B155" s="39">
        <v>390</v>
      </c>
      <c r="C155" s="39">
        <v>448</v>
      </c>
      <c r="D155" s="39">
        <v>838</v>
      </c>
      <c r="E155" s="134">
        <v>1.0096385542168675</v>
      </c>
      <c r="F155" s="278"/>
      <c r="G155" s="251"/>
      <c r="H155" s="251"/>
      <c r="I155" s="251"/>
      <c r="J155" s="251"/>
      <c r="K155" s="279"/>
    </row>
    <row r="156" spans="1:11" ht="15.75" customHeight="1" x14ac:dyDescent="0.3">
      <c r="A156" s="278"/>
      <c r="B156" s="278"/>
      <c r="C156" s="278"/>
      <c r="D156" s="39" t="s">
        <v>1063</v>
      </c>
      <c r="E156" s="276"/>
      <c r="F156" s="278"/>
      <c r="G156" s="251"/>
      <c r="H156" s="251"/>
      <c r="I156" s="251"/>
      <c r="J156" s="251"/>
      <c r="K156" s="279"/>
    </row>
    <row r="157" spans="1:11" ht="15.75" customHeight="1" x14ac:dyDescent="0.3">
      <c r="A157" s="278"/>
      <c r="B157" s="278"/>
      <c r="C157" s="39" t="s">
        <v>1064</v>
      </c>
      <c r="D157" s="276"/>
      <c r="E157" s="276"/>
      <c r="F157" s="278"/>
      <c r="G157" s="251"/>
      <c r="H157" s="251"/>
      <c r="I157" s="251"/>
      <c r="J157" s="251"/>
      <c r="K157" s="279"/>
    </row>
    <row r="158" spans="1:11" ht="15.75" customHeight="1" x14ac:dyDescent="0.3">
      <c r="A158" s="278"/>
      <c r="B158" s="39" t="s">
        <v>1065</v>
      </c>
      <c r="C158" s="276"/>
      <c r="D158" s="276"/>
      <c r="E158" s="276"/>
      <c r="F158" s="278"/>
      <c r="G158" s="251"/>
      <c r="H158" s="251"/>
      <c r="I158" s="251"/>
      <c r="J158" s="251"/>
      <c r="K158" s="279"/>
    </row>
    <row r="159" spans="1:11" ht="15.75" customHeight="1" x14ac:dyDescent="0.3">
      <c r="A159" s="39" t="s">
        <v>1066</v>
      </c>
      <c r="B159" s="276"/>
      <c r="C159" s="276"/>
      <c r="D159" s="276"/>
      <c r="E159" s="276"/>
      <c r="F159" s="278"/>
      <c r="G159" s="251"/>
      <c r="H159" s="251"/>
      <c r="I159" s="251"/>
      <c r="J159" s="251"/>
      <c r="K159" s="279"/>
    </row>
    <row r="160" spans="1:11" ht="15.75" customHeight="1" x14ac:dyDescent="0.3">
      <c r="A160" s="39" t="s">
        <v>92</v>
      </c>
      <c r="B160" s="39">
        <v>266</v>
      </c>
      <c r="C160" s="39">
        <v>593</v>
      </c>
      <c r="D160" s="39">
        <v>859</v>
      </c>
      <c r="E160" s="134">
        <v>1.0349397590361447</v>
      </c>
      <c r="F160" s="278"/>
      <c r="G160" s="251"/>
      <c r="H160" s="251"/>
      <c r="I160" s="251"/>
      <c r="J160" s="251"/>
      <c r="K160" s="279"/>
    </row>
    <row r="161" spans="1:11" ht="15.75" customHeight="1" x14ac:dyDescent="0.3">
      <c r="A161" s="278"/>
      <c r="B161" s="278"/>
      <c r="C161" s="278"/>
      <c r="D161" s="39" t="s">
        <v>1067</v>
      </c>
      <c r="E161" s="276"/>
      <c r="F161" s="278"/>
      <c r="G161" s="251"/>
      <c r="H161" s="251"/>
      <c r="I161" s="251"/>
      <c r="J161" s="251"/>
      <c r="K161" s="279"/>
    </row>
    <row r="162" spans="1:11" ht="15.75" customHeight="1" x14ac:dyDescent="0.3">
      <c r="A162" s="278"/>
      <c r="B162" s="278"/>
      <c r="C162" s="39" t="s">
        <v>1068</v>
      </c>
      <c r="D162" s="276"/>
      <c r="E162" s="276"/>
      <c r="F162" s="278"/>
      <c r="G162" s="251"/>
      <c r="H162" s="251"/>
      <c r="I162" s="251"/>
      <c r="J162" s="251"/>
      <c r="K162" s="279"/>
    </row>
    <row r="163" spans="1:11" ht="15.75" customHeight="1" x14ac:dyDescent="0.3">
      <c r="A163" s="278"/>
      <c r="B163" s="39" t="s">
        <v>1069</v>
      </c>
      <c r="C163" s="276"/>
      <c r="D163" s="276"/>
      <c r="E163" s="276"/>
      <c r="F163" s="278"/>
      <c r="G163" s="251"/>
      <c r="H163" s="251"/>
      <c r="I163" s="251"/>
      <c r="J163" s="251"/>
      <c r="K163" s="279"/>
    </row>
    <row r="164" spans="1:11" ht="15.75" customHeight="1" x14ac:dyDescent="0.3">
      <c r="A164" s="39" t="s">
        <v>1070</v>
      </c>
      <c r="B164" s="276"/>
      <c r="C164" s="276"/>
      <c r="D164" s="276"/>
      <c r="E164" s="276"/>
      <c r="F164" s="278"/>
      <c r="G164" s="251"/>
      <c r="H164" s="251"/>
      <c r="I164" s="251"/>
      <c r="J164" s="251"/>
      <c r="K164" s="279"/>
    </row>
    <row r="165" spans="1:11" ht="15.75" customHeight="1" x14ac:dyDescent="0.3">
      <c r="A165" s="39" t="s">
        <v>109</v>
      </c>
      <c r="B165" s="39">
        <v>245</v>
      </c>
      <c r="C165" s="39">
        <v>168</v>
      </c>
      <c r="D165" s="39">
        <v>413</v>
      </c>
      <c r="E165" s="134">
        <v>0.49759036144578311</v>
      </c>
      <c r="F165" s="278"/>
      <c r="G165" s="251"/>
      <c r="H165" s="251"/>
      <c r="I165" s="251"/>
      <c r="J165" s="251"/>
      <c r="K165" s="279"/>
    </row>
    <row r="166" spans="1:11" ht="15.75" customHeight="1" x14ac:dyDescent="0.3">
      <c r="A166" s="278"/>
      <c r="B166" s="278"/>
      <c r="C166" s="278"/>
      <c r="D166" s="39" t="s">
        <v>1071</v>
      </c>
      <c r="E166" s="276"/>
      <c r="F166" s="278"/>
      <c r="G166" s="251"/>
      <c r="H166" s="251"/>
      <c r="I166" s="251"/>
      <c r="J166" s="251"/>
      <c r="K166" s="279"/>
    </row>
    <row r="167" spans="1:11" ht="15.75" customHeight="1" x14ac:dyDescent="0.3">
      <c r="A167" s="278"/>
      <c r="B167" s="278"/>
      <c r="C167" s="39" t="s">
        <v>1054</v>
      </c>
      <c r="D167" s="276"/>
      <c r="E167" s="276"/>
      <c r="F167" s="278"/>
      <c r="G167" s="251"/>
      <c r="H167" s="251"/>
      <c r="I167" s="251"/>
      <c r="J167" s="251"/>
      <c r="K167" s="279"/>
    </row>
    <row r="168" spans="1:11" ht="15.75" customHeight="1" x14ac:dyDescent="0.3">
      <c r="A168" s="278"/>
      <c r="B168" s="39" t="s">
        <v>1072</v>
      </c>
      <c r="C168" s="276"/>
      <c r="D168" s="276"/>
      <c r="E168" s="276"/>
      <c r="F168" s="278"/>
      <c r="G168" s="251"/>
      <c r="H168" s="251"/>
      <c r="I168" s="251"/>
      <c r="J168" s="251"/>
      <c r="K168" s="279"/>
    </row>
    <row r="169" spans="1:11" ht="15.75" customHeight="1" x14ac:dyDescent="0.3">
      <c r="A169" s="39" t="s">
        <v>1073</v>
      </c>
      <c r="B169" s="276"/>
      <c r="C169" s="276"/>
      <c r="D169" s="276"/>
      <c r="E169" s="276"/>
      <c r="F169" s="278"/>
      <c r="G169" s="251"/>
      <c r="H169" s="251"/>
      <c r="I169" s="251"/>
      <c r="J169" s="251"/>
      <c r="K169" s="279"/>
    </row>
    <row r="170" spans="1:11" ht="15.75" customHeight="1" x14ac:dyDescent="0.3">
      <c r="A170" s="39" t="s">
        <v>329</v>
      </c>
      <c r="B170" s="39">
        <v>260</v>
      </c>
      <c r="C170" s="39">
        <v>342</v>
      </c>
      <c r="D170" s="39">
        <v>602</v>
      </c>
      <c r="E170" s="134">
        <v>0.72530120481927707</v>
      </c>
      <c r="F170" s="278"/>
      <c r="G170" s="251"/>
      <c r="H170" s="251"/>
      <c r="I170" s="251"/>
      <c r="J170" s="251"/>
      <c r="K170" s="279"/>
    </row>
    <row r="171" spans="1:11" ht="15.75" customHeight="1" x14ac:dyDescent="0.3">
      <c r="A171" s="278"/>
      <c r="B171" s="278"/>
      <c r="C171" s="278"/>
      <c r="D171" s="39" t="s">
        <v>1074</v>
      </c>
      <c r="E171" s="276"/>
      <c r="F171" s="278"/>
      <c r="G171" s="251"/>
      <c r="H171" s="251"/>
      <c r="I171" s="251"/>
      <c r="J171" s="251"/>
      <c r="K171" s="279"/>
    </row>
    <row r="172" spans="1:11" ht="15.75" customHeight="1" x14ac:dyDescent="0.3">
      <c r="A172" s="278"/>
      <c r="B172" s="278"/>
      <c r="C172" s="39" t="s">
        <v>1075</v>
      </c>
      <c r="D172" s="276"/>
      <c r="E172" s="276"/>
      <c r="F172" s="278"/>
      <c r="G172" s="251"/>
      <c r="H172" s="251"/>
      <c r="I172" s="251"/>
      <c r="J172" s="251"/>
      <c r="K172" s="279"/>
    </row>
    <row r="173" spans="1:11" ht="15.75" customHeight="1" x14ac:dyDescent="0.3">
      <c r="A173" s="278"/>
      <c r="B173" s="39" t="s">
        <v>1076</v>
      </c>
      <c r="C173" s="276"/>
      <c r="D173" s="276"/>
      <c r="E173" s="276"/>
      <c r="F173" s="278"/>
      <c r="G173" s="251"/>
      <c r="H173" s="251"/>
      <c r="I173" s="251"/>
      <c r="J173" s="251"/>
      <c r="K173" s="279"/>
    </row>
    <row r="174" spans="1:11" ht="15.75" customHeight="1" x14ac:dyDescent="0.3">
      <c r="A174" s="39" t="s">
        <v>1077</v>
      </c>
      <c r="B174" s="276"/>
      <c r="C174" s="276"/>
      <c r="D174" s="276"/>
      <c r="E174" s="276"/>
      <c r="F174" s="278"/>
      <c r="G174" s="251"/>
      <c r="H174" s="251"/>
      <c r="I174" s="251"/>
      <c r="J174" s="251"/>
      <c r="K174" s="279"/>
    </row>
    <row r="175" spans="1:11" ht="15.75" customHeight="1" x14ac:dyDescent="0.3">
      <c r="A175" s="39" t="s">
        <v>175</v>
      </c>
      <c r="B175" s="39">
        <v>118</v>
      </c>
      <c r="C175" s="39">
        <v>168</v>
      </c>
      <c r="D175" s="39">
        <v>286</v>
      </c>
      <c r="E175" s="134">
        <v>0.34457831325301203</v>
      </c>
      <c r="F175" s="278"/>
      <c r="G175" s="251"/>
      <c r="H175" s="251"/>
      <c r="I175" s="251"/>
      <c r="J175" s="251"/>
      <c r="K175" s="279"/>
    </row>
    <row r="176" spans="1:11" ht="15.75" customHeight="1" x14ac:dyDescent="0.3">
      <c r="A176" s="278"/>
      <c r="B176" s="278"/>
      <c r="C176" s="278"/>
      <c r="D176" s="39" t="s">
        <v>1078</v>
      </c>
      <c r="E176" s="276"/>
      <c r="F176" s="278"/>
      <c r="G176" s="251"/>
      <c r="H176" s="251"/>
      <c r="I176" s="251"/>
      <c r="J176" s="251"/>
      <c r="K176" s="279"/>
    </row>
    <row r="177" spans="1:11" ht="15.75" customHeight="1" x14ac:dyDescent="0.3">
      <c r="A177" s="278"/>
      <c r="B177" s="278"/>
      <c r="C177" s="39" t="s">
        <v>1054</v>
      </c>
      <c r="D177" s="276"/>
      <c r="E177" s="276"/>
      <c r="F177" s="278"/>
      <c r="G177" s="251"/>
      <c r="H177" s="251"/>
      <c r="I177" s="251"/>
      <c r="J177" s="251"/>
      <c r="K177" s="279"/>
    </row>
    <row r="178" spans="1:11" ht="15.75" customHeight="1" x14ac:dyDescent="0.3">
      <c r="A178" s="278"/>
      <c r="B178" s="39" t="s">
        <v>999</v>
      </c>
      <c r="C178" s="276"/>
      <c r="D178" s="276"/>
      <c r="E178" s="276"/>
      <c r="F178" s="278"/>
      <c r="G178" s="251"/>
      <c r="H178" s="251"/>
      <c r="I178" s="251"/>
      <c r="J178" s="251"/>
      <c r="K178" s="279"/>
    </row>
    <row r="179" spans="1:11" ht="15.75" customHeight="1" x14ac:dyDescent="0.3">
      <c r="A179" s="39" t="s">
        <v>1079</v>
      </c>
      <c r="B179" s="276"/>
      <c r="C179" s="276"/>
      <c r="D179" s="276"/>
      <c r="E179" s="276"/>
      <c r="F179" s="278"/>
      <c r="G179" s="251"/>
      <c r="H179" s="251"/>
      <c r="I179" s="251"/>
      <c r="J179" s="251"/>
      <c r="K179" s="279"/>
    </row>
    <row r="180" spans="1:11" ht="15.75" customHeight="1" x14ac:dyDescent="0.3">
      <c r="A180" s="39" t="s">
        <v>246</v>
      </c>
      <c r="B180" s="39">
        <v>434</v>
      </c>
      <c r="C180" s="39">
        <v>418</v>
      </c>
      <c r="D180" s="39">
        <v>852</v>
      </c>
      <c r="E180" s="134">
        <v>1.0265060240963855</v>
      </c>
      <c r="F180" s="278"/>
      <c r="G180" s="251"/>
      <c r="H180" s="251"/>
      <c r="I180" s="251"/>
      <c r="J180" s="251"/>
      <c r="K180" s="279"/>
    </row>
    <row r="181" spans="1:11" ht="15.75" customHeight="1" x14ac:dyDescent="0.3">
      <c r="A181" s="278"/>
      <c r="B181" s="278"/>
      <c r="C181" s="278"/>
      <c r="D181" s="39" t="s">
        <v>1080</v>
      </c>
      <c r="E181" s="276"/>
      <c r="F181" s="278"/>
      <c r="G181" s="251"/>
      <c r="H181" s="251"/>
      <c r="I181" s="251"/>
      <c r="J181" s="251"/>
      <c r="K181" s="279"/>
    </row>
    <row r="182" spans="1:11" ht="15.75" customHeight="1" x14ac:dyDescent="0.3">
      <c r="A182" s="278"/>
      <c r="B182" s="278"/>
      <c r="C182" s="39" t="s">
        <v>1081</v>
      </c>
      <c r="D182" s="276"/>
      <c r="E182" s="276"/>
      <c r="F182" s="278"/>
      <c r="G182" s="251"/>
      <c r="H182" s="251"/>
      <c r="I182" s="251"/>
      <c r="J182" s="251"/>
      <c r="K182" s="279"/>
    </row>
    <row r="183" spans="1:11" ht="15.75" customHeight="1" x14ac:dyDescent="0.3">
      <c r="A183" s="278"/>
      <c r="B183" s="39" t="s">
        <v>1082</v>
      </c>
      <c r="C183" s="276"/>
      <c r="D183" s="276"/>
      <c r="E183" s="276"/>
      <c r="F183" s="278"/>
      <c r="G183" s="251"/>
      <c r="H183" s="251"/>
      <c r="I183" s="251"/>
      <c r="J183" s="251"/>
      <c r="K183" s="279"/>
    </row>
    <row r="184" spans="1:11" ht="15.75" customHeight="1" x14ac:dyDescent="0.3">
      <c r="A184" s="39" t="s">
        <v>1083</v>
      </c>
      <c r="B184" s="276"/>
      <c r="C184" s="276"/>
      <c r="D184" s="276"/>
      <c r="E184" s="276"/>
      <c r="F184" s="278"/>
      <c r="G184" s="251"/>
      <c r="H184" s="251"/>
      <c r="I184" s="251"/>
      <c r="J184" s="251"/>
      <c r="K184" s="279"/>
    </row>
    <row r="185" spans="1:11" ht="15.75" customHeight="1" x14ac:dyDescent="0.3">
      <c r="A185" s="39" t="s">
        <v>948</v>
      </c>
      <c r="B185" s="39">
        <v>298</v>
      </c>
      <c r="C185" s="39">
        <v>151</v>
      </c>
      <c r="D185" s="39">
        <v>449</v>
      </c>
      <c r="E185" s="134">
        <v>0.54096385542168679</v>
      </c>
      <c r="F185" s="278"/>
      <c r="G185" s="251"/>
      <c r="H185" s="251"/>
      <c r="I185" s="251"/>
      <c r="J185" s="251"/>
      <c r="K185" s="279"/>
    </row>
    <row r="186" spans="1:11" ht="15.75" customHeight="1" x14ac:dyDescent="0.3">
      <c r="A186" s="278"/>
      <c r="B186" s="278"/>
      <c r="C186" s="278"/>
      <c r="D186" s="39" t="s">
        <v>1021</v>
      </c>
      <c r="E186" s="276"/>
      <c r="F186" s="278"/>
      <c r="G186" s="251"/>
      <c r="H186" s="251"/>
      <c r="I186" s="251"/>
      <c r="J186" s="251"/>
      <c r="K186" s="279"/>
    </row>
    <row r="187" spans="1:11" ht="15.75" customHeight="1" x14ac:dyDescent="0.3">
      <c r="A187" s="278"/>
      <c r="B187" s="278"/>
      <c r="C187" s="39" t="s">
        <v>1047</v>
      </c>
      <c r="D187" s="276"/>
      <c r="E187" s="276"/>
      <c r="F187" s="278"/>
      <c r="G187" s="251"/>
      <c r="H187" s="251"/>
      <c r="I187" s="251"/>
      <c r="J187" s="251"/>
      <c r="K187" s="279"/>
    </row>
    <row r="188" spans="1:11" ht="15.75" customHeight="1" x14ac:dyDescent="0.3">
      <c r="A188" s="278"/>
      <c r="B188" s="39" t="s">
        <v>1084</v>
      </c>
      <c r="C188" s="276"/>
      <c r="D188" s="276"/>
      <c r="E188" s="276"/>
      <c r="F188" s="278"/>
      <c r="G188" s="251"/>
      <c r="H188" s="251"/>
      <c r="I188" s="251"/>
      <c r="J188" s="251"/>
      <c r="K188" s="279"/>
    </row>
    <row r="189" spans="1:11" ht="15.75" customHeight="1" x14ac:dyDescent="0.3">
      <c r="A189" s="39" t="s">
        <v>1085</v>
      </c>
      <c r="B189" s="276"/>
      <c r="C189" s="276"/>
      <c r="D189" s="276"/>
      <c r="E189" s="276"/>
      <c r="F189" s="278"/>
      <c r="G189" s="251"/>
      <c r="H189" s="251"/>
      <c r="I189" s="251"/>
      <c r="J189" s="251"/>
      <c r="K189" s="279"/>
    </row>
    <row r="190" spans="1:11" ht="15.75" customHeight="1" x14ac:dyDescent="0.3">
      <c r="A190" s="39" t="s">
        <v>950</v>
      </c>
      <c r="B190" s="39">
        <v>34</v>
      </c>
      <c r="C190" s="39">
        <v>46</v>
      </c>
      <c r="D190" s="39">
        <v>80</v>
      </c>
      <c r="E190" s="134">
        <v>9.6385542168674704E-2</v>
      </c>
      <c r="F190" s="278"/>
      <c r="G190" s="251"/>
      <c r="H190" s="251"/>
      <c r="I190" s="251"/>
      <c r="J190" s="251"/>
      <c r="K190" s="279"/>
    </row>
    <row r="191" spans="1:11" ht="15.75" customHeight="1" x14ac:dyDescent="0.3">
      <c r="A191" s="278"/>
      <c r="B191" s="278"/>
      <c r="C191" s="278"/>
      <c r="D191" s="39" t="s">
        <v>1086</v>
      </c>
      <c r="E191" s="276"/>
      <c r="F191" s="278"/>
      <c r="G191" s="251"/>
      <c r="H191" s="251"/>
      <c r="I191" s="251"/>
      <c r="J191" s="251"/>
      <c r="K191" s="279"/>
    </row>
    <row r="192" spans="1:11" ht="15.75" customHeight="1" x14ac:dyDescent="0.3">
      <c r="A192" s="278"/>
      <c r="B192" s="278"/>
      <c r="C192" s="39" t="s">
        <v>1087</v>
      </c>
      <c r="D192" s="276"/>
      <c r="E192" s="276"/>
      <c r="F192" s="278"/>
      <c r="G192" s="251"/>
      <c r="H192" s="251"/>
      <c r="I192" s="251"/>
      <c r="J192" s="251"/>
      <c r="K192" s="279"/>
    </row>
    <row r="193" spans="1:11" ht="15.75" customHeight="1" x14ac:dyDescent="0.3">
      <c r="A193" s="278"/>
      <c r="B193" s="39" t="s">
        <v>1028</v>
      </c>
      <c r="C193" s="276"/>
      <c r="D193" s="276"/>
      <c r="E193" s="276"/>
      <c r="F193" s="278"/>
      <c r="G193" s="251"/>
      <c r="H193" s="251"/>
      <c r="I193" s="251"/>
      <c r="J193" s="251"/>
      <c r="K193" s="279"/>
    </row>
    <row r="194" spans="1:11" ht="15.75" customHeight="1" x14ac:dyDescent="0.3">
      <c r="A194" s="39" t="s">
        <v>1088</v>
      </c>
      <c r="B194" s="276"/>
      <c r="C194" s="276"/>
      <c r="D194" s="276"/>
      <c r="E194" s="276"/>
      <c r="F194" s="278"/>
      <c r="G194" s="251"/>
      <c r="H194" s="251"/>
      <c r="I194" s="251"/>
      <c r="J194" s="251"/>
      <c r="K194" s="279"/>
    </row>
    <row r="195" spans="1:11" ht="15.75" customHeight="1" x14ac:dyDescent="0.3">
      <c r="A195" s="39" t="s">
        <v>168</v>
      </c>
      <c r="B195" s="39">
        <v>308.5</v>
      </c>
      <c r="C195" s="39">
        <v>285.5</v>
      </c>
      <c r="D195" s="39">
        <v>594</v>
      </c>
      <c r="E195" s="134">
        <v>0.71566265060240963</v>
      </c>
      <c r="F195" s="278"/>
      <c r="G195" s="251"/>
      <c r="H195" s="251"/>
      <c r="I195" s="251"/>
      <c r="J195" s="251"/>
      <c r="K195" s="279"/>
    </row>
    <row r="196" spans="1:11" ht="15.75" customHeight="1" x14ac:dyDescent="0.3">
      <c r="A196" s="278"/>
      <c r="B196" s="278"/>
      <c r="C196" s="278"/>
      <c r="D196" s="39" t="s">
        <v>1089</v>
      </c>
      <c r="E196" s="276"/>
      <c r="F196" s="278"/>
      <c r="G196" s="251"/>
      <c r="H196" s="251"/>
      <c r="I196" s="251"/>
      <c r="J196" s="251"/>
      <c r="K196" s="279"/>
    </row>
    <row r="197" spans="1:11" ht="15.75" customHeight="1" x14ac:dyDescent="0.3">
      <c r="A197" s="278"/>
      <c r="B197" s="278"/>
      <c r="C197" s="39" t="s">
        <v>1090</v>
      </c>
      <c r="D197" s="276"/>
      <c r="E197" s="276"/>
      <c r="F197" s="278"/>
      <c r="G197" s="251"/>
      <c r="H197" s="251"/>
      <c r="I197" s="251"/>
      <c r="J197" s="251"/>
      <c r="K197" s="279"/>
    </row>
    <row r="198" spans="1:11" ht="15.75" customHeight="1" x14ac:dyDescent="0.3">
      <c r="A198" s="278"/>
      <c r="B198" s="39" t="s">
        <v>1091</v>
      </c>
      <c r="C198" s="276"/>
      <c r="D198" s="276"/>
      <c r="E198" s="276"/>
      <c r="F198" s="278"/>
      <c r="G198" s="251"/>
      <c r="H198" s="251"/>
      <c r="I198" s="251"/>
      <c r="J198" s="251"/>
      <c r="K198" s="279"/>
    </row>
    <row r="199" spans="1:11" ht="15.75" customHeight="1" x14ac:dyDescent="0.3">
      <c r="A199" s="39" t="s">
        <v>1092</v>
      </c>
      <c r="B199" s="276"/>
      <c r="C199" s="276"/>
      <c r="D199" s="276"/>
      <c r="E199" s="276"/>
      <c r="F199" s="278"/>
      <c r="G199" s="251"/>
      <c r="H199" s="251"/>
      <c r="I199" s="251"/>
      <c r="J199" s="251"/>
      <c r="K199" s="279"/>
    </row>
    <row r="200" spans="1:11" ht="15.75" customHeight="1" x14ac:dyDescent="0.3">
      <c r="A200" s="125" t="s">
        <v>504</v>
      </c>
      <c r="B200" s="280"/>
      <c r="C200" s="280"/>
      <c r="D200" s="280"/>
      <c r="E200" s="280"/>
      <c r="F200" s="281"/>
      <c r="G200" s="282"/>
      <c r="H200" s="282"/>
      <c r="I200" s="282"/>
      <c r="J200" s="282"/>
      <c r="K200" s="283"/>
    </row>
    <row r="201" spans="1:11" ht="15.75" customHeight="1" x14ac:dyDescent="0.3"/>
    <row r="202" spans="1:11" ht="15.75" customHeight="1" x14ac:dyDescent="0.3"/>
    <row r="203" spans="1:11" ht="15.75" customHeight="1" x14ac:dyDescent="0.3"/>
    <row r="204" spans="1:11" ht="15.75" customHeight="1" x14ac:dyDescent="0.3"/>
    <row r="205" spans="1:11" ht="15.75" customHeight="1" x14ac:dyDescent="0.3"/>
    <row r="206" spans="1:11" ht="15.75" customHeight="1" x14ac:dyDescent="0.3"/>
    <row r="207" spans="1:11" ht="15.75" customHeight="1" x14ac:dyDescent="0.3"/>
    <row r="208" spans="1:11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K2:X1000"/>
  <sheetViews>
    <sheetView workbookViewId="0"/>
  </sheetViews>
  <sheetFormatPr defaultColWidth="14.44140625" defaultRowHeight="15" customHeight="1" x14ac:dyDescent="0.3"/>
  <cols>
    <col min="1" max="26" width="8" customWidth="1"/>
  </cols>
  <sheetData>
    <row r="2" spans="11:24" ht="14.4" x14ac:dyDescent="0.3">
      <c r="K2" s="284">
        <v>50</v>
      </c>
    </row>
    <row r="3" spans="11:24" ht="14.4" x14ac:dyDescent="0.3">
      <c r="K3" s="284">
        <v>1</v>
      </c>
    </row>
    <row r="4" spans="11:24" ht="14.4" x14ac:dyDescent="0.3">
      <c r="K4" s="284">
        <v>1</v>
      </c>
    </row>
    <row r="5" spans="11:24" ht="14.4" x14ac:dyDescent="0.3">
      <c r="K5" s="284">
        <v>10</v>
      </c>
    </row>
    <row r="6" spans="11:24" ht="14.4" x14ac:dyDescent="0.3">
      <c r="K6" s="284">
        <v>27</v>
      </c>
    </row>
    <row r="7" spans="11:24" ht="14.4" x14ac:dyDescent="0.3">
      <c r="K7" s="284">
        <v>26</v>
      </c>
    </row>
    <row r="8" spans="11:24" ht="14.4" x14ac:dyDescent="0.3">
      <c r="K8" s="284">
        <v>5</v>
      </c>
    </row>
    <row r="9" spans="11:24" ht="14.4" x14ac:dyDescent="0.3">
      <c r="K9" s="284">
        <v>3</v>
      </c>
      <c r="O9" s="247">
        <v>774</v>
      </c>
    </row>
    <row r="10" spans="11:24" ht="14.4" x14ac:dyDescent="0.3">
      <c r="K10" s="284">
        <v>14</v>
      </c>
      <c r="O10" s="247">
        <v>590</v>
      </c>
    </row>
    <row r="11" spans="11:24" ht="14.4" x14ac:dyDescent="0.3">
      <c r="K11" s="284">
        <v>36</v>
      </c>
      <c r="O11" s="247">
        <v>371</v>
      </c>
      <c r="U11" s="2">
        <v>3</v>
      </c>
      <c r="V11" s="2">
        <v>3</v>
      </c>
      <c r="W11" s="2">
        <v>44.5</v>
      </c>
      <c r="X11" s="53">
        <v>3</v>
      </c>
    </row>
    <row r="12" spans="11:24" ht="14.4" x14ac:dyDescent="0.3">
      <c r="K12" s="284">
        <v>40</v>
      </c>
      <c r="O12" s="247">
        <v>519</v>
      </c>
      <c r="R12" s="285">
        <v>30</v>
      </c>
      <c r="U12" s="2">
        <v>24.5</v>
      </c>
      <c r="V12" s="2">
        <v>24.5</v>
      </c>
      <c r="W12" s="2">
        <v>24.5</v>
      </c>
      <c r="X12" s="53">
        <v>24.5</v>
      </c>
    </row>
    <row r="13" spans="11:24" ht="14.4" x14ac:dyDescent="0.3">
      <c r="K13" s="284">
        <v>6</v>
      </c>
      <c r="O13" s="247">
        <v>637.20000000000005</v>
      </c>
      <c r="R13" s="285">
        <v>30</v>
      </c>
      <c r="U13" s="2">
        <v>116</v>
      </c>
      <c r="V13" s="2">
        <v>116</v>
      </c>
      <c r="W13" s="2">
        <v>116</v>
      </c>
      <c r="X13" s="53">
        <v>116</v>
      </c>
    </row>
    <row r="14" spans="11:24" ht="14.4" x14ac:dyDescent="0.3">
      <c r="K14" s="284">
        <v>3</v>
      </c>
      <c r="O14" s="247">
        <v>273.44</v>
      </c>
      <c r="R14" s="286">
        <v>5</v>
      </c>
      <c r="X14" s="53"/>
    </row>
    <row r="15" spans="11:24" ht="14.4" x14ac:dyDescent="0.3">
      <c r="K15" s="284">
        <v>39</v>
      </c>
      <c r="O15" s="247">
        <v>511</v>
      </c>
      <c r="R15" s="287">
        <v>20</v>
      </c>
      <c r="W15" s="2">
        <v>32</v>
      </c>
      <c r="X15" s="53">
        <v>32</v>
      </c>
    </row>
    <row r="16" spans="11:24" ht="14.4" x14ac:dyDescent="0.3">
      <c r="K16" s="284">
        <v>39</v>
      </c>
      <c r="O16" s="247">
        <v>815.3</v>
      </c>
      <c r="R16" s="287">
        <v>5</v>
      </c>
      <c r="U16" s="2">
        <v>10</v>
      </c>
      <c r="V16" s="2">
        <v>10</v>
      </c>
      <c r="W16" s="2">
        <v>10</v>
      </c>
      <c r="X16" s="53">
        <v>10</v>
      </c>
    </row>
    <row r="17" spans="11:24" ht="14.4" x14ac:dyDescent="0.3">
      <c r="K17" s="284">
        <v>32</v>
      </c>
      <c r="O17" s="247">
        <v>373</v>
      </c>
      <c r="R17" s="285">
        <v>60</v>
      </c>
      <c r="U17" s="2">
        <v>11</v>
      </c>
      <c r="V17" s="2">
        <v>11</v>
      </c>
      <c r="W17" s="2">
        <v>11</v>
      </c>
      <c r="X17" s="53">
        <v>11</v>
      </c>
    </row>
    <row r="18" spans="11:24" ht="14.4" x14ac:dyDescent="0.3">
      <c r="K18" s="284">
        <v>43</v>
      </c>
      <c r="O18" s="247">
        <v>863</v>
      </c>
      <c r="R18" s="288">
        <v>40</v>
      </c>
      <c r="U18" s="2">
        <v>40</v>
      </c>
      <c r="V18" s="2">
        <v>40</v>
      </c>
      <c r="W18" s="2">
        <v>40</v>
      </c>
      <c r="X18" s="53">
        <v>40</v>
      </c>
    </row>
    <row r="19" spans="11:24" ht="14.4" x14ac:dyDescent="0.3">
      <c r="K19" s="284">
        <v>15</v>
      </c>
      <c r="O19" s="247">
        <v>1053.8899999999999</v>
      </c>
      <c r="R19" s="286">
        <v>35</v>
      </c>
      <c r="X19" s="53"/>
    </row>
    <row r="20" spans="11:24" ht="14.4" x14ac:dyDescent="0.3">
      <c r="K20" s="284">
        <v>45</v>
      </c>
      <c r="O20" s="247">
        <v>201</v>
      </c>
      <c r="R20" s="285">
        <v>30</v>
      </c>
      <c r="U20" s="2">
        <v>183</v>
      </c>
      <c r="V20" s="2">
        <v>183</v>
      </c>
      <c r="W20" s="2">
        <v>183</v>
      </c>
      <c r="X20" s="53">
        <v>183</v>
      </c>
    </row>
    <row r="21" spans="11:24" ht="15.75" customHeight="1" x14ac:dyDescent="0.3">
      <c r="K21" s="284">
        <v>50</v>
      </c>
      <c r="O21" s="247">
        <v>177.22</v>
      </c>
      <c r="R21" s="286">
        <v>35</v>
      </c>
      <c r="U21" s="2">
        <v>289.5</v>
      </c>
      <c r="V21" s="2">
        <v>289.5</v>
      </c>
      <c r="W21" s="2">
        <v>289.5</v>
      </c>
      <c r="X21" s="53">
        <v>289.5</v>
      </c>
    </row>
    <row r="22" spans="11:24" ht="15.75" customHeight="1" x14ac:dyDescent="0.3">
      <c r="K22" s="284">
        <v>1</v>
      </c>
      <c r="O22" s="247">
        <v>971</v>
      </c>
      <c r="R22" s="285">
        <v>30</v>
      </c>
      <c r="V22" s="2">
        <v>34.5</v>
      </c>
      <c r="W22" s="2">
        <v>34.5</v>
      </c>
      <c r="X22" s="53">
        <v>34.5</v>
      </c>
    </row>
    <row r="23" spans="11:24" ht="15.75" customHeight="1" x14ac:dyDescent="0.3">
      <c r="K23" s="284">
        <v>1</v>
      </c>
      <c r="O23" s="247">
        <v>262.56</v>
      </c>
      <c r="R23" s="285">
        <v>30</v>
      </c>
      <c r="U23" s="2">
        <v>16</v>
      </c>
      <c r="V23" s="2">
        <v>16</v>
      </c>
      <c r="W23" s="2">
        <v>16</v>
      </c>
      <c r="X23" s="53">
        <v>16</v>
      </c>
    </row>
    <row r="24" spans="11:24" ht="15.75" customHeight="1" x14ac:dyDescent="0.3">
      <c r="K24" s="284">
        <v>32</v>
      </c>
      <c r="O24" s="247">
        <v>445.56</v>
      </c>
      <c r="R24" s="285">
        <v>30</v>
      </c>
      <c r="U24" s="2">
        <v>168.5</v>
      </c>
      <c r="V24" s="2">
        <v>168.5</v>
      </c>
      <c r="W24" s="2">
        <v>168.5</v>
      </c>
      <c r="X24" s="53">
        <v>168.5</v>
      </c>
    </row>
    <row r="25" spans="11:24" ht="15.75" customHeight="1" x14ac:dyDescent="0.3">
      <c r="K25" s="284">
        <v>20</v>
      </c>
      <c r="O25" s="247">
        <v>306</v>
      </c>
      <c r="R25" s="233">
        <f>SUM(R12:R24)</f>
        <v>380</v>
      </c>
      <c r="U25" s="2">
        <v>8.5</v>
      </c>
      <c r="V25" s="2">
        <v>8.5</v>
      </c>
      <c r="W25" s="2">
        <v>8.5</v>
      </c>
      <c r="X25" s="53">
        <v>8.5</v>
      </c>
    </row>
    <row r="26" spans="11:24" ht="15.75" customHeight="1" x14ac:dyDescent="0.3">
      <c r="K26" s="284">
        <v>20</v>
      </c>
      <c r="O26" s="247">
        <v>131</v>
      </c>
      <c r="U26" s="2">
        <v>5.5</v>
      </c>
      <c r="V26" s="2">
        <v>5.5</v>
      </c>
      <c r="W26" s="2">
        <v>5.5</v>
      </c>
      <c r="X26" s="53">
        <v>5.5</v>
      </c>
    </row>
    <row r="27" spans="11:24" ht="15.75" customHeight="1" x14ac:dyDescent="0.3">
      <c r="K27" s="284">
        <v>20</v>
      </c>
      <c r="O27" s="247">
        <v>1130.02</v>
      </c>
      <c r="U27" s="2">
        <v>2.5</v>
      </c>
      <c r="V27" s="2">
        <v>2.5</v>
      </c>
      <c r="W27" s="2">
        <v>2.5</v>
      </c>
      <c r="X27" s="53">
        <v>2.5</v>
      </c>
    </row>
    <row r="28" spans="11:24" ht="15.75" customHeight="1" x14ac:dyDescent="0.3">
      <c r="K28" s="284">
        <v>7</v>
      </c>
      <c r="O28" s="247">
        <v>774.2</v>
      </c>
      <c r="U28" s="2">
        <v>26</v>
      </c>
      <c r="V28" s="2">
        <v>26</v>
      </c>
      <c r="W28" s="2">
        <v>26</v>
      </c>
      <c r="X28" s="53">
        <v>26</v>
      </c>
    </row>
    <row r="29" spans="11:24" ht="15.75" customHeight="1" x14ac:dyDescent="0.3">
      <c r="K29" s="284">
        <v>9</v>
      </c>
      <c r="O29" s="247">
        <v>951.33</v>
      </c>
      <c r="X29" s="53">
        <v>-3</v>
      </c>
    </row>
    <row r="30" spans="11:24" ht="15.75" customHeight="1" x14ac:dyDescent="0.3">
      <c r="K30" s="284">
        <v>5</v>
      </c>
      <c r="O30" s="247">
        <v>941.89</v>
      </c>
      <c r="U30" s="2">
        <v>299.5</v>
      </c>
      <c r="V30" s="2">
        <v>299.5</v>
      </c>
      <c r="W30" s="2">
        <v>299.5</v>
      </c>
      <c r="X30" s="53">
        <v>299.5</v>
      </c>
    </row>
    <row r="31" spans="11:24" ht="15.75" customHeight="1" x14ac:dyDescent="0.3">
      <c r="K31" s="284">
        <v>4</v>
      </c>
      <c r="O31" s="247">
        <v>601.77</v>
      </c>
      <c r="X31" s="53"/>
    </row>
    <row r="32" spans="11:24" ht="15.75" customHeight="1" x14ac:dyDescent="0.3">
      <c r="K32" s="284">
        <v>4</v>
      </c>
      <c r="O32" s="247">
        <v>836.89</v>
      </c>
      <c r="U32" s="2">
        <v>13</v>
      </c>
      <c r="V32" s="2">
        <v>13</v>
      </c>
      <c r="W32" s="2">
        <v>13</v>
      </c>
      <c r="X32" s="53">
        <v>13</v>
      </c>
    </row>
    <row r="33" spans="11:24" ht="15.75" customHeight="1" x14ac:dyDescent="0.3">
      <c r="K33" s="284">
        <v>4</v>
      </c>
      <c r="O33" s="247">
        <v>516.5</v>
      </c>
      <c r="U33" s="2">
        <v>56</v>
      </c>
      <c r="V33" s="2">
        <v>56</v>
      </c>
      <c r="W33" s="2">
        <v>56</v>
      </c>
      <c r="X33" s="53">
        <v>56</v>
      </c>
    </row>
    <row r="34" spans="11:24" ht="15.75" customHeight="1" x14ac:dyDescent="0.3">
      <c r="K34" s="284">
        <v>15</v>
      </c>
      <c r="O34" s="247">
        <v>669.67</v>
      </c>
      <c r="U34" s="2">
        <v>1.5</v>
      </c>
      <c r="V34" s="2">
        <v>1.5</v>
      </c>
      <c r="W34" s="2">
        <v>1.5</v>
      </c>
      <c r="X34" s="53">
        <v>1.5</v>
      </c>
    </row>
    <row r="35" spans="11:24" ht="15.75" customHeight="1" x14ac:dyDescent="0.3">
      <c r="K35" s="284">
        <v>3.6</v>
      </c>
      <c r="O35" s="247">
        <v>514</v>
      </c>
      <c r="U35" s="2">
        <v>38</v>
      </c>
      <c r="V35" s="2">
        <v>38</v>
      </c>
      <c r="W35" s="2">
        <v>38</v>
      </c>
      <c r="X35" s="53">
        <v>38</v>
      </c>
    </row>
    <row r="36" spans="11:24" ht="15.75" customHeight="1" x14ac:dyDescent="0.3">
      <c r="K36" s="284">
        <v>45</v>
      </c>
      <c r="O36" s="247">
        <v>1008.98</v>
      </c>
      <c r="U36" s="2">
        <v>54</v>
      </c>
      <c r="V36" s="2">
        <v>54</v>
      </c>
      <c r="W36" s="2">
        <v>54</v>
      </c>
      <c r="X36" s="53">
        <v>54</v>
      </c>
    </row>
    <row r="37" spans="11:24" ht="15.75" customHeight="1" x14ac:dyDescent="0.3">
      <c r="K37" s="284">
        <v>50</v>
      </c>
      <c r="O37" s="247">
        <v>203.77</v>
      </c>
      <c r="U37" s="2">
        <v>8.5</v>
      </c>
      <c r="V37" s="2">
        <v>8.5</v>
      </c>
      <c r="W37" s="2">
        <v>8.5</v>
      </c>
      <c r="X37" s="53">
        <v>8.5</v>
      </c>
    </row>
    <row r="38" spans="11:24" ht="15.75" customHeight="1" x14ac:dyDescent="0.3">
      <c r="K38" s="284">
        <v>48.6</v>
      </c>
      <c r="O38" s="247">
        <v>869.6</v>
      </c>
      <c r="U38" s="2">
        <v>108.5</v>
      </c>
      <c r="V38" s="2">
        <v>108.5</v>
      </c>
      <c r="W38" s="2">
        <v>108.5</v>
      </c>
      <c r="X38" s="53">
        <v>108.5</v>
      </c>
    </row>
    <row r="39" spans="11:24" ht="15.75" customHeight="1" x14ac:dyDescent="0.3">
      <c r="O39" s="247">
        <v>946.22</v>
      </c>
      <c r="U39" s="2">
        <v>155</v>
      </c>
      <c r="V39" s="2">
        <v>155</v>
      </c>
      <c r="W39" s="2">
        <v>155</v>
      </c>
      <c r="X39" s="53">
        <v>155</v>
      </c>
    </row>
    <row r="40" spans="11:24" ht="15.75" customHeight="1" x14ac:dyDescent="0.3">
      <c r="K40" s="133">
        <f>SUM(K2:K38)</f>
        <v>774.2</v>
      </c>
      <c r="O40" s="247">
        <v>507</v>
      </c>
      <c r="U40" s="2">
        <v>32.5</v>
      </c>
      <c r="V40" s="2">
        <v>32.5</v>
      </c>
      <c r="W40" s="2">
        <v>32.5</v>
      </c>
      <c r="X40" s="53">
        <v>32.5</v>
      </c>
    </row>
    <row r="41" spans="11:24" ht="15.75" customHeight="1" x14ac:dyDescent="0.3">
      <c r="O41" s="247">
        <v>301.2</v>
      </c>
      <c r="U41" s="2">
        <v>24.5</v>
      </c>
      <c r="V41" s="2">
        <v>24.5</v>
      </c>
      <c r="W41" s="2">
        <v>24.5</v>
      </c>
      <c r="X41" s="53">
        <v>24.5</v>
      </c>
    </row>
    <row r="42" spans="11:24" ht="15.75" customHeight="1" x14ac:dyDescent="0.3">
      <c r="O42" s="247">
        <v>236</v>
      </c>
      <c r="U42" s="2">
        <v>116.5</v>
      </c>
      <c r="V42" s="2">
        <v>116.5</v>
      </c>
      <c r="W42" s="2">
        <v>33.5</v>
      </c>
      <c r="X42" s="53">
        <v>75</v>
      </c>
    </row>
    <row r="43" spans="11:24" ht="15.75" customHeight="1" x14ac:dyDescent="0.3">
      <c r="O43" s="247">
        <v>538.55999999999995</v>
      </c>
      <c r="U43" s="2">
        <v>66.5</v>
      </c>
      <c r="V43" s="2">
        <v>66.5</v>
      </c>
      <c r="W43" s="2">
        <v>66.5</v>
      </c>
      <c r="X43" s="53">
        <v>66.5</v>
      </c>
    </row>
    <row r="44" spans="11:24" ht="15.75" customHeight="1" x14ac:dyDescent="0.3">
      <c r="O44" s="247">
        <v>51</v>
      </c>
      <c r="U44" s="2">
        <v>3.5</v>
      </c>
      <c r="V44" s="2">
        <v>3.5</v>
      </c>
      <c r="W44" s="2">
        <v>3.5</v>
      </c>
      <c r="X44" s="53">
        <v>3.5</v>
      </c>
    </row>
    <row r="45" spans="11:24" ht="15.75" customHeight="1" x14ac:dyDescent="0.3">
      <c r="O45" s="247">
        <v>253</v>
      </c>
      <c r="U45" s="2">
        <v>1.5</v>
      </c>
      <c r="V45" s="2">
        <v>1.5</v>
      </c>
      <c r="W45" s="2">
        <v>1.5</v>
      </c>
      <c r="X45" s="53">
        <v>1.5</v>
      </c>
    </row>
    <row r="46" spans="11:24" ht="15.75" customHeight="1" x14ac:dyDescent="0.3">
      <c r="O46" s="247">
        <v>637.22</v>
      </c>
      <c r="X46" s="53"/>
    </row>
    <row r="47" spans="11:24" ht="15.75" customHeight="1" x14ac:dyDescent="0.3">
      <c r="X47" s="53"/>
    </row>
    <row r="48" spans="11:24" ht="15.75" customHeight="1" x14ac:dyDescent="0.3">
      <c r="O48" s="2">
        <f>SUM(O9:O46)</f>
        <v>21763.990000000005</v>
      </c>
      <c r="U48" s="2">
        <v>11.5</v>
      </c>
      <c r="V48" s="2">
        <v>11.5</v>
      </c>
      <c r="W48" s="2">
        <v>11.5</v>
      </c>
      <c r="X48" s="53">
        <v>11.5</v>
      </c>
    </row>
    <row r="49" spans="21:24" ht="15.75" customHeight="1" x14ac:dyDescent="0.3">
      <c r="U49" s="2">
        <v>48.5</v>
      </c>
      <c r="V49" s="2">
        <v>7</v>
      </c>
      <c r="W49" s="2">
        <v>7</v>
      </c>
      <c r="X49" s="53">
        <v>7</v>
      </c>
    </row>
    <row r="50" spans="21:24" ht="15.75" customHeight="1" x14ac:dyDescent="0.3">
      <c r="U50" s="2">
        <v>30</v>
      </c>
      <c r="V50" s="2">
        <v>30</v>
      </c>
      <c r="W50" s="2">
        <v>30</v>
      </c>
      <c r="X50" s="53">
        <v>30</v>
      </c>
    </row>
    <row r="51" spans="21:24" ht="15.75" customHeight="1" x14ac:dyDescent="0.3">
      <c r="U51" s="2">
        <v>80</v>
      </c>
      <c r="V51" s="2">
        <v>80</v>
      </c>
      <c r="W51" s="2">
        <v>80</v>
      </c>
      <c r="X51" s="53">
        <v>80</v>
      </c>
    </row>
    <row r="52" spans="21:24" ht="15.75" customHeight="1" x14ac:dyDescent="0.3">
      <c r="U52" s="2">
        <v>38</v>
      </c>
      <c r="V52" s="2">
        <v>38</v>
      </c>
      <c r="W52" s="2">
        <v>38</v>
      </c>
      <c r="X52" s="53">
        <v>38</v>
      </c>
    </row>
    <row r="53" spans="21:24" ht="15.75" customHeight="1" x14ac:dyDescent="0.3">
      <c r="U53" s="2">
        <v>38</v>
      </c>
      <c r="V53" s="2">
        <v>38</v>
      </c>
      <c r="W53" s="2">
        <v>38</v>
      </c>
      <c r="X53" s="53">
        <v>38</v>
      </c>
    </row>
    <row r="54" spans="21:24" ht="15.75" customHeight="1" x14ac:dyDescent="0.3">
      <c r="U54" s="2">
        <v>38</v>
      </c>
      <c r="V54" s="2">
        <v>38</v>
      </c>
      <c r="W54" s="2">
        <v>38</v>
      </c>
      <c r="X54" s="53">
        <v>38</v>
      </c>
    </row>
    <row r="55" spans="21:24" ht="15.75" customHeight="1" x14ac:dyDescent="0.3">
      <c r="U55" s="2">
        <f t="shared" ref="U55:X55" si="0">SUM(U11:U54)</f>
        <v>2167</v>
      </c>
      <c r="V55" s="2">
        <f t="shared" si="0"/>
        <v>2160</v>
      </c>
      <c r="W55" s="2">
        <f t="shared" si="0"/>
        <v>2150.5</v>
      </c>
      <c r="X55" s="2">
        <f t="shared" si="0"/>
        <v>2147.5</v>
      </c>
    </row>
    <row r="56" spans="21:24" ht="15.75" customHeight="1" x14ac:dyDescent="0.3"/>
    <row r="57" spans="21:24" ht="15.75" customHeight="1" x14ac:dyDescent="0.3"/>
    <row r="58" spans="21:24" ht="15.75" customHeight="1" x14ac:dyDescent="0.3"/>
    <row r="59" spans="21:24" ht="15.75" customHeight="1" x14ac:dyDescent="0.3"/>
    <row r="60" spans="21:24" ht="15.75" customHeight="1" x14ac:dyDescent="0.3"/>
    <row r="61" spans="21:24" ht="15.75" customHeight="1" x14ac:dyDescent="0.3"/>
    <row r="62" spans="21:24" ht="15.75" customHeight="1" x14ac:dyDescent="0.3"/>
    <row r="63" spans="21:24" ht="15.75" customHeight="1" x14ac:dyDescent="0.3"/>
    <row r="64" spans="21:2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000"/>
  <sheetViews>
    <sheetView workbookViewId="0"/>
  </sheetViews>
  <sheetFormatPr defaultColWidth="14.44140625" defaultRowHeight="15" customHeight="1" x14ac:dyDescent="0.3"/>
  <cols>
    <col min="1" max="1" width="7.6640625" customWidth="1"/>
    <col min="2" max="2" width="44.5546875" customWidth="1"/>
    <col min="3" max="4" width="11.88671875" customWidth="1"/>
    <col min="5" max="5" width="12.44140625" customWidth="1"/>
    <col min="6" max="6" width="6" customWidth="1"/>
    <col min="7" max="7" width="5.6640625" customWidth="1"/>
    <col min="8" max="8" width="9.44140625" customWidth="1"/>
    <col min="9" max="9" width="32.33203125" customWidth="1"/>
    <col min="10" max="10" width="16.109375" customWidth="1"/>
    <col min="11" max="11" width="8" customWidth="1"/>
    <col min="12" max="12" width="21.5546875" customWidth="1"/>
    <col min="13" max="13" width="6.33203125" customWidth="1"/>
    <col min="14" max="14" width="7.44140625" customWidth="1"/>
    <col min="15" max="15" width="6.109375" customWidth="1"/>
    <col min="16" max="16" width="6.6640625" customWidth="1"/>
    <col min="17" max="26" width="8" customWidth="1"/>
  </cols>
  <sheetData>
    <row r="1" spans="1:16" ht="14.4" x14ac:dyDescent="0.3">
      <c r="A1" s="3" t="s">
        <v>46</v>
      </c>
      <c r="B1" s="4" t="s">
        <v>47</v>
      </c>
      <c r="C1" s="4" t="s">
        <v>48</v>
      </c>
      <c r="D1" s="4" t="s">
        <v>49</v>
      </c>
      <c r="E1" s="5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6" t="s">
        <v>55</v>
      </c>
      <c r="K1" s="4" t="s">
        <v>56</v>
      </c>
      <c r="L1" s="4" t="s">
        <v>57</v>
      </c>
      <c r="M1" s="7" t="s">
        <v>58</v>
      </c>
      <c r="N1" s="7" t="s">
        <v>59</v>
      </c>
      <c r="O1" s="7" t="s">
        <v>60</v>
      </c>
      <c r="P1" s="7">
        <v>830</v>
      </c>
    </row>
    <row r="2" spans="1:16" ht="14.4" x14ac:dyDescent="0.3">
      <c r="A2" s="8" t="s">
        <v>58</v>
      </c>
      <c r="B2" s="289" t="s">
        <v>81</v>
      </c>
      <c r="C2" s="289" t="s">
        <v>100</v>
      </c>
      <c r="D2" s="289" t="s">
        <v>1093</v>
      </c>
      <c r="E2" s="284">
        <v>8</v>
      </c>
      <c r="F2" s="289" t="s">
        <v>161</v>
      </c>
      <c r="G2" s="284">
        <v>16</v>
      </c>
      <c r="H2" s="289" t="s">
        <v>643</v>
      </c>
      <c r="I2" s="289" t="s">
        <v>579</v>
      </c>
      <c r="J2" s="289" t="s">
        <v>8</v>
      </c>
      <c r="K2" s="289"/>
      <c r="L2" s="289"/>
      <c r="M2" s="12">
        <f t="shared" ref="M2:M65" si="0">SUMIFS($E$2:$E$300,$A$2:$A$300,"осень",$I$2:$I$300,I2)</f>
        <v>476.99</v>
      </c>
      <c r="N2" s="13">
        <f t="shared" ref="N2:N65" si="1">SUMIFS($E$2:$E$300,$A$2:$A$300,"весна",$I$2:$I$300,I2)</f>
        <v>579</v>
      </c>
      <c r="O2" s="14">
        <f t="shared" ref="O2:O65" si="2">M2+N2</f>
        <v>1055.99</v>
      </c>
      <c r="P2" s="15">
        <f t="shared" ref="P2:P65" si="3">O2/$P$1</f>
        <v>1.272277108433735</v>
      </c>
    </row>
    <row r="3" spans="1:16" ht="14.4" x14ac:dyDescent="0.3">
      <c r="A3" s="8" t="s">
        <v>58</v>
      </c>
      <c r="B3" s="289" t="s">
        <v>81</v>
      </c>
      <c r="C3" s="289" t="s">
        <v>100</v>
      </c>
      <c r="D3" s="289" t="s">
        <v>1094</v>
      </c>
      <c r="E3" s="284">
        <v>8</v>
      </c>
      <c r="F3" s="289" t="s">
        <v>161</v>
      </c>
      <c r="G3" s="284">
        <v>16</v>
      </c>
      <c r="H3" s="289" t="s">
        <v>643</v>
      </c>
      <c r="I3" s="289" t="s">
        <v>579</v>
      </c>
      <c r="J3" s="289" t="s">
        <v>8</v>
      </c>
      <c r="K3" s="289"/>
      <c r="L3" s="289"/>
      <c r="M3" s="12">
        <f t="shared" si="0"/>
        <v>476.99</v>
      </c>
      <c r="N3" s="13">
        <f t="shared" si="1"/>
        <v>579</v>
      </c>
      <c r="O3" s="14">
        <f t="shared" si="2"/>
        <v>1055.99</v>
      </c>
      <c r="P3" s="15">
        <f t="shared" si="3"/>
        <v>1.272277108433735</v>
      </c>
    </row>
    <row r="4" spans="1:16" ht="14.4" x14ac:dyDescent="0.3">
      <c r="A4" s="8" t="s">
        <v>58</v>
      </c>
      <c r="B4" s="289" t="s">
        <v>1095</v>
      </c>
      <c r="C4" s="289" t="s">
        <v>79</v>
      </c>
      <c r="D4" s="289" t="s">
        <v>1096</v>
      </c>
      <c r="E4" s="284">
        <v>16</v>
      </c>
      <c r="F4" s="289" t="s">
        <v>1097</v>
      </c>
      <c r="G4" s="284">
        <v>16</v>
      </c>
      <c r="H4" s="289" t="s">
        <v>1098</v>
      </c>
      <c r="I4" s="289" t="s">
        <v>260</v>
      </c>
      <c r="J4" s="289" t="s">
        <v>21</v>
      </c>
      <c r="K4" s="289"/>
      <c r="L4" s="289"/>
      <c r="M4" s="12">
        <f t="shared" si="0"/>
        <v>234</v>
      </c>
      <c r="N4" s="13">
        <f t="shared" si="1"/>
        <v>201</v>
      </c>
      <c r="O4" s="14">
        <f t="shared" si="2"/>
        <v>435</v>
      </c>
      <c r="P4" s="15">
        <f t="shared" si="3"/>
        <v>0.52409638554216864</v>
      </c>
    </row>
    <row r="5" spans="1:16" ht="14.4" x14ac:dyDescent="0.3">
      <c r="A5" s="8" t="s">
        <v>58</v>
      </c>
      <c r="B5" s="289" t="s">
        <v>1095</v>
      </c>
      <c r="C5" s="289" t="s">
        <v>192</v>
      </c>
      <c r="D5" s="289" t="s">
        <v>1096</v>
      </c>
      <c r="E5" s="284">
        <v>24</v>
      </c>
      <c r="F5" s="289" t="s">
        <v>1097</v>
      </c>
      <c r="G5" s="284">
        <v>24</v>
      </c>
      <c r="H5" s="289" t="s">
        <v>1098</v>
      </c>
      <c r="I5" s="289" t="s">
        <v>260</v>
      </c>
      <c r="J5" s="289" t="s">
        <v>21</v>
      </c>
      <c r="K5" s="289"/>
      <c r="L5" s="289"/>
      <c r="M5" s="12">
        <f t="shared" si="0"/>
        <v>234</v>
      </c>
      <c r="N5" s="13">
        <f t="shared" si="1"/>
        <v>201</v>
      </c>
      <c r="O5" s="14">
        <f t="shared" si="2"/>
        <v>435</v>
      </c>
      <c r="P5" s="15">
        <f t="shared" si="3"/>
        <v>0.52409638554216864</v>
      </c>
    </row>
    <row r="6" spans="1:16" ht="14.4" x14ac:dyDescent="0.3">
      <c r="A6" s="8" t="s">
        <v>58</v>
      </c>
      <c r="B6" s="289" t="s">
        <v>1095</v>
      </c>
      <c r="C6" s="289" t="s">
        <v>123</v>
      </c>
      <c r="D6" s="289" t="s">
        <v>1096</v>
      </c>
      <c r="E6" s="284">
        <v>39</v>
      </c>
      <c r="F6" s="289" t="s">
        <v>1097</v>
      </c>
      <c r="G6" s="290">
        <v>0</v>
      </c>
      <c r="H6" s="289" t="s">
        <v>1098</v>
      </c>
      <c r="I6" s="289" t="s">
        <v>260</v>
      </c>
      <c r="J6" s="289" t="s">
        <v>21</v>
      </c>
      <c r="K6" s="289"/>
      <c r="L6" s="289"/>
      <c r="M6" s="12">
        <f t="shared" si="0"/>
        <v>234</v>
      </c>
      <c r="N6" s="13">
        <f t="shared" si="1"/>
        <v>201</v>
      </c>
      <c r="O6" s="14">
        <f t="shared" si="2"/>
        <v>435</v>
      </c>
      <c r="P6" s="15">
        <f t="shared" si="3"/>
        <v>0.52409638554216864</v>
      </c>
    </row>
    <row r="7" spans="1:16" ht="14.4" x14ac:dyDescent="0.3">
      <c r="A7" s="8" t="s">
        <v>58</v>
      </c>
      <c r="B7" s="289" t="s">
        <v>1095</v>
      </c>
      <c r="C7" s="289" t="s">
        <v>111</v>
      </c>
      <c r="D7" s="289" t="s">
        <v>1096</v>
      </c>
      <c r="E7" s="284">
        <v>7</v>
      </c>
      <c r="F7" s="289" t="s">
        <v>1097</v>
      </c>
      <c r="G7" s="290">
        <v>0</v>
      </c>
      <c r="H7" s="289" t="s">
        <v>1098</v>
      </c>
      <c r="I7" s="289" t="s">
        <v>260</v>
      </c>
      <c r="J7" s="289" t="s">
        <v>21</v>
      </c>
      <c r="K7" s="291" t="s">
        <v>1099</v>
      </c>
      <c r="L7" s="289" t="s">
        <v>1100</v>
      </c>
      <c r="M7" s="12">
        <f t="shared" si="0"/>
        <v>234</v>
      </c>
      <c r="N7" s="13">
        <f t="shared" si="1"/>
        <v>201</v>
      </c>
      <c r="O7" s="14">
        <f t="shared" si="2"/>
        <v>435</v>
      </c>
      <c r="P7" s="15">
        <f t="shared" si="3"/>
        <v>0.52409638554216864</v>
      </c>
    </row>
    <row r="8" spans="1:16" ht="14.4" x14ac:dyDescent="0.3">
      <c r="A8" s="8" t="s">
        <v>58</v>
      </c>
      <c r="B8" s="289" t="s">
        <v>1095</v>
      </c>
      <c r="C8" s="292" t="s">
        <v>111</v>
      </c>
      <c r="D8" s="289" t="s">
        <v>1096</v>
      </c>
      <c r="E8" s="284">
        <v>-7</v>
      </c>
      <c r="F8" s="289" t="s">
        <v>1097</v>
      </c>
      <c r="G8" s="290">
        <v>0</v>
      </c>
      <c r="H8" s="289" t="s">
        <v>606</v>
      </c>
      <c r="I8" s="289" t="s">
        <v>510</v>
      </c>
      <c r="J8" s="289" t="s">
        <v>4</v>
      </c>
      <c r="K8" s="291" t="s">
        <v>1099</v>
      </c>
      <c r="L8" s="289"/>
      <c r="M8" s="12">
        <f t="shared" si="0"/>
        <v>649</v>
      </c>
      <c r="N8" s="13">
        <f t="shared" si="1"/>
        <v>84</v>
      </c>
      <c r="O8" s="14">
        <f t="shared" si="2"/>
        <v>733</v>
      </c>
      <c r="P8" s="15">
        <f t="shared" si="3"/>
        <v>0.88313253012048187</v>
      </c>
    </row>
    <row r="9" spans="1:16" ht="14.4" x14ac:dyDescent="0.3">
      <c r="A9" s="8" t="s">
        <v>58</v>
      </c>
      <c r="B9" s="289" t="s">
        <v>1095</v>
      </c>
      <c r="C9" s="292" t="s">
        <v>111</v>
      </c>
      <c r="D9" s="289" t="s">
        <v>1096</v>
      </c>
      <c r="E9" s="284">
        <v>7</v>
      </c>
      <c r="F9" s="289" t="s">
        <v>1097</v>
      </c>
      <c r="G9" s="290">
        <v>0</v>
      </c>
      <c r="H9" s="289" t="s">
        <v>606</v>
      </c>
      <c r="I9" s="289" t="s">
        <v>510</v>
      </c>
      <c r="J9" s="289" t="s">
        <v>4</v>
      </c>
      <c r="K9" s="289"/>
      <c r="L9" s="289"/>
      <c r="M9" s="12">
        <f t="shared" si="0"/>
        <v>649</v>
      </c>
      <c r="N9" s="13">
        <f t="shared" si="1"/>
        <v>84</v>
      </c>
      <c r="O9" s="14">
        <f t="shared" si="2"/>
        <v>733</v>
      </c>
      <c r="P9" s="15">
        <f t="shared" si="3"/>
        <v>0.88313253012048187</v>
      </c>
    </row>
    <row r="10" spans="1:16" ht="14.4" x14ac:dyDescent="0.3">
      <c r="A10" s="8" t="s">
        <v>58</v>
      </c>
      <c r="B10" s="289" t="s">
        <v>1095</v>
      </c>
      <c r="C10" s="289" t="s">
        <v>73</v>
      </c>
      <c r="D10" s="289" t="s">
        <v>1096</v>
      </c>
      <c r="E10" s="284">
        <v>24</v>
      </c>
      <c r="F10" s="289" t="s">
        <v>1097</v>
      </c>
      <c r="G10" s="284">
        <v>24</v>
      </c>
      <c r="H10" s="289" t="s">
        <v>1098</v>
      </c>
      <c r="I10" s="289" t="s">
        <v>260</v>
      </c>
      <c r="J10" s="289" t="s">
        <v>21</v>
      </c>
      <c r="K10" s="291" t="s">
        <v>1099</v>
      </c>
      <c r="L10" s="289" t="s">
        <v>1100</v>
      </c>
      <c r="M10" s="12">
        <f t="shared" si="0"/>
        <v>234</v>
      </c>
      <c r="N10" s="13">
        <f t="shared" si="1"/>
        <v>201</v>
      </c>
      <c r="O10" s="14">
        <f t="shared" si="2"/>
        <v>435</v>
      </c>
      <c r="P10" s="15">
        <f t="shared" si="3"/>
        <v>0.52409638554216864</v>
      </c>
    </row>
    <row r="11" spans="1:16" ht="14.4" x14ac:dyDescent="0.3">
      <c r="A11" s="8" t="s">
        <v>58</v>
      </c>
      <c r="B11" s="289" t="s">
        <v>1095</v>
      </c>
      <c r="C11" s="292" t="s">
        <v>73</v>
      </c>
      <c r="D11" s="289" t="s">
        <v>1096</v>
      </c>
      <c r="E11" s="284">
        <v>-24</v>
      </c>
      <c r="F11" s="289" t="s">
        <v>1097</v>
      </c>
      <c r="G11" s="284">
        <v>24</v>
      </c>
      <c r="H11" s="289" t="s">
        <v>606</v>
      </c>
      <c r="I11" s="289" t="s">
        <v>510</v>
      </c>
      <c r="J11" s="289" t="s">
        <v>4</v>
      </c>
      <c r="K11" s="291" t="s">
        <v>1099</v>
      </c>
      <c r="L11" s="289" t="s">
        <v>260</v>
      </c>
      <c r="M11" s="12">
        <f t="shared" si="0"/>
        <v>649</v>
      </c>
      <c r="N11" s="13">
        <f t="shared" si="1"/>
        <v>84</v>
      </c>
      <c r="O11" s="14">
        <f t="shared" si="2"/>
        <v>733</v>
      </c>
      <c r="P11" s="15">
        <f t="shared" si="3"/>
        <v>0.88313253012048187</v>
      </c>
    </row>
    <row r="12" spans="1:16" ht="14.4" x14ac:dyDescent="0.3">
      <c r="A12" s="8" t="s">
        <v>58</v>
      </c>
      <c r="B12" s="289" t="s">
        <v>1095</v>
      </c>
      <c r="C12" s="292" t="s">
        <v>73</v>
      </c>
      <c r="D12" s="289" t="s">
        <v>1096</v>
      </c>
      <c r="E12" s="284">
        <v>24</v>
      </c>
      <c r="F12" s="289" t="s">
        <v>1097</v>
      </c>
      <c r="G12" s="284">
        <v>24</v>
      </c>
      <c r="H12" s="289" t="s">
        <v>606</v>
      </c>
      <c r="I12" s="289" t="s">
        <v>510</v>
      </c>
      <c r="J12" s="289" t="s">
        <v>4</v>
      </c>
      <c r="K12" s="289"/>
      <c r="L12" s="289" t="s">
        <v>260</v>
      </c>
      <c r="M12" s="12">
        <f t="shared" si="0"/>
        <v>649</v>
      </c>
      <c r="N12" s="13">
        <f t="shared" si="1"/>
        <v>84</v>
      </c>
      <c r="O12" s="14">
        <f t="shared" si="2"/>
        <v>733</v>
      </c>
      <c r="P12" s="15">
        <f t="shared" si="3"/>
        <v>0.88313253012048187</v>
      </c>
    </row>
    <row r="13" spans="1:16" ht="14.4" x14ac:dyDescent="0.3">
      <c r="A13" s="8" t="s">
        <v>58</v>
      </c>
      <c r="B13" s="289" t="s">
        <v>1095</v>
      </c>
      <c r="C13" s="289" t="s">
        <v>80</v>
      </c>
      <c r="D13" s="289" t="s">
        <v>1096</v>
      </c>
      <c r="E13" s="284">
        <v>3</v>
      </c>
      <c r="F13" s="289" t="s">
        <v>1097</v>
      </c>
      <c r="G13" s="290">
        <v>0</v>
      </c>
      <c r="H13" s="289" t="s">
        <v>1098</v>
      </c>
      <c r="I13" s="289" t="s">
        <v>260</v>
      </c>
      <c r="J13" s="289" t="s">
        <v>21</v>
      </c>
      <c r="K13" s="289"/>
      <c r="L13" s="289"/>
      <c r="M13" s="12">
        <f t="shared" si="0"/>
        <v>234</v>
      </c>
      <c r="N13" s="13">
        <f t="shared" si="1"/>
        <v>201</v>
      </c>
      <c r="O13" s="14">
        <f t="shared" si="2"/>
        <v>435</v>
      </c>
      <c r="P13" s="15">
        <f t="shared" si="3"/>
        <v>0.52409638554216864</v>
      </c>
    </row>
    <row r="14" spans="1:16" ht="14.4" x14ac:dyDescent="0.3">
      <c r="A14" s="8" t="s">
        <v>58</v>
      </c>
      <c r="B14" s="289" t="s">
        <v>1101</v>
      </c>
      <c r="C14" s="289" t="s">
        <v>73</v>
      </c>
      <c r="D14" s="289" t="s">
        <v>1096</v>
      </c>
      <c r="E14" s="284">
        <v>12</v>
      </c>
      <c r="F14" s="289" t="s">
        <v>1097</v>
      </c>
      <c r="G14" s="284">
        <v>12</v>
      </c>
      <c r="H14" s="289" t="s">
        <v>643</v>
      </c>
      <c r="I14" s="289" t="s">
        <v>579</v>
      </c>
      <c r="J14" s="289" t="s">
        <v>8</v>
      </c>
      <c r="K14" s="289"/>
      <c r="L14" s="289"/>
      <c r="M14" s="12">
        <f t="shared" si="0"/>
        <v>476.99</v>
      </c>
      <c r="N14" s="13">
        <f t="shared" si="1"/>
        <v>579</v>
      </c>
      <c r="O14" s="14">
        <f t="shared" si="2"/>
        <v>1055.99</v>
      </c>
      <c r="P14" s="15">
        <f t="shared" si="3"/>
        <v>1.272277108433735</v>
      </c>
    </row>
    <row r="15" spans="1:16" ht="14.4" x14ac:dyDescent="0.3">
      <c r="A15" s="8" t="s">
        <v>58</v>
      </c>
      <c r="B15" s="289" t="s">
        <v>1101</v>
      </c>
      <c r="C15" s="289" t="s">
        <v>87</v>
      </c>
      <c r="D15" s="289" t="s">
        <v>1096</v>
      </c>
      <c r="E15" s="284">
        <v>5</v>
      </c>
      <c r="F15" s="289" t="s">
        <v>1097</v>
      </c>
      <c r="G15" s="290">
        <v>0</v>
      </c>
      <c r="H15" s="289" t="s">
        <v>643</v>
      </c>
      <c r="I15" s="289" t="s">
        <v>579</v>
      </c>
      <c r="J15" s="289" t="s">
        <v>8</v>
      </c>
      <c r="K15" s="289"/>
      <c r="L15" s="289"/>
      <c r="M15" s="12">
        <f t="shared" si="0"/>
        <v>476.99</v>
      </c>
      <c r="N15" s="13">
        <f t="shared" si="1"/>
        <v>579</v>
      </c>
      <c r="O15" s="14">
        <f t="shared" si="2"/>
        <v>1055.99</v>
      </c>
      <c r="P15" s="15">
        <f t="shared" si="3"/>
        <v>1.272277108433735</v>
      </c>
    </row>
    <row r="16" spans="1:16" ht="14.4" x14ac:dyDescent="0.3">
      <c r="A16" s="8" t="s">
        <v>58</v>
      </c>
      <c r="B16" s="289" t="s">
        <v>1101</v>
      </c>
      <c r="C16" s="289" t="s">
        <v>79</v>
      </c>
      <c r="D16" s="289" t="s">
        <v>1096</v>
      </c>
      <c r="E16" s="284">
        <v>12</v>
      </c>
      <c r="F16" s="289" t="s">
        <v>1097</v>
      </c>
      <c r="G16" s="284">
        <v>12</v>
      </c>
      <c r="H16" s="289" t="s">
        <v>643</v>
      </c>
      <c r="I16" s="289" t="s">
        <v>579</v>
      </c>
      <c r="J16" s="289" t="s">
        <v>8</v>
      </c>
      <c r="K16" s="289"/>
      <c r="L16" s="289"/>
      <c r="M16" s="12">
        <f t="shared" si="0"/>
        <v>476.99</v>
      </c>
      <c r="N16" s="13">
        <f t="shared" si="1"/>
        <v>579</v>
      </c>
      <c r="O16" s="14">
        <f t="shared" si="2"/>
        <v>1055.99</v>
      </c>
      <c r="P16" s="15">
        <f t="shared" si="3"/>
        <v>1.272277108433735</v>
      </c>
    </row>
    <row r="17" spans="1:16" ht="14.4" x14ac:dyDescent="0.3">
      <c r="A17" s="8" t="s">
        <v>58</v>
      </c>
      <c r="B17" s="289" t="s">
        <v>1101</v>
      </c>
      <c r="C17" s="289" t="s">
        <v>192</v>
      </c>
      <c r="D17" s="289" t="s">
        <v>1096</v>
      </c>
      <c r="E17" s="284">
        <v>4</v>
      </c>
      <c r="F17" s="289" t="s">
        <v>1097</v>
      </c>
      <c r="G17" s="284">
        <v>4</v>
      </c>
      <c r="H17" s="289" t="s">
        <v>643</v>
      </c>
      <c r="I17" s="289" t="s">
        <v>579</v>
      </c>
      <c r="J17" s="289" t="s">
        <v>8</v>
      </c>
      <c r="K17" s="289"/>
      <c r="L17" s="289"/>
      <c r="M17" s="12">
        <f t="shared" si="0"/>
        <v>476.99</v>
      </c>
      <c r="N17" s="13">
        <f t="shared" si="1"/>
        <v>579</v>
      </c>
      <c r="O17" s="14">
        <f t="shared" si="2"/>
        <v>1055.99</v>
      </c>
      <c r="P17" s="15">
        <f t="shared" si="3"/>
        <v>1.272277108433735</v>
      </c>
    </row>
    <row r="18" spans="1:16" ht="14.4" x14ac:dyDescent="0.3">
      <c r="A18" s="8" t="s">
        <v>58</v>
      </c>
      <c r="B18" s="289" t="s">
        <v>1101</v>
      </c>
      <c r="C18" s="289" t="s">
        <v>80</v>
      </c>
      <c r="D18" s="289" t="s">
        <v>1096</v>
      </c>
      <c r="E18" s="284">
        <v>1</v>
      </c>
      <c r="F18" s="289" t="s">
        <v>1097</v>
      </c>
      <c r="G18" s="290">
        <v>0</v>
      </c>
      <c r="H18" s="289" t="s">
        <v>643</v>
      </c>
      <c r="I18" s="289" t="s">
        <v>579</v>
      </c>
      <c r="J18" s="289" t="s">
        <v>8</v>
      </c>
      <c r="K18" s="289"/>
      <c r="L18" s="289"/>
      <c r="M18" s="12">
        <f t="shared" si="0"/>
        <v>476.99</v>
      </c>
      <c r="N18" s="13">
        <f t="shared" si="1"/>
        <v>579</v>
      </c>
      <c r="O18" s="14">
        <f t="shared" si="2"/>
        <v>1055.99</v>
      </c>
      <c r="P18" s="15">
        <f t="shared" si="3"/>
        <v>1.272277108433735</v>
      </c>
    </row>
    <row r="19" spans="1:16" ht="14.4" x14ac:dyDescent="0.3">
      <c r="A19" s="8" t="s">
        <v>58</v>
      </c>
      <c r="B19" s="289" t="s">
        <v>405</v>
      </c>
      <c r="C19" s="289" t="s">
        <v>79</v>
      </c>
      <c r="D19" s="289" t="s">
        <v>1102</v>
      </c>
      <c r="E19" s="284">
        <v>44</v>
      </c>
      <c r="F19" s="289" t="s">
        <v>263</v>
      </c>
      <c r="G19" s="284">
        <v>44</v>
      </c>
      <c r="H19" s="289" t="s">
        <v>606</v>
      </c>
      <c r="I19" s="289" t="s">
        <v>510</v>
      </c>
      <c r="J19" s="289" t="s">
        <v>4</v>
      </c>
      <c r="K19" s="289"/>
      <c r="L19" s="289"/>
      <c r="M19" s="12">
        <f t="shared" si="0"/>
        <v>649</v>
      </c>
      <c r="N19" s="13">
        <f t="shared" si="1"/>
        <v>84</v>
      </c>
      <c r="O19" s="14">
        <f t="shared" si="2"/>
        <v>733</v>
      </c>
      <c r="P19" s="15">
        <f t="shared" si="3"/>
        <v>0.88313253012048187</v>
      </c>
    </row>
    <row r="20" spans="1:16" ht="14.4" x14ac:dyDescent="0.3">
      <c r="A20" s="8" t="s">
        <v>58</v>
      </c>
      <c r="B20" s="289" t="s">
        <v>1103</v>
      </c>
      <c r="C20" s="289" t="s">
        <v>87</v>
      </c>
      <c r="D20" s="289" t="s">
        <v>1096</v>
      </c>
      <c r="E20" s="284">
        <v>5</v>
      </c>
      <c r="F20" s="289" t="s">
        <v>1097</v>
      </c>
      <c r="G20" s="290">
        <v>0</v>
      </c>
      <c r="H20" s="289" t="s">
        <v>643</v>
      </c>
      <c r="I20" s="289" t="s">
        <v>579</v>
      </c>
      <c r="J20" s="289" t="s">
        <v>8</v>
      </c>
      <c r="K20" s="289"/>
      <c r="L20" s="289"/>
      <c r="M20" s="12">
        <f t="shared" si="0"/>
        <v>476.99</v>
      </c>
      <c r="N20" s="13">
        <f t="shared" si="1"/>
        <v>579</v>
      </c>
      <c r="O20" s="14">
        <f t="shared" si="2"/>
        <v>1055.99</v>
      </c>
      <c r="P20" s="15">
        <f t="shared" si="3"/>
        <v>1.272277108433735</v>
      </c>
    </row>
    <row r="21" spans="1:16" ht="15.75" customHeight="1" x14ac:dyDescent="0.3">
      <c r="A21" s="8" t="s">
        <v>58</v>
      </c>
      <c r="B21" s="289" t="s">
        <v>1103</v>
      </c>
      <c r="C21" s="289" t="s">
        <v>79</v>
      </c>
      <c r="D21" s="289" t="s">
        <v>1096</v>
      </c>
      <c r="E21" s="284">
        <v>12</v>
      </c>
      <c r="F21" s="289" t="s">
        <v>1097</v>
      </c>
      <c r="G21" s="284">
        <v>12</v>
      </c>
      <c r="H21" s="289" t="s">
        <v>643</v>
      </c>
      <c r="I21" s="289" t="s">
        <v>579</v>
      </c>
      <c r="J21" s="289" t="s">
        <v>8</v>
      </c>
      <c r="K21" s="289"/>
      <c r="L21" s="289"/>
      <c r="M21" s="12">
        <f t="shared" si="0"/>
        <v>476.99</v>
      </c>
      <c r="N21" s="13">
        <f t="shared" si="1"/>
        <v>579</v>
      </c>
      <c r="O21" s="14">
        <f t="shared" si="2"/>
        <v>1055.99</v>
      </c>
      <c r="P21" s="15">
        <f t="shared" si="3"/>
        <v>1.272277108433735</v>
      </c>
    </row>
    <row r="22" spans="1:16" ht="15.75" customHeight="1" x14ac:dyDescent="0.3">
      <c r="A22" s="8" t="s">
        <v>58</v>
      </c>
      <c r="B22" s="289" t="s">
        <v>1103</v>
      </c>
      <c r="C22" s="289" t="s">
        <v>100</v>
      </c>
      <c r="D22" s="289" t="s">
        <v>1096</v>
      </c>
      <c r="E22" s="284">
        <v>8</v>
      </c>
      <c r="F22" s="289" t="s">
        <v>1097</v>
      </c>
      <c r="G22" s="284">
        <v>8</v>
      </c>
      <c r="H22" s="289" t="s">
        <v>643</v>
      </c>
      <c r="I22" s="289" t="s">
        <v>579</v>
      </c>
      <c r="J22" s="289" t="s">
        <v>8</v>
      </c>
      <c r="K22" s="289"/>
      <c r="L22" s="289"/>
      <c r="M22" s="12">
        <f t="shared" si="0"/>
        <v>476.99</v>
      </c>
      <c r="N22" s="13">
        <f t="shared" si="1"/>
        <v>579</v>
      </c>
      <c r="O22" s="14">
        <f t="shared" si="2"/>
        <v>1055.99</v>
      </c>
      <c r="P22" s="15">
        <f t="shared" si="3"/>
        <v>1.272277108433735</v>
      </c>
    </row>
    <row r="23" spans="1:16" ht="15.75" customHeight="1" x14ac:dyDescent="0.3">
      <c r="A23" s="8" t="s">
        <v>58</v>
      </c>
      <c r="B23" s="289" t="s">
        <v>1103</v>
      </c>
      <c r="C23" s="289" t="s">
        <v>192</v>
      </c>
      <c r="D23" s="289" t="s">
        <v>1096</v>
      </c>
      <c r="E23" s="284">
        <v>8</v>
      </c>
      <c r="F23" s="289" t="s">
        <v>1097</v>
      </c>
      <c r="G23" s="284">
        <v>8</v>
      </c>
      <c r="H23" s="289" t="s">
        <v>643</v>
      </c>
      <c r="I23" s="289" t="s">
        <v>579</v>
      </c>
      <c r="J23" s="289" t="s">
        <v>8</v>
      </c>
      <c r="K23" s="289"/>
      <c r="L23" s="289"/>
      <c r="M23" s="12">
        <f t="shared" si="0"/>
        <v>476.99</v>
      </c>
      <c r="N23" s="13">
        <f t="shared" si="1"/>
        <v>579</v>
      </c>
      <c r="O23" s="14">
        <f t="shared" si="2"/>
        <v>1055.99</v>
      </c>
      <c r="P23" s="15">
        <f t="shared" si="3"/>
        <v>1.272277108433735</v>
      </c>
    </row>
    <row r="24" spans="1:16" ht="15.75" customHeight="1" x14ac:dyDescent="0.3">
      <c r="A24" s="8" t="s">
        <v>58</v>
      </c>
      <c r="B24" s="289" t="s">
        <v>1103</v>
      </c>
      <c r="C24" s="289" t="s">
        <v>80</v>
      </c>
      <c r="D24" s="289" t="s">
        <v>1096</v>
      </c>
      <c r="E24" s="284">
        <v>1</v>
      </c>
      <c r="F24" s="289" t="s">
        <v>1097</v>
      </c>
      <c r="G24" s="290">
        <v>0</v>
      </c>
      <c r="H24" s="289" t="s">
        <v>643</v>
      </c>
      <c r="I24" s="289" t="s">
        <v>579</v>
      </c>
      <c r="J24" s="289" t="s">
        <v>8</v>
      </c>
      <c r="K24" s="289"/>
      <c r="L24" s="289"/>
      <c r="M24" s="12">
        <f t="shared" si="0"/>
        <v>476.99</v>
      </c>
      <c r="N24" s="13">
        <f t="shared" si="1"/>
        <v>579</v>
      </c>
      <c r="O24" s="14">
        <f t="shared" si="2"/>
        <v>1055.99</v>
      </c>
      <c r="P24" s="15">
        <f t="shared" si="3"/>
        <v>1.272277108433735</v>
      </c>
    </row>
    <row r="25" spans="1:16" ht="15.75" customHeight="1" x14ac:dyDescent="0.3">
      <c r="A25" s="8" t="s">
        <v>58</v>
      </c>
      <c r="B25" s="289" t="s">
        <v>1103</v>
      </c>
      <c r="C25" s="289" t="s">
        <v>73</v>
      </c>
      <c r="D25" s="289" t="s">
        <v>1096</v>
      </c>
      <c r="E25" s="284">
        <v>16</v>
      </c>
      <c r="F25" s="289" t="s">
        <v>1097</v>
      </c>
      <c r="G25" s="284">
        <v>16</v>
      </c>
      <c r="H25" s="289" t="s">
        <v>643</v>
      </c>
      <c r="I25" s="289" t="s">
        <v>579</v>
      </c>
      <c r="J25" s="289" t="s">
        <v>8</v>
      </c>
      <c r="K25" s="289"/>
      <c r="L25" s="289"/>
      <c r="M25" s="12">
        <f t="shared" si="0"/>
        <v>476.99</v>
      </c>
      <c r="N25" s="13">
        <f t="shared" si="1"/>
        <v>579</v>
      </c>
      <c r="O25" s="14">
        <f t="shared" si="2"/>
        <v>1055.99</v>
      </c>
      <c r="P25" s="15">
        <f t="shared" si="3"/>
        <v>1.272277108433735</v>
      </c>
    </row>
    <row r="26" spans="1:16" ht="15.75" customHeight="1" x14ac:dyDescent="0.3">
      <c r="A26" s="8" t="s">
        <v>58</v>
      </c>
      <c r="B26" s="289" t="s">
        <v>253</v>
      </c>
      <c r="C26" s="289" t="s">
        <v>87</v>
      </c>
      <c r="D26" s="289" t="s">
        <v>1102</v>
      </c>
      <c r="E26" s="284">
        <v>3</v>
      </c>
      <c r="F26" s="289" t="s">
        <v>153</v>
      </c>
      <c r="G26" s="290">
        <v>0</v>
      </c>
      <c r="H26" s="289" t="s">
        <v>606</v>
      </c>
      <c r="I26" s="289" t="s">
        <v>510</v>
      </c>
      <c r="J26" s="289" t="s">
        <v>4</v>
      </c>
      <c r="K26" s="289"/>
      <c r="L26" s="289"/>
      <c r="M26" s="12">
        <f t="shared" si="0"/>
        <v>649</v>
      </c>
      <c r="N26" s="13">
        <f t="shared" si="1"/>
        <v>84</v>
      </c>
      <c r="O26" s="14">
        <f t="shared" si="2"/>
        <v>733</v>
      </c>
      <c r="P26" s="15">
        <f t="shared" si="3"/>
        <v>0.88313253012048187</v>
      </c>
    </row>
    <row r="27" spans="1:16" ht="15.75" customHeight="1" x14ac:dyDescent="0.3">
      <c r="A27" s="8" t="s">
        <v>58</v>
      </c>
      <c r="B27" s="289" t="s">
        <v>253</v>
      </c>
      <c r="C27" s="289" t="s">
        <v>87</v>
      </c>
      <c r="D27" s="289" t="s">
        <v>1104</v>
      </c>
      <c r="E27" s="284">
        <v>3</v>
      </c>
      <c r="F27" s="289" t="s">
        <v>153</v>
      </c>
      <c r="G27" s="290">
        <v>0</v>
      </c>
      <c r="H27" s="289" t="s">
        <v>606</v>
      </c>
      <c r="I27" s="289" t="s">
        <v>510</v>
      </c>
      <c r="J27" s="289" t="s">
        <v>4</v>
      </c>
      <c r="K27" s="289"/>
      <c r="L27" s="289"/>
      <c r="M27" s="12">
        <f t="shared" si="0"/>
        <v>649</v>
      </c>
      <c r="N27" s="13">
        <f t="shared" si="1"/>
        <v>84</v>
      </c>
      <c r="O27" s="14">
        <f t="shared" si="2"/>
        <v>733</v>
      </c>
      <c r="P27" s="15">
        <f t="shared" si="3"/>
        <v>0.88313253012048187</v>
      </c>
    </row>
    <row r="28" spans="1:16" ht="15.75" customHeight="1" x14ac:dyDescent="0.3">
      <c r="A28" s="8" t="s">
        <v>58</v>
      </c>
      <c r="B28" s="289" t="s">
        <v>253</v>
      </c>
      <c r="C28" s="289" t="s">
        <v>123</v>
      </c>
      <c r="D28" s="289" t="s">
        <v>1104</v>
      </c>
      <c r="E28" s="284">
        <v>27</v>
      </c>
      <c r="F28" s="289" t="s">
        <v>153</v>
      </c>
      <c r="G28" s="290">
        <v>0</v>
      </c>
      <c r="H28" s="289" t="s">
        <v>606</v>
      </c>
      <c r="I28" s="289" t="s">
        <v>510</v>
      </c>
      <c r="J28" s="289" t="s">
        <v>4</v>
      </c>
      <c r="K28" s="289"/>
      <c r="L28" s="289"/>
      <c r="M28" s="12">
        <f t="shared" si="0"/>
        <v>649</v>
      </c>
      <c r="N28" s="13">
        <f t="shared" si="1"/>
        <v>84</v>
      </c>
      <c r="O28" s="14">
        <f t="shared" si="2"/>
        <v>733</v>
      </c>
      <c r="P28" s="15">
        <f t="shared" si="3"/>
        <v>0.88313253012048187</v>
      </c>
    </row>
    <row r="29" spans="1:16" ht="15.75" customHeight="1" x14ac:dyDescent="0.3">
      <c r="A29" s="8" t="s">
        <v>58</v>
      </c>
      <c r="B29" s="289" t="s">
        <v>253</v>
      </c>
      <c r="C29" s="289" t="s">
        <v>80</v>
      </c>
      <c r="D29" s="289" t="s">
        <v>1102</v>
      </c>
      <c r="E29" s="284">
        <v>1</v>
      </c>
      <c r="F29" s="289" t="s">
        <v>153</v>
      </c>
      <c r="G29" s="290">
        <v>0</v>
      </c>
      <c r="H29" s="289" t="s">
        <v>606</v>
      </c>
      <c r="I29" s="289" t="s">
        <v>510</v>
      </c>
      <c r="J29" s="289" t="s">
        <v>4</v>
      </c>
      <c r="K29" s="289"/>
      <c r="L29" s="289"/>
      <c r="M29" s="12">
        <f t="shared" si="0"/>
        <v>649</v>
      </c>
      <c r="N29" s="13">
        <f t="shared" si="1"/>
        <v>84</v>
      </c>
      <c r="O29" s="14">
        <f t="shared" si="2"/>
        <v>733</v>
      </c>
      <c r="P29" s="15">
        <f t="shared" si="3"/>
        <v>0.88313253012048187</v>
      </c>
    </row>
    <row r="30" spans="1:16" ht="15.75" customHeight="1" x14ac:dyDescent="0.3">
      <c r="A30" s="8" t="s">
        <v>58</v>
      </c>
      <c r="B30" s="289" t="s">
        <v>253</v>
      </c>
      <c r="C30" s="289" t="s">
        <v>80</v>
      </c>
      <c r="D30" s="289" t="s">
        <v>1104</v>
      </c>
      <c r="E30" s="284">
        <v>2</v>
      </c>
      <c r="F30" s="289" t="s">
        <v>153</v>
      </c>
      <c r="G30" s="290">
        <v>0</v>
      </c>
      <c r="H30" s="289" t="s">
        <v>606</v>
      </c>
      <c r="I30" s="289" t="s">
        <v>510</v>
      </c>
      <c r="J30" s="289" t="s">
        <v>4</v>
      </c>
      <c r="K30" s="289"/>
      <c r="L30" s="289"/>
      <c r="M30" s="12">
        <f t="shared" si="0"/>
        <v>649</v>
      </c>
      <c r="N30" s="13">
        <f t="shared" si="1"/>
        <v>84</v>
      </c>
      <c r="O30" s="14">
        <f t="shared" si="2"/>
        <v>733</v>
      </c>
      <c r="P30" s="15">
        <f t="shared" si="3"/>
        <v>0.88313253012048187</v>
      </c>
    </row>
    <row r="31" spans="1:16" ht="15.75" customHeight="1" x14ac:dyDescent="0.3">
      <c r="A31" s="8" t="s">
        <v>58</v>
      </c>
      <c r="B31" s="289" t="s">
        <v>253</v>
      </c>
      <c r="C31" s="289" t="s">
        <v>79</v>
      </c>
      <c r="D31" s="289" t="s">
        <v>1102</v>
      </c>
      <c r="E31" s="284">
        <v>48</v>
      </c>
      <c r="F31" s="289" t="s">
        <v>153</v>
      </c>
      <c r="G31" s="284">
        <v>48</v>
      </c>
      <c r="H31" s="289" t="s">
        <v>606</v>
      </c>
      <c r="I31" s="289" t="s">
        <v>510</v>
      </c>
      <c r="J31" s="289" t="s">
        <v>4</v>
      </c>
      <c r="K31" s="289"/>
      <c r="L31" s="289" t="s">
        <v>1105</v>
      </c>
      <c r="M31" s="12">
        <f t="shared" si="0"/>
        <v>649</v>
      </c>
      <c r="N31" s="13">
        <f t="shared" si="1"/>
        <v>84</v>
      </c>
      <c r="O31" s="14">
        <f t="shared" si="2"/>
        <v>733</v>
      </c>
      <c r="P31" s="15">
        <f t="shared" si="3"/>
        <v>0.88313253012048187</v>
      </c>
    </row>
    <row r="32" spans="1:16" ht="15.75" customHeight="1" x14ac:dyDescent="0.3">
      <c r="A32" s="8" t="s">
        <v>58</v>
      </c>
      <c r="B32" s="289" t="s">
        <v>253</v>
      </c>
      <c r="C32" s="289" t="s">
        <v>79</v>
      </c>
      <c r="D32" s="289" t="s">
        <v>1104</v>
      </c>
      <c r="E32" s="284">
        <v>32</v>
      </c>
      <c r="F32" s="289" t="s">
        <v>153</v>
      </c>
      <c r="G32" s="284">
        <v>32</v>
      </c>
      <c r="H32" s="289" t="s">
        <v>606</v>
      </c>
      <c r="I32" s="289" t="s">
        <v>510</v>
      </c>
      <c r="J32" s="289" t="s">
        <v>4</v>
      </c>
      <c r="K32" s="289"/>
      <c r="L32" s="289" t="s">
        <v>1106</v>
      </c>
      <c r="M32" s="12">
        <f t="shared" si="0"/>
        <v>649</v>
      </c>
      <c r="N32" s="13">
        <f t="shared" si="1"/>
        <v>84</v>
      </c>
      <c r="O32" s="14">
        <f t="shared" si="2"/>
        <v>733</v>
      </c>
      <c r="P32" s="15">
        <f t="shared" si="3"/>
        <v>0.88313253012048187</v>
      </c>
    </row>
    <row r="33" spans="1:16" ht="15.75" customHeight="1" x14ac:dyDescent="0.3">
      <c r="A33" s="8" t="s">
        <v>58</v>
      </c>
      <c r="B33" s="289" t="s">
        <v>253</v>
      </c>
      <c r="C33" s="289" t="s">
        <v>73</v>
      </c>
      <c r="D33" s="289" t="s">
        <v>1104</v>
      </c>
      <c r="E33" s="284">
        <v>32</v>
      </c>
      <c r="F33" s="289" t="s">
        <v>153</v>
      </c>
      <c r="G33" s="284">
        <v>32</v>
      </c>
      <c r="H33" s="289" t="s">
        <v>606</v>
      </c>
      <c r="I33" s="289" t="s">
        <v>510</v>
      </c>
      <c r="J33" s="289" t="s">
        <v>4</v>
      </c>
      <c r="K33" s="289"/>
      <c r="L33" s="289" t="s">
        <v>1106</v>
      </c>
      <c r="M33" s="12">
        <f t="shared" si="0"/>
        <v>649</v>
      </c>
      <c r="N33" s="13">
        <f t="shared" si="1"/>
        <v>84</v>
      </c>
      <c r="O33" s="14">
        <f t="shared" si="2"/>
        <v>733</v>
      </c>
      <c r="P33" s="15">
        <f t="shared" si="3"/>
        <v>0.88313253012048187</v>
      </c>
    </row>
    <row r="34" spans="1:16" ht="15.75" customHeight="1" x14ac:dyDescent="0.3">
      <c r="A34" s="8" t="s">
        <v>58</v>
      </c>
      <c r="B34" s="289" t="s">
        <v>253</v>
      </c>
      <c r="C34" s="289" t="s">
        <v>123</v>
      </c>
      <c r="D34" s="289" t="s">
        <v>1102</v>
      </c>
      <c r="E34" s="284">
        <v>24</v>
      </c>
      <c r="F34" s="289" t="s">
        <v>153</v>
      </c>
      <c r="G34" s="290">
        <v>0</v>
      </c>
      <c r="H34" s="289" t="s">
        <v>606</v>
      </c>
      <c r="I34" s="289" t="s">
        <v>510</v>
      </c>
      <c r="J34" s="289" t="s">
        <v>4</v>
      </c>
      <c r="K34" s="289"/>
      <c r="L34" s="289"/>
      <c r="M34" s="12">
        <f t="shared" si="0"/>
        <v>649</v>
      </c>
      <c r="N34" s="13">
        <f t="shared" si="1"/>
        <v>84</v>
      </c>
      <c r="O34" s="14">
        <f t="shared" si="2"/>
        <v>733</v>
      </c>
      <c r="P34" s="15">
        <f t="shared" si="3"/>
        <v>0.88313253012048187</v>
      </c>
    </row>
    <row r="35" spans="1:16" ht="15.75" customHeight="1" x14ac:dyDescent="0.3">
      <c r="A35" s="8" t="s">
        <v>58</v>
      </c>
      <c r="B35" s="289" t="s">
        <v>253</v>
      </c>
      <c r="C35" s="289" t="s">
        <v>73</v>
      </c>
      <c r="D35" s="289" t="s">
        <v>1102</v>
      </c>
      <c r="E35" s="284">
        <v>18</v>
      </c>
      <c r="F35" s="289" t="s">
        <v>153</v>
      </c>
      <c r="G35" s="284">
        <v>18</v>
      </c>
      <c r="H35" s="289" t="s">
        <v>606</v>
      </c>
      <c r="I35" s="289" t="s">
        <v>510</v>
      </c>
      <c r="J35" s="289" t="s">
        <v>4</v>
      </c>
      <c r="K35" s="289"/>
      <c r="L35" s="289" t="s">
        <v>1105</v>
      </c>
      <c r="M35" s="12">
        <f t="shared" si="0"/>
        <v>649</v>
      </c>
      <c r="N35" s="13">
        <f t="shared" si="1"/>
        <v>84</v>
      </c>
      <c r="O35" s="14">
        <f t="shared" si="2"/>
        <v>733</v>
      </c>
      <c r="P35" s="15">
        <f t="shared" si="3"/>
        <v>0.88313253012048187</v>
      </c>
    </row>
    <row r="36" spans="1:16" ht="15.75" customHeight="1" x14ac:dyDescent="0.3">
      <c r="A36" s="8" t="s">
        <v>58</v>
      </c>
      <c r="B36" s="289" t="s">
        <v>413</v>
      </c>
      <c r="C36" s="289" t="s">
        <v>333</v>
      </c>
      <c r="D36" s="289" t="s">
        <v>1107</v>
      </c>
      <c r="E36" s="284">
        <v>10</v>
      </c>
      <c r="F36" s="289"/>
      <c r="G36" s="290">
        <v>0</v>
      </c>
      <c r="H36" s="289" t="s">
        <v>607</v>
      </c>
      <c r="I36" s="289" t="s">
        <v>554</v>
      </c>
      <c r="J36" s="289" t="s">
        <v>8</v>
      </c>
      <c r="K36" s="289"/>
      <c r="L36" s="289"/>
      <c r="M36" s="12">
        <f t="shared" si="0"/>
        <v>185</v>
      </c>
      <c r="N36" s="13">
        <f t="shared" si="1"/>
        <v>290</v>
      </c>
      <c r="O36" s="14">
        <f t="shared" si="2"/>
        <v>475</v>
      </c>
      <c r="P36" s="15">
        <f t="shared" si="3"/>
        <v>0.57228915662650603</v>
      </c>
    </row>
    <row r="37" spans="1:16" ht="15.75" customHeight="1" x14ac:dyDescent="0.3">
      <c r="A37" s="8" t="s">
        <v>58</v>
      </c>
      <c r="B37" s="289" t="s">
        <v>176</v>
      </c>
      <c r="C37" s="289" t="s">
        <v>73</v>
      </c>
      <c r="D37" s="289" t="s">
        <v>1108</v>
      </c>
      <c r="E37" s="284">
        <v>24</v>
      </c>
      <c r="F37" s="289" t="s">
        <v>1109</v>
      </c>
      <c r="G37" s="284">
        <v>24</v>
      </c>
      <c r="H37" s="289" t="s">
        <v>606</v>
      </c>
      <c r="I37" s="289" t="s">
        <v>510</v>
      </c>
      <c r="J37" s="289" t="s">
        <v>4</v>
      </c>
      <c r="K37" s="289"/>
      <c r="L37" s="289" t="s">
        <v>1106</v>
      </c>
      <c r="M37" s="12">
        <f t="shared" si="0"/>
        <v>649</v>
      </c>
      <c r="N37" s="13">
        <f t="shared" si="1"/>
        <v>84</v>
      </c>
      <c r="O37" s="14">
        <f t="shared" si="2"/>
        <v>733</v>
      </c>
      <c r="P37" s="15">
        <f t="shared" si="3"/>
        <v>0.88313253012048187</v>
      </c>
    </row>
    <row r="38" spans="1:16" ht="15.75" customHeight="1" x14ac:dyDescent="0.3">
      <c r="A38" s="8" t="s">
        <v>58</v>
      </c>
      <c r="B38" s="289" t="s">
        <v>176</v>
      </c>
      <c r="C38" s="289" t="s">
        <v>79</v>
      </c>
      <c r="D38" s="289" t="s">
        <v>1110</v>
      </c>
      <c r="E38" s="284">
        <v>8</v>
      </c>
      <c r="F38" s="289" t="s">
        <v>1109</v>
      </c>
      <c r="G38" s="284">
        <v>8</v>
      </c>
      <c r="H38" s="289" t="s">
        <v>606</v>
      </c>
      <c r="I38" s="289" t="s">
        <v>510</v>
      </c>
      <c r="J38" s="289" t="s">
        <v>4</v>
      </c>
      <c r="K38" s="289"/>
      <c r="L38" s="289" t="s">
        <v>1106</v>
      </c>
      <c r="M38" s="12">
        <f t="shared" si="0"/>
        <v>649</v>
      </c>
      <c r="N38" s="13">
        <f t="shared" si="1"/>
        <v>84</v>
      </c>
      <c r="O38" s="14">
        <f t="shared" si="2"/>
        <v>733</v>
      </c>
      <c r="P38" s="15">
        <f t="shared" si="3"/>
        <v>0.88313253012048187</v>
      </c>
    </row>
    <row r="39" spans="1:16" ht="15.75" customHeight="1" x14ac:dyDescent="0.3">
      <c r="A39" s="8" t="s">
        <v>58</v>
      </c>
      <c r="B39" s="289" t="s">
        <v>176</v>
      </c>
      <c r="C39" s="289" t="s">
        <v>79</v>
      </c>
      <c r="D39" s="289" t="s">
        <v>1111</v>
      </c>
      <c r="E39" s="284">
        <v>8</v>
      </c>
      <c r="F39" s="289" t="s">
        <v>1109</v>
      </c>
      <c r="G39" s="284">
        <v>8</v>
      </c>
      <c r="H39" s="289" t="s">
        <v>606</v>
      </c>
      <c r="I39" s="289" t="s">
        <v>510</v>
      </c>
      <c r="J39" s="289" t="s">
        <v>4</v>
      </c>
      <c r="K39" s="289"/>
      <c r="L39" s="289" t="s">
        <v>1106</v>
      </c>
      <c r="M39" s="12">
        <f t="shared" si="0"/>
        <v>649</v>
      </c>
      <c r="N39" s="13">
        <f t="shared" si="1"/>
        <v>84</v>
      </c>
      <c r="O39" s="14">
        <f t="shared" si="2"/>
        <v>733</v>
      </c>
      <c r="P39" s="15">
        <f t="shared" si="3"/>
        <v>0.88313253012048187</v>
      </c>
    </row>
    <row r="40" spans="1:16" ht="15.75" customHeight="1" x14ac:dyDescent="0.3">
      <c r="A40" s="8" t="s">
        <v>58</v>
      </c>
      <c r="B40" s="289" t="s">
        <v>176</v>
      </c>
      <c r="C40" s="289" t="s">
        <v>79</v>
      </c>
      <c r="D40" s="289" t="s">
        <v>1112</v>
      </c>
      <c r="E40" s="284">
        <v>8</v>
      </c>
      <c r="F40" s="289" t="s">
        <v>1109</v>
      </c>
      <c r="G40" s="284">
        <v>8</v>
      </c>
      <c r="H40" s="289" t="s">
        <v>606</v>
      </c>
      <c r="I40" s="289" t="s">
        <v>510</v>
      </c>
      <c r="J40" s="289" t="s">
        <v>4</v>
      </c>
      <c r="K40" s="289"/>
      <c r="L40" s="289" t="s">
        <v>1106</v>
      </c>
      <c r="M40" s="12">
        <f t="shared" si="0"/>
        <v>649</v>
      </c>
      <c r="N40" s="13">
        <f t="shared" si="1"/>
        <v>84</v>
      </c>
      <c r="O40" s="14">
        <f t="shared" si="2"/>
        <v>733</v>
      </c>
      <c r="P40" s="15">
        <f t="shared" si="3"/>
        <v>0.88313253012048187</v>
      </c>
    </row>
    <row r="41" spans="1:16" ht="15.75" customHeight="1" x14ac:dyDescent="0.3">
      <c r="A41" s="8" t="s">
        <v>58</v>
      </c>
      <c r="B41" s="289" t="s">
        <v>176</v>
      </c>
      <c r="C41" s="289" t="s">
        <v>80</v>
      </c>
      <c r="D41" s="289" t="s">
        <v>1110</v>
      </c>
      <c r="E41" s="284">
        <v>3</v>
      </c>
      <c r="F41" s="289" t="s">
        <v>1109</v>
      </c>
      <c r="G41" s="290">
        <v>0</v>
      </c>
      <c r="H41" s="289" t="s">
        <v>606</v>
      </c>
      <c r="I41" s="289" t="s">
        <v>510</v>
      </c>
      <c r="J41" s="289" t="s">
        <v>4</v>
      </c>
      <c r="K41" s="289"/>
      <c r="L41" s="289" t="s">
        <v>1106</v>
      </c>
      <c r="M41" s="12">
        <f t="shared" si="0"/>
        <v>649</v>
      </c>
      <c r="N41" s="13">
        <f t="shared" si="1"/>
        <v>84</v>
      </c>
      <c r="O41" s="14">
        <f t="shared" si="2"/>
        <v>733</v>
      </c>
      <c r="P41" s="15">
        <f t="shared" si="3"/>
        <v>0.88313253012048187</v>
      </c>
    </row>
    <row r="42" spans="1:16" ht="15.75" customHeight="1" x14ac:dyDescent="0.3">
      <c r="A42" s="8" t="s">
        <v>58</v>
      </c>
      <c r="B42" s="289" t="s">
        <v>176</v>
      </c>
      <c r="C42" s="289" t="s">
        <v>111</v>
      </c>
      <c r="D42" s="289" t="s">
        <v>1112</v>
      </c>
      <c r="E42" s="284">
        <v>7</v>
      </c>
      <c r="F42" s="289" t="s">
        <v>1109</v>
      </c>
      <c r="G42" s="290">
        <v>0</v>
      </c>
      <c r="H42" s="289" t="s">
        <v>606</v>
      </c>
      <c r="I42" s="289" t="s">
        <v>510</v>
      </c>
      <c r="J42" s="289" t="s">
        <v>4</v>
      </c>
      <c r="K42" s="289"/>
      <c r="L42" s="289"/>
      <c r="M42" s="12">
        <f t="shared" si="0"/>
        <v>649</v>
      </c>
      <c r="N42" s="13">
        <f t="shared" si="1"/>
        <v>84</v>
      </c>
      <c r="O42" s="14">
        <f t="shared" si="2"/>
        <v>733</v>
      </c>
      <c r="P42" s="15">
        <f t="shared" si="3"/>
        <v>0.88313253012048187</v>
      </c>
    </row>
    <row r="43" spans="1:16" ht="15.75" customHeight="1" x14ac:dyDescent="0.3">
      <c r="A43" s="8" t="s">
        <v>58</v>
      </c>
      <c r="B43" s="289" t="s">
        <v>176</v>
      </c>
      <c r="C43" s="289" t="s">
        <v>111</v>
      </c>
      <c r="D43" s="289" t="s">
        <v>1110</v>
      </c>
      <c r="E43" s="284">
        <v>14</v>
      </c>
      <c r="F43" s="289" t="s">
        <v>1109</v>
      </c>
      <c r="G43" s="290">
        <v>0</v>
      </c>
      <c r="H43" s="289" t="s">
        <v>606</v>
      </c>
      <c r="I43" s="289" t="s">
        <v>510</v>
      </c>
      <c r="J43" s="289" t="s">
        <v>4</v>
      </c>
      <c r="K43" s="289"/>
      <c r="L43" s="289"/>
      <c r="M43" s="12">
        <f t="shared" si="0"/>
        <v>649</v>
      </c>
      <c r="N43" s="13">
        <f t="shared" si="1"/>
        <v>84</v>
      </c>
      <c r="O43" s="14">
        <f t="shared" si="2"/>
        <v>733</v>
      </c>
      <c r="P43" s="15">
        <f t="shared" si="3"/>
        <v>0.88313253012048187</v>
      </c>
    </row>
    <row r="44" spans="1:16" ht="15.75" customHeight="1" x14ac:dyDescent="0.3">
      <c r="A44" s="8" t="s">
        <v>58</v>
      </c>
      <c r="B44" s="289" t="s">
        <v>176</v>
      </c>
      <c r="C44" s="289" t="s">
        <v>111</v>
      </c>
      <c r="D44" s="289" t="s">
        <v>1111</v>
      </c>
      <c r="E44" s="284">
        <v>9</v>
      </c>
      <c r="F44" s="289" t="s">
        <v>1109</v>
      </c>
      <c r="G44" s="290">
        <v>0</v>
      </c>
      <c r="H44" s="289" t="s">
        <v>606</v>
      </c>
      <c r="I44" s="289" t="s">
        <v>510</v>
      </c>
      <c r="J44" s="289" t="s">
        <v>4</v>
      </c>
      <c r="K44" s="289"/>
      <c r="L44" s="289"/>
      <c r="M44" s="12">
        <f t="shared" si="0"/>
        <v>649</v>
      </c>
      <c r="N44" s="13">
        <f t="shared" si="1"/>
        <v>84</v>
      </c>
      <c r="O44" s="14">
        <f t="shared" si="2"/>
        <v>733</v>
      </c>
      <c r="P44" s="15">
        <f t="shared" si="3"/>
        <v>0.88313253012048187</v>
      </c>
    </row>
    <row r="45" spans="1:16" ht="15.75" customHeight="1" x14ac:dyDescent="0.3">
      <c r="A45" s="8" t="s">
        <v>58</v>
      </c>
      <c r="B45" s="289" t="s">
        <v>176</v>
      </c>
      <c r="C45" s="289" t="s">
        <v>80</v>
      </c>
      <c r="D45" s="289" t="s">
        <v>1112</v>
      </c>
      <c r="E45" s="284">
        <v>3</v>
      </c>
      <c r="F45" s="289" t="s">
        <v>1109</v>
      </c>
      <c r="G45" s="290">
        <v>0</v>
      </c>
      <c r="H45" s="289" t="s">
        <v>606</v>
      </c>
      <c r="I45" s="289" t="s">
        <v>510</v>
      </c>
      <c r="J45" s="289" t="s">
        <v>4</v>
      </c>
      <c r="K45" s="289"/>
      <c r="L45" s="289" t="s">
        <v>1106</v>
      </c>
      <c r="M45" s="12">
        <f t="shared" si="0"/>
        <v>649</v>
      </c>
      <c r="N45" s="13">
        <f t="shared" si="1"/>
        <v>84</v>
      </c>
      <c r="O45" s="14">
        <f t="shared" si="2"/>
        <v>733</v>
      </c>
      <c r="P45" s="15">
        <f t="shared" si="3"/>
        <v>0.88313253012048187</v>
      </c>
    </row>
    <row r="46" spans="1:16" ht="15.75" customHeight="1" x14ac:dyDescent="0.3">
      <c r="A46" s="8" t="s">
        <v>58</v>
      </c>
      <c r="B46" s="289" t="s">
        <v>176</v>
      </c>
      <c r="C46" s="289" t="s">
        <v>80</v>
      </c>
      <c r="D46" s="289" t="s">
        <v>1111</v>
      </c>
      <c r="E46" s="284">
        <v>3</v>
      </c>
      <c r="F46" s="289" t="s">
        <v>1109</v>
      </c>
      <c r="G46" s="290">
        <v>0</v>
      </c>
      <c r="H46" s="289" t="s">
        <v>606</v>
      </c>
      <c r="I46" s="289" t="s">
        <v>510</v>
      </c>
      <c r="J46" s="289" t="s">
        <v>4</v>
      </c>
      <c r="K46" s="289"/>
      <c r="L46" s="289" t="s">
        <v>1106</v>
      </c>
      <c r="M46" s="12">
        <f t="shared" si="0"/>
        <v>649</v>
      </c>
      <c r="N46" s="13">
        <f t="shared" si="1"/>
        <v>84</v>
      </c>
      <c r="O46" s="14">
        <f t="shared" si="2"/>
        <v>733</v>
      </c>
      <c r="P46" s="15">
        <f t="shared" si="3"/>
        <v>0.88313253012048187</v>
      </c>
    </row>
    <row r="47" spans="1:16" ht="15.75" customHeight="1" x14ac:dyDescent="0.3">
      <c r="A47" s="8" t="s">
        <v>58</v>
      </c>
      <c r="B47" s="289" t="s">
        <v>176</v>
      </c>
      <c r="C47" s="289" t="s">
        <v>100</v>
      </c>
      <c r="D47" s="289" t="s">
        <v>1110</v>
      </c>
      <c r="E47" s="284">
        <v>48</v>
      </c>
      <c r="F47" s="289" t="s">
        <v>1109</v>
      </c>
      <c r="G47" s="284">
        <v>24</v>
      </c>
      <c r="H47" s="289" t="s">
        <v>606</v>
      </c>
      <c r="I47" s="289" t="s">
        <v>510</v>
      </c>
      <c r="J47" s="289" t="s">
        <v>4</v>
      </c>
      <c r="K47" s="289"/>
      <c r="L47" s="289" t="s">
        <v>1106</v>
      </c>
      <c r="M47" s="12">
        <f t="shared" si="0"/>
        <v>649</v>
      </c>
      <c r="N47" s="13">
        <f t="shared" si="1"/>
        <v>84</v>
      </c>
      <c r="O47" s="14">
        <f t="shared" si="2"/>
        <v>733</v>
      </c>
      <c r="P47" s="15">
        <f t="shared" si="3"/>
        <v>0.88313253012048187</v>
      </c>
    </row>
    <row r="48" spans="1:16" ht="15.75" customHeight="1" x14ac:dyDescent="0.3">
      <c r="A48" s="8" t="s">
        <v>58</v>
      </c>
      <c r="B48" s="289" t="s">
        <v>176</v>
      </c>
      <c r="C48" s="289" t="s">
        <v>100</v>
      </c>
      <c r="D48" s="289" t="s">
        <v>1111</v>
      </c>
      <c r="E48" s="284">
        <v>48</v>
      </c>
      <c r="F48" s="289" t="s">
        <v>1109</v>
      </c>
      <c r="G48" s="284">
        <v>24</v>
      </c>
      <c r="H48" s="289" t="s">
        <v>606</v>
      </c>
      <c r="I48" s="289" t="s">
        <v>510</v>
      </c>
      <c r="J48" s="289" t="s">
        <v>4</v>
      </c>
      <c r="K48" s="289"/>
      <c r="L48" s="289" t="s">
        <v>1106</v>
      </c>
      <c r="M48" s="12">
        <f t="shared" si="0"/>
        <v>649</v>
      </c>
      <c r="N48" s="13">
        <f t="shared" si="1"/>
        <v>84</v>
      </c>
      <c r="O48" s="14">
        <f t="shared" si="2"/>
        <v>733</v>
      </c>
      <c r="P48" s="15">
        <f t="shared" si="3"/>
        <v>0.88313253012048187</v>
      </c>
    </row>
    <row r="49" spans="1:16" ht="15.75" customHeight="1" x14ac:dyDescent="0.3">
      <c r="A49" s="8" t="s">
        <v>58</v>
      </c>
      <c r="B49" s="289" t="s">
        <v>176</v>
      </c>
      <c r="C49" s="289" t="s">
        <v>100</v>
      </c>
      <c r="D49" s="289" t="s">
        <v>1112</v>
      </c>
      <c r="E49" s="284">
        <v>24</v>
      </c>
      <c r="F49" s="289" t="s">
        <v>1109</v>
      </c>
      <c r="G49" s="284">
        <v>24</v>
      </c>
      <c r="H49" s="289" t="s">
        <v>606</v>
      </c>
      <c r="I49" s="289" t="s">
        <v>510</v>
      </c>
      <c r="J49" s="289" t="s">
        <v>4</v>
      </c>
      <c r="K49" s="289"/>
      <c r="L49" s="289" t="s">
        <v>1106</v>
      </c>
      <c r="M49" s="12">
        <f t="shared" si="0"/>
        <v>649</v>
      </c>
      <c r="N49" s="13">
        <f t="shared" si="1"/>
        <v>84</v>
      </c>
      <c r="O49" s="14">
        <f t="shared" si="2"/>
        <v>733</v>
      </c>
      <c r="P49" s="15">
        <f t="shared" si="3"/>
        <v>0.88313253012048187</v>
      </c>
    </row>
    <row r="50" spans="1:16" ht="15.75" customHeight="1" x14ac:dyDescent="0.3">
      <c r="A50" s="8" t="s">
        <v>58</v>
      </c>
      <c r="B50" s="289" t="s">
        <v>1113</v>
      </c>
      <c r="C50" s="289" t="s">
        <v>73</v>
      </c>
      <c r="D50" s="289" t="s">
        <v>1096</v>
      </c>
      <c r="E50" s="284">
        <v>26</v>
      </c>
      <c r="F50" s="289" t="s">
        <v>1097</v>
      </c>
      <c r="G50" s="284">
        <v>26</v>
      </c>
      <c r="H50" s="289" t="s">
        <v>1098</v>
      </c>
      <c r="I50" s="289" t="s">
        <v>260</v>
      </c>
      <c r="J50" s="289" t="s">
        <v>21</v>
      </c>
      <c r="K50" s="291" t="s">
        <v>1099</v>
      </c>
      <c r="L50" s="289" t="s">
        <v>1100</v>
      </c>
      <c r="M50" s="12">
        <f t="shared" si="0"/>
        <v>234</v>
      </c>
      <c r="N50" s="13">
        <f t="shared" si="1"/>
        <v>201</v>
      </c>
      <c r="O50" s="14">
        <f t="shared" si="2"/>
        <v>435</v>
      </c>
      <c r="P50" s="15">
        <f t="shared" si="3"/>
        <v>0.52409638554216864</v>
      </c>
    </row>
    <row r="51" spans="1:16" ht="15.75" customHeight="1" x14ac:dyDescent="0.3">
      <c r="A51" s="8" t="s">
        <v>58</v>
      </c>
      <c r="B51" s="289" t="s">
        <v>1113</v>
      </c>
      <c r="C51" s="292" t="s">
        <v>73</v>
      </c>
      <c r="D51" s="289" t="s">
        <v>1096</v>
      </c>
      <c r="E51" s="284">
        <v>-26</v>
      </c>
      <c r="F51" s="289" t="s">
        <v>1097</v>
      </c>
      <c r="G51" s="284">
        <v>26</v>
      </c>
      <c r="H51" s="289" t="s">
        <v>606</v>
      </c>
      <c r="I51" s="289" t="s">
        <v>510</v>
      </c>
      <c r="J51" s="289" t="s">
        <v>4</v>
      </c>
      <c r="K51" s="291" t="s">
        <v>1099</v>
      </c>
      <c r="L51" s="289"/>
      <c r="M51" s="12">
        <f t="shared" si="0"/>
        <v>649</v>
      </c>
      <c r="N51" s="13">
        <f t="shared" si="1"/>
        <v>84</v>
      </c>
      <c r="O51" s="14">
        <f t="shared" si="2"/>
        <v>733</v>
      </c>
      <c r="P51" s="15">
        <f t="shared" si="3"/>
        <v>0.88313253012048187</v>
      </c>
    </row>
    <row r="52" spans="1:16" ht="15.75" customHeight="1" x14ac:dyDescent="0.3">
      <c r="A52" s="8" t="s">
        <v>58</v>
      </c>
      <c r="B52" s="289" t="s">
        <v>1113</v>
      </c>
      <c r="C52" s="292" t="s">
        <v>73</v>
      </c>
      <c r="D52" s="289" t="s">
        <v>1096</v>
      </c>
      <c r="E52" s="284">
        <v>26</v>
      </c>
      <c r="F52" s="289" t="s">
        <v>1097</v>
      </c>
      <c r="G52" s="284">
        <v>26</v>
      </c>
      <c r="H52" s="289" t="s">
        <v>606</v>
      </c>
      <c r="I52" s="289" t="s">
        <v>510</v>
      </c>
      <c r="J52" s="289" t="s">
        <v>4</v>
      </c>
      <c r="K52" s="289"/>
      <c r="L52" s="289" t="s">
        <v>260</v>
      </c>
      <c r="M52" s="12">
        <f t="shared" si="0"/>
        <v>649</v>
      </c>
      <c r="N52" s="13">
        <f t="shared" si="1"/>
        <v>84</v>
      </c>
      <c r="O52" s="14">
        <f t="shared" si="2"/>
        <v>733</v>
      </c>
      <c r="P52" s="15">
        <f t="shared" si="3"/>
        <v>0.88313253012048187</v>
      </c>
    </row>
    <row r="53" spans="1:16" ht="15.75" customHeight="1" x14ac:dyDescent="0.3">
      <c r="A53" s="8" t="s">
        <v>58</v>
      </c>
      <c r="B53" s="289" t="s">
        <v>1113</v>
      </c>
      <c r="C53" s="289" t="s">
        <v>87</v>
      </c>
      <c r="D53" s="289" t="s">
        <v>1096</v>
      </c>
      <c r="E53" s="284">
        <v>5</v>
      </c>
      <c r="F53" s="289" t="s">
        <v>1097</v>
      </c>
      <c r="G53" s="290">
        <v>0</v>
      </c>
      <c r="H53" s="289" t="s">
        <v>1098</v>
      </c>
      <c r="I53" s="289" t="s">
        <v>260</v>
      </c>
      <c r="J53" s="289" t="s">
        <v>21</v>
      </c>
      <c r="K53" s="291" t="s">
        <v>1099</v>
      </c>
      <c r="L53" s="289" t="s">
        <v>1100</v>
      </c>
      <c r="M53" s="12">
        <f t="shared" si="0"/>
        <v>234</v>
      </c>
      <c r="N53" s="13">
        <f t="shared" si="1"/>
        <v>201</v>
      </c>
      <c r="O53" s="14">
        <f t="shared" si="2"/>
        <v>435</v>
      </c>
      <c r="P53" s="15">
        <f t="shared" si="3"/>
        <v>0.52409638554216864</v>
      </c>
    </row>
    <row r="54" spans="1:16" ht="15.75" customHeight="1" x14ac:dyDescent="0.3">
      <c r="A54" s="8" t="s">
        <v>58</v>
      </c>
      <c r="B54" s="289" t="s">
        <v>1113</v>
      </c>
      <c r="C54" s="292" t="s">
        <v>87</v>
      </c>
      <c r="D54" s="289" t="s">
        <v>1096</v>
      </c>
      <c r="E54" s="284">
        <v>-5</v>
      </c>
      <c r="F54" s="289" t="s">
        <v>1097</v>
      </c>
      <c r="G54" s="290">
        <v>0</v>
      </c>
      <c r="H54" s="289" t="s">
        <v>606</v>
      </c>
      <c r="I54" s="289" t="s">
        <v>510</v>
      </c>
      <c r="J54" s="289" t="s">
        <v>4</v>
      </c>
      <c r="K54" s="291" t="s">
        <v>1099</v>
      </c>
      <c r="L54" s="289"/>
      <c r="M54" s="12">
        <f t="shared" si="0"/>
        <v>649</v>
      </c>
      <c r="N54" s="13">
        <f t="shared" si="1"/>
        <v>84</v>
      </c>
      <c r="O54" s="14">
        <f t="shared" si="2"/>
        <v>733</v>
      </c>
      <c r="P54" s="15">
        <f t="shared" si="3"/>
        <v>0.88313253012048187</v>
      </c>
    </row>
    <row r="55" spans="1:16" ht="15.75" customHeight="1" x14ac:dyDescent="0.3">
      <c r="A55" s="8" t="s">
        <v>58</v>
      </c>
      <c r="B55" s="289" t="s">
        <v>1113</v>
      </c>
      <c r="C55" s="292" t="s">
        <v>87</v>
      </c>
      <c r="D55" s="289" t="s">
        <v>1096</v>
      </c>
      <c r="E55" s="284">
        <v>5</v>
      </c>
      <c r="F55" s="289" t="s">
        <v>1097</v>
      </c>
      <c r="G55" s="290">
        <v>0</v>
      </c>
      <c r="H55" s="289" t="s">
        <v>606</v>
      </c>
      <c r="I55" s="289" t="s">
        <v>510</v>
      </c>
      <c r="J55" s="289" t="s">
        <v>4</v>
      </c>
      <c r="K55" s="97"/>
      <c r="L55" s="289" t="s">
        <v>260</v>
      </c>
      <c r="M55" s="12">
        <f t="shared" si="0"/>
        <v>649</v>
      </c>
      <c r="N55" s="13">
        <f t="shared" si="1"/>
        <v>84</v>
      </c>
      <c r="O55" s="14">
        <f t="shared" si="2"/>
        <v>733</v>
      </c>
      <c r="P55" s="15">
        <f t="shared" si="3"/>
        <v>0.88313253012048187</v>
      </c>
    </row>
    <row r="56" spans="1:16" ht="15.75" customHeight="1" x14ac:dyDescent="0.3">
      <c r="A56" s="8" t="s">
        <v>58</v>
      </c>
      <c r="B56" s="289" t="s">
        <v>1113</v>
      </c>
      <c r="C56" s="289" t="s">
        <v>192</v>
      </c>
      <c r="D56" s="289" t="s">
        <v>1096</v>
      </c>
      <c r="E56" s="284">
        <v>8</v>
      </c>
      <c r="F56" s="289" t="s">
        <v>1097</v>
      </c>
      <c r="G56" s="284">
        <v>8</v>
      </c>
      <c r="H56" s="289" t="s">
        <v>1098</v>
      </c>
      <c r="I56" s="289" t="s">
        <v>260</v>
      </c>
      <c r="J56" s="289" t="s">
        <v>21</v>
      </c>
      <c r="K56" s="289"/>
      <c r="L56" s="289"/>
      <c r="M56" s="12">
        <f t="shared" si="0"/>
        <v>234</v>
      </c>
      <c r="N56" s="13">
        <f t="shared" si="1"/>
        <v>201</v>
      </c>
      <c r="O56" s="14">
        <f t="shared" si="2"/>
        <v>435</v>
      </c>
      <c r="P56" s="15">
        <f t="shared" si="3"/>
        <v>0.52409638554216864</v>
      </c>
    </row>
    <row r="57" spans="1:16" ht="15.75" customHeight="1" x14ac:dyDescent="0.3">
      <c r="A57" s="8" t="s">
        <v>58</v>
      </c>
      <c r="B57" s="289" t="s">
        <v>1113</v>
      </c>
      <c r="C57" s="289" t="s">
        <v>80</v>
      </c>
      <c r="D57" s="289" t="s">
        <v>1096</v>
      </c>
      <c r="E57" s="284">
        <v>1</v>
      </c>
      <c r="F57" s="289" t="s">
        <v>1097</v>
      </c>
      <c r="G57" s="290">
        <v>0</v>
      </c>
      <c r="H57" s="289" t="s">
        <v>1098</v>
      </c>
      <c r="I57" s="289" t="s">
        <v>260</v>
      </c>
      <c r="J57" s="289" t="s">
        <v>21</v>
      </c>
      <c r="K57" s="289"/>
      <c r="L57" s="289"/>
      <c r="M57" s="12">
        <f t="shared" si="0"/>
        <v>234</v>
      </c>
      <c r="N57" s="13">
        <f t="shared" si="1"/>
        <v>201</v>
      </c>
      <c r="O57" s="14">
        <f t="shared" si="2"/>
        <v>435</v>
      </c>
      <c r="P57" s="15">
        <f t="shared" si="3"/>
        <v>0.52409638554216864</v>
      </c>
    </row>
    <row r="58" spans="1:16" ht="15.75" customHeight="1" x14ac:dyDescent="0.3">
      <c r="A58" s="8" t="s">
        <v>58</v>
      </c>
      <c r="B58" s="289" t="s">
        <v>1113</v>
      </c>
      <c r="C58" s="289" t="s">
        <v>100</v>
      </c>
      <c r="D58" s="289" t="s">
        <v>1096</v>
      </c>
      <c r="E58" s="284">
        <v>16</v>
      </c>
      <c r="F58" s="289" t="s">
        <v>1097</v>
      </c>
      <c r="G58" s="284">
        <v>16</v>
      </c>
      <c r="H58" s="289" t="s">
        <v>1098</v>
      </c>
      <c r="I58" s="289" t="s">
        <v>260</v>
      </c>
      <c r="J58" s="289" t="s">
        <v>21</v>
      </c>
      <c r="K58" s="289"/>
      <c r="L58" s="289"/>
      <c r="M58" s="12">
        <f t="shared" si="0"/>
        <v>234</v>
      </c>
      <c r="N58" s="13">
        <f t="shared" si="1"/>
        <v>201</v>
      </c>
      <c r="O58" s="14">
        <f t="shared" si="2"/>
        <v>435</v>
      </c>
      <c r="P58" s="15">
        <f t="shared" si="3"/>
        <v>0.52409638554216864</v>
      </c>
    </row>
    <row r="59" spans="1:16" ht="15.75" customHeight="1" x14ac:dyDescent="0.3">
      <c r="A59" s="8" t="s">
        <v>58</v>
      </c>
      <c r="B59" s="289" t="s">
        <v>1113</v>
      </c>
      <c r="C59" s="289" t="s">
        <v>79</v>
      </c>
      <c r="D59" s="289" t="s">
        <v>1096</v>
      </c>
      <c r="E59" s="284">
        <v>18</v>
      </c>
      <c r="F59" s="289" t="s">
        <v>1097</v>
      </c>
      <c r="G59" s="284">
        <v>18</v>
      </c>
      <c r="H59" s="289" t="s">
        <v>1098</v>
      </c>
      <c r="I59" s="289" t="s">
        <v>260</v>
      </c>
      <c r="J59" s="289" t="s">
        <v>21</v>
      </c>
      <c r="K59" s="289"/>
      <c r="L59" s="289"/>
      <c r="M59" s="12">
        <f t="shared" si="0"/>
        <v>234</v>
      </c>
      <c r="N59" s="13">
        <f t="shared" si="1"/>
        <v>201</v>
      </c>
      <c r="O59" s="14">
        <f t="shared" si="2"/>
        <v>435</v>
      </c>
      <c r="P59" s="15">
        <f t="shared" si="3"/>
        <v>0.52409638554216864</v>
      </c>
    </row>
    <row r="60" spans="1:16" ht="15.75" customHeight="1" x14ac:dyDescent="0.3">
      <c r="A60" s="8" t="s">
        <v>58</v>
      </c>
      <c r="B60" s="289" t="s">
        <v>249</v>
      </c>
      <c r="C60" s="289" t="s">
        <v>80</v>
      </c>
      <c r="D60" s="289" t="s">
        <v>1104</v>
      </c>
      <c r="E60" s="284">
        <v>2</v>
      </c>
      <c r="F60" s="289" t="s">
        <v>153</v>
      </c>
      <c r="G60" s="290">
        <v>0</v>
      </c>
      <c r="H60" s="289" t="s">
        <v>1114</v>
      </c>
      <c r="I60" s="289" t="s">
        <v>1115</v>
      </c>
      <c r="J60" s="289" t="s">
        <v>8</v>
      </c>
      <c r="K60" s="289"/>
      <c r="L60" s="289" t="s">
        <v>1116</v>
      </c>
      <c r="M60" s="12">
        <f t="shared" si="0"/>
        <v>296</v>
      </c>
      <c r="N60" s="13">
        <f t="shared" si="1"/>
        <v>270</v>
      </c>
      <c r="O60" s="14">
        <f t="shared" si="2"/>
        <v>566</v>
      </c>
      <c r="P60" s="15">
        <f t="shared" si="3"/>
        <v>0.68192771084337345</v>
      </c>
    </row>
    <row r="61" spans="1:16" ht="15.75" customHeight="1" x14ac:dyDescent="0.3">
      <c r="A61" s="8" t="s">
        <v>58</v>
      </c>
      <c r="B61" s="289" t="s">
        <v>249</v>
      </c>
      <c r="C61" s="289" t="s">
        <v>80</v>
      </c>
      <c r="D61" s="289" t="s">
        <v>1102</v>
      </c>
      <c r="E61" s="284">
        <v>1</v>
      </c>
      <c r="F61" s="289" t="s">
        <v>153</v>
      </c>
      <c r="G61" s="290">
        <v>0</v>
      </c>
      <c r="H61" s="289" t="s">
        <v>1114</v>
      </c>
      <c r="I61" s="289" t="s">
        <v>1115</v>
      </c>
      <c r="J61" s="289" t="s">
        <v>8</v>
      </c>
      <c r="K61" s="289"/>
      <c r="L61" s="289" t="s">
        <v>1116</v>
      </c>
      <c r="M61" s="12">
        <f t="shared" si="0"/>
        <v>296</v>
      </c>
      <c r="N61" s="13">
        <f t="shared" si="1"/>
        <v>270</v>
      </c>
      <c r="O61" s="14">
        <f t="shared" si="2"/>
        <v>566</v>
      </c>
      <c r="P61" s="15">
        <f t="shared" si="3"/>
        <v>0.68192771084337345</v>
      </c>
    </row>
    <row r="62" spans="1:16" ht="15.75" customHeight="1" x14ac:dyDescent="0.3">
      <c r="A62" s="8" t="s">
        <v>58</v>
      </c>
      <c r="B62" s="289" t="s">
        <v>249</v>
      </c>
      <c r="C62" s="289" t="s">
        <v>142</v>
      </c>
      <c r="D62" s="289" t="s">
        <v>1102</v>
      </c>
      <c r="E62" s="284">
        <v>3</v>
      </c>
      <c r="F62" s="289" t="s">
        <v>153</v>
      </c>
      <c r="G62" s="290">
        <v>0</v>
      </c>
      <c r="H62" s="289" t="s">
        <v>1114</v>
      </c>
      <c r="I62" s="289" t="s">
        <v>1115</v>
      </c>
      <c r="J62" s="289" t="s">
        <v>8</v>
      </c>
      <c r="K62" s="289"/>
      <c r="L62" s="289" t="s">
        <v>1116</v>
      </c>
      <c r="M62" s="12">
        <f t="shared" si="0"/>
        <v>296</v>
      </c>
      <c r="N62" s="13">
        <f t="shared" si="1"/>
        <v>270</v>
      </c>
      <c r="O62" s="14">
        <f t="shared" si="2"/>
        <v>566</v>
      </c>
      <c r="P62" s="15">
        <f t="shared" si="3"/>
        <v>0.68192771084337345</v>
      </c>
    </row>
    <row r="63" spans="1:16" ht="15.75" customHeight="1" x14ac:dyDescent="0.3">
      <c r="A63" s="8" t="s">
        <v>58</v>
      </c>
      <c r="B63" s="289" t="s">
        <v>249</v>
      </c>
      <c r="C63" s="289" t="s">
        <v>79</v>
      </c>
      <c r="D63" s="289" t="s">
        <v>1102</v>
      </c>
      <c r="E63" s="284">
        <v>32</v>
      </c>
      <c r="F63" s="289" t="s">
        <v>153</v>
      </c>
      <c r="G63" s="284">
        <v>32</v>
      </c>
      <c r="H63" s="289" t="s">
        <v>1114</v>
      </c>
      <c r="I63" s="289" t="s">
        <v>1115</v>
      </c>
      <c r="J63" s="289" t="s">
        <v>8</v>
      </c>
      <c r="K63" s="289"/>
      <c r="L63" s="289" t="s">
        <v>1116</v>
      </c>
      <c r="M63" s="12">
        <f t="shared" si="0"/>
        <v>296</v>
      </c>
      <c r="N63" s="13">
        <f t="shared" si="1"/>
        <v>270</v>
      </c>
      <c r="O63" s="14">
        <f t="shared" si="2"/>
        <v>566</v>
      </c>
      <c r="P63" s="15">
        <f t="shared" si="3"/>
        <v>0.68192771084337345</v>
      </c>
    </row>
    <row r="64" spans="1:16" ht="15.75" customHeight="1" x14ac:dyDescent="0.3">
      <c r="A64" s="8" t="s">
        <v>58</v>
      </c>
      <c r="B64" s="289" t="s">
        <v>249</v>
      </c>
      <c r="C64" s="289" t="s">
        <v>79</v>
      </c>
      <c r="D64" s="289" t="s">
        <v>1104</v>
      </c>
      <c r="E64" s="284">
        <v>44</v>
      </c>
      <c r="F64" s="289" t="s">
        <v>153</v>
      </c>
      <c r="G64" s="284">
        <v>44</v>
      </c>
      <c r="H64" s="289" t="s">
        <v>1114</v>
      </c>
      <c r="I64" s="289" t="s">
        <v>1115</v>
      </c>
      <c r="J64" s="289" t="s">
        <v>8</v>
      </c>
      <c r="K64" s="289"/>
      <c r="L64" s="289" t="s">
        <v>1116</v>
      </c>
      <c r="M64" s="12">
        <f t="shared" si="0"/>
        <v>296</v>
      </c>
      <c r="N64" s="13">
        <f t="shared" si="1"/>
        <v>270</v>
      </c>
      <c r="O64" s="14">
        <f t="shared" si="2"/>
        <v>566</v>
      </c>
      <c r="P64" s="15">
        <f t="shared" si="3"/>
        <v>0.68192771084337345</v>
      </c>
    </row>
    <row r="65" spans="1:16" ht="15.75" customHeight="1" x14ac:dyDescent="0.3">
      <c r="A65" s="8" t="s">
        <v>58</v>
      </c>
      <c r="B65" s="289" t="s">
        <v>249</v>
      </c>
      <c r="C65" s="289" t="s">
        <v>87</v>
      </c>
      <c r="D65" s="289" t="s">
        <v>1104</v>
      </c>
      <c r="E65" s="284">
        <v>3</v>
      </c>
      <c r="F65" s="289" t="s">
        <v>153</v>
      </c>
      <c r="G65" s="290">
        <v>0</v>
      </c>
      <c r="H65" s="289" t="s">
        <v>1114</v>
      </c>
      <c r="I65" s="289" t="s">
        <v>1115</v>
      </c>
      <c r="J65" s="289" t="s">
        <v>8</v>
      </c>
      <c r="K65" s="289"/>
      <c r="L65" s="289" t="s">
        <v>1116</v>
      </c>
      <c r="M65" s="12">
        <f t="shared" si="0"/>
        <v>296</v>
      </c>
      <c r="N65" s="13">
        <f t="shared" si="1"/>
        <v>270</v>
      </c>
      <c r="O65" s="14">
        <f t="shared" si="2"/>
        <v>566</v>
      </c>
      <c r="P65" s="15">
        <f t="shared" si="3"/>
        <v>0.68192771084337345</v>
      </c>
    </row>
    <row r="66" spans="1:16" ht="15.75" customHeight="1" x14ac:dyDescent="0.3">
      <c r="A66" s="8" t="s">
        <v>58</v>
      </c>
      <c r="B66" s="289" t="s">
        <v>249</v>
      </c>
      <c r="C66" s="289" t="s">
        <v>73</v>
      </c>
      <c r="D66" s="289" t="s">
        <v>1104</v>
      </c>
      <c r="E66" s="284">
        <v>32</v>
      </c>
      <c r="F66" s="289" t="s">
        <v>153</v>
      </c>
      <c r="G66" s="284">
        <v>32</v>
      </c>
      <c r="H66" s="289" t="s">
        <v>1114</v>
      </c>
      <c r="I66" s="289" t="s">
        <v>1115</v>
      </c>
      <c r="J66" s="289" t="s">
        <v>8</v>
      </c>
      <c r="K66" s="289"/>
      <c r="L66" s="289" t="s">
        <v>1116</v>
      </c>
      <c r="M66" s="12">
        <f t="shared" ref="M66:M129" si="4">SUMIFS($E$2:$E$300,$A$2:$A$300,"осень",$I$2:$I$300,I66)</f>
        <v>296</v>
      </c>
      <c r="N66" s="13">
        <f t="shared" ref="N66:N129" si="5">SUMIFS($E$2:$E$300,$A$2:$A$300,"весна",$I$2:$I$300,I66)</f>
        <v>270</v>
      </c>
      <c r="O66" s="14">
        <f t="shared" ref="O66:O129" si="6">M66+N66</f>
        <v>566</v>
      </c>
      <c r="P66" s="15">
        <f t="shared" ref="P66:P129" si="7">O66/$P$1</f>
        <v>0.68192771084337345</v>
      </c>
    </row>
    <row r="67" spans="1:16" ht="15.75" customHeight="1" x14ac:dyDescent="0.3">
      <c r="A67" s="8" t="s">
        <v>58</v>
      </c>
      <c r="B67" s="289" t="s">
        <v>249</v>
      </c>
      <c r="C67" s="289" t="s">
        <v>73</v>
      </c>
      <c r="D67" s="289" t="s">
        <v>1102</v>
      </c>
      <c r="E67" s="284">
        <v>18</v>
      </c>
      <c r="F67" s="289" t="s">
        <v>153</v>
      </c>
      <c r="G67" s="284">
        <v>18</v>
      </c>
      <c r="H67" s="289" t="s">
        <v>1114</v>
      </c>
      <c r="I67" s="289" t="s">
        <v>1115</v>
      </c>
      <c r="J67" s="289" t="s">
        <v>8</v>
      </c>
      <c r="K67" s="289"/>
      <c r="L67" s="289" t="s">
        <v>1116</v>
      </c>
      <c r="M67" s="12">
        <f t="shared" si="4"/>
        <v>296</v>
      </c>
      <c r="N67" s="13">
        <f t="shared" si="5"/>
        <v>270</v>
      </c>
      <c r="O67" s="14">
        <f t="shared" si="6"/>
        <v>566</v>
      </c>
      <c r="P67" s="15">
        <f t="shared" si="7"/>
        <v>0.68192771084337345</v>
      </c>
    </row>
    <row r="68" spans="1:16" ht="15.75" customHeight="1" x14ac:dyDescent="0.3">
      <c r="A68" s="8" t="s">
        <v>58</v>
      </c>
      <c r="B68" s="289" t="s">
        <v>310</v>
      </c>
      <c r="C68" s="289" t="s">
        <v>87</v>
      </c>
      <c r="D68" s="289" t="s">
        <v>1117</v>
      </c>
      <c r="E68" s="284">
        <v>6</v>
      </c>
      <c r="F68" s="289" t="s">
        <v>161</v>
      </c>
      <c r="G68" s="290">
        <v>0</v>
      </c>
      <c r="H68" s="289" t="s">
        <v>606</v>
      </c>
      <c r="I68" s="289" t="s">
        <v>510</v>
      </c>
      <c r="J68" s="289" t="s">
        <v>4</v>
      </c>
      <c r="K68" s="289"/>
      <c r="L68" s="289"/>
      <c r="M68" s="12">
        <f t="shared" si="4"/>
        <v>649</v>
      </c>
      <c r="N68" s="13">
        <f t="shared" si="5"/>
        <v>84</v>
      </c>
      <c r="O68" s="14">
        <f t="shared" si="6"/>
        <v>733</v>
      </c>
      <c r="P68" s="15">
        <f t="shared" si="7"/>
        <v>0.88313253012048187</v>
      </c>
    </row>
    <row r="69" spans="1:16" ht="15.75" customHeight="1" x14ac:dyDescent="0.3">
      <c r="A69" s="8" t="s">
        <v>58</v>
      </c>
      <c r="B69" s="289" t="s">
        <v>310</v>
      </c>
      <c r="C69" s="289" t="s">
        <v>87</v>
      </c>
      <c r="D69" s="289" t="s">
        <v>1118</v>
      </c>
      <c r="E69" s="284">
        <v>4</v>
      </c>
      <c r="F69" s="289" t="s">
        <v>161</v>
      </c>
      <c r="G69" s="290">
        <v>0</v>
      </c>
      <c r="H69" s="289" t="s">
        <v>606</v>
      </c>
      <c r="I69" s="289" t="s">
        <v>510</v>
      </c>
      <c r="J69" s="289" t="s">
        <v>4</v>
      </c>
      <c r="K69" s="289"/>
      <c r="L69" s="289"/>
      <c r="M69" s="12">
        <f t="shared" si="4"/>
        <v>649</v>
      </c>
      <c r="N69" s="13">
        <f t="shared" si="5"/>
        <v>84</v>
      </c>
      <c r="O69" s="14">
        <f t="shared" si="6"/>
        <v>733</v>
      </c>
      <c r="P69" s="15">
        <f t="shared" si="7"/>
        <v>0.88313253012048187</v>
      </c>
    </row>
    <row r="70" spans="1:16" ht="15.75" customHeight="1" x14ac:dyDescent="0.3">
      <c r="A70" s="8" t="s">
        <v>58</v>
      </c>
      <c r="B70" s="289" t="s">
        <v>310</v>
      </c>
      <c r="C70" s="289" t="s">
        <v>79</v>
      </c>
      <c r="D70" s="289" t="s">
        <v>1117</v>
      </c>
      <c r="E70" s="284">
        <v>30</v>
      </c>
      <c r="F70" s="289" t="s">
        <v>161</v>
      </c>
      <c r="G70" s="284">
        <v>30</v>
      </c>
      <c r="H70" s="289" t="s">
        <v>606</v>
      </c>
      <c r="I70" s="289" t="s">
        <v>510</v>
      </c>
      <c r="J70" s="289" t="s">
        <v>4</v>
      </c>
      <c r="K70" s="289"/>
      <c r="L70" s="289" t="s">
        <v>1106</v>
      </c>
      <c r="M70" s="12">
        <f t="shared" si="4"/>
        <v>649</v>
      </c>
      <c r="N70" s="13">
        <f t="shared" si="5"/>
        <v>84</v>
      </c>
      <c r="O70" s="14">
        <f t="shared" si="6"/>
        <v>733</v>
      </c>
      <c r="P70" s="15">
        <f t="shared" si="7"/>
        <v>0.88313253012048187</v>
      </c>
    </row>
    <row r="71" spans="1:16" ht="15.75" customHeight="1" x14ac:dyDescent="0.3">
      <c r="A71" s="8" t="s">
        <v>58</v>
      </c>
      <c r="B71" s="289" t="s">
        <v>310</v>
      </c>
      <c r="C71" s="289" t="s">
        <v>80</v>
      </c>
      <c r="D71" s="289" t="s">
        <v>1118</v>
      </c>
      <c r="E71" s="284">
        <v>1</v>
      </c>
      <c r="F71" s="289" t="s">
        <v>161</v>
      </c>
      <c r="G71" s="290">
        <v>0</v>
      </c>
      <c r="H71" s="289" t="s">
        <v>606</v>
      </c>
      <c r="I71" s="289" t="s">
        <v>510</v>
      </c>
      <c r="J71" s="289" t="s">
        <v>4</v>
      </c>
      <c r="K71" s="289"/>
      <c r="L71" s="289" t="s">
        <v>1106</v>
      </c>
      <c r="M71" s="12">
        <f t="shared" si="4"/>
        <v>649</v>
      </c>
      <c r="N71" s="13">
        <f t="shared" si="5"/>
        <v>84</v>
      </c>
      <c r="O71" s="14">
        <f t="shared" si="6"/>
        <v>733</v>
      </c>
      <c r="P71" s="15">
        <f t="shared" si="7"/>
        <v>0.88313253012048187</v>
      </c>
    </row>
    <row r="72" spans="1:16" ht="15.75" customHeight="1" x14ac:dyDescent="0.3">
      <c r="A72" s="8" t="s">
        <v>58</v>
      </c>
      <c r="B72" s="289" t="s">
        <v>310</v>
      </c>
      <c r="C72" s="289" t="s">
        <v>80</v>
      </c>
      <c r="D72" s="289" t="s">
        <v>1117</v>
      </c>
      <c r="E72" s="284">
        <v>1</v>
      </c>
      <c r="F72" s="289" t="s">
        <v>161</v>
      </c>
      <c r="G72" s="290">
        <v>0</v>
      </c>
      <c r="H72" s="289" t="s">
        <v>606</v>
      </c>
      <c r="I72" s="289" t="s">
        <v>510</v>
      </c>
      <c r="J72" s="289" t="s">
        <v>4</v>
      </c>
      <c r="K72" s="289"/>
      <c r="L72" s="289" t="s">
        <v>1106</v>
      </c>
      <c r="M72" s="12">
        <f t="shared" si="4"/>
        <v>649</v>
      </c>
      <c r="N72" s="13">
        <f t="shared" si="5"/>
        <v>84</v>
      </c>
      <c r="O72" s="14">
        <f t="shared" si="6"/>
        <v>733</v>
      </c>
      <c r="P72" s="15">
        <f t="shared" si="7"/>
        <v>0.88313253012048187</v>
      </c>
    </row>
    <row r="73" spans="1:16" ht="15.75" customHeight="1" x14ac:dyDescent="0.3">
      <c r="A73" s="8" t="s">
        <v>58</v>
      </c>
      <c r="B73" s="289" t="s">
        <v>310</v>
      </c>
      <c r="C73" s="289" t="s">
        <v>87</v>
      </c>
      <c r="D73" s="289" t="s">
        <v>1119</v>
      </c>
      <c r="E73" s="284">
        <v>5</v>
      </c>
      <c r="F73" s="289" t="s">
        <v>161</v>
      </c>
      <c r="G73" s="290">
        <v>0</v>
      </c>
      <c r="H73" s="289" t="s">
        <v>606</v>
      </c>
      <c r="I73" s="289" t="s">
        <v>510</v>
      </c>
      <c r="J73" s="289" t="s">
        <v>4</v>
      </c>
      <c r="K73" s="289"/>
      <c r="L73" s="289" t="s">
        <v>1106</v>
      </c>
      <c r="M73" s="12">
        <f t="shared" si="4"/>
        <v>649</v>
      </c>
      <c r="N73" s="13">
        <f t="shared" si="5"/>
        <v>84</v>
      </c>
      <c r="O73" s="14">
        <f t="shared" si="6"/>
        <v>733</v>
      </c>
      <c r="P73" s="15">
        <f t="shared" si="7"/>
        <v>0.88313253012048187</v>
      </c>
    </row>
    <row r="74" spans="1:16" ht="15.75" customHeight="1" x14ac:dyDescent="0.3">
      <c r="A74" s="8" t="s">
        <v>58</v>
      </c>
      <c r="B74" s="289" t="s">
        <v>310</v>
      </c>
      <c r="C74" s="289" t="s">
        <v>80</v>
      </c>
      <c r="D74" s="289" t="s">
        <v>1119</v>
      </c>
      <c r="E74" s="284">
        <v>1</v>
      </c>
      <c r="F74" s="289" t="s">
        <v>161</v>
      </c>
      <c r="G74" s="290">
        <v>0</v>
      </c>
      <c r="H74" s="289" t="s">
        <v>606</v>
      </c>
      <c r="I74" s="289" t="s">
        <v>510</v>
      </c>
      <c r="J74" s="289" t="s">
        <v>4</v>
      </c>
      <c r="K74" s="289"/>
      <c r="L74" s="289" t="s">
        <v>1106</v>
      </c>
      <c r="M74" s="12">
        <f t="shared" si="4"/>
        <v>649</v>
      </c>
      <c r="N74" s="13">
        <f t="shared" si="5"/>
        <v>84</v>
      </c>
      <c r="O74" s="14">
        <f t="shared" si="6"/>
        <v>733</v>
      </c>
      <c r="P74" s="15">
        <f t="shared" si="7"/>
        <v>0.88313253012048187</v>
      </c>
    </row>
    <row r="75" spans="1:16" ht="15.75" customHeight="1" x14ac:dyDescent="0.3">
      <c r="A75" s="8" t="s">
        <v>58</v>
      </c>
      <c r="B75" s="289" t="s">
        <v>310</v>
      </c>
      <c r="C75" s="289" t="s">
        <v>73</v>
      </c>
      <c r="D75" s="289" t="s">
        <v>1120</v>
      </c>
      <c r="E75" s="284">
        <v>24</v>
      </c>
      <c r="F75" s="289" t="s">
        <v>161</v>
      </c>
      <c r="G75" s="284">
        <v>24</v>
      </c>
      <c r="H75" s="289" t="s">
        <v>606</v>
      </c>
      <c r="I75" s="289" t="s">
        <v>510</v>
      </c>
      <c r="J75" s="289" t="s">
        <v>4</v>
      </c>
      <c r="K75" s="289"/>
      <c r="L75" s="289" t="s">
        <v>1106</v>
      </c>
      <c r="M75" s="12">
        <f t="shared" si="4"/>
        <v>649</v>
      </c>
      <c r="N75" s="13">
        <f t="shared" si="5"/>
        <v>84</v>
      </c>
      <c r="O75" s="14">
        <f t="shared" si="6"/>
        <v>733</v>
      </c>
      <c r="P75" s="15">
        <f t="shared" si="7"/>
        <v>0.88313253012048187</v>
      </c>
    </row>
    <row r="76" spans="1:16" ht="15.75" customHeight="1" x14ac:dyDescent="0.3">
      <c r="A76" s="8" t="s">
        <v>58</v>
      </c>
      <c r="B76" s="289" t="s">
        <v>335</v>
      </c>
      <c r="C76" s="289" t="s">
        <v>333</v>
      </c>
      <c r="D76" s="289" t="s">
        <v>1107</v>
      </c>
      <c r="E76" s="284">
        <v>2</v>
      </c>
      <c r="F76" s="289"/>
      <c r="G76" s="290">
        <v>0</v>
      </c>
      <c r="H76" s="289" t="s">
        <v>607</v>
      </c>
      <c r="I76" s="289" t="s">
        <v>554</v>
      </c>
      <c r="J76" s="289" t="s">
        <v>8</v>
      </c>
      <c r="K76" s="289"/>
      <c r="L76" s="289"/>
      <c r="M76" s="12">
        <f t="shared" si="4"/>
        <v>185</v>
      </c>
      <c r="N76" s="13">
        <f t="shared" si="5"/>
        <v>290</v>
      </c>
      <c r="O76" s="14">
        <f t="shared" si="6"/>
        <v>475</v>
      </c>
      <c r="P76" s="15">
        <f t="shared" si="7"/>
        <v>0.57228915662650603</v>
      </c>
    </row>
    <row r="77" spans="1:16" ht="15.75" customHeight="1" x14ac:dyDescent="0.3">
      <c r="A77" s="8" t="s">
        <v>58</v>
      </c>
      <c r="B77" s="289" t="s">
        <v>324</v>
      </c>
      <c r="C77" s="289" t="s">
        <v>80</v>
      </c>
      <c r="D77" s="289" t="s">
        <v>1121</v>
      </c>
      <c r="E77" s="284">
        <v>5</v>
      </c>
      <c r="F77" s="289" t="s">
        <v>1122</v>
      </c>
      <c r="G77" s="290">
        <v>0</v>
      </c>
      <c r="H77" s="289" t="s">
        <v>643</v>
      </c>
      <c r="I77" s="289" t="s">
        <v>579</v>
      </c>
      <c r="J77" s="289" t="s">
        <v>8</v>
      </c>
      <c r="K77" s="289"/>
      <c r="L77" s="289"/>
      <c r="M77" s="12">
        <f t="shared" si="4"/>
        <v>476.99</v>
      </c>
      <c r="N77" s="13">
        <f t="shared" si="5"/>
        <v>579</v>
      </c>
      <c r="O77" s="14">
        <f t="shared" si="6"/>
        <v>1055.99</v>
      </c>
      <c r="P77" s="15">
        <f t="shared" si="7"/>
        <v>1.272277108433735</v>
      </c>
    </row>
    <row r="78" spans="1:16" ht="15.75" customHeight="1" x14ac:dyDescent="0.3">
      <c r="A78" s="8" t="s">
        <v>58</v>
      </c>
      <c r="B78" s="289" t="s">
        <v>324</v>
      </c>
      <c r="C78" s="289" t="s">
        <v>73</v>
      </c>
      <c r="D78" s="289" t="s">
        <v>1121</v>
      </c>
      <c r="E78" s="284">
        <v>68</v>
      </c>
      <c r="F78" s="289" t="s">
        <v>1122</v>
      </c>
      <c r="G78" s="284">
        <v>68</v>
      </c>
      <c r="H78" s="289" t="s">
        <v>643</v>
      </c>
      <c r="I78" s="289" t="s">
        <v>579</v>
      </c>
      <c r="J78" s="289" t="s">
        <v>8</v>
      </c>
      <c r="K78" s="289"/>
      <c r="L78" s="289"/>
      <c r="M78" s="12">
        <f t="shared" si="4"/>
        <v>476.99</v>
      </c>
      <c r="N78" s="13">
        <f t="shared" si="5"/>
        <v>579</v>
      </c>
      <c r="O78" s="14">
        <f t="shared" si="6"/>
        <v>1055.99</v>
      </c>
      <c r="P78" s="15">
        <f t="shared" si="7"/>
        <v>1.272277108433735</v>
      </c>
    </row>
    <row r="79" spans="1:16" ht="15.75" customHeight="1" x14ac:dyDescent="0.3">
      <c r="A79" s="8" t="s">
        <v>58</v>
      </c>
      <c r="B79" s="289" t="s">
        <v>324</v>
      </c>
      <c r="C79" s="289" t="s">
        <v>79</v>
      </c>
      <c r="D79" s="289" t="s">
        <v>1121</v>
      </c>
      <c r="E79" s="284">
        <v>20</v>
      </c>
      <c r="F79" s="289" t="s">
        <v>1122</v>
      </c>
      <c r="G79" s="284">
        <v>20</v>
      </c>
      <c r="H79" s="289" t="s">
        <v>643</v>
      </c>
      <c r="I79" s="289" t="s">
        <v>579</v>
      </c>
      <c r="J79" s="289" t="s">
        <v>8</v>
      </c>
      <c r="K79" s="289"/>
      <c r="L79" s="289"/>
      <c r="M79" s="12">
        <f t="shared" si="4"/>
        <v>476.99</v>
      </c>
      <c r="N79" s="13">
        <f t="shared" si="5"/>
        <v>579</v>
      </c>
      <c r="O79" s="14">
        <f t="shared" si="6"/>
        <v>1055.99</v>
      </c>
      <c r="P79" s="15">
        <f t="shared" si="7"/>
        <v>1.272277108433735</v>
      </c>
    </row>
    <row r="80" spans="1:16" ht="15.75" customHeight="1" x14ac:dyDescent="0.3">
      <c r="A80" s="8" t="s">
        <v>58</v>
      </c>
      <c r="B80" s="289" t="s">
        <v>324</v>
      </c>
      <c r="C80" s="289" t="s">
        <v>111</v>
      </c>
      <c r="D80" s="289" t="s">
        <v>1121</v>
      </c>
      <c r="E80" s="284">
        <v>1</v>
      </c>
      <c r="F80" s="289" t="s">
        <v>1122</v>
      </c>
      <c r="G80" s="290">
        <v>0</v>
      </c>
      <c r="H80" s="289" t="s">
        <v>643</v>
      </c>
      <c r="I80" s="289" t="s">
        <v>579</v>
      </c>
      <c r="J80" s="289" t="s">
        <v>8</v>
      </c>
      <c r="K80" s="289"/>
      <c r="L80" s="289"/>
      <c r="M80" s="12">
        <f t="shared" si="4"/>
        <v>476.99</v>
      </c>
      <c r="N80" s="13">
        <f t="shared" si="5"/>
        <v>579</v>
      </c>
      <c r="O80" s="14">
        <f t="shared" si="6"/>
        <v>1055.99</v>
      </c>
      <c r="P80" s="15">
        <f t="shared" si="7"/>
        <v>1.272277108433735</v>
      </c>
    </row>
    <row r="81" spans="1:16" ht="15.75" customHeight="1" x14ac:dyDescent="0.3">
      <c r="A81" s="8" t="s">
        <v>58</v>
      </c>
      <c r="B81" s="289" t="s">
        <v>332</v>
      </c>
      <c r="C81" s="289" t="s">
        <v>333</v>
      </c>
      <c r="D81" s="289" t="s">
        <v>1104</v>
      </c>
      <c r="E81" s="284">
        <v>32</v>
      </c>
      <c r="F81" s="289"/>
      <c r="G81" s="290">
        <v>0</v>
      </c>
      <c r="H81" s="289" t="s">
        <v>646</v>
      </c>
      <c r="I81" s="289" t="s">
        <v>568</v>
      </c>
      <c r="J81" s="289" t="s">
        <v>8</v>
      </c>
      <c r="K81" s="289"/>
      <c r="L81" s="289"/>
      <c r="M81" s="12">
        <f t="shared" si="4"/>
        <v>488.01</v>
      </c>
      <c r="N81" s="13">
        <f t="shared" si="5"/>
        <v>683</v>
      </c>
      <c r="O81" s="14">
        <f t="shared" si="6"/>
        <v>1171.01</v>
      </c>
      <c r="P81" s="15">
        <f t="shared" si="7"/>
        <v>1.410855421686747</v>
      </c>
    </row>
    <row r="82" spans="1:16" ht="15.75" customHeight="1" x14ac:dyDescent="0.3">
      <c r="A82" s="8" t="s">
        <v>58</v>
      </c>
      <c r="B82" s="289" t="s">
        <v>157</v>
      </c>
      <c r="C82" s="289" t="s">
        <v>73</v>
      </c>
      <c r="D82" s="289" t="s">
        <v>1102</v>
      </c>
      <c r="E82" s="284">
        <v>12</v>
      </c>
      <c r="F82" s="289" t="s">
        <v>153</v>
      </c>
      <c r="G82" s="284">
        <v>12</v>
      </c>
      <c r="H82" s="289" t="s">
        <v>607</v>
      </c>
      <c r="I82" s="289" t="s">
        <v>554</v>
      </c>
      <c r="J82" s="289" t="s">
        <v>8</v>
      </c>
      <c r="K82" s="289"/>
      <c r="L82" s="289"/>
      <c r="M82" s="12">
        <f t="shared" si="4"/>
        <v>185</v>
      </c>
      <c r="N82" s="13">
        <f t="shared" si="5"/>
        <v>290</v>
      </c>
      <c r="O82" s="14">
        <f t="shared" si="6"/>
        <v>475</v>
      </c>
      <c r="P82" s="15">
        <f t="shared" si="7"/>
        <v>0.57228915662650603</v>
      </c>
    </row>
    <row r="83" spans="1:16" ht="15.75" customHeight="1" x14ac:dyDescent="0.3">
      <c r="A83" s="8" t="s">
        <v>58</v>
      </c>
      <c r="B83" s="289" t="s">
        <v>157</v>
      </c>
      <c r="C83" s="289" t="s">
        <v>79</v>
      </c>
      <c r="D83" s="289" t="s">
        <v>1102</v>
      </c>
      <c r="E83" s="284">
        <v>26</v>
      </c>
      <c r="F83" s="289" t="s">
        <v>153</v>
      </c>
      <c r="G83" s="284">
        <v>26</v>
      </c>
      <c r="H83" s="289" t="s">
        <v>607</v>
      </c>
      <c r="I83" s="289" t="s">
        <v>554</v>
      </c>
      <c r="J83" s="289" t="s">
        <v>8</v>
      </c>
      <c r="K83" s="289"/>
      <c r="L83" s="289"/>
      <c r="M83" s="12">
        <f t="shared" si="4"/>
        <v>185</v>
      </c>
      <c r="N83" s="13">
        <f t="shared" si="5"/>
        <v>290</v>
      </c>
      <c r="O83" s="14">
        <f t="shared" si="6"/>
        <v>475</v>
      </c>
      <c r="P83" s="15">
        <f t="shared" si="7"/>
        <v>0.57228915662650603</v>
      </c>
    </row>
    <row r="84" spans="1:16" ht="15.75" customHeight="1" x14ac:dyDescent="0.3">
      <c r="A84" s="8" t="s">
        <v>58</v>
      </c>
      <c r="B84" s="289" t="s">
        <v>157</v>
      </c>
      <c r="C84" s="289" t="s">
        <v>80</v>
      </c>
      <c r="D84" s="289" t="s">
        <v>1102</v>
      </c>
      <c r="E84" s="284">
        <v>1</v>
      </c>
      <c r="F84" s="289" t="s">
        <v>153</v>
      </c>
      <c r="G84" s="290">
        <v>0</v>
      </c>
      <c r="H84" s="289" t="s">
        <v>607</v>
      </c>
      <c r="I84" s="289" t="s">
        <v>554</v>
      </c>
      <c r="J84" s="289" t="s">
        <v>8</v>
      </c>
      <c r="K84" s="289"/>
      <c r="L84" s="289"/>
      <c r="M84" s="12">
        <f t="shared" si="4"/>
        <v>185</v>
      </c>
      <c r="N84" s="13">
        <f t="shared" si="5"/>
        <v>290</v>
      </c>
      <c r="O84" s="14">
        <f t="shared" si="6"/>
        <v>475</v>
      </c>
      <c r="P84" s="15">
        <f t="shared" si="7"/>
        <v>0.57228915662650603</v>
      </c>
    </row>
    <row r="85" spans="1:16" ht="15.75" customHeight="1" x14ac:dyDescent="0.3">
      <c r="A85" s="8" t="s">
        <v>58</v>
      </c>
      <c r="B85" s="289" t="s">
        <v>157</v>
      </c>
      <c r="C85" s="289" t="s">
        <v>87</v>
      </c>
      <c r="D85" s="289" t="s">
        <v>1102</v>
      </c>
      <c r="E85" s="284">
        <v>3</v>
      </c>
      <c r="F85" s="289" t="s">
        <v>153</v>
      </c>
      <c r="G85" s="290">
        <v>0</v>
      </c>
      <c r="H85" s="289" t="s">
        <v>607</v>
      </c>
      <c r="I85" s="289" t="s">
        <v>554</v>
      </c>
      <c r="J85" s="289" t="s">
        <v>8</v>
      </c>
      <c r="K85" s="289"/>
      <c r="L85" s="289"/>
      <c r="M85" s="12">
        <f t="shared" si="4"/>
        <v>185</v>
      </c>
      <c r="N85" s="13">
        <f t="shared" si="5"/>
        <v>290</v>
      </c>
      <c r="O85" s="14">
        <f t="shared" si="6"/>
        <v>475</v>
      </c>
      <c r="P85" s="15">
        <f t="shared" si="7"/>
        <v>0.57228915662650603</v>
      </c>
    </row>
    <row r="86" spans="1:16" ht="15.75" customHeight="1" x14ac:dyDescent="0.3">
      <c r="A86" s="8" t="s">
        <v>58</v>
      </c>
      <c r="B86" s="289" t="s">
        <v>341</v>
      </c>
      <c r="C86" s="289" t="s">
        <v>341</v>
      </c>
      <c r="D86" s="289" t="s">
        <v>1121</v>
      </c>
      <c r="E86" s="284">
        <v>25</v>
      </c>
      <c r="F86" s="289"/>
      <c r="G86" s="290">
        <v>0</v>
      </c>
      <c r="H86" s="289" t="s">
        <v>646</v>
      </c>
      <c r="I86" s="289" t="s">
        <v>568</v>
      </c>
      <c r="J86" s="289" t="s">
        <v>8</v>
      </c>
      <c r="K86" s="289"/>
      <c r="L86" s="289"/>
      <c r="M86" s="12">
        <f t="shared" si="4"/>
        <v>488.01</v>
      </c>
      <c r="N86" s="13">
        <f t="shared" si="5"/>
        <v>683</v>
      </c>
      <c r="O86" s="14">
        <f t="shared" si="6"/>
        <v>1171.01</v>
      </c>
      <c r="P86" s="15">
        <f t="shared" si="7"/>
        <v>1.410855421686747</v>
      </c>
    </row>
    <row r="87" spans="1:16" ht="15.75" customHeight="1" x14ac:dyDescent="0.3">
      <c r="A87" s="8" t="s">
        <v>58</v>
      </c>
      <c r="B87" s="289" t="s">
        <v>341</v>
      </c>
      <c r="C87" s="289" t="s">
        <v>341</v>
      </c>
      <c r="D87" s="289" t="s">
        <v>1123</v>
      </c>
      <c r="E87" s="284">
        <v>75</v>
      </c>
      <c r="F87" s="289"/>
      <c r="G87" s="290">
        <v>0</v>
      </c>
      <c r="H87" s="289" t="s">
        <v>646</v>
      </c>
      <c r="I87" s="289" t="s">
        <v>568</v>
      </c>
      <c r="J87" s="289" t="s">
        <v>8</v>
      </c>
      <c r="K87" s="289"/>
      <c r="L87" s="289"/>
      <c r="M87" s="12">
        <f t="shared" si="4"/>
        <v>488.01</v>
      </c>
      <c r="N87" s="13">
        <f t="shared" si="5"/>
        <v>683</v>
      </c>
      <c r="O87" s="14">
        <f t="shared" si="6"/>
        <v>1171.01</v>
      </c>
      <c r="P87" s="15">
        <f t="shared" si="7"/>
        <v>1.410855421686747</v>
      </c>
    </row>
    <row r="88" spans="1:16" ht="15.75" customHeight="1" x14ac:dyDescent="0.3">
      <c r="A88" s="8" t="s">
        <v>58</v>
      </c>
      <c r="B88" s="289" t="s">
        <v>341</v>
      </c>
      <c r="C88" s="289" t="s">
        <v>341</v>
      </c>
      <c r="D88" s="289" t="s">
        <v>1124</v>
      </c>
      <c r="E88" s="284">
        <v>25.01</v>
      </c>
      <c r="F88" s="289"/>
      <c r="G88" s="290">
        <v>0</v>
      </c>
      <c r="H88" s="289" t="s">
        <v>646</v>
      </c>
      <c r="I88" s="289" t="s">
        <v>568</v>
      </c>
      <c r="J88" s="289" t="s">
        <v>8</v>
      </c>
      <c r="K88" s="289"/>
      <c r="L88" s="289"/>
      <c r="M88" s="12">
        <f t="shared" si="4"/>
        <v>488.01</v>
      </c>
      <c r="N88" s="13">
        <f t="shared" si="5"/>
        <v>683</v>
      </c>
      <c r="O88" s="14">
        <f t="shared" si="6"/>
        <v>1171.01</v>
      </c>
      <c r="P88" s="15">
        <f t="shared" si="7"/>
        <v>1.410855421686747</v>
      </c>
    </row>
    <row r="89" spans="1:16" ht="15.75" customHeight="1" x14ac:dyDescent="0.3">
      <c r="A89" s="8" t="s">
        <v>58</v>
      </c>
      <c r="B89" s="289" t="s">
        <v>341</v>
      </c>
      <c r="C89" s="289" t="s">
        <v>341</v>
      </c>
      <c r="D89" s="289" t="s">
        <v>1124</v>
      </c>
      <c r="E89" s="284">
        <v>49.99</v>
      </c>
      <c r="F89" s="289"/>
      <c r="G89" s="290">
        <v>0</v>
      </c>
      <c r="H89" s="289" t="s">
        <v>643</v>
      </c>
      <c r="I89" s="289" t="s">
        <v>579</v>
      </c>
      <c r="J89" s="289" t="s">
        <v>8</v>
      </c>
      <c r="K89" s="289"/>
      <c r="L89" s="289"/>
      <c r="M89" s="12">
        <f t="shared" si="4"/>
        <v>476.99</v>
      </c>
      <c r="N89" s="13">
        <f t="shared" si="5"/>
        <v>579</v>
      </c>
      <c r="O89" s="14">
        <f t="shared" si="6"/>
        <v>1055.99</v>
      </c>
      <c r="P89" s="15">
        <f t="shared" si="7"/>
        <v>1.272277108433735</v>
      </c>
    </row>
    <row r="90" spans="1:16" ht="15.75" customHeight="1" x14ac:dyDescent="0.3">
      <c r="A90" s="8" t="s">
        <v>58</v>
      </c>
      <c r="B90" s="289" t="s">
        <v>341</v>
      </c>
      <c r="C90" s="289" t="s">
        <v>341</v>
      </c>
      <c r="D90" s="289" t="s">
        <v>1107</v>
      </c>
      <c r="E90" s="284">
        <v>25</v>
      </c>
      <c r="F90" s="289"/>
      <c r="G90" s="290">
        <v>0</v>
      </c>
      <c r="H90" s="289" t="s">
        <v>607</v>
      </c>
      <c r="I90" s="289" t="s">
        <v>554</v>
      </c>
      <c r="J90" s="289" t="s">
        <v>8</v>
      </c>
      <c r="K90" s="289"/>
      <c r="L90" s="289"/>
      <c r="M90" s="12">
        <f t="shared" si="4"/>
        <v>185</v>
      </c>
      <c r="N90" s="13">
        <f t="shared" si="5"/>
        <v>290</v>
      </c>
      <c r="O90" s="14">
        <f t="shared" si="6"/>
        <v>475</v>
      </c>
      <c r="P90" s="15">
        <f t="shared" si="7"/>
        <v>0.57228915662650603</v>
      </c>
    </row>
    <row r="91" spans="1:16" ht="15.75" customHeight="1" x14ac:dyDescent="0.3">
      <c r="A91" s="8" t="s">
        <v>58</v>
      </c>
      <c r="B91" s="289" t="s">
        <v>336</v>
      </c>
      <c r="C91" s="289" t="s">
        <v>336</v>
      </c>
      <c r="D91" s="289" t="s">
        <v>1102</v>
      </c>
      <c r="E91" s="284">
        <v>30</v>
      </c>
      <c r="F91" s="289"/>
      <c r="G91" s="290">
        <v>0</v>
      </c>
      <c r="H91" s="289" t="s">
        <v>643</v>
      </c>
      <c r="I91" s="289" t="s">
        <v>579</v>
      </c>
      <c r="J91" s="289" t="s">
        <v>8</v>
      </c>
      <c r="K91" s="289"/>
      <c r="L91" s="289"/>
      <c r="M91" s="12">
        <f t="shared" si="4"/>
        <v>476.99</v>
      </c>
      <c r="N91" s="13">
        <f t="shared" si="5"/>
        <v>579</v>
      </c>
      <c r="O91" s="14">
        <f t="shared" si="6"/>
        <v>1055.99</v>
      </c>
      <c r="P91" s="15">
        <f t="shared" si="7"/>
        <v>1.272277108433735</v>
      </c>
    </row>
    <row r="92" spans="1:16" ht="15.75" customHeight="1" x14ac:dyDescent="0.3">
      <c r="A92" s="8" t="s">
        <v>58</v>
      </c>
      <c r="B92" s="289" t="s">
        <v>336</v>
      </c>
      <c r="C92" s="289" t="s">
        <v>336</v>
      </c>
      <c r="D92" s="289" t="s">
        <v>1104</v>
      </c>
      <c r="E92" s="284">
        <v>15</v>
      </c>
      <c r="F92" s="289"/>
      <c r="G92" s="290">
        <v>0</v>
      </c>
      <c r="H92" s="289" t="s">
        <v>643</v>
      </c>
      <c r="I92" s="289" t="s">
        <v>579</v>
      </c>
      <c r="J92" s="289" t="s">
        <v>8</v>
      </c>
      <c r="K92" s="289"/>
      <c r="L92" s="289" t="s">
        <v>1125</v>
      </c>
      <c r="M92" s="12">
        <f t="shared" si="4"/>
        <v>476.99</v>
      </c>
      <c r="N92" s="13">
        <f t="shared" si="5"/>
        <v>579</v>
      </c>
      <c r="O92" s="14">
        <f t="shared" si="6"/>
        <v>1055.99</v>
      </c>
      <c r="P92" s="15">
        <f t="shared" si="7"/>
        <v>1.272277108433735</v>
      </c>
    </row>
    <row r="93" spans="1:16" ht="15.75" customHeight="1" x14ac:dyDescent="0.3">
      <c r="A93" s="8" t="s">
        <v>58</v>
      </c>
      <c r="B93" s="289" t="s">
        <v>336</v>
      </c>
      <c r="C93" s="289" t="s">
        <v>336</v>
      </c>
      <c r="D93" s="289" t="s">
        <v>1104</v>
      </c>
      <c r="E93" s="284">
        <v>30</v>
      </c>
      <c r="F93" s="289"/>
      <c r="G93" s="290">
        <v>0</v>
      </c>
      <c r="H93" s="289" t="s">
        <v>1114</v>
      </c>
      <c r="I93" s="289" t="s">
        <v>1115</v>
      </c>
      <c r="J93" s="289" t="s">
        <v>8</v>
      </c>
      <c r="K93" s="289"/>
      <c r="L93" s="289" t="s">
        <v>1126</v>
      </c>
      <c r="M93" s="12">
        <f t="shared" si="4"/>
        <v>296</v>
      </c>
      <c r="N93" s="13">
        <f t="shared" si="5"/>
        <v>270</v>
      </c>
      <c r="O93" s="14">
        <f t="shared" si="6"/>
        <v>566</v>
      </c>
      <c r="P93" s="15">
        <f t="shared" si="7"/>
        <v>0.68192771084337345</v>
      </c>
    </row>
    <row r="94" spans="1:16" ht="15.75" customHeight="1" x14ac:dyDescent="0.3">
      <c r="A94" s="8" t="s">
        <v>58</v>
      </c>
      <c r="B94" s="289" t="s">
        <v>336</v>
      </c>
      <c r="C94" s="289" t="s">
        <v>336</v>
      </c>
      <c r="D94" s="289" t="s">
        <v>1102</v>
      </c>
      <c r="E94" s="284">
        <v>30</v>
      </c>
      <c r="F94" s="289"/>
      <c r="G94" s="290">
        <v>0</v>
      </c>
      <c r="H94" s="289" t="s">
        <v>1114</v>
      </c>
      <c r="I94" s="289" t="s">
        <v>1115</v>
      </c>
      <c r="J94" s="289" t="s">
        <v>8</v>
      </c>
      <c r="K94" s="289"/>
      <c r="L94" s="289"/>
      <c r="M94" s="12">
        <f t="shared" si="4"/>
        <v>296</v>
      </c>
      <c r="N94" s="13">
        <f t="shared" si="5"/>
        <v>270</v>
      </c>
      <c r="O94" s="14">
        <f t="shared" si="6"/>
        <v>566</v>
      </c>
      <c r="P94" s="15">
        <f t="shared" si="7"/>
        <v>0.68192771084337345</v>
      </c>
    </row>
    <row r="95" spans="1:16" ht="15.75" customHeight="1" x14ac:dyDescent="0.3">
      <c r="A95" s="8" t="s">
        <v>58</v>
      </c>
      <c r="B95" s="289" t="s">
        <v>336</v>
      </c>
      <c r="C95" s="289" t="s">
        <v>336</v>
      </c>
      <c r="D95" s="289" t="s">
        <v>1102</v>
      </c>
      <c r="E95" s="284">
        <v>30</v>
      </c>
      <c r="F95" s="289"/>
      <c r="G95" s="290">
        <v>0</v>
      </c>
      <c r="H95" s="289" t="s">
        <v>646</v>
      </c>
      <c r="I95" s="289" t="s">
        <v>568</v>
      </c>
      <c r="J95" s="289" t="s">
        <v>8</v>
      </c>
      <c r="K95" s="289"/>
      <c r="L95" s="289"/>
      <c r="M95" s="12">
        <f t="shared" si="4"/>
        <v>488.01</v>
      </c>
      <c r="N95" s="13">
        <f t="shared" si="5"/>
        <v>683</v>
      </c>
      <c r="O95" s="14">
        <f t="shared" si="6"/>
        <v>1171.01</v>
      </c>
      <c r="P95" s="15">
        <f t="shared" si="7"/>
        <v>1.410855421686747</v>
      </c>
    </row>
    <row r="96" spans="1:16" ht="15.75" customHeight="1" x14ac:dyDescent="0.3">
      <c r="A96" s="8" t="s">
        <v>58</v>
      </c>
      <c r="B96" s="289" t="s">
        <v>336</v>
      </c>
      <c r="C96" s="289" t="s">
        <v>336</v>
      </c>
      <c r="D96" s="289" t="s">
        <v>1104</v>
      </c>
      <c r="E96" s="284">
        <v>60</v>
      </c>
      <c r="F96" s="289"/>
      <c r="G96" s="290">
        <v>0</v>
      </c>
      <c r="H96" s="289" t="s">
        <v>646</v>
      </c>
      <c r="I96" s="289" t="s">
        <v>568</v>
      </c>
      <c r="J96" s="289" t="s">
        <v>8</v>
      </c>
      <c r="K96" s="289"/>
      <c r="L96" s="289" t="s">
        <v>1127</v>
      </c>
      <c r="M96" s="12">
        <f t="shared" si="4"/>
        <v>488.01</v>
      </c>
      <c r="N96" s="13">
        <f t="shared" si="5"/>
        <v>683</v>
      </c>
      <c r="O96" s="14">
        <f t="shared" si="6"/>
        <v>1171.01</v>
      </c>
      <c r="P96" s="15">
        <f t="shared" si="7"/>
        <v>1.410855421686747</v>
      </c>
    </row>
    <row r="97" spans="1:16" ht="15.75" customHeight="1" x14ac:dyDescent="0.3">
      <c r="A97" s="8" t="s">
        <v>58</v>
      </c>
      <c r="B97" s="289" t="s">
        <v>336</v>
      </c>
      <c r="C97" s="289" t="s">
        <v>336</v>
      </c>
      <c r="D97" s="289" t="s">
        <v>1104</v>
      </c>
      <c r="E97" s="284">
        <v>30</v>
      </c>
      <c r="F97" s="289"/>
      <c r="G97" s="290">
        <v>0</v>
      </c>
      <c r="H97" s="289" t="s">
        <v>607</v>
      </c>
      <c r="I97" s="289" t="s">
        <v>554</v>
      </c>
      <c r="J97" s="289" t="s">
        <v>8</v>
      </c>
      <c r="K97" s="289"/>
      <c r="L97" s="289" t="s">
        <v>1128</v>
      </c>
      <c r="M97" s="12">
        <f t="shared" si="4"/>
        <v>185</v>
      </c>
      <c r="N97" s="13">
        <f t="shared" si="5"/>
        <v>290</v>
      </c>
      <c r="O97" s="14">
        <f t="shared" si="6"/>
        <v>475</v>
      </c>
      <c r="P97" s="15">
        <f t="shared" si="7"/>
        <v>0.57228915662650603</v>
      </c>
    </row>
    <row r="98" spans="1:16" ht="15.75" customHeight="1" x14ac:dyDescent="0.3">
      <c r="A98" s="8" t="s">
        <v>58</v>
      </c>
      <c r="B98" s="289" t="s">
        <v>336</v>
      </c>
      <c r="C98" s="289" t="s">
        <v>336</v>
      </c>
      <c r="D98" s="289" t="s">
        <v>1102</v>
      </c>
      <c r="E98" s="284">
        <v>30</v>
      </c>
      <c r="F98" s="289"/>
      <c r="G98" s="290">
        <v>0</v>
      </c>
      <c r="H98" s="289" t="s">
        <v>607</v>
      </c>
      <c r="I98" s="289" t="s">
        <v>554</v>
      </c>
      <c r="J98" s="289" t="s">
        <v>8</v>
      </c>
      <c r="K98" s="289"/>
      <c r="L98" s="289"/>
      <c r="M98" s="12">
        <f t="shared" si="4"/>
        <v>185</v>
      </c>
      <c r="N98" s="13">
        <f t="shared" si="5"/>
        <v>290</v>
      </c>
      <c r="O98" s="14">
        <f t="shared" si="6"/>
        <v>475</v>
      </c>
      <c r="P98" s="15">
        <f t="shared" si="7"/>
        <v>0.57228915662650603</v>
      </c>
    </row>
    <row r="99" spans="1:16" ht="15.75" customHeight="1" x14ac:dyDescent="0.3">
      <c r="A99" s="293" t="s">
        <v>58</v>
      </c>
      <c r="B99" s="289" t="s">
        <v>293</v>
      </c>
      <c r="C99" s="289" t="s">
        <v>80</v>
      </c>
      <c r="D99" s="289" t="s">
        <v>1129</v>
      </c>
      <c r="E99" s="284">
        <v>1</v>
      </c>
      <c r="F99" s="289" t="s">
        <v>161</v>
      </c>
      <c r="G99" s="290">
        <v>0</v>
      </c>
      <c r="H99" s="289" t="s">
        <v>606</v>
      </c>
      <c r="I99" s="289" t="s">
        <v>510</v>
      </c>
      <c r="J99" s="289" t="s">
        <v>4</v>
      </c>
      <c r="K99" s="289"/>
      <c r="L99" s="289" t="s">
        <v>1106</v>
      </c>
      <c r="M99" s="12">
        <f t="shared" si="4"/>
        <v>649</v>
      </c>
      <c r="N99" s="13">
        <f t="shared" si="5"/>
        <v>84</v>
      </c>
      <c r="O99" s="14">
        <f t="shared" si="6"/>
        <v>733</v>
      </c>
      <c r="P99" s="15">
        <f t="shared" si="7"/>
        <v>0.88313253012048187</v>
      </c>
    </row>
    <row r="100" spans="1:16" ht="15.75" customHeight="1" x14ac:dyDescent="0.3">
      <c r="A100" s="8" t="s">
        <v>58</v>
      </c>
      <c r="B100" s="289" t="s">
        <v>293</v>
      </c>
      <c r="C100" s="289" t="s">
        <v>80</v>
      </c>
      <c r="D100" s="289" t="s">
        <v>1130</v>
      </c>
      <c r="E100" s="284">
        <v>1</v>
      </c>
      <c r="F100" s="289" t="s">
        <v>161</v>
      </c>
      <c r="G100" s="290">
        <v>0</v>
      </c>
      <c r="H100" s="289" t="s">
        <v>606</v>
      </c>
      <c r="I100" s="289" t="s">
        <v>510</v>
      </c>
      <c r="J100" s="289" t="s">
        <v>4</v>
      </c>
      <c r="K100" s="289"/>
      <c r="L100" s="289" t="s">
        <v>1106</v>
      </c>
      <c r="M100" s="12">
        <f t="shared" si="4"/>
        <v>649</v>
      </c>
      <c r="N100" s="13">
        <f t="shared" si="5"/>
        <v>84</v>
      </c>
      <c r="O100" s="14">
        <f t="shared" si="6"/>
        <v>733</v>
      </c>
      <c r="P100" s="15">
        <f t="shared" si="7"/>
        <v>0.88313253012048187</v>
      </c>
    </row>
    <row r="101" spans="1:16" ht="15.75" customHeight="1" x14ac:dyDescent="0.3">
      <c r="A101" s="8" t="s">
        <v>58</v>
      </c>
      <c r="B101" s="289" t="s">
        <v>293</v>
      </c>
      <c r="C101" s="289" t="s">
        <v>79</v>
      </c>
      <c r="D101" s="289" t="s">
        <v>1129</v>
      </c>
      <c r="E101" s="284">
        <v>48</v>
      </c>
      <c r="F101" s="289" t="s">
        <v>161</v>
      </c>
      <c r="G101" s="284">
        <v>48</v>
      </c>
      <c r="H101" s="289" t="s">
        <v>606</v>
      </c>
      <c r="I101" s="289" t="s">
        <v>510</v>
      </c>
      <c r="J101" s="289" t="s">
        <v>4</v>
      </c>
      <c r="K101" s="289"/>
      <c r="L101" s="289" t="s">
        <v>1106</v>
      </c>
      <c r="M101" s="12">
        <f t="shared" si="4"/>
        <v>649</v>
      </c>
      <c r="N101" s="13">
        <f t="shared" si="5"/>
        <v>84</v>
      </c>
      <c r="O101" s="14">
        <f t="shared" si="6"/>
        <v>733</v>
      </c>
      <c r="P101" s="15">
        <f t="shared" si="7"/>
        <v>0.88313253012048187</v>
      </c>
    </row>
    <row r="102" spans="1:16" ht="15.75" customHeight="1" x14ac:dyDescent="0.3">
      <c r="A102" s="293" t="s">
        <v>58</v>
      </c>
      <c r="B102" s="289" t="s">
        <v>293</v>
      </c>
      <c r="C102" s="289" t="s">
        <v>73</v>
      </c>
      <c r="D102" s="289" t="s">
        <v>1131</v>
      </c>
      <c r="E102" s="284">
        <v>24</v>
      </c>
      <c r="F102" s="289" t="s">
        <v>161</v>
      </c>
      <c r="G102" s="284">
        <v>24</v>
      </c>
      <c r="H102" s="289" t="s">
        <v>606</v>
      </c>
      <c r="I102" s="289" t="s">
        <v>510</v>
      </c>
      <c r="J102" s="289" t="s">
        <v>4</v>
      </c>
      <c r="K102" s="289"/>
      <c r="L102" s="289" t="s">
        <v>1106</v>
      </c>
      <c r="M102" s="12">
        <f t="shared" si="4"/>
        <v>649</v>
      </c>
      <c r="N102" s="13">
        <f t="shared" si="5"/>
        <v>84</v>
      </c>
      <c r="O102" s="14">
        <f t="shared" si="6"/>
        <v>733</v>
      </c>
      <c r="P102" s="15">
        <f t="shared" si="7"/>
        <v>0.88313253012048187</v>
      </c>
    </row>
    <row r="103" spans="1:16" ht="15.75" customHeight="1" x14ac:dyDescent="0.3">
      <c r="A103" s="8" t="s">
        <v>58</v>
      </c>
      <c r="B103" s="289" t="s">
        <v>293</v>
      </c>
      <c r="C103" s="289" t="s">
        <v>79</v>
      </c>
      <c r="D103" s="289" t="s">
        <v>1130</v>
      </c>
      <c r="E103" s="284">
        <v>48</v>
      </c>
      <c r="F103" s="289" t="s">
        <v>161</v>
      </c>
      <c r="G103" s="284">
        <v>48</v>
      </c>
      <c r="H103" s="289" t="s">
        <v>606</v>
      </c>
      <c r="I103" s="289" t="s">
        <v>510</v>
      </c>
      <c r="J103" s="289" t="s">
        <v>4</v>
      </c>
      <c r="K103" s="289"/>
      <c r="L103" s="289" t="s">
        <v>1106</v>
      </c>
      <c r="M103" s="12">
        <f t="shared" si="4"/>
        <v>649</v>
      </c>
      <c r="N103" s="13">
        <f t="shared" si="5"/>
        <v>84</v>
      </c>
      <c r="O103" s="14">
        <f t="shared" si="6"/>
        <v>733</v>
      </c>
      <c r="P103" s="15">
        <f t="shared" si="7"/>
        <v>0.88313253012048187</v>
      </c>
    </row>
    <row r="104" spans="1:16" ht="15.75" customHeight="1" x14ac:dyDescent="0.3">
      <c r="A104" s="8" t="s">
        <v>58</v>
      </c>
      <c r="B104" s="289" t="s">
        <v>293</v>
      </c>
      <c r="C104" s="289" t="s">
        <v>87</v>
      </c>
      <c r="D104" s="289" t="s">
        <v>1129</v>
      </c>
      <c r="E104" s="284">
        <v>7</v>
      </c>
      <c r="F104" s="289" t="s">
        <v>161</v>
      </c>
      <c r="G104" s="290">
        <v>0</v>
      </c>
      <c r="H104" s="289" t="s">
        <v>606</v>
      </c>
      <c r="I104" s="289" t="s">
        <v>510</v>
      </c>
      <c r="J104" s="289" t="s">
        <v>4</v>
      </c>
      <c r="K104" s="289"/>
      <c r="L104" s="289"/>
      <c r="M104" s="12">
        <f t="shared" si="4"/>
        <v>649</v>
      </c>
      <c r="N104" s="13">
        <f t="shared" si="5"/>
        <v>84</v>
      </c>
      <c r="O104" s="14">
        <f t="shared" si="6"/>
        <v>733</v>
      </c>
      <c r="P104" s="15">
        <f t="shared" si="7"/>
        <v>0.88313253012048187</v>
      </c>
    </row>
    <row r="105" spans="1:16" ht="15.75" customHeight="1" x14ac:dyDescent="0.3">
      <c r="A105" s="8" t="s">
        <v>58</v>
      </c>
      <c r="B105" s="289" t="s">
        <v>293</v>
      </c>
      <c r="C105" s="289" t="s">
        <v>87</v>
      </c>
      <c r="D105" s="289" t="s">
        <v>1130</v>
      </c>
      <c r="E105" s="284">
        <v>7</v>
      </c>
      <c r="F105" s="289" t="s">
        <v>161</v>
      </c>
      <c r="G105" s="290">
        <v>0</v>
      </c>
      <c r="H105" s="289" t="s">
        <v>606</v>
      </c>
      <c r="I105" s="289" t="s">
        <v>510</v>
      </c>
      <c r="J105" s="289" t="s">
        <v>4</v>
      </c>
      <c r="K105" s="289"/>
      <c r="L105" s="289"/>
      <c r="M105" s="12">
        <f t="shared" si="4"/>
        <v>649</v>
      </c>
      <c r="N105" s="13">
        <f t="shared" si="5"/>
        <v>84</v>
      </c>
      <c r="O105" s="14">
        <f t="shared" si="6"/>
        <v>733</v>
      </c>
      <c r="P105" s="15">
        <f t="shared" si="7"/>
        <v>0.88313253012048187</v>
      </c>
    </row>
    <row r="106" spans="1:16" ht="15.75" customHeight="1" x14ac:dyDescent="0.3">
      <c r="A106" s="8" t="s">
        <v>58</v>
      </c>
      <c r="B106" s="289" t="s">
        <v>317</v>
      </c>
      <c r="C106" s="289" t="s">
        <v>73</v>
      </c>
      <c r="D106" s="289" t="s">
        <v>1132</v>
      </c>
      <c r="E106" s="284">
        <v>24</v>
      </c>
      <c r="F106" s="289" t="s">
        <v>1133</v>
      </c>
      <c r="G106" s="284">
        <v>24</v>
      </c>
      <c r="H106" s="289" t="s">
        <v>646</v>
      </c>
      <c r="I106" s="289" t="s">
        <v>568</v>
      </c>
      <c r="J106" s="289" t="s">
        <v>8</v>
      </c>
      <c r="K106" s="289"/>
      <c r="L106" s="289"/>
      <c r="M106" s="12">
        <f t="shared" si="4"/>
        <v>488.01</v>
      </c>
      <c r="N106" s="13">
        <f t="shared" si="5"/>
        <v>683</v>
      </c>
      <c r="O106" s="14">
        <f t="shared" si="6"/>
        <v>1171.01</v>
      </c>
      <c r="P106" s="15">
        <f t="shared" si="7"/>
        <v>1.410855421686747</v>
      </c>
    </row>
    <row r="107" spans="1:16" ht="15.75" customHeight="1" x14ac:dyDescent="0.3">
      <c r="A107" s="8" t="s">
        <v>58</v>
      </c>
      <c r="B107" s="289" t="s">
        <v>317</v>
      </c>
      <c r="C107" s="289" t="s">
        <v>87</v>
      </c>
      <c r="D107" s="289" t="s">
        <v>1134</v>
      </c>
      <c r="E107" s="284">
        <v>1</v>
      </c>
      <c r="F107" s="289" t="s">
        <v>1135</v>
      </c>
      <c r="G107" s="290">
        <v>0</v>
      </c>
      <c r="H107" s="289" t="s">
        <v>646</v>
      </c>
      <c r="I107" s="289" t="s">
        <v>568</v>
      </c>
      <c r="J107" s="289" t="s">
        <v>8</v>
      </c>
      <c r="K107" s="289"/>
      <c r="L107" s="289"/>
      <c r="M107" s="12">
        <f t="shared" si="4"/>
        <v>488.01</v>
      </c>
      <c r="N107" s="13">
        <f t="shared" si="5"/>
        <v>683</v>
      </c>
      <c r="O107" s="14">
        <f t="shared" si="6"/>
        <v>1171.01</v>
      </c>
      <c r="P107" s="15">
        <f t="shared" si="7"/>
        <v>1.410855421686747</v>
      </c>
    </row>
    <row r="108" spans="1:16" ht="15.75" customHeight="1" x14ac:dyDescent="0.3">
      <c r="A108" s="8" t="s">
        <v>58</v>
      </c>
      <c r="B108" s="289" t="s">
        <v>317</v>
      </c>
      <c r="C108" s="289" t="s">
        <v>87</v>
      </c>
      <c r="D108" s="289" t="s">
        <v>1123</v>
      </c>
      <c r="E108" s="284">
        <v>1</v>
      </c>
      <c r="F108" s="289" t="s">
        <v>1135</v>
      </c>
      <c r="G108" s="290">
        <v>0</v>
      </c>
      <c r="H108" s="289" t="s">
        <v>646</v>
      </c>
      <c r="I108" s="289" t="s">
        <v>568</v>
      </c>
      <c r="J108" s="289" t="s">
        <v>8</v>
      </c>
      <c r="K108" s="289"/>
      <c r="L108" s="289"/>
      <c r="M108" s="12">
        <f t="shared" si="4"/>
        <v>488.01</v>
      </c>
      <c r="N108" s="13">
        <f t="shared" si="5"/>
        <v>683</v>
      </c>
      <c r="O108" s="14">
        <f t="shared" si="6"/>
        <v>1171.01</v>
      </c>
      <c r="P108" s="15">
        <f t="shared" si="7"/>
        <v>1.410855421686747</v>
      </c>
    </row>
    <row r="109" spans="1:16" ht="15.75" customHeight="1" x14ac:dyDescent="0.3">
      <c r="A109" s="8" t="s">
        <v>58</v>
      </c>
      <c r="B109" s="289" t="s">
        <v>317</v>
      </c>
      <c r="C109" s="289" t="s">
        <v>80</v>
      </c>
      <c r="D109" s="289" t="s">
        <v>1132</v>
      </c>
      <c r="E109" s="284">
        <v>2</v>
      </c>
      <c r="F109" s="289" t="s">
        <v>1133</v>
      </c>
      <c r="G109" s="290">
        <v>0</v>
      </c>
      <c r="H109" s="289" t="s">
        <v>646</v>
      </c>
      <c r="I109" s="289" t="s">
        <v>568</v>
      </c>
      <c r="J109" s="289" t="s">
        <v>8</v>
      </c>
      <c r="K109" s="289"/>
      <c r="L109" s="289"/>
      <c r="M109" s="12">
        <f t="shared" si="4"/>
        <v>488.01</v>
      </c>
      <c r="N109" s="13">
        <f t="shared" si="5"/>
        <v>683</v>
      </c>
      <c r="O109" s="14">
        <f t="shared" si="6"/>
        <v>1171.01</v>
      </c>
      <c r="P109" s="15">
        <f t="shared" si="7"/>
        <v>1.410855421686747</v>
      </c>
    </row>
    <row r="110" spans="1:16" ht="15.75" customHeight="1" x14ac:dyDescent="0.3">
      <c r="A110" s="8" t="s">
        <v>58</v>
      </c>
      <c r="B110" s="289" t="s">
        <v>317</v>
      </c>
      <c r="C110" s="289" t="s">
        <v>80</v>
      </c>
      <c r="D110" s="289" t="s">
        <v>1134</v>
      </c>
      <c r="E110" s="284">
        <v>1</v>
      </c>
      <c r="F110" s="289" t="s">
        <v>1135</v>
      </c>
      <c r="G110" s="290">
        <v>0</v>
      </c>
      <c r="H110" s="289" t="s">
        <v>646</v>
      </c>
      <c r="I110" s="289" t="s">
        <v>568</v>
      </c>
      <c r="J110" s="289" t="s">
        <v>8</v>
      </c>
      <c r="K110" s="289"/>
      <c r="L110" s="289"/>
      <c r="M110" s="12">
        <f t="shared" si="4"/>
        <v>488.01</v>
      </c>
      <c r="N110" s="13">
        <f t="shared" si="5"/>
        <v>683</v>
      </c>
      <c r="O110" s="14">
        <f t="shared" si="6"/>
        <v>1171.01</v>
      </c>
      <c r="P110" s="15">
        <f t="shared" si="7"/>
        <v>1.410855421686747</v>
      </c>
    </row>
    <row r="111" spans="1:16" ht="15.75" customHeight="1" x14ac:dyDescent="0.3">
      <c r="A111" s="8" t="s">
        <v>58</v>
      </c>
      <c r="B111" s="289" t="s">
        <v>317</v>
      </c>
      <c r="C111" s="289" t="s">
        <v>80</v>
      </c>
      <c r="D111" s="289" t="s">
        <v>1123</v>
      </c>
      <c r="E111" s="284">
        <v>1</v>
      </c>
      <c r="F111" s="289" t="s">
        <v>1135</v>
      </c>
      <c r="G111" s="290">
        <v>0</v>
      </c>
      <c r="H111" s="289" t="s">
        <v>646</v>
      </c>
      <c r="I111" s="289" t="s">
        <v>568</v>
      </c>
      <c r="J111" s="289" t="s">
        <v>8</v>
      </c>
      <c r="K111" s="289"/>
      <c r="L111" s="289"/>
      <c r="M111" s="12">
        <f t="shared" si="4"/>
        <v>488.01</v>
      </c>
      <c r="N111" s="13">
        <f t="shared" si="5"/>
        <v>683</v>
      </c>
      <c r="O111" s="14">
        <f t="shared" si="6"/>
        <v>1171.01</v>
      </c>
      <c r="P111" s="15">
        <f t="shared" si="7"/>
        <v>1.410855421686747</v>
      </c>
    </row>
    <row r="112" spans="1:16" ht="15.75" customHeight="1" x14ac:dyDescent="0.3">
      <c r="A112" s="8" t="s">
        <v>58</v>
      </c>
      <c r="B112" s="289" t="s">
        <v>317</v>
      </c>
      <c r="C112" s="289" t="s">
        <v>79</v>
      </c>
      <c r="D112" s="289" t="s">
        <v>1136</v>
      </c>
      <c r="E112" s="284">
        <v>8</v>
      </c>
      <c r="F112" s="289" t="s">
        <v>1135</v>
      </c>
      <c r="G112" s="284">
        <v>8</v>
      </c>
      <c r="H112" s="289" t="s">
        <v>646</v>
      </c>
      <c r="I112" s="289" t="s">
        <v>568</v>
      </c>
      <c r="J112" s="289" t="s">
        <v>8</v>
      </c>
      <c r="K112" s="289"/>
      <c r="L112" s="289"/>
      <c r="M112" s="12">
        <f t="shared" si="4"/>
        <v>488.01</v>
      </c>
      <c r="N112" s="13">
        <f t="shared" si="5"/>
        <v>683</v>
      </c>
      <c r="O112" s="14">
        <f t="shared" si="6"/>
        <v>1171.01</v>
      </c>
      <c r="P112" s="15">
        <f t="shared" si="7"/>
        <v>1.410855421686747</v>
      </c>
    </row>
    <row r="113" spans="1:16" ht="15.75" customHeight="1" x14ac:dyDescent="0.3">
      <c r="A113" s="8" t="s">
        <v>58</v>
      </c>
      <c r="B113" s="289" t="s">
        <v>317</v>
      </c>
      <c r="C113" s="289" t="s">
        <v>79</v>
      </c>
      <c r="D113" s="289" t="s">
        <v>1132</v>
      </c>
      <c r="E113" s="284">
        <v>8</v>
      </c>
      <c r="F113" s="289" t="s">
        <v>1133</v>
      </c>
      <c r="G113" s="284">
        <v>8</v>
      </c>
      <c r="H113" s="289" t="s">
        <v>646</v>
      </c>
      <c r="I113" s="289" t="s">
        <v>568</v>
      </c>
      <c r="J113" s="289" t="s">
        <v>8</v>
      </c>
      <c r="K113" s="289"/>
      <c r="L113" s="289"/>
      <c r="M113" s="12">
        <f t="shared" si="4"/>
        <v>488.01</v>
      </c>
      <c r="N113" s="13">
        <f t="shared" si="5"/>
        <v>683</v>
      </c>
      <c r="O113" s="14">
        <f t="shared" si="6"/>
        <v>1171.01</v>
      </c>
      <c r="P113" s="15">
        <f t="shared" si="7"/>
        <v>1.410855421686747</v>
      </c>
    </row>
    <row r="114" spans="1:16" ht="15.75" customHeight="1" x14ac:dyDescent="0.3">
      <c r="A114" s="8" t="s">
        <v>58</v>
      </c>
      <c r="B114" s="289" t="s">
        <v>317</v>
      </c>
      <c r="C114" s="289" t="s">
        <v>73</v>
      </c>
      <c r="D114" s="289" t="s">
        <v>1136</v>
      </c>
      <c r="E114" s="284">
        <v>24</v>
      </c>
      <c r="F114" s="289" t="s">
        <v>1135</v>
      </c>
      <c r="G114" s="284">
        <v>24</v>
      </c>
      <c r="H114" s="289" t="s">
        <v>646</v>
      </c>
      <c r="I114" s="289" t="s">
        <v>568</v>
      </c>
      <c r="J114" s="289" t="s">
        <v>8</v>
      </c>
      <c r="K114" s="289"/>
      <c r="L114" s="289"/>
      <c r="M114" s="12">
        <f t="shared" si="4"/>
        <v>488.01</v>
      </c>
      <c r="N114" s="13">
        <f t="shared" si="5"/>
        <v>683</v>
      </c>
      <c r="O114" s="14">
        <f t="shared" si="6"/>
        <v>1171.01</v>
      </c>
      <c r="P114" s="15">
        <f t="shared" si="7"/>
        <v>1.410855421686747</v>
      </c>
    </row>
    <row r="115" spans="1:16" ht="15.75" customHeight="1" x14ac:dyDescent="0.3">
      <c r="A115" s="8" t="s">
        <v>58</v>
      </c>
      <c r="B115" s="289" t="s">
        <v>1137</v>
      </c>
      <c r="C115" s="289" t="s">
        <v>192</v>
      </c>
      <c r="D115" s="289" t="s">
        <v>1096</v>
      </c>
      <c r="E115" s="284">
        <v>6</v>
      </c>
      <c r="F115" s="289" t="s">
        <v>1097</v>
      </c>
      <c r="G115" s="284">
        <v>6</v>
      </c>
      <c r="H115" s="289" t="s">
        <v>1114</v>
      </c>
      <c r="I115" s="289" t="s">
        <v>1115</v>
      </c>
      <c r="J115" s="289" t="s">
        <v>8</v>
      </c>
      <c r="K115" s="289"/>
      <c r="L115" s="289" t="s">
        <v>1116</v>
      </c>
      <c r="M115" s="12">
        <f t="shared" si="4"/>
        <v>296</v>
      </c>
      <c r="N115" s="13">
        <f t="shared" si="5"/>
        <v>270</v>
      </c>
      <c r="O115" s="14">
        <f t="shared" si="6"/>
        <v>566</v>
      </c>
      <c r="P115" s="15">
        <f t="shared" si="7"/>
        <v>0.68192771084337345</v>
      </c>
    </row>
    <row r="116" spans="1:16" ht="15.75" customHeight="1" x14ac:dyDescent="0.3">
      <c r="A116" s="8" t="s">
        <v>58</v>
      </c>
      <c r="B116" s="289" t="s">
        <v>1137</v>
      </c>
      <c r="C116" s="289" t="s">
        <v>80</v>
      </c>
      <c r="D116" s="289" t="s">
        <v>1096</v>
      </c>
      <c r="E116" s="284">
        <v>1</v>
      </c>
      <c r="F116" s="289" t="s">
        <v>1097</v>
      </c>
      <c r="G116" s="290">
        <v>0</v>
      </c>
      <c r="H116" s="289" t="s">
        <v>1114</v>
      </c>
      <c r="I116" s="289" t="s">
        <v>1115</v>
      </c>
      <c r="J116" s="289" t="s">
        <v>8</v>
      </c>
      <c r="K116" s="289"/>
      <c r="L116" s="289" t="s">
        <v>1116</v>
      </c>
      <c r="M116" s="12">
        <f t="shared" si="4"/>
        <v>296</v>
      </c>
      <c r="N116" s="13">
        <f t="shared" si="5"/>
        <v>270</v>
      </c>
      <c r="O116" s="14">
        <f t="shared" si="6"/>
        <v>566</v>
      </c>
      <c r="P116" s="15">
        <f t="shared" si="7"/>
        <v>0.68192771084337345</v>
      </c>
    </row>
    <row r="117" spans="1:16" ht="15.75" customHeight="1" x14ac:dyDescent="0.3">
      <c r="A117" s="8" t="s">
        <v>58</v>
      </c>
      <c r="B117" s="289" t="s">
        <v>1137</v>
      </c>
      <c r="C117" s="289" t="s">
        <v>100</v>
      </c>
      <c r="D117" s="289" t="s">
        <v>1096</v>
      </c>
      <c r="E117" s="284">
        <v>12</v>
      </c>
      <c r="F117" s="289" t="s">
        <v>1097</v>
      </c>
      <c r="G117" s="284">
        <v>12</v>
      </c>
      <c r="H117" s="289" t="s">
        <v>646</v>
      </c>
      <c r="I117" s="289" t="s">
        <v>568</v>
      </c>
      <c r="J117" s="289" t="s">
        <v>8</v>
      </c>
      <c r="K117" s="289"/>
      <c r="L117" s="289"/>
      <c r="M117" s="12">
        <f t="shared" si="4"/>
        <v>488.01</v>
      </c>
      <c r="N117" s="13">
        <f t="shared" si="5"/>
        <v>683</v>
      </c>
      <c r="O117" s="14">
        <f t="shared" si="6"/>
        <v>1171.01</v>
      </c>
      <c r="P117" s="15">
        <f t="shared" si="7"/>
        <v>1.410855421686747</v>
      </c>
    </row>
    <row r="118" spans="1:16" ht="15.75" customHeight="1" x14ac:dyDescent="0.3">
      <c r="A118" s="8" t="s">
        <v>58</v>
      </c>
      <c r="B118" s="289" t="s">
        <v>1137</v>
      </c>
      <c r="C118" s="289" t="s">
        <v>73</v>
      </c>
      <c r="D118" s="289" t="s">
        <v>1096</v>
      </c>
      <c r="E118" s="284">
        <v>20</v>
      </c>
      <c r="F118" s="289" t="s">
        <v>1097</v>
      </c>
      <c r="G118" s="284">
        <v>20</v>
      </c>
      <c r="H118" s="289" t="s">
        <v>1114</v>
      </c>
      <c r="I118" s="289" t="s">
        <v>1115</v>
      </c>
      <c r="J118" s="289" t="s">
        <v>8</v>
      </c>
      <c r="K118" s="289"/>
      <c r="L118" s="289" t="s">
        <v>1116</v>
      </c>
      <c r="M118" s="12">
        <f t="shared" si="4"/>
        <v>296</v>
      </c>
      <c r="N118" s="13">
        <f t="shared" si="5"/>
        <v>270</v>
      </c>
      <c r="O118" s="14">
        <f t="shared" si="6"/>
        <v>566</v>
      </c>
      <c r="P118" s="15">
        <f t="shared" si="7"/>
        <v>0.68192771084337345</v>
      </c>
    </row>
    <row r="119" spans="1:16" ht="15.75" customHeight="1" x14ac:dyDescent="0.3">
      <c r="A119" s="8" t="s">
        <v>58</v>
      </c>
      <c r="B119" s="289" t="s">
        <v>1137</v>
      </c>
      <c r="C119" s="289" t="s">
        <v>87</v>
      </c>
      <c r="D119" s="289" t="s">
        <v>1096</v>
      </c>
      <c r="E119" s="284">
        <v>5</v>
      </c>
      <c r="F119" s="289" t="s">
        <v>1097</v>
      </c>
      <c r="G119" s="290">
        <v>0</v>
      </c>
      <c r="H119" s="289" t="s">
        <v>1114</v>
      </c>
      <c r="I119" s="289" t="s">
        <v>1115</v>
      </c>
      <c r="J119" s="289" t="s">
        <v>8</v>
      </c>
      <c r="K119" s="289"/>
      <c r="L119" s="289" t="s">
        <v>1116</v>
      </c>
      <c r="M119" s="12">
        <f t="shared" si="4"/>
        <v>296</v>
      </c>
      <c r="N119" s="13">
        <f t="shared" si="5"/>
        <v>270</v>
      </c>
      <c r="O119" s="14">
        <f t="shared" si="6"/>
        <v>566</v>
      </c>
      <c r="P119" s="15">
        <f t="shared" si="7"/>
        <v>0.68192771084337345</v>
      </c>
    </row>
    <row r="120" spans="1:16" ht="15.75" customHeight="1" x14ac:dyDescent="0.3">
      <c r="A120" s="8" t="s">
        <v>58</v>
      </c>
      <c r="B120" s="289" t="s">
        <v>1137</v>
      </c>
      <c r="C120" s="289" t="s">
        <v>79</v>
      </c>
      <c r="D120" s="289" t="s">
        <v>1096</v>
      </c>
      <c r="E120" s="284">
        <v>12</v>
      </c>
      <c r="F120" s="289" t="s">
        <v>1097</v>
      </c>
      <c r="G120" s="284">
        <v>12</v>
      </c>
      <c r="H120" s="289" t="s">
        <v>1114</v>
      </c>
      <c r="I120" s="289" t="s">
        <v>1115</v>
      </c>
      <c r="J120" s="289" t="s">
        <v>8</v>
      </c>
      <c r="K120" s="289"/>
      <c r="L120" s="289"/>
      <c r="M120" s="12">
        <f t="shared" si="4"/>
        <v>296</v>
      </c>
      <c r="N120" s="13">
        <f t="shared" si="5"/>
        <v>270</v>
      </c>
      <c r="O120" s="14">
        <f t="shared" si="6"/>
        <v>566</v>
      </c>
      <c r="P120" s="15">
        <f t="shared" si="7"/>
        <v>0.68192771084337345</v>
      </c>
    </row>
    <row r="121" spans="1:16" ht="15.75" customHeight="1" x14ac:dyDescent="0.3">
      <c r="A121" s="8" t="s">
        <v>58</v>
      </c>
      <c r="B121" s="289" t="s">
        <v>283</v>
      </c>
      <c r="C121" s="289" t="s">
        <v>142</v>
      </c>
      <c r="D121" s="289" t="s">
        <v>1102</v>
      </c>
      <c r="E121" s="284">
        <v>3</v>
      </c>
      <c r="F121" s="289" t="s">
        <v>153</v>
      </c>
      <c r="G121" s="290">
        <v>0</v>
      </c>
      <c r="H121" s="289" t="s">
        <v>1114</v>
      </c>
      <c r="I121" s="289" t="s">
        <v>1115</v>
      </c>
      <c r="J121" s="289" t="s">
        <v>8</v>
      </c>
      <c r="K121" s="289"/>
      <c r="L121" s="289" t="s">
        <v>1116</v>
      </c>
      <c r="M121" s="12">
        <f t="shared" si="4"/>
        <v>296</v>
      </c>
      <c r="N121" s="13">
        <f t="shared" si="5"/>
        <v>270</v>
      </c>
      <c r="O121" s="14">
        <f t="shared" si="6"/>
        <v>566</v>
      </c>
      <c r="P121" s="15">
        <f t="shared" si="7"/>
        <v>0.68192771084337345</v>
      </c>
    </row>
    <row r="122" spans="1:16" ht="15.75" customHeight="1" x14ac:dyDescent="0.3">
      <c r="A122" s="8" t="s">
        <v>58</v>
      </c>
      <c r="B122" s="289" t="s">
        <v>283</v>
      </c>
      <c r="C122" s="289" t="s">
        <v>79</v>
      </c>
      <c r="D122" s="289" t="s">
        <v>1102</v>
      </c>
      <c r="E122" s="284">
        <v>22</v>
      </c>
      <c r="F122" s="289" t="s">
        <v>153</v>
      </c>
      <c r="G122" s="284">
        <v>22</v>
      </c>
      <c r="H122" s="289" t="s">
        <v>1114</v>
      </c>
      <c r="I122" s="289" t="s">
        <v>1115</v>
      </c>
      <c r="J122" s="289" t="s">
        <v>8</v>
      </c>
      <c r="K122" s="289"/>
      <c r="L122" s="289" t="s">
        <v>1116</v>
      </c>
      <c r="M122" s="12">
        <f t="shared" si="4"/>
        <v>296</v>
      </c>
      <c r="N122" s="13">
        <f t="shared" si="5"/>
        <v>270</v>
      </c>
      <c r="O122" s="14">
        <f t="shared" si="6"/>
        <v>566</v>
      </c>
      <c r="P122" s="15">
        <f t="shared" si="7"/>
        <v>0.68192771084337345</v>
      </c>
    </row>
    <row r="123" spans="1:16" ht="15.75" customHeight="1" x14ac:dyDescent="0.3">
      <c r="A123" s="8" t="s">
        <v>58</v>
      </c>
      <c r="B123" s="289" t="s">
        <v>283</v>
      </c>
      <c r="C123" s="289" t="s">
        <v>73</v>
      </c>
      <c r="D123" s="289" t="s">
        <v>1102</v>
      </c>
      <c r="E123" s="284">
        <v>8</v>
      </c>
      <c r="F123" s="289" t="s">
        <v>153</v>
      </c>
      <c r="G123" s="284">
        <v>8</v>
      </c>
      <c r="H123" s="289" t="s">
        <v>1114</v>
      </c>
      <c r="I123" s="289" t="s">
        <v>1115</v>
      </c>
      <c r="J123" s="289" t="s">
        <v>8</v>
      </c>
      <c r="K123" s="289"/>
      <c r="L123" s="289" t="s">
        <v>1116</v>
      </c>
      <c r="M123" s="12">
        <f t="shared" si="4"/>
        <v>296</v>
      </c>
      <c r="N123" s="13">
        <f t="shared" si="5"/>
        <v>270</v>
      </c>
      <c r="O123" s="14">
        <f t="shared" si="6"/>
        <v>566</v>
      </c>
      <c r="P123" s="15">
        <f t="shared" si="7"/>
        <v>0.68192771084337345</v>
      </c>
    </row>
    <row r="124" spans="1:16" ht="15.75" customHeight="1" x14ac:dyDescent="0.3">
      <c r="A124" s="8" t="s">
        <v>58</v>
      </c>
      <c r="B124" s="289" t="s">
        <v>283</v>
      </c>
      <c r="C124" s="289" t="s">
        <v>123</v>
      </c>
      <c r="D124" s="289" t="s">
        <v>1102</v>
      </c>
      <c r="E124" s="284">
        <v>24</v>
      </c>
      <c r="F124" s="289" t="s">
        <v>153</v>
      </c>
      <c r="G124" s="290">
        <v>0</v>
      </c>
      <c r="H124" s="289" t="s">
        <v>1114</v>
      </c>
      <c r="I124" s="289" t="s">
        <v>1115</v>
      </c>
      <c r="J124" s="289" t="s">
        <v>8</v>
      </c>
      <c r="K124" s="289"/>
      <c r="L124" s="289" t="s">
        <v>1116</v>
      </c>
      <c r="M124" s="12">
        <f t="shared" si="4"/>
        <v>296</v>
      </c>
      <c r="N124" s="13">
        <f t="shared" si="5"/>
        <v>270</v>
      </c>
      <c r="O124" s="14">
        <f t="shared" si="6"/>
        <v>566</v>
      </c>
      <c r="P124" s="15">
        <f t="shared" si="7"/>
        <v>0.68192771084337345</v>
      </c>
    </row>
    <row r="125" spans="1:16" ht="15.75" customHeight="1" x14ac:dyDescent="0.3">
      <c r="A125" s="8" t="s">
        <v>58</v>
      </c>
      <c r="B125" s="289" t="s">
        <v>312</v>
      </c>
      <c r="C125" s="289" t="s">
        <v>73</v>
      </c>
      <c r="D125" s="289" t="s">
        <v>1138</v>
      </c>
      <c r="E125" s="284">
        <v>18</v>
      </c>
      <c r="F125" s="289" t="s">
        <v>221</v>
      </c>
      <c r="G125" s="284"/>
      <c r="H125" s="289" t="s">
        <v>1098</v>
      </c>
      <c r="I125" s="289" t="s">
        <v>260</v>
      </c>
      <c r="J125" s="289" t="s">
        <v>21</v>
      </c>
      <c r="K125" s="291" t="s">
        <v>1099</v>
      </c>
      <c r="L125" s="289" t="s">
        <v>1100</v>
      </c>
      <c r="M125" s="12">
        <f t="shared" si="4"/>
        <v>234</v>
      </c>
      <c r="N125" s="13">
        <f t="shared" si="5"/>
        <v>201</v>
      </c>
      <c r="O125" s="14">
        <f t="shared" si="6"/>
        <v>435</v>
      </c>
      <c r="P125" s="15">
        <f t="shared" si="7"/>
        <v>0.52409638554216864</v>
      </c>
    </row>
    <row r="126" spans="1:16" ht="15.75" customHeight="1" x14ac:dyDescent="0.3">
      <c r="A126" s="8" t="s">
        <v>58</v>
      </c>
      <c r="B126" s="289" t="s">
        <v>312</v>
      </c>
      <c r="C126" s="292" t="s">
        <v>73</v>
      </c>
      <c r="D126" s="289" t="s">
        <v>1138</v>
      </c>
      <c r="E126" s="284">
        <v>-18</v>
      </c>
      <c r="F126" s="289" t="s">
        <v>221</v>
      </c>
      <c r="G126" s="284">
        <v>18</v>
      </c>
      <c r="H126" s="289" t="s">
        <v>606</v>
      </c>
      <c r="I126" s="289" t="s">
        <v>510</v>
      </c>
      <c r="J126" s="289" t="s">
        <v>4</v>
      </c>
      <c r="K126" s="291" t="s">
        <v>1099</v>
      </c>
      <c r="L126" s="289"/>
      <c r="M126" s="12">
        <f t="shared" si="4"/>
        <v>649</v>
      </c>
      <c r="N126" s="13">
        <f t="shared" si="5"/>
        <v>84</v>
      </c>
      <c r="O126" s="14">
        <f t="shared" si="6"/>
        <v>733</v>
      </c>
      <c r="P126" s="15">
        <f t="shared" si="7"/>
        <v>0.88313253012048187</v>
      </c>
    </row>
    <row r="127" spans="1:16" ht="15.75" customHeight="1" x14ac:dyDescent="0.3">
      <c r="A127" s="8" t="s">
        <v>58</v>
      </c>
      <c r="B127" s="289" t="s">
        <v>312</v>
      </c>
      <c r="C127" s="292" t="s">
        <v>73</v>
      </c>
      <c r="D127" s="289" t="s">
        <v>1138</v>
      </c>
      <c r="E127" s="284">
        <v>18</v>
      </c>
      <c r="F127" s="289" t="s">
        <v>221</v>
      </c>
      <c r="G127" s="284">
        <v>18</v>
      </c>
      <c r="H127" s="289" t="s">
        <v>606</v>
      </c>
      <c r="I127" s="289" t="s">
        <v>510</v>
      </c>
      <c r="J127" s="289" t="s">
        <v>4</v>
      </c>
      <c r="L127" s="289" t="s">
        <v>260</v>
      </c>
      <c r="M127" s="12">
        <f t="shared" si="4"/>
        <v>649</v>
      </c>
      <c r="N127" s="13">
        <f t="shared" si="5"/>
        <v>84</v>
      </c>
      <c r="O127" s="14">
        <f t="shared" si="6"/>
        <v>733</v>
      </c>
      <c r="P127" s="15">
        <f t="shared" si="7"/>
        <v>0.88313253012048187</v>
      </c>
    </row>
    <row r="128" spans="1:16" ht="15.75" customHeight="1" x14ac:dyDescent="0.3">
      <c r="A128" s="8" t="s">
        <v>58</v>
      </c>
      <c r="B128" s="289" t="s">
        <v>312</v>
      </c>
      <c r="C128" s="289" t="s">
        <v>80</v>
      </c>
      <c r="D128" s="289" t="s">
        <v>1138</v>
      </c>
      <c r="E128" s="284">
        <v>4</v>
      </c>
      <c r="F128" s="289" t="s">
        <v>221</v>
      </c>
      <c r="G128" s="290">
        <v>0</v>
      </c>
      <c r="H128" s="289" t="s">
        <v>1098</v>
      </c>
      <c r="I128" s="289" t="s">
        <v>260</v>
      </c>
      <c r="J128" s="289" t="s">
        <v>21</v>
      </c>
      <c r="K128" s="289"/>
      <c r="L128" s="289"/>
      <c r="M128" s="12">
        <f t="shared" si="4"/>
        <v>234</v>
      </c>
      <c r="N128" s="13">
        <f t="shared" si="5"/>
        <v>201</v>
      </c>
      <c r="O128" s="14">
        <f t="shared" si="6"/>
        <v>435</v>
      </c>
      <c r="P128" s="15">
        <f t="shared" si="7"/>
        <v>0.52409638554216864</v>
      </c>
    </row>
    <row r="129" spans="1:16" ht="15.75" customHeight="1" x14ac:dyDescent="0.3">
      <c r="A129" s="8" t="s">
        <v>58</v>
      </c>
      <c r="B129" s="289" t="s">
        <v>312</v>
      </c>
      <c r="C129" s="289" t="s">
        <v>111</v>
      </c>
      <c r="D129" s="289" t="s">
        <v>1138</v>
      </c>
      <c r="E129" s="284">
        <v>7</v>
      </c>
      <c r="F129" s="289" t="s">
        <v>221</v>
      </c>
      <c r="G129" s="290">
        <v>0</v>
      </c>
      <c r="H129" s="289" t="s">
        <v>1098</v>
      </c>
      <c r="I129" s="289" t="s">
        <v>260</v>
      </c>
      <c r="J129" s="289" t="s">
        <v>21</v>
      </c>
      <c r="K129" s="291" t="s">
        <v>1099</v>
      </c>
      <c r="L129" s="289" t="s">
        <v>1100</v>
      </c>
      <c r="M129" s="12">
        <f t="shared" si="4"/>
        <v>234</v>
      </c>
      <c r="N129" s="13">
        <f t="shared" si="5"/>
        <v>201</v>
      </c>
      <c r="O129" s="14">
        <f t="shared" si="6"/>
        <v>435</v>
      </c>
      <c r="P129" s="15">
        <f t="shared" si="7"/>
        <v>0.52409638554216864</v>
      </c>
    </row>
    <row r="130" spans="1:16" ht="15.75" customHeight="1" x14ac:dyDescent="0.3">
      <c r="A130" s="8" t="s">
        <v>58</v>
      </c>
      <c r="B130" s="289" t="s">
        <v>312</v>
      </c>
      <c r="C130" s="292" t="s">
        <v>111</v>
      </c>
      <c r="D130" s="289" t="s">
        <v>1138</v>
      </c>
      <c r="E130" s="284">
        <v>-7</v>
      </c>
      <c r="F130" s="289" t="s">
        <v>221</v>
      </c>
      <c r="G130" s="290">
        <v>0</v>
      </c>
      <c r="H130" s="289" t="s">
        <v>606</v>
      </c>
      <c r="I130" s="289" t="s">
        <v>510</v>
      </c>
      <c r="J130" s="289" t="s">
        <v>4</v>
      </c>
      <c r="K130" s="291" t="s">
        <v>1099</v>
      </c>
      <c r="L130" s="289"/>
      <c r="M130" s="12">
        <f t="shared" ref="M130:M193" si="8">SUMIFS($E$2:$E$300,$A$2:$A$300,"осень",$I$2:$I$300,I130)</f>
        <v>649</v>
      </c>
      <c r="N130" s="13">
        <f t="shared" ref="N130:N193" si="9">SUMIFS($E$2:$E$300,$A$2:$A$300,"весна",$I$2:$I$300,I130)</f>
        <v>84</v>
      </c>
      <c r="O130" s="14">
        <f t="shared" ref="O130:O193" si="10">M130+N130</f>
        <v>733</v>
      </c>
      <c r="P130" s="15">
        <f t="shared" ref="P130:P193" si="11">O130/$P$1</f>
        <v>0.88313253012048187</v>
      </c>
    </row>
    <row r="131" spans="1:16" ht="15.75" customHeight="1" x14ac:dyDescent="0.3">
      <c r="A131" s="8" t="s">
        <v>58</v>
      </c>
      <c r="B131" s="289" t="s">
        <v>312</v>
      </c>
      <c r="C131" s="292" t="s">
        <v>111</v>
      </c>
      <c r="D131" s="289" t="s">
        <v>1138</v>
      </c>
      <c r="E131" s="284">
        <v>7</v>
      </c>
      <c r="F131" s="289" t="s">
        <v>221</v>
      </c>
      <c r="G131" s="290">
        <v>0</v>
      </c>
      <c r="H131" s="289" t="s">
        <v>606</v>
      </c>
      <c r="I131" s="289" t="s">
        <v>510</v>
      </c>
      <c r="J131" s="289" t="s">
        <v>4</v>
      </c>
      <c r="K131" s="289"/>
      <c r="L131" s="289" t="s">
        <v>260</v>
      </c>
      <c r="M131" s="12">
        <f t="shared" si="8"/>
        <v>649</v>
      </c>
      <c r="N131" s="13">
        <f t="shared" si="9"/>
        <v>84</v>
      </c>
      <c r="O131" s="14">
        <f t="shared" si="10"/>
        <v>733</v>
      </c>
      <c r="P131" s="15">
        <f t="shared" si="11"/>
        <v>0.88313253012048187</v>
      </c>
    </row>
    <row r="132" spans="1:16" ht="15.75" customHeight="1" x14ac:dyDescent="0.3">
      <c r="A132" s="8" t="s">
        <v>58</v>
      </c>
      <c r="B132" s="289" t="s">
        <v>312</v>
      </c>
      <c r="C132" s="289" t="s">
        <v>79</v>
      </c>
      <c r="D132" s="289" t="s">
        <v>1138</v>
      </c>
      <c r="E132" s="284">
        <v>18</v>
      </c>
      <c r="F132" s="289" t="s">
        <v>221</v>
      </c>
      <c r="G132" s="284">
        <v>18</v>
      </c>
      <c r="H132" s="289" t="s">
        <v>1098</v>
      </c>
      <c r="I132" s="289" t="s">
        <v>260</v>
      </c>
      <c r="J132" s="289" t="s">
        <v>21</v>
      </c>
      <c r="K132" s="289"/>
      <c r="L132" s="289"/>
      <c r="M132" s="12">
        <f t="shared" si="8"/>
        <v>234</v>
      </c>
      <c r="N132" s="13">
        <f t="shared" si="9"/>
        <v>201</v>
      </c>
      <c r="O132" s="14">
        <f t="shared" si="10"/>
        <v>435</v>
      </c>
      <c r="P132" s="15">
        <f t="shared" si="11"/>
        <v>0.52409638554216864</v>
      </c>
    </row>
    <row r="133" spans="1:16" ht="15.75" customHeight="1" x14ac:dyDescent="0.3">
      <c r="A133" s="8" t="s">
        <v>58</v>
      </c>
      <c r="B133" s="289" t="s">
        <v>256</v>
      </c>
      <c r="C133" s="289" t="s">
        <v>87</v>
      </c>
      <c r="D133" s="289" t="s">
        <v>1104</v>
      </c>
      <c r="E133" s="284">
        <v>3</v>
      </c>
      <c r="F133" s="289" t="s">
        <v>153</v>
      </c>
      <c r="G133" s="290">
        <v>0</v>
      </c>
      <c r="H133" s="289" t="s">
        <v>646</v>
      </c>
      <c r="I133" s="289" t="s">
        <v>568</v>
      </c>
      <c r="J133" s="289" t="s">
        <v>8</v>
      </c>
      <c r="K133" s="289"/>
      <c r="L133" s="289"/>
      <c r="M133" s="12">
        <f t="shared" si="8"/>
        <v>488.01</v>
      </c>
      <c r="N133" s="13">
        <f t="shared" si="9"/>
        <v>683</v>
      </c>
      <c r="O133" s="14">
        <f t="shared" si="10"/>
        <v>1171.01</v>
      </c>
      <c r="P133" s="15">
        <f t="shared" si="11"/>
        <v>1.410855421686747</v>
      </c>
    </row>
    <row r="134" spans="1:16" ht="15.75" customHeight="1" x14ac:dyDescent="0.3">
      <c r="A134" s="8" t="s">
        <v>58</v>
      </c>
      <c r="B134" s="289" t="s">
        <v>256</v>
      </c>
      <c r="C134" s="289" t="s">
        <v>123</v>
      </c>
      <c r="D134" s="289" t="s">
        <v>1104</v>
      </c>
      <c r="E134" s="284">
        <v>27</v>
      </c>
      <c r="F134" s="289" t="s">
        <v>153</v>
      </c>
      <c r="G134" s="290">
        <v>0</v>
      </c>
      <c r="H134" s="289" t="s">
        <v>646</v>
      </c>
      <c r="I134" s="289" t="s">
        <v>568</v>
      </c>
      <c r="J134" s="289" t="s">
        <v>8</v>
      </c>
      <c r="K134" s="289"/>
      <c r="L134" s="289"/>
      <c r="M134" s="12">
        <f t="shared" si="8"/>
        <v>488.01</v>
      </c>
      <c r="N134" s="13">
        <f t="shared" si="9"/>
        <v>683</v>
      </c>
      <c r="O134" s="14">
        <f t="shared" si="10"/>
        <v>1171.01</v>
      </c>
      <c r="P134" s="15">
        <f t="shared" si="11"/>
        <v>1.410855421686747</v>
      </c>
    </row>
    <row r="135" spans="1:16" ht="15.75" customHeight="1" x14ac:dyDescent="0.3">
      <c r="A135" s="8" t="s">
        <v>58</v>
      </c>
      <c r="B135" s="289" t="s">
        <v>256</v>
      </c>
      <c r="C135" s="289" t="s">
        <v>73</v>
      </c>
      <c r="D135" s="289" t="s">
        <v>1104</v>
      </c>
      <c r="E135" s="284">
        <v>20</v>
      </c>
      <c r="F135" s="289" t="s">
        <v>153</v>
      </c>
      <c r="G135" s="284">
        <v>20</v>
      </c>
      <c r="H135" s="289" t="s">
        <v>646</v>
      </c>
      <c r="I135" s="289" t="s">
        <v>568</v>
      </c>
      <c r="J135" s="289" t="s">
        <v>8</v>
      </c>
      <c r="K135" s="289"/>
      <c r="L135" s="289"/>
      <c r="M135" s="12">
        <f t="shared" si="8"/>
        <v>488.01</v>
      </c>
      <c r="N135" s="13">
        <f t="shared" si="9"/>
        <v>683</v>
      </c>
      <c r="O135" s="14">
        <f t="shared" si="10"/>
        <v>1171.01</v>
      </c>
      <c r="P135" s="15">
        <f t="shared" si="11"/>
        <v>1.410855421686747</v>
      </c>
    </row>
    <row r="136" spans="1:16" ht="15.75" customHeight="1" x14ac:dyDescent="0.3">
      <c r="A136" s="8" t="s">
        <v>58</v>
      </c>
      <c r="B136" s="289" t="s">
        <v>256</v>
      </c>
      <c r="C136" s="289" t="s">
        <v>79</v>
      </c>
      <c r="D136" s="289" t="s">
        <v>1104</v>
      </c>
      <c r="E136" s="284">
        <v>36</v>
      </c>
      <c r="F136" s="289" t="s">
        <v>153</v>
      </c>
      <c r="G136" s="284">
        <v>36</v>
      </c>
      <c r="H136" s="289" t="s">
        <v>646</v>
      </c>
      <c r="I136" s="289" t="s">
        <v>568</v>
      </c>
      <c r="J136" s="289" t="s">
        <v>8</v>
      </c>
      <c r="K136" s="289"/>
      <c r="L136" s="289"/>
      <c r="M136" s="12">
        <f t="shared" si="8"/>
        <v>488.01</v>
      </c>
      <c r="N136" s="13">
        <f t="shared" si="9"/>
        <v>683</v>
      </c>
      <c r="O136" s="14">
        <f t="shared" si="10"/>
        <v>1171.01</v>
      </c>
      <c r="P136" s="15">
        <f t="shared" si="11"/>
        <v>1.410855421686747</v>
      </c>
    </row>
    <row r="137" spans="1:16" ht="15.75" customHeight="1" x14ac:dyDescent="0.3">
      <c r="A137" s="8" t="s">
        <v>58</v>
      </c>
      <c r="B137" s="289" t="s">
        <v>256</v>
      </c>
      <c r="C137" s="289" t="s">
        <v>80</v>
      </c>
      <c r="D137" s="289" t="s">
        <v>1104</v>
      </c>
      <c r="E137" s="284">
        <v>1</v>
      </c>
      <c r="F137" s="289" t="s">
        <v>153</v>
      </c>
      <c r="G137" s="290">
        <v>0</v>
      </c>
      <c r="H137" s="289" t="s">
        <v>646</v>
      </c>
      <c r="I137" s="289" t="s">
        <v>568</v>
      </c>
      <c r="J137" s="289" t="s">
        <v>8</v>
      </c>
      <c r="K137" s="289"/>
      <c r="L137" s="289"/>
      <c r="M137" s="12">
        <f t="shared" si="8"/>
        <v>488.01</v>
      </c>
      <c r="N137" s="13">
        <f t="shared" si="9"/>
        <v>683</v>
      </c>
      <c r="O137" s="14">
        <f t="shared" si="10"/>
        <v>1171.01</v>
      </c>
      <c r="P137" s="15">
        <f t="shared" si="11"/>
        <v>1.410855421686747</v>
      </c>
    </row>
    <row r="138" spans="1:16" ht="15.75" customHeight="1" x14ac:dyDescent="0.3">
      <c r="A138" s="8" t="s">
        <v>58</v>
      </c>
      <c r="B138" s="289" t="s">
        <v>256</v>
      </c>
      <c r="C138" s="289" t="s">
        <v>100</v>
      </c>
      <c r="D138" s="289" t="s">
        <v>1104</v>
      </c>
      <c r="E138" s="284">
        <v>8</v>
      </c>
      <c r="F138" s="289" t="s">
        <v>153</v>
      </c>
      <c r="G138" s="284">
        <v>8</v>
      </c>
      <c r="H138" s="289" t="s">
        <v>646</v>
      </c>
      <c r="I138" s="289" t="s">
        <v>568</v>
      </c>
      <c r="J138" s="289" t="s">
        <v>8</v>
      </c>
      <c r="K138" s="289"/>
      <c r="L138" s="289"/>
      <c r="M138" s="12">
        <f t="shared" si="8"/>
        <v>488.01</v>
      </c>
      <c r="N138" s="13">
        <f t="shared" si="9"/>
        <v>683</v>
      </c>
      <c r="O138" s="14">
        <f t="shared" si="10"/>
        <v>1171.01</v>
      </c>
      <c r="P138" s="15">
        <f t="shared" si="11"/>
        <v>1.410855421686747</v>
      </c>
    </row>
    <row r="139" spans="1:16" ht="15.75" customHeight="1" x14ac:dyDescent="0.3">
      <c r="A139" s="8" t="s">
        <v>58</v>
      </c>
      <c r="B139" s="289" t="s">
        <v>389</v>
      </c>
      <c r="C139" s="289" t="s">
        <v>73</v>
      </c>
      <c r="D139" s="289" t="s">
        <v>1096</v>
      </c>
      <c r="E139" s="284">
        <v>16</v>
      </c>
      <c r="F139" s="289" t="s">
        <v>1097</v>
      </c>
      <c r="G139" s="284">
        <v>16</v>
      </c>
      <c r="H139" s="289" t="s">
        <v>646</v>
      </c>
      <c r="I139" s="289" t="s">
        <v>568</v>
      </c>
      <c r="J139" s="289" t="s">
        <v>8</v>
      </c>
      <c r="K139" s="289"/>
      <c r="L139" s="289"/>
      <c r="M139" s="12">
        <f t="shared" si="8"/>
        <v>488.01</v>
      </c>
      <c r="N139" s="13">
        <f t="shared" si="9"/>
        <v>683</v>
      </c>
      <c r="O139" s="14">
        <f t="shared" si="10"/>
        <v>1171.01</v>
      </c>
      <c r="P139" s="15">
        <f t="shared" si="11"/>
        <v>1.410855421686747</v>
      </c>
    </row>
    <row r="140" spans="1:16" ht="15.75" customHeight="1" x14ac:dyDescent="0.3">
      <c r="A140" s="8" t="s">
        <v>58</v>
      </c>
      <c r="B140" s="289" t="s">
        <v>389</v>
      </c>
      <c r="C140" s="289" t="s">
        <v>111</v>
      </c>
      <c r="D140" s="289" t="s">
        <v>1096</v>
      </c>
      <c r="E140" s="284">
        <v>7</v>
      </c>
      <c r="F140" s="289" t="s">
        <v>1097</v>
      </c>
      <c r="G140" s="290">
        <v>0</v>
      </c>
      <c r="H140" s="289" t="s">
        <v>646</v>
      </c>
      <c r="I140" s="289" t="s">
        <v>568</v>
      </c>
      <c r="J140" s="289" t="s">
        <v>8</v>
      </c>
      <c r="K140" s="289"/>
      <c r="L140" s="289"/>
      <c r="M140" s="12">
        <f t="shared" si="8"/>
        <v>488.01</v>
      </c>
      <c r="N140" s="13">
        <f t="shared" si="9"/>
        <v>683</v>
      </c>
      <c r="O140" s="14">
        <f t="shared" si="10"/>
        <v>1171.01</v>
      </c>
      <c r="P140" s="15">
        <f t="shared" si="11"/>
        <v>1.410855421686747</v>
      </c>
    </row>
    <row r="141" spans="1:16" ht="15.75" customHeight="1" x14ac:dyDescent="0.3">
      <c r="A141" s="8" t="s">
        <v>58</v>
      </c>
      <c r="B141" s="289" t="s">
        <v>389</v>
      </c>
      <c r="C141" s="289" t="s">
        <v>192</v>
      </c>
      <c r="D141" s="289" t="s">
        <v>1096</v>
      </c>
      <c r="E141" s="284">
        <v>6</v>
      </c>
      <c r="F141" s="289" t="s">
        <v>1097</v>
      </c>
      <c r="G141" s="284">
        <v>6</v>
      </c>
      <c r="H141" s="289" t="s">
        <v>646</v>
      </c>
      <c r="I141" s="289" t="s">
        <v>568</v>
      </c>
      <c r="J141" s="289" t="s">
        <v>8</v>
      </c>
      <c r="K141" s="289"/>
      <c r="L141" s="289"/>
      <c r="M141" s="12">
        <f t="shared" si="8"/>
        <v>488.01</v>
      </c>
      <c r="N141" s="13">
        <f t="shared" si="9"/>
        <v>683</v>
      </c>
      <c r="O141" s="14">
        <f t="shared" si="10"/>
        <v>1171.01</v>
      </c>
      <c r="P141" s="15">
        <f t="shared" si="11"/>
        <v>1.410855421686747</v>
      </c>
    </row>
    <row r="142" spans="1:16" ht="15.75" customHeight="1" x14ac:dyDescent="0.3">
      <c r="A142" s="8" t="s">
        <v>58</v>
      </c>
      <c r="B142" s="289" t="s">
        <v>389</v>
      </c>
      <c r="C142" s="289" t="s">
        <v>80</v>
      </c>
      <c r="D142" s="289" t="s">
        <v>1096</v>
      </c>
      <c r="E142" s="284">
        <v>3</v>
      </c>
      <c r="F142" s="289" t="s">
        <v>1097</v>
      </c>
      <c r="G142" s="290">
        <v>0</v>
      </c>
      <c r="H142" s="289" t="s">
        <v>646</v>
      </c>
      <c r="I142" s="289" t="s">
        <v>568</v>
      </c>
      <c r="J142" s="289" t="s">
        <v>8</v>
      </c>
      <c r="K142" s="289"/>
      <c r="L142" s="289"/>
      <c r="M142" s="12">
        <f t="shared" si="8"/>
        <v>488.01</v>
      </c>
      <c r="N142" s="13">
        <f t="shared" si="9"/>
        <v>683</v>
      </c>
      <c r="O142" s="14">
        <f t="shared" si="10"/>
        <v>1171.01</v>
      </c>
      <c r="P142" s="15">
        <f t="shared" si="11"/>
        <v>1.410855421686747</v>
      </c>
    </row>
    <row r="143" spans="1:16" ht="15.75" customHeight="1" x14ac:dyDescent="0.3">
      <c r="A143" s="8" t="s">
        <v>58</v>
      </c>
      <c r="B143" s="289" t="s">
        <v>389</v>
      </c>
      <c r="C143" s="289" t="s">
        <v>100</v>
      </c>
      <c r="D143" s="289" t="s">
        <v>1096</v>
      </c>
      <c r="E143" s="284">
        <v>16</v>
      </c>
      <c r="F143" s="289" t="s">
        <v>1097</v>
      </c>
      <c r="G143" s="284">
        <v>16</v>
      </c>
      <c r="H143" s="289" t="s">
        <v>646</v>
      </c>
      <c r="I143" s="289" t="s">
        <v>568</v>
      </c>
      <c r="J143" s="289" t="s">
        <v>8</v>
      </c>
      <c r="K143" s="289"/>
      <c r="L143" s="289"/>
      <c r="M143" s="12">
        <f t="shared" si="8"/>
        <v>488.01</v>
      </c>
      <c r="N143" s="13">
        <f t="shared" si="9"/>
        <v>683</v>
      </c>
      <c r="O143" s="14">
        <f t="shared" si="10"/>
        <v>1171.01</v>
      </c>
      <c r="P143" s="15">
        <f t="shared" si="11"/>
        <v>1.410855421686747</v>
      </c>
    </row>
    <row r="144" spans="1:16" ht="15.75" customHeight="1" x14ac:dyDescent="0.3">
      <c r="A144" s="8" t="s">
        <v>58</v>
      </c>
      <c r="B144" s="289" t="s">
        <v>389</v>
      </c>
      <c r="C144" s="289" t="s">
        <v>79</v>
      </c>
      <c r="D144" s="289" t="s">
        <v>1096</v>
      </c>
      <c r="E144" s="284">
        <v>16</v>
      </c>
      <c r="F144" s="289" t="s">
        <v>1097</v>
      </c>
      <c r="G144" s="284">
        <v>16</v>
      </c>
      <c r="H144" s="289" t="s">
        <v>646</v>
      </c>
      <c r="I144" s="289" t="s">
        <v>568</v>
      </c>
      <c r="J144" s="289" t="s">
        <v>8</v>
      </c>
      <c r="K144" s="289"/>
      <c r="L144" s="289"/>
      <c r="M144" s="12">
        <f t="shared" si="8"/>
        <v>488.01</v>
      </c>
      <c r="N144" s="13">
        <f t="shared" si="9"/>
        <v>683</v>
      </c>
      <c r="O144" s="14">
        <f t="shared" si="10"/>
        <v>1171.01</v>
      </c>
      <c r="P144" s="15">
        <f t="shared" si="11"/>
        <v>1.410855421686747</v>
      </c>
    </row>
    <row r="145" spans="1:16" ht="15.75" customHeight="1" x14ac:dyDescent="0.3">
      <c r="A145" s="8" t="s">
        <v>58</v>
      </c>
      <c r="B145" s="289" t="s">
        <v>1139</v>
      </c>
      <c r="C145" s="289" t="s">
        <v>192</v>
      </c>
      <c r="D145" s="289" t="s">
        <v>1096</v>
      </c>
      <c r="E145" s="284">
        <v>8</v>
      </c>
      <c r="F145" s="289" t="s">
        <v>1097</v>
      </c>
      <c r="G145" s="284">
        <v>8</v>
      </c>
      <c r="H145" s="289" t="s">
        <v>607</v>
      </c>
      <c r="I145" s="289" t="s">
        <v>554</v>
      </c>
      <c r="J145" s="289" t="s">
        <v>8</v>
      </c>
      <c r="K145" s="289"/>
      <c r="L145" s="289"/>
      <c r="M145" s="12">
        <f t="shared" si="8"/>
        <v>185</v>
      </c>
      <c r="N145" s="13">
        <f t="shared" si="9"/>
        <v>290</v>
      </c>
      <c r="O145" s="14">
        <f t="shared" si="10"/>
        <v>475</v>
      </c>
      <c r="P145" s="15">
        <f t="shared" si="11"/>
        <v>0.57228915662650603</v>
      </c>
    </row>
    <row r="146" spans="1:16" ht="15.75" customHeight="1" x14ac:dyDescent="0.3">
      <c r="A146" s="8" t="s">
        <v>58</v>
      </c>
      <c r="B146" s="289" t="s">
        <v>1139</v>
      </c>
      <c r="C146" s="289" t="s">
        <v>80</v>
      </c>
      <c r="D146" s="289" t="s">
        <v>1096</v>
      </c>
      <c r="E146" s="284">
        <v>1</v>
      </c>
      <c r="F146" s="289" t="s">
        <v>1097</v>
      </c>
      <c r="G146" s="290">
        <v>0</v>
      </c>
      <c r="H146" s="289" t="s">
        <v>607</v>
      </c>
      <c r="I146" s="289" t="s">
        <v>554</v>
      </c>
      <c r="J146" s="289" t="s">
        <v>8</v>
      </c>
      <c r="K146" s="289"/>
      <c r="L146" s="289"/>
      <c r="M146" s="12">
        <f t="shared" si="8"/>
        <v>185</v>
      </c>
      <c r="N146" s="13">
        <f t="shared" si="9"/>
        <v>290</v>
      </c>
      <c r="O146" s="14">
        <f t="shared" si="10"/>
        <v>475</v>
      </c>
      <c r="P146" s="15">
        <f t="shared" si="11"/>
        <v>0.57228915662650603</v>
      </c>
    </row>
    <row r="147" spans="1:16" ht="15.75" customHeight="1" x14ac:dyDescent="0.3">
      <c r="A147" s="8" t="s">
        <v>58</v>
      </c>
      <c r="B147" s="289" t="s">
        <v>1139</v>
      </c>
      <c r="C147" s="289" t="s">
        <v>79</v>
      </c>
      <c r="D147" s="289" t="s">
        <v>1096</v>
      </c>
      <c r="E147" s="284">
        <v>16</v>
      </c>
      <c r="F147" s="289" t="s">
        <v>1097</v>
      </c>
      <c r="G147" s="284">
        <v>16</v>
      </c>
      <c r="H147" s="289" t="s">
        <v>607</v>
      </c>
      <c r="I147" s="289" t="s">
        <v>554</v>
      </c>
      <c r="J147" s="289" t="s">
        <v>8</v>
      </c>
      <c r="K147" s="289"/>
      <c r="L147" s="289"/>
      <c r="M147" s="12">
        <f t="shared" si="8"/>
        <v>185</v>
      </c>
      <c r="N147" s="13">
        <f t="shared" si="9"/>
        <v>290</v>
      </c>
      <c r="O147" s="14">
        <f t="shared" si="10"/>
        <v>475</v>
      </c>
      <c r="P147" s="15">
        <f t="shared" si="11"/>
        <v>0.57228915662650603</v>
      </c>
    </row>
    <row r="148" spans="1:16" ht="15.75" customHeight="1" x14ac:dyDescent="0.3">
      <c r="A148" s="8" t="s">
        <v>58</v>
      </c>
      <c r="B148" s="289" t="s">
        <v>1139</v>
      </c>
      <c r="C148" s="289" t="s">
        <v>87</v>
      </c>
      <c r="D148" s="289" t="s">
        <v>1096</v>
      </c>
      <c r="E148" s="284">
        <v>5</v>
      </c>
      <c r="F148" s="289" t="s">
        <v>1097</v>
      </c>
      <c r="G148" s="290">
        <v>0</v>
      </c>
      <c r="H148" s="289" t="s">
        <v>607</v>
      </c>
      <c r="I148" s="289" t="s">
        <v>554</v>
      </c>
      <c r="J148" s="289" t="s">
        <v>8</v>
      </c>
      <c r="K148" s="289"/>
      <c r="L148" s="289"/>
      <c r="M148" s="12">
        <f t="shared" si="8"/>
        <v>185</v>
      </c>
      <c r="N148" s="13">
        <f t="shared" si="9"/>
        <v>290</v>
      </c>
      <c r="O148" s="14">
        <f t="shared" si="10"/>
        <v>475</v>
      </c>
      <c r="P148" s="15">
        <f t="shared" si="11"/>
        <v>0.57228915662650603</v>
      </c>
    </row>
    <row r="149" spans="1:16" ht="15.75" customHeight="1" x14ac:dyDescent="0.3">
      <c r="A149" s="8" t="s">
        <v>58</v>
      </c>
      <c r="B149" s="289" t="s">
        <v>1139</v>
      </c>
      <c r="C149" s="289" t="s">
        <v>73</v>
      </c>
      <c r="D149" s="289" t="s">
        <v>1096</v>
      </c>
      <c r="E149" s="284">
        <v>16</v>
      </c>
      <c r="F149" s="289" t="s">
        <v>1097</v>
      </c>
      <c r="G149" s="284">
        <v>16</v>
      </c>
      <c r="H149" s="289" t="s">
        <v>607</v>
      </c>
      <c r="I149" s="289" t="s">
        <v>554</v>
      </c>
      <c r="J149" s="289" t="s">
        <v>8</v>
      </c>
      <c r="K149" s="289"/>
      <c r="L149" s="289"/>
      <c r="M149" s="12">
        <f t="shared" si="8"/>
        <v>185</v>
      </c>
      <c r="N149" s="13">
        <f t="shared" si="9"/>
        <v>290</v>
      </c>
      <c r="O149" s="14">
        <f t="shared" si="10"/>
        <v>475</v>
      </c>
      <c r="P149" s="15">
        <f t="shared" si="11"/>
        <v>0.57228915662650603</v>
      </c>
    </row>
    <row r="150" spans="1:16" ht="15.75" customHeight="1" x14ac:dyDescent="0.3">
      <c r="A150" s="8" t="s">
        <v>58</v>
      </c>
      <c r="B150" s="289" t="s">
        <v>261</v>
      </c>
      <c r="C150" s="289" t="s">
        <v>79</v>
      </c>
      <c r="D150" s="289" t="s">
        <v>1102</v>
      </c>
      <c r="E150" s="284">
        <v>40</v>
      </c>
      <c r="F150" s="289" t="s">
        <v>263</v>
      </c>
      <c r="G150" s="284">
        <v>40</v>
      </c>
      <c r="H150" s="289" t="s">
        <v>643</v>
      </c>
      <c r="I150" s="289" t="s">
        <v>579</v>
      </c>
      <c r="J150" s="289" t="s">
        <v>8</v>
      </c>
      <c r="K150" s="289"/>
      <c r="L150" s="289"/>
      <c r="M150" s="12">
        <f t="shared" si="8"/>
        <v>476.99</v>
      </c>
      <c r="N150" s="13">
        <f t="shared" si="9"/>
        <v>579</v>
      </c>
      <c r="O150" s="14">
        <f t="shared" si="10"/>
        <v>1055.99</v>
      </c>
      <c r="P150" s="15">
        <f t="shared" si="11"/>
        <v>1.272277108433735</v>
      </c>
    </row>
    <row r="151" spans="1:16" ht="15.75" customHeight="1" x14ac:dyDescent="0.3">
      <c r="A151" s="8" t="s">
        <v>58</v>
      </c>
      <c r="B151" s="289" t="s">
        <v>261</v>
      </c>
      <c r="C151" s="289" t="s">
        <v>79</v>
      </c>
      <c r="D151" s="289" t="s">
        <v>1140</v>
      </c>
      <c r="E151" s="284">
        <v>40</v>
      </c>
      <c r="F151" s="289" t="s">
        <v>263</v>
      </c>
      <c r="G151" s="284">
        <v>40</v>
      </c>
      <c r="H151" s="289" t="s">
        <v>643</v>
      </c>
      <c r="I151" s="289" t="s">
        <v>579</v>
      </c>
      <c r="J151" s="289" t="s">
        <v>8</v>
      </c>
      <c r="K151" s="289"/>
      <c r="L151" s="289"/>
      <c r="M151" s="12">
        <f t="shared" si="8"/>
        <v>476.99</v>
      </c>
      <c r="N151" s="13">
        <f t="shared" si="9"/>
        <v>579</v>
      </c>
      <c r="O151" s="14">
        <f t="shared" si="10"/>
        <v>1055.99</v>
      </c>
      <c r="P151" s="15">
        <f t="shared" si="11"/>
        <v>1.272277108433735</v>
      </c>
    </row>
    <row r="152" spans="1:16" ht="15.75" customHeight="1" x14ac:dyDescent="0.3">
      <c r="A152" s="8" t="s">
        <v>58</v>
      </c>
      <c r="B152" s="289" t="s">
        <v>261</v>
      </c>
      <c r="C152" s="289" t="s">
        <v>79</v>
      </c>
      <c r="D152" s="289" t="s">
        <v>1141</v>
      </c>
      <c r="E152" s="284">
        <v>40</v>
      </c>
      <c r="F152" s="289" t="s">
        <v>263</v>
      </c>
      <c r="G152" s="284">
        <v>40</v>
      </c>
      <c r="H152" s="289" t="s">
        <v>643</v>
      </c>
      <c r="I152" s="289" t="s">
        <v>579</v>
      </c>
      <c r="J152" s="289" t="s">
        <v>8</v>
      </c>
      <c r="K152" s="289"/>
      <c r="L152" s="289"/>
      <c r="M152" s="12">
        <f t="shared" si="8"/>
        <v>476.99</v>
      </c>
      <c r="N152" s="13">
        <f t="shared" si="9"/>
        <v>579</v>
      </c>
      <c r="O152" s="14">
        <f t="shared" si="10"/>
        <v>1055.99</v>
      </c>
      <c r="P152" s="15">
        <f t="shared" si="11"/>
        <v>1.272277108433735</v>
      </c>
    </row>
    <row r="153" spans="1:16" ht="15.75" customHeight="1" x14ac:dyDescent="0.3">
      <c r="A153" s="8" t="s">
        <v>58</v>
      </c>
      <c r="B153" s="289" t="s">
        <v>261</v>
      </c>
      <c r="C153" s="289" t="s">
        <v>79</v>
      </c>
      <c r="D153" s="289" t="s">
        <v>1142</v>
      </c>
      <c r="E153" s="284">
        <v>40</v>
      </c>
      <c r="F153" s="289" t="s">
        <v>263</v>
      </c>
      <c r="G153" s="284">
        <v>40</v>
      </c>
      <c r="H153" s="289" t="s">
        <v>643</v>
      </c>
      <c r="I153" s="289" t="s">
        <v>579</v>
      </c>
      <c r="J153" s="289" t="s">
        <v>8</v>
      </c>
      <c r="K153" s="289"/>
      <c r="L153" s="289"/>
      <c r="M153" s="12">
        <f t="shared" si="8"/>
        <v>476.99</v>
      </c>
      <c r="N153" s="13">
        <f t="shared" si="9"/>
        <v>579</v>
      </c>
      <c r="O153" s="14">
        <f t="shared" si="10"/>
        <v>1055.99</v>
      </c>
      <c r="P153" s="15">
        <f t="shared" si="11"/>
        <v>1.272277108433735</v>
      </c>
    </row>
    <row r="154" spans="1:16" ht="15.75" customHeight="1" x14ac:dyDescent="0.3">
      <c r="A154" s="8" t="s">
        <v>58</v>
      </c>
      <c r="B154" s="289" t="s">
        <v>261</v>
      </c>
      <c r="C154" s="289" t="s">
        <v>80</v>
      </c>
      <c r="D154" s="289" t="s">
        <v>1102</v>
      </c>
      <c r="E154" s="284">
        <v>1</v>
      </c>
      <c r="F154" s="289" t="s">
        <v>263</v>
      </c>
      <c r="G154" s="290">
        <v>0</v>
      </c>
      <c r="H154" s="289" t="s">
        <v>643</v>
      </c>
      <c r="I154" s="289" t="s">
        <v>579</v>
      </c>
      <c r="J154" s="289" t="s">
        <v>8</v>
      </c>
      <c r="K154" s="289"/>
      <c r="L154" s="289"/>
      <c r="M154" s="12">
        <f t="shared" si="8"/>
        <v>476.99</v>
      </c>
      <c r="N154" s="13">
        <f t="shared" si="9"/>
        <v>579</v>
      </c>
      <c r="O154" s="14">
        <f t="shared" si="10"/>
        <v>1055.99</v>
      </c>
      <c r="P154" s="15">
        <f t="shared" si="11"/>
        <v>1.272277108433735</v>
      </c>
    </row>
    <row r="155" spans="1:16" ht="15.75" customHeight="1" x14ac:dyDescent="0.3">
      <c r="A155" s="8" t="s">
        <v>58</v>
      </c>
      <c r="B155" s="289" t="s">
        <v>261</v>
      </c>
      <c r="C155" s="289" t="s">
        <v>87</v>
      </c>
      <c r="D155" s="289" t="s">
        <v>1102</v>
      </c>
      <c r="E155" s="284">
        <v>3</v>
      </c>
      <c r="F155" s="289" t="s">
        <v>263</v>
      </c>
      <c r="G155" s="290">
        <v>0</v>
      </c>
      <c r="H155" s="289" t="s">
        <v>643</v>
      </c>
      <c r="I155" s="289" t="s">
        <v>579</v>
      </c>
      <c r="J155" s="289" t="s">
        <v>8</v>
      </c>
      <c r="K155" s="289"/>
      <c r="L155" s="289"/>
      <c r="M155" s="12">
        <f t="shared" si="8"/>
        <v>476.99</v>
      </c>
      <c r="N155" s="13">
        <f t="shared" si="9"/>
        <v>579</v>
      </c>
      <c r="O155" s="14">
        <f t="shared" si="10"/>
        <v>1055.99</v>
      </c>
      <c r="P155" s="15">
        <f t="shared" si="11"/>
        <v>1.272277108433735</v>
      </c>
    </row>
    <row r="156" spans="1:16" ht="15.75" customHeight="1" x14ac:dyDescent="0.3">
      <c r="A156" s="8" t="s">
        <v>58</v>
      </c>
      <c r="B156" s="289" t="s">
        <v>261</v>
      </c>
      <c r="C156" s="289" t="s">
        <v>87</v>
      </c>
      <c r="D156" s="289" t="s">
        <v>1141</v>
      </c>
      <c r="E156" s="284">
        <v>3</v>
      </c>
      <c r="F156" s="289" t="s">
        <v>263</v>
      </c>
      <c r="G156" s="290">
        <v>0</v>
      </c>
      <c r="H156" s="289" t="s">
        <v>643</v>
      </c>
      <c r="I156" s="289" t="s">
        <v>579</v>
      </c>
      <c r="J156" s="289" t="s">
        <v>8</v>
      </c>
      <c r="K156" s="289"/>
      <c r="L156" s="289"/>
      <c r="M156" s="12">
        <f t="shared" si="8"/>
        <v>476.99</v>
      </c>
      <c r="N156" s="13">
        <f t="shared" si="9"/>
        <v>579</v>
      </c>
      <c r="O156" s="14">
        <f t="shared" si="10"/>
        <v>1055.99</v>
      </c>
      <c r="P156" s="15">
        <f t="shared" si="11"/>
        <v>1.272277108433735</v>
      </c>
    </row>
    <row r="157" spans="1:16" ht="15.75" customHeight="1" x14ac:dyDescent="0.3">
      <c r="A157" s="8" t="s">
        <v>58</v>
      </c>
      <c r="B157" s="289" t="s">
        <v>261</v>
      </c>
      <c r="C157" s="289" t="s">
        <v>87</v>
      </c>
      <c r="D157" s="289" t="s">
        <v>1140</v>
      </c>
      <c r="E157" s="284">
        <v>3</v>
      </c>
      <c r="F157" s="289" t="s">
        <v>263</v>
      </c>
      <c r="G157" s="290">
        <v>0</v>
      </c>
      <c r="H157" s="289" t="s">
        <v>643</v>
      </c>
      <c r="I157" s="289" t="s">
        <v>579</v>
      </c>
      <c r="J157" s="289" t="s">
        <v>8</v>
      </c>
      <c r="K157" s="289"/>
      <c r="L157" s="289"/>
      <c r="M157" s="12">
        <f t="shared" si="8"/>
        <v>476.99</v>
      </c>
      <c r="N157" s="13">
        <f t="shared" si="9"/>
        <v>579</v>
      </c>
      <c r="O157" s="14">
        <f t="shared" si="10"/>
        <v>1055.99</v>
      </c>
      <c r="P157" s="15">
        <f t="shared" si="11"/>
        <v>1.272277108433735</v>
      </c>
    </row>
    <row r="158" spans="1:16" ht="15.75" customHeight="1" x14ac:dyDescent="0.3">
      <c r="A158" s="8" t="s">
        <v>58</v>
      </c>
      <c r="B158" s="289" t="s">
        <v>261</v>
      </c>
      <c r="C158" s="289" t="s">
        <v>87</v>
      </c>
      <c r="D158" s="289" t="s">
        <v>1142</v>
      </c>
      <c r="E158" s="284">
        <v>3</v>
      </c>
      <c r="F158" s="289" t="s">
        <v>263</v>
      </c>
      <c r="G158" s="290">
        <v>0</v>
      </c>
      <c r="H158" s="289" t="s">
        <v>643</v>
      </c>
      <c r="I158" s="289" t="s">
        <v>579</v>
      </c>
      <c r="J158" s="289" t="s">
        <v>8</v>
      </c>
      <c r="K158" s="289"/>
      <c r="L158" s="289"/>
      <c r="M158" s="12">
        <f t="shared" si="8"/>
        <v>476.99</v>
      </c>
      <c r="N158" s="13">
        <f t="shared" si="9"/>
        <v>579</v>
      </c>
      <c r="O158" s="14">
        <f t="shared" si="10"/>
        <v>1055.99</v>
      </c>
      <c r="P158" s="15">
        <f t="shared" si="11"/>
        <v>1.272277108433735</v>
      </c>
    </row>
    <row r="159" spans="1:16" ht="15.75" customHeight="1" x14ac:dyDescent="0.3">
      <c r="A159" s="8" t="s">
        <v>58</v>
      </c>
      <c r="B159" s="289" t="s">
        <v>261</v>
      </c>
      <c r="C159" s="289" t="s">
        <v>80</v>
      </c>
      <c r="D159" s="289" t="s">
        <v>1142</v>
      </c>
      <c r="E159" s="284">
        <v>1</v>
      </c>
      <c r="F159" s="289" t="s">
        <v>263</v>
      </c>
      <c r="G159" s="290">
        <v>0</v>
      </c>
      <c r="H159" s="289" t="s">
        <v>643</v>
      </c>
      <c r="I159" s="289" t="s">
        <v>579</v>
      </c>
      <c r="J159" s="289" t="s">
        <v>8</v>
      </c>
      <c r="K159" s="289"/>
      <c r="L159" s="289"/>
      <c r="M159" s="12">
        <f t="shared" si="8"/>
        <v>476.99</v>
      </c>
      <c r="N159" s="13">
        <f t="shared" si="9"/>
        <v>579</v>
      </c>
      <c r="O159" s="14">
        <f t="shared" si="10"/>
        <v>1055.99</v>
      </c>
      <c r="P159" s="15">
        <f t="shared" si="11"/>
        <v>1.272277108433735</v>
      </c>
    </row>
    <row r="160" spans="1:16" ht="15.75" customHeight="1" x14ac:dyDescent="0.3">
      <c r="A160" s="8" t="s">
        <v>58</v>
      </c>
      <c r="B160" s="289" t="s">
        <v>261</v>
      </c>
      <c r="C160" s="289" t="s">
        <v>80</v>
      </c>
      <c r="D160" s="289" t="s">
        <v>1141</v>
      </c>
      <c r="E160" s="284">
        <v>1</v>
      </c>
      <c r="F160" s="289" t="s">
        <v>263</v>
      </c>
      <c r="G160" s="290">
        <v>0</v>
      </c>
      <c r="H160" s="289" t="s">
        <v>643</v>
      </c>
      <c r="I160" s="289" t="s">
        <v>579</v>
      </c>
      <c r="J160" s="289" t="s">
        <v>8</v>
      </c>
      <c r="K160" s="289"/>
      <c r="L160" s="289"/>
      <c r="M160" s="12">
        <f t="shared" si="8"/>
        <v>476.99</v>
      </c>
      <c r="N160" s="13">
        <f t="shared" si="9"/>
        <v>579</v>
      </c>
      <c r="O160" s="14">
        <f t="shared" si="10"/>
        <v>1055.99</v>
      </c>
      <c r="P160" s="15">
        <f t="shared" si="11"/>
        <v>1.272277108433735</v>
      </c>
    </row>
    <row r="161" spans="1:16" ht="15.75" customHeight="1" x14ac:dyDescent="0.3">
      <c r="A161" s="8" t="s">
        <v>58</v>
      </c>
      <c r="B161" s="289" t="s">
        <v>261</v>
      </c>
      <c r="C161" s="289" t="s">
        <v>73</v>
      </c>
      <c r="D161" s="289" t="s">
        <v>1143</v>
      </c>
      <c r="E161" s="284">
        <v>12</v>
      </c>
      <c r="F161" s="289" t="s">
        <v>263</v>
      </c>
      <c r="G161" s="284">
        <v>12</v>
      </c>
      <c r="H161" s="289" t="s">
        <v>643</v>
      </c>
      <c r="I161" s="289" t="s">
        <v>579</v>
      </c>
      <c r="J161" s="289" t="s">
        <v>8</v>
      </c>
      <c r="K161" s="289"/>
      <c r="L161" s="289"/>
      <c r="M161" s="12">
        <f t="shared" si="8"/>
        <v>476.99</v>
      </c>
      <c r="N161" s="13">
        <f t="shared" si="9"/>
        <v>579</v>
      </c>
      <c r="O161" s="14">
        <f t="shared" si="10"/>
        <v>1055.99</v>
      </c>
      <c r="P161" s="15">
        <f t="shared" si="11"/>
        <v>1.272277108433735</v>
      </c>
    </row>
    <row r="162" spans="1:16" ht="15.75" customHeight="1" x14ac:dyDescent="0.3">
      <c r="A162" s="8" t="s">
        <v>58</v>
      </c>
      <c r="B162" s="289" t="s">
        <v>261</v>
      </c>
      <c r="C162" s="289" t="s">
        <v>80</v>
      </c>
      <c r="D162" s="289" t="s">
        <v>1140</v>
      </c>
      <c r="E162" s="284">
        <v>1</v>
      </c>
      <c r="F162" s="289" t="s">
        <v>263</v>
      </c>
      <c r="G162" s="290">
        <v>0</v>
      </c>
      <c r="H162" s="289" t="s">
        <v>643</v>
      </c>
      <c r="I162" s="289" t="s">
        <v>579</v>
      </c>
      <c r="J162" s="289" t="s">
        <v>8</v>
      </c>
      <c r="K162" s="289"/>
      <c r="L162" s="289"/>
      <c r="M162" s="12">
        <f t="shared" si="8"/>
        <v>476.99</v>
      </c>
      <c r="N162" s="13">
        <f t="shared" si="9"/>
        <v>579</v>
      </c>
      <c r="O162" s="14">
        <f t="shared" si="10"/>
        <v>1055.99</v>
      </c>
      <c r="P162" s="15">
        <f t="shared" si="11"/>
        <v>1.272277108433735</v>
      </c>
    </row>
    <row r="163" spans="1:16" ht="15.75" customHeight="1" x14ac:dyDescent="0.3">
      <c r="A163" s="8" t="s">
        <v>59</v>
      </c>
      <c r="B163" s="289" t="s">
        <v>1144</v>
      </c>
      <c r="C163" s="289" t="s">
        <v>73</v>
      </c>
      <c r="D163" s="289" t="s">
        <v>1138</v>
      </c>
      <c r="E163" s="284">
        <v>16</v>
      </c>
      <c r="F163" s="289" t="s">
        <v>221</v>
      </c>
      <c r="G163" s="284">
        <v>16</v>
      </c>
      <c r="H163" s="289" t="s">
        <v>1098</v>
      </c>
      <c r="I163" s="289" t="s">
        <v>260</v>
      </c>
      <c r="J163" s="289" t="s">
        <v>21</v>
      </c>
      <c r="K163" s="291" t="s">
        <v>1099</v>
      </c>
      <c r="L163" s="289" t="s">
        <v>1100</v>
      </c>
      <c r="M163" s="12">
        <f t="shared" si="8"/>
        <v>234</v>
      </c>
      <c r="N163" s="13">
        <f t="shared" si="9"/>
        <v>201</v>
      </c>
      <c r="O163" s="14">
        <f t="shared" si="10"/>
        <v>435</v>
      </c>
      <c r="P163" s="15">
        <f t="shared" si="11"/>
        <v>0.52409638554216864</v>
      </c>
    </row>
    <row r="164" spans="1:16" ht="15.75" customHeight="1" x14ac:dyDescent="0.3">
      <c r="A164" s="8" t="s">
        <v>59</v>
      </c>
      <c r="B164" s="289" t="s">
        <v>1144</v>
      </c>
      <c r="C164" s="292" t="s">
        <v>73</v>
      </c>
      <c r="D164" s="289" t="s">
        <v>1138</v>
      </c>
      <c r="E164" s="284">
        <v>-16</v>
      </c>
      <c r="F164" s="289" t="s">
        <v>221</v>
      </c>
      <c r="G164" s="284">
        <v>-16</v>
      </c>
      <c r="H164" s="289" t="s">
        <v>606</v>
      </c>
      <c r="I164" s="289" t="s">
        <v>510</v>
      </c>
      <c r="J164" s="289" t="s">
        <v>4</v>
      </c>
      <c r="K164" s="291" t="s">
        <v>1099</v>
      </c>
      <c r="L164" s="289"/>
      <c r="M164" s="12">
        <f t="shared" si="8"/>
        <v>649</v>
      </c>
      <c r="N164" s="13">
        <f t="shared" si="9"/>
        <v>84</v>
      </c>
      <c r="O164" s="14">
        <f t="shared" si="10"/>
        <v>733</v>
      </c>
      <c r="P164" s="15">
        <f t="shared" si="11"/>
        <v>0.88313253012048187</v>
      </c>
    </row>
    <row r="165" spans="1:16" ht="15.75" customHeight="1" x14ac:dyDescent="0.3">
      <c r="A165" s="8" t="s">
        <v>59</v>
      </c>
      <c r="B165" s="289" t="s">
        <v>1144</v>
      </c>
      <c r="C165" s="292" t="s">
        <v>73</v>
      </c>
      <c r="D165" s="289" t="s">
        <v>1138</v>
      </c>
      <c r="E165" s="284">
        <v>16</v>
      </c>
      <c r="F165" s="289" t="s">
        <v>221</v>
      </c>
      <c r="G165" s="284">
        <v>16</v>
      </c>
      <c r="H165" s="289" t="s">
        <v>606</v>
      </c>
      <c r="I165" s="289" t="s">
        <v>510</v>
      </c>
      <c r="J165" s="289" t="s">
        <v>4</v>
      </c>
      <c r="K165" s="289"/>
      <c r="L165" s="289" t="s">
        <v>260</v>
      </c>
      <c r="M165" s="12">
        <f t="shared" si="8"/>
        <v>649</v>
      </c>
      <c r="N165" s="13">
        <f t="shared" si="9"/>
        <v>84</v>
      </c>
      <c r="O165" s="14">
        <f t="shared" si="10"/>
        <v>733</v>
      </c>
      <c r="P165" s="15">
        <f t="shared" si="11"/>
        <v>0.88313253012048187</v>
      </c>
    </row>
    <row r="166" spans="1:16" ht="15.75" customHeight="1" x14ac:dyDescent="0.3">
      <c r="A166" s="8" t="s">
        <v>59</v>
      </c>
      <c r="B166" s="289" t="s">
        <v>1144</v>
      </c>
      <c r="C166" s="289" t="s">
        <v>79</v>
      </c>
      <c r="D166" s="289" t="s">
        <v>1138</v>
      </c>
      <c r="E166" s="284">
        <v>18</v>
      </c>
      <c r="F166" s="289" t="s">
        <v>221</v>
      </c>
      <c r="G166" s="284">
        <v>18</v>
      </c>
      <c r="H166" s="289" t="s">
        <v>1098</v>
      </c>
      <c r="I166" s="289" t="s">
        <v>260</v>
      </c>
      <c r="J166" s="289" t="s">
        <v>21</v>
      </c>
      <c r="K166" s="289"/>
      <c r="L166" s="289"/>
      <c r="M166" s="12">
        <f t="shared" si="8"/>
        <v>234</v>
      </c>
      <c r="N166" s="13">
        <f t="shared" si="9"/>
        <v>201</v>
      </c>
      <c r="O166" s="14">
        <f t="shared" si="10"/>
        <v>435</v>
      </c>
      <c r="P166" s="15">
        <f t="shared" si="11"/>
        <v>0.52409638554216864</v>
      </c>
    </row>
    <row r="167" spans="1:16" ht="15.75" customHeight="1" x14ac:dyDescent="0.3">
      <c r="A167" s="8" t="s">
        <v>59</v>
      </c>
      <c r="B167" s="289" t="s">
        <v>1144</v>
      </c>
      <c r="C167" s="289" t="s">
        <v>142</v>
      </c>
      <c r="D167" s="289" t="s">
        <v>1138</v>
      </c>
      <c r="E167" s="284">
        <v>5</v>
      </c>
      <c r="F167" s="289" t="s">
        <v>221</v>
      </c>
      <c r="G167" s="290">
        <v>0</v>
      </c>
      <c r="H167" s="289" t="s">
        <v>1098</v>
      </c>
      <c r="I167" s="289" t="s">
        <v>260</v>
      </c>
      <c r="J167" s="289" t="s">
        <v>21</v>
      </c>
      <c r="K167" s="291" t="s">
        <v>1099</v>
      </c>
      <c r="L167" s="289" t="s">
        <v>1100</v>
      </c>
      <c r="M167" s="12">
        <f t="shared" si="8"/>
        <v>234</v>
      </c>
      <c r="N167" s="13">
        <f t="shared" si="9"/>
        <v>201</v>
      </c>
      <c r="O167" s="14">
        <f t="shared" si="10"/>
        <v>435</v>
      </c>
      <c r="P167" s="15">
        <f t="shared" si="11"/>
        <v>0.52409638554216864</v>
      </c>
    </row>
    <row r="168" spans="1:16" ht="15.75" customHeight="1" x14ac:dyDescent="0.3">
      <c r="A168" s="8" t="s">
        <v>59</v>
      </c>
      <c r="B168" s="289" t="s">
        <v>1144</v>
      </c>
      <c r="C168" s="292" t="s">
        <v>142</v>
      </c>
      <c r="D168" s="289" t="s">
        <v>1138</v>
      </c>
      <c r="E168" s="284">
        <v>-5</v>
      </c>
      <c r="F168" s="289" t="s">
        <v>221</v>
      </c>
      <c r="G168" s="290">
        <v>0</v>
      </c>
      <c r="H168" s="289" t="s">
        <v>606</v>
      </c>
      <c r="I168" s="289" t="s">
        <v>510</v>
      </c>
      <c r="J168" s="289" t="s">
        <v>4</v>
      </c>
      <c r="K168" s="291" t="s">
        <v>1099</v>
      </c>
      <c r="L168" s="289"/>
      <c r="M168" s="12">
        <f t="shared" si="8"/>
        <v>649</v>
      </c>
      <c r="N168" s="13">
        <f t="shared" si="9"/>
        <v>84</v>
      </c>
      <c r="O168" s="14">
        <f t="shared" si="10"/>
        <v>733</v>
      </c>
      <c r="P168" s="15">
        <f t="shared" si="11"/>
        <v>0.88313253012048187</v>
      </c>
    </row>
    <row r="169" spans="1:16" ht="15.75" customHeight="1" x14ac:dyDescent="0.3">
      <c r="A169" s="8" t="s">
        <v>59</v>
      </c>
      <c r="B169" s="289" t="s">
        <v>1144</v>
      </c>
      <c r="C169" s="292" t="s">
        <v>142</v>
      </c>
      <c r="D169" s="289" t="s">
        <v>1138</v>
      </c>
      <c r="E169" s="284">
        <v>5</v>
      </c>
      <c r="F169" s="289" t="s">
        <v>221</v>
      </c>
      <c r="G169" s="290">
        <v>0</v>
      </c>
      <c r="H169" s="289" t="s">
        <v>606</v>
      </c>
      <c r="I169" s="289" t="s">
        <v>510</v>
      </c>
      <c r="J169" s="289" t="s">
        <v>4</v>
      </c>
      <c r="K169" s="289"/>
      <c r="L169" s="289" t="s">
        <v>260</v>
      </c>
      <c r="M169" s="12">
        <f t="shared" si="8"/>
        <v>649</v>
      </c>
      <c r="N169" s="13">
        <f t="shared" si="9"/>
        <v>84</v>
      </c>
      <c r="O169" s="14">
        <f t="shared" si="10"/>
        <v>733</v>
      </c>
      <c r="P169" s="15">
        <f t="shared" si="11"/>
        <v>0.88313253012048187</v>
      </c>
    </row>
    <row r="170" spans="1:16" ht="15.75" customHeight="1" x14ac:dyDescent="0.3">
      <c r="A170" s="8" t="s">
        <v>59</v>
      </c>
      <c r="B170" s="289" t="s">
        <v>1144</v>
      </c>
      <c r="C170" s="289" t="s">
        <v>80</v>
      </c>
      <c r="D170" s="289" t="s">
        <v>1138</v>
      </c>
      <c r="E170" s="284">
        <v>2</v>
      </c>
      <c r="F170" s="289" t="s">
        <v>221</v>
      </c>
      <c r="G170" s="290">
        <v>0</v>
      </c>
      <c r="H170" s="289" t="s">
        <v>1098</v>
      </c>
      <c r="I170" s="289" t="s">
        <v>260</v>
      </c>
      <c r="J170" s="289" t="s">
        <v>21</v>
      </c>
      <c r="K170" s="289"/>
      <c r="L170" s="289"/>
      <c r="M170" s="12">
        <f t="shared" si="8"/>
        <v>234</v>
      </c>
      <c r="N170" s="13">
        <f t="shared" si="9"/>
        <v>201</v>
      </c>
      <c r="O170" s="14">
        <f t="shared" si="10"/>
        <v>435</v>
      </c>
      <c r="P170" s="15">
        <f t="shared" si="11"/>
        <v>0.52409638554216864</v>
      </c>
    </row>
    <row r="171" spans="1:16" ht="15.75" customHeight="1" x14ac:dyDescent="0.3">
      <c r="A171" s="8" t="s">
        <v>59</v>
      </c>
      <c r="B171" s="289" t="s">
        <v>81</v>
      </c>
      <c r="C171" s="289" t="s">
        <v>79</v>
      </c>
      <c r="D171" s="289" t="s">
        <v>1094</v>
      </c>
      <c r="E171" s="284">
        <v>8</v>
      </c>
      <c r="F171" s="289" t="s">
        <v>161</v>
      </c>
      <c r="G171" s="284">
        <v>28</v>
      </c>
      <c r="H171" s="289" t="s">
        <v>643</v>
      </c>
      <c r="I171" s="289" t="s">
        <v>579</v>
      </c>
      <c r="J171" s="289" t="s">
        <v>8</v>
      </c>
      <c r="K171" s="289"/>
      <c r="L171" s="289"/>
      <c r="M171" s="12">
        <f t="shared" si="8"/>
        <v>476.99</v>
      </c>
      <c r="N171" s="13">
        <f t="shared" si="9"/>
        <v>579</v>
      </c>
      <c r="O171" s="14">
        <f t="shared" si="10"/>
        <v>1055.99</v>
      </c>
      <c r="P171" s="15">
        <f t="shared" si="11"/>
        <v>1.272277108433735</v>
      </c>
    </row>
    <row r="172" spans="1:16" ht="15.75" customHeight="1" x14ac:dyDescent="0.3">
      <c r="A172" s="8" t="s">
        <v>59</v>
      </c>
      <c r="B172" s="289" t="s">
        <v>81</v>
      </c>
      <c r="C172" s="289" t="s">
        <v>79</v>
      </c>
      <c r="D172" s="289" t="s">
        <v>1093</v>
      </c>
      <c r="E172" s="284">
        <v>6</v>
      </c>
      <c r="F172" s="289" t="s">
        <v>161</v>
      </c>
      <c r="G172" s="284">
        <v>28</v>
      </c>
      <c r="H172" s="289" t="s">
        <v>643</v>
      </c>
      <c r="I172" s="289" t="s">
        <v>579</v>
      </c>
      <c r="J172" s="289" t="s">
        <v>8</v>
      </c>
      <c r="K172" s="289"/>
      <c r="L172" s="289"/>
      <c r="M172" s="12">
        <f t="shared" si="8"/>
        <v>476.99</v>
      </c>
      <c r="N172" s="13">
        <f t="shared" si="9"/>
        <v>579</v>
      </c>
      <c r="O172" s="14">
        <f t="shared" si="10"/>
        <v>1055.99</v>
      </c>
      <c r="P172" s="15">
        <f t="shared" si="11"/>
        <v>1.272277108433735</v>
      </c>
    </row>
    <row r="173" spans="1:16" ht="15.75" customHeight="1" x14ac:dyDescent="0.3">
      <c r="A173" s="8" t="s">
        <v>59</v>
      </c>
      <c r="B173" s="289" t="s">
        <v>364</v>
      </c>
      <c r="C173" s="289" t="s">
        <v>73</v>
      </c>
      <c r="D173" s="289" t="s">
        <v>1102</v>
      </c>
      <c r="E173" s="284">
        <v>18</v>
      </c>
      <c r="F173" s="289" t="s">
        <v>153</v>
      </c>
      <c r="G173" s="284">
        <v>18</v>
      </c>
      <c r="H173" s="289" t="s">
        <v>719</v>
      </c>
      <c r="I173" s="289" t="s">
        <v>567</v>
      </c>
      <c r="J173" s="289" t="s">
        <v>426</v>
      </c>
      <c r="K173" s="289"/>
      <c r="L173" s="289"/>
      <c r="M173" s="12">
        <f t="shared" si="8"/>
        <v>0</v>
      </c>
      <c r="N173" s="13">
        <f t="shared" si="9"/>
        <v>114</v>
      </c>
      <c r="O173" s="14">
        <f t="shared" si="10"/>
        <v>114</v>
      </c>
      <c r="P173" s="15">
        <f t="shared" si="11"/>
        <v>0.13734939759036144</v>
      </c>
    </row>
    <row r="174" spans="1:16" ht="15.75" customHeight="1" x14ac:dyDescent="0.3">
      <c r="A174" s="8" t="s">
        <v>59</v>
      </c>
      <c r="B174" s="289" t="s">
        <v>364</v>
      </c>
      <c r="C174" s="289" t="s">
        <v>123</v>
      </c>
      <c r="D174" s="289" t="s">
        <v>1102</v>
      </c>
      <c r="E174" s="284">
        <v>24</v>
      </c>
      <c r="F174" s="289" t="s">
        <v>153</v>
      </c>
      <c r="G174" s="290">
        <v>0</v>
      </c>
      <c r="H174" s="289" t="s">
        <v>719</v>
      </c>
      <c r="I174" s="289" t="s">
        <v>567</v>
      </c>
      <c r="J174" s="289" t="s">
        <v>426</v>
      </c>
      <c r="K174" s="289"/>
      <c r="L174" s="289"/>
      <c r="M174" s="12">
        <f t="shared" si="8"/>
        <v>0</v>
      </c>
      <c r="N174" s="13">
        <f t="shared" si="9"/>
        <v>114</v>
      </c>
      <c r="O174" s="14">
        <f t="shared" si="10"/>
        <v>114</v>
      </c>
      <c r="P174" s="15">
        <f t="shared" si="11"/>
        <v>0.13734939759036144</v>
      </c>
    </row>
    <row r="175" spans="1:16" ht="15.75" customHeight="1" x14ac:dyDescent="0.3">
      <c r="A175" s="8" t="s">
        <v>59</v>
      </c>
      <c r="B175" s="289" t="s">
        <v>364</v>
      </c>
      <c r="C175" s="289" t="s">
        <v>87</v>
      </c>
      <c r="D175" s="289" t="s">
        <v>1102</v>
      </c>
      <c r="E175" s="284">
        <v>3</v>
      </c>
      <c r="F175" s="289" t="s">
        <v>153</v>
      </c>
      <c r="G175" s="290">
        <v>0</v>
      </c>
      <c r="H175" s="289" t="s">
        <v>719</v>
      </c>
      <c r="I175" s="289" t="s">
        <v>567</v>
      </c>
      <c r="J175" s="289" t="s">
        <v>426</v>
      </c>
      <c r="K175" s="289"/>
      <c r="L175" s="289"/>
      <c r="M175" s="12">
        <f t="shared" si="8"/>
        <v>0</v>
      </c>
      <c r="N175" s="13">
        <f t="shared" si="9"/>
        <v>114</v>
      </c>
      <c r="O175" s="14">
        <f t="shared" si="10"/>
        <v>114</v>
      </c>
      <c r="P175" s="15">
        <f t="shared" si="11"/>
        <v>0.13734939759036144</v>
      </c>
    </row>
    <row r="176" spans="1:16" ht="15.75" customHeight="1" x14ac:dyDescent="0.3">
      <c r="A176" s="8" t="s">
        <v>59</v>
      </c>
      <c r="B176" s="289" t="s">
        <v>364</v>
      </c>
      <c r="C176" s="289" t="s">
        <v>79</v>
      </c>
      <c r="D176" s="289" t="s">
        <v>1102</v>
      </c>
      <c r="E176" s="284">
        <v>36</v>
      </c>
      <c r="F176" s="289" t="s">
        <v>153</v>
      </c>
      <c r="G176" s="284">
        <v>36</v>
      </c>
      <c r="H176" s="289" t="s">
        <v>719</v>
      </c>
      <c r="I176" s="289" t="s">
        <v>567</v>
      </c>
      <c r="J176" s="289" t="s">
        <v>426</v>
      </c>
      <c r="K176" s="289"/>
      <c r="L176" s="289"/>
      <c r="M176" s="12">
        <f t="shared" si="8"/>
        <v>0</v>
      </c>
      <c r="N176" s="13">
        <f t="shared" si="9"/>
        <v>114</v>
      </c>
      <c r="O176" s="14">
        <f t="shared" si="10"/>
        <v>114</v>
      </c>
      <c r="P176" s="15">
        <f t="shared" si="11"/>
        <v>0.13734939759036144</v>
      </c>
    </row>
    <row r="177" spans="1:16" ht="15.75" customHeight="1" x14ac:dyDescent="0.3">
      <c r="A177" s="8" t="s">
        <v>59</v>
      </c>
      <c r="B177" s="289" t="s">
        <v>364</v>
      </c>
      <c r="C177" s="289" t="s">
        <v>100</v>
      </c>
      <c r="D177" s="289" t="s">
        <v>1102</v>
      </c>
      <c r="E177" s="284">
        <v>12</v>
      </c>
      <c r="F177" s="289" t="s">
        <v>153</v>
      </c>
      <c r="G177" s="284">
        <v>12</v>
      </c>
      <c r="H177" s="289" t="s">
        <v>646</v>
      </c>
      <c r="I177" s="289" t="s">
        <v>568</v>
      </c>
      <c r="J177" s="289" t="s">
        <v>8</v>
      </c>
      <c r="K177" s="289"/>
      <c r="L177" s="289"/>
      <c r="M177" s="12">
        <f t="shared" si="8"/>
        <v>488.01</v>
      </c>
      <c r="N177" s="13">
        <f t="shared" si="9"/>
        <v>683</v>
      </c>
      <c r="O177" s="14">
        <f t="shared" si="10"/>
        <v>1171.01</v>
      </c>
      <c r="P177" s="15">
        <f t="shared" si="11"/>
        <v>1.410855421686747</v>
      </c>
    </row>
    <row r="178" spans="1:16" ht="15.75" customHeight="1" x14ac:dyDescent="0.3">
      <c r="A178" s="8" t="s">
        <v>59</v>
      </c>
      <c r="B178" s="289" t="s">
        <v>364</v>
      </c>
      <c r="C178" s="289" t="s">
        <v>80</v>
      </c>
      <c r="D178" s="289" t="s">
        <v>1102</v>
      </c>
      <c r="E178" s="284">
        <v>1</v>
      </c>
      <c r="F178" s="289" t="s">
        <v>153</v>
      </c>
      <c r="G178" s="290">
        <v>0</v>
      </c>
      <c r="H178" s="289" t="s">
        <v>719</v>
      </c>
      <c r="I178" s="289" t="s">
        <v>567</v>
      </c>
      <c r="J178" s="289" t="s">
        <v>426</v>
      </c>
      <c r="K178" s="289"/>
      <c r="L178" s="289"/>
      <c r="M178" s="12">
        <f t="shared" si="8"/>
        <v>0</v>
      </c>
      <c r="N178" s="13">
        <f t="shared" si="9"/>
        <v>114</v>
      </c>
      <c r="O178" s="14">
        <f t="shared" si="10"/>
        <v>114</v>
      </c>
      <c r="P178" s="15">
        <f t="shared" si="11"/>
        <v>0.13734939759036144</v>
      </c>
    </row>
    <row r="179" spans="1:16" ht="15.75" customHeight="1" x14ac:dyDescent="0.3">
      <c r="A179" s="8" t="s">
        <v>59</v>
      </c>
      <c r="B179" s="289" t="s">
        <v>365</v>
      </c>
      <c r="C179" s="289" t="s">
        <v>73</v>
      </c>
      <c r="D179" s="289" t="s">
        <v>1102</v>
      </c>
      <c r="E179" s="284">
        <v>24</v>
      </c>
      <c r="F179" s="289" t="s">
        <v>153</v>
      </c>
      <c r="G179" s="284">
        <v>24</v>
      </c>
      <c r="H179" s="289" t="s">
        <v>643</v>
      </c>
      <c r="I179" s="289" t="s">
        <v>579</v>
      </c>
      <c r="J179" s="289" t="s">
        <v>8</v>
      </c>
      <c r="K179" s="289"/>
      <c r="L179" s="289"/>
      <c r="M179" s="12">
        <f t="shared" si="8"/>
        <v>476.99</v>
      </c>
      <c r="N179" s="13">
        <f t="shared" si="9"/>
        <v>579</v>
      </c>
      <c r="O179" s="14">
        <f t="shared" si="10"/>
        <v>1055.99</v>
      </c>
      <c r="P179" s="15">
        <f t="shared" si="11"/>
        <v>1.272277108433735</v>
      </c>
    </row>
    <row r="180" spans="1:16" ht="15.75" customHeight="1" x14ac:dyDescent="0.3">
      <c r="A180" s="8" t="s">
        <v>59</v>
      </c>
      <c r="B180" s="289" t="s">
        <v>365</v>
      </c>
      <c r="C180" s="289" t="s">
        <v>73</v>
      </c>
      <c r="D180" s="289" t="s">
        <v>1120</v>
      </c>
      <c r="E180" s="284">
        <v>32</v>
      </c>
      <c r="F180" s="289" t="s">
        <v>161</v>
      </c>
      <c r="G180" s="284">
        <v>32</v>
      </c>
      <c r="H180" s="289" t="s">
        <v>643</v>
      </c>
      <c r="I180" s="289" t="s">
        <v>579</v>
      </c>
      <c r="J180" s="289" t="s">
        <v>8</v>
      </c>
      <c r="K180" s="289"/>
      <c r="L180" s="289"/>
      <c r="M180" s="12">
        <f t="shared" si="8"/>
        <v>476.99</v>
      </c>
      <c r="N180" s="13">
        <f t="shared" si="9"/>
        <v>579</v>
      </c>
      <c r="O180" s="14">
        <f t="shared" si="10"/>
        <v>1055.99</v>
      </c>
      <c r="P180" s="15">
        <f t="shared" si="11"/>
        <v>1.272277108433735</v>
      </c>
    </row>
    <row r="181" spans="1:16" ht="15.75" customHeight="1" x14ac:dyDescent="0.3">
      <c r="A181" s="8" t="s">
        <v>59</v>
      </c>
      <c r="B181" s="289" t="s">
        <v>365</v>
      </c>
      <c r="C181" s="289" t="s">
        <v>123</v>
      </c>
      <c r="D181" s="289" t="s">
        <v>1102</v>
      </c>
      <c r="E181" s="284">
        <v>24</v>
      </c>
      <c r="F181" s="289" t="s">
        <v>153</v>
      </c>
      <c r="G181" s="290">
        <v>0</v>
      </c>
      <c r="H181" s="289" t="s">
        <v>643</v>
      </c>
      <c r="I181" s="289" t="s">
        <v>579</v>
      </c>
      <c r="J181" s="289" t="s">
        <v>8</v>
      </c>
      <c r="K181" s="289"/>
      <c r="L181" s="289"/>
      <c r="M181" s="12">
        <f t="shared" si="8"/>
        <v>476.99</v>
      </c>
      <c r="N181" s="13">
        <f t="shared" si="9"/>
        <v>579</v>
      </c>
      <c r="O181" s="14">
        <f t="shared" si="10"/>
        <v>1055.99</v>
      </c>
      <c r="P181" s="15">
        <f t="shared" si="11"/>
        <v>1.272277108433735</v>
      </c>
    </row>
    <row r="182" spans="1:16" ht="15.75" customHeight="1" x14ac:dyDescent="0.3">
      <c r="A182" s="8" t="s">
        <v>59</v>
      </c>
      <c r="B182" s="289" t="s">
        <v>365</v>
      </c>
      <c r="C182" s="289" t="s">
        <v>79</v>
      </c>
      <c r="D182" s="289" t="s">
        <v>1102</v>
      </c>
      <c r="E182" s="284">
        <v>32</v>
      </c>
      <c r="F182" s="289" t="s">
        <v>153</v>
      </c>
      <c r="G182" s="284">
        <v>32</v>
      </c>
      <c r="H182" s="289" t="s">
        <v>643</v>
      </c>
      <c r="I182" s="289" t="s">
        <v>579</v>
      </c>
      <c r="J182" s="289" t="s">
        <v>8</v>
      </c>
      <c r="K182" s="289"/>
      <c r="L182" s="289"/>
      <c r="M182" s="12">
        <f t="shared" si="8"/>
        <v>476.99</v>
      </c>
      <c r="N182" s="13">
        <f t="shared" si="9"/>
        <v>579</v>
      </c>
      <c r="O182" s="14">
        <f t="shared" si="10"/>
        <v>1055.99</v>
      </c>
      <c r="P182" s="15">
        <f t="shared" si="11"/>
        <v>1.272277108433735</v>
      </c>
    </row>
    <row r="183" spans="1:16" ht="15.75" customHeight="1" x14ac:dyDescent="0.3">
      <c r="A183" s="8" t="s">
        <v>59</v>
      </c>
      <c r="B183" s="289" t="s">
        <v>365</v>
      </c>
      <c r="C183" s="289" t="s">
        <v>79</v>
      </c>
      <c r="D183" s="289" t="s">
        <v>1119</v>
      </c>
      <c r="E183" s="284">
        <v>20</v>
      </c>
      <c r="F183" s="289" t="s">
        <v>161</v>
      </c>
      <c r="G183" s="284">
        <v>20</v>
      </c>
      <c r="H183" s="289" t="s">
        <v>643</v>
      </c>
      <c r="I183" s="289" t="s">
        <v>579</v>
      </c>
      <c r="J183" s="289" t="s">
        <v>8</v>
      </c>
      <c r="K183" s="289"/>
      <c r="L183" s="289"/>
      <c r="M183" s="12">
        <f t="shared" si="8"/>
        <v>476.99</v>
      </c>
      <c r="N183" s="13">
        <f t="shared" si="9"/>
        <v>579</v>
      </c>
      <c r="O183" s="14">
        <f t="shared" si="10"/>
        <v>1055.99</v>
      </c>
      <c r="P183" s="15">
        <f t="shared" si="11"/>
        <v>1.272277108433735</v>
      </c>
    </row>
    <row r="184" spans="1:16" ht="15.75" customHeight="1" x14ac:dyDescent="0.3">
      <c r="A184" s="8" t="s">
        <v>59</v>
      </c>
      <c r="B184" s="289" t="s">
        <v>365</v>
      </c>
      <c r="C184" s="289" t="s">
        <v>79</v>
      </c>
      <c r="D184" s="289" t="s">
        <v>1117</v>
      </c>
      <c r="E184" s="284">
        <v>20</v>
      </c>
      <c r="F184" s="289" t="s">
        <v>161</v>
      </c>
      <c r="G184" s="284">
        <v>20</v>
      </c>
      <c r="H184" s="289" t="s">
        <v>643</v>
      </c>
      <c r="I184" s="289" t="s">
        <v>579</v>
      </c>
      <c r="J184" s="289" t="s">
        <v>8</v>
      </c>
      <c r="K184" s="289"/>
      <c r="L184" s="289"/>
      <c r="M184" s="12">
        <f t="shared" si="8"/>
        <v>476.99</v>
      </c>
      <c r="N184" s="13">
        <f t="shared" si="9"/>
        <v>579</v>
      </c>
      <c r="O184" s="14">
        <f t="shared" si="10"/>
        <v>1055.99</v>
      </c>
      <c r="P184" s="15">
        <f t="shared" si="11"/>
        <v>1.272277108433735</v>
      </c>
    </row>
    <row r="185" spans="1:16" ht="15.75" customHeight="1" x14ac:dyDescent="0.3">
      <c r="A185" s="8" t="s">
        <v>59</v>
      </c>
      <c r="B185" s="289" t="s">
        <v>365</v>
      </c>
      <c r="C185" s="289" t="s">
        <v>79</v>
      </c>
      <c r="D185" s="289" t="s">
        <v>1118</v>
      </c>
      <c r="E185" s="284">
        <v>20</v>
      </c>
      <c r="F185" s="289" t="s">
        <v>161</v>
      </c>
      <c r="G185" s="284">
        <v>20</v>
      </c>
      <c r="H185" s="289" t="s">
        <v>643</v>
      </c>
      <c r="I185" s="289" t="s">
        <v>579</v>
      </c>
      <c r="J185" s="289" t="s">
        <v>8</v>
      </c>
      <c r="K185" s="289"/>
      <c r="L185" s="289"/>
      <c r="M185" s="12">
        <f t="shared" si="8"/>
        <v>476.99</v>
      </c>
      <c r="N185" s="13">
        <f t="shared" si="9"/>
        <v>579</v>
      </c>
      <c r="O185" s="14">
        <f t="shared" si="10"/>
        <v>1055.99</v>
      </c>
      <c r="P185" s="15">
        <f t="shared" si="11"/>
        <v>1.272277108433735</v>
      </c>
    </row>
    <row r="186" spans="1:16" ht="15.75" customHeight="1" x14ac:dyDescent="0.3">
      <c r="A186" s="8" t="s">
        <v>59</v>
      </c>
      <c r="B186" s="289" t="s">
        <v>365</v>
      </c>
      <c r="C186" s="289" t="s">
        <v>100</v>
      </c>
      <c r="D186" s="289" t="s">
        <v>1102</v>
      </c>
      <c r="E186" s="284">
        <v>8</v>
      </c>
      <c r="F186" s="289" t="s">
        <v>153</v>
      </c>
      <c r="G186" s="284">
        <v>8</v>
      </c>
      <c r="H186" s="289" t="s">
        <v>643</v>
      </c>
      <c r="I186" s="289" t="s">
        <v>579</v>
      </c>
      <c r="J186" s="289" t="s">
        <v>8</v>
      </c>
      <c r="K186" s="289"/>
      <c r="L186" s="289"/>
      <c r="M186" s="12">
        <f t="shared" si="8"/>
        <v>476.99</v>
      </c>
      <c r="N186" s="13">
        <f t="shared" si="9"/>
        <v>579</v>
      </c>
      <c r="O186" s="14">
        <f t="shared" si="10"/>
        <v>1055.99</v>
      </c>
      <c r="P186" s="15">
        <f t="shared" si="11"/>
        <v>1.272277108433735</v>
      </c>
    </row>
    <row r="187" spans="1:16" ht="15.75" customHeight="1" x14ac:dyDescent="0.3">
      <c r="A187" s="8" t="s">
        <v>59</v>
      </c>
      <c r="B187" s="289" t="s">
        <v>365</v>
      </c>
      <c r="C187" s="289" t="s">
        <v>100</v>
      </c>
      <c r="D187" s="289" t="s">
        <v>1119</v>
      </c>
      <c r="E187" s="284">
        <v>16</v>
      </c>
      <c r="F187" s="289" t="s">
        <v>161</v>
      </c>
      <c r="G187" s="284">
        <v>16</v>
      </c>
      <c r="H187" s="289" t="s">
        <v>643</v>
      </c>
      <c r="I187" s="289" t="s">
        <v>579</v>
      </c>
      <c r="J187" s="289" t="s">
        <v>8</v>
      </c>
      <c r="K187" s="289"/>
      <c r="L187" s="289"/>
      <c r="M187" s="12">
        <f t="shared" si="8"/>
        <v>476.99</v>
      </c>
      <c r="N187" s="13">
        <f t="shared" si="9"/>
        <v>579</v>
      </c>
      <c r="O187" s="14">
        <f t="shared" si="10"/>
        <v>1055.99</v>
      </c>
      <c r="P187" s="15">
        <f t="shared" si="11"/>
        <v>1.272277108433735</v>
      </c>
    </row>
    <row r="188" spans="1:16" ht="15.75" customHeight="1" x14ac:dyDescent="0.3">
      <c r="A188" s="8" t="s">
        <v>59</v>
      </c>
      <c r="B188" s="289" t="s">
        <v>365</v>
      </c>
      <c r="C188" s="289" t="s">
        <v>100</v>
      </c>
      <c r="D188" s="289" t="s">
        <v>1117</v>
      </c>
      <c r="E188" s="284">
        <v>32</v>
      </c>
      <c r="F188" s="289" t="s">
        <v>161</v>
      </c>
      <c r="G188" s="284">
        <v>16</v>
      </c>
      <c r="H188" s="289" t="s">
        <v>643</v>
      </c>
      <c r="I188" s="289" t="s">
        <v>579</v>
      </c>
      <c r="J188" s="289" t="s">
        <v>8</v>
      </c>
      <c r="K188" s="289"/>
      <c r="L188" s="289"/>
      <c r="M188" s="12">
        <f t="shared" si="8"/>
        <v>476.99</v>
      </c>
      <c r="N188" s="13">
        <f t="shared" si="9"/>
        <v>579</v>
      </c>
      <c r="O188" s="14">
        <f t="shared" si="10"/>
        <v>1055.99</v>
      </c>
      <c r="P188" s="15">
        <f t="shared" si="11"/>
        <v>1.272277108433735</v>
      </c>
    </row>
    <row r="189" spans="1:16" ht="15.75" customHeight="1" x14ac:dyDescent="0.3">
      <c r="A189" s="8" t="s">
        <v>59</v>
      </c>
      <c r="B189" s="289" t="s">
        <v>365</v>
      </c>
      <c r="C189" s="289" t="s">
        <v>100</v>
      </c>
      <c r="D189" s="289" t="s">
        <v>1118</v>
      </c>
      <c r="E189" s="284">
        <v>16</v>
      </c>
      <c r="F189" s="289" t="s">
        <v>161</v>
      </c>
      <c r="G189" s="284">
        <v>16</v>
      </c>
      <c r="H189" s="289" t="s">
        <v>643</v>
      </c>
      <c r="I189" s="289" t="s">
        <v>579</v>
      </c>
      <c r="J189" s="289" t="s">
        <v>8</v>
      </c>
      <c r="K189" s="289"/>
      <c r="L189" s="289"/>
      <c r="M189" s="12">
        <f t="shared" si="8"/>
        <v>476.99</v>
      </c>
      <c r="N189" s="13">
        <f t="shared" si="9"/>
        <v>579</v>
      </c>
      <c r="O189" s="14">
        <f t="shared" si="10"/>
        <v>1055.99</v>
      </c>
      <c r="P189" s="15">
        <f t="shared" si="11"/>
        <v>1.272277108433735</v>
      </c>
    </row>
    <row r="190" spans="1:16" ht="15.75" customHeight="1" x14ac:dyDescent="0.3">
      <c r="A190" s="8" t="s">
        <v>59</v>
      </c>
      <c r="B190" s="289" t="s">
        <v>365</v>
      </c>
      <c r="C190" s="289" t="s">
        <v>111</v>
      </c>
      <c r="D190" s="289" t="s">
        <v>1102</v>
      </c>
      <c r="E190" s="284">
        <v>4</v>
      </c>
      <c r="F190" s="289" t="s">
        <v>153</v>
      </c>
      <c r="G190" s="290">
        <v>0</v>
      </c>
      <c r="H190" s="289" t="s">
        <v>643</v>
      </c>
      <c r="I190" s="289" t="s">
        <v>579</v>
      </c>
      <c r="J190" s="289" t="s">
        <v>8</v>
      </c>
      <c r="K190" s="289"/>
      <c r="L190" s="289"/>
      <c r="M190" s="12">
        <f t="shared" si="8"/>
        <v>476.99</v>
      </c>
      <c r="N190" s="13">
        <f t="shared" si="9"/>
        <v>579</v>
      </c>
      <c r="O190" s="14">
        <f t="shared" si="10"/>
        <v>1055.99</v>
      </c>
      <c r="P190" s="15">
        <f t="shared" si="11"/>
        <v>1.272277108433735</v>
      </c>
    </row>
    <row r="191" spans="1:16" ht="15.75" customHeight="1" x14ac:dyDescent="0.3">
      <c r="A191" s="8" t="s">
        <v>59</v>
      </c>
      <c r="B191" s="289" t="s">
        <v>365</v>
      </c>
      <c r="C191" s="289" t="s">
        <v>111</v>
      </c>
      <c r="D191" s="289" t="s">
        <v>1119</v>
      </c>
      <c r="E191" s="284">
        <v>7</v>
      </c>
      <c r="F191" s="289" t="s">
        <v>161</v>
      </c>
      <c r="G191" s="290">
        <v>0</v>
      </c>
      <c r="H191" s="289" t="s">
        <v>643</v>
      </c>
      <c r="I191" s="289" t="s">
        <v>579</v>
      </c>
      <c r="J191" s="289" t="s">
        <v>8</v>
      </c>
      <c r="K191" s="289"/>
      <c r="L191" s="289"/>
      <c r="M191" s="12">
        <f t="shared" si="8"/>
        <v>476.99</v>
      </c>
      <c r="N191" s="13">
        <f t="shared" si="9"/>
        <v>579</v>
      </c>
      <c r="O191" s="14">
        <f t="shared" si="10"/>
        <v>1055.99</v>
      </c>
      <c r="P191" s="15">
        <f t="shared" si="11"/>
        <v>1.272277108433735</v>
      </c>
    </row>
    <row r="192" spans="1:16" ht="15.75" customHeight="1" x14ac:dyDescent="0.3">
      <c r="A192" s="8" t="s">
        <v>59</v>
      </c>
      <c r="B192" s="289" t="s">
        <v>365</v>
      </c>
      <c r="C192" s="289" t="s">
        <v>111</v>
      </c>
      <c r="D192" s="289" t="s">
        <v>1117</v>
      </c>
      <c r="E192" s="284">
        <v>9</v>
      </c>
      <c r="F192" s="289" t="s">
        <v>161</v>
      </c>
      <c r="G192" s="290">
        <v>0</v>
      </c>
      <c r="H192" s="289" t="s">
        <v>643</v>
      </c>
      <c r="I192" s="289" t="s">
        <v>579</v>
      </c>
      <c r="J192" s="289" t="s">
        <v>8</v>
      </c>
      <c r="K192" s="289"/>
      <c r="L192" s="289"/>
      <c r="M192" s="12">
        <f t="shared" si="8"/>
        <v>476.99</v>
      </c>
      <c r="N192" s="13">
        <f t="shared" si="9"/>
        <v>579</v>
      </c>
      <c r="O192" s="14">
        <f t="shared" si="10"/>
        <v>1055.99</v>
      </c>
      <c r="P192" s="15">
        <f t="shared" si="11"/>
        <v>1.272277108433735</v>
      </c>
    </row>
    <row r="193" spans="1:16" ht="15.75" customHeight="1" x14ac:dyDescent="0.3">
      <c r="A193" s="8" t="s">
        <v>59</v>
      </c>
      <c r="B193" s="289" t="s">
        <v>365</v>
      </c>
      <c r="C193" s="289" t="s">
        <v>111</v>
      </c>
      <c r="D193" s="289" t="s">
        <v>1118</v>
      </c>
      <c r="E193" s="284">
        <v>5</v>
      </c>
      <c r="F193" s="289" t="s">
        <v>161</v>
      </c>
      <c r="G193" s="290">
        <v>0</v>
      </c>
      <c r="H193" s="289" t="s">
        <v>643</v>
      </c>
      <c r="I193" s="289" t="s">
        <v>579</v>
      </c>
      <c r="J193" s="289" t="s">
        <v>8</v>
      </c>
      <c r="K193" s="289"/>
      <c r="L193" s="289"/>
      <c r="M193" s="12">
        <f t="shared" si="8"/>
        <v>476.99</v>
      </c>
      <c r="N193" s="13">
        <f t="shared" si="9"/>
        <v>579</v>
      </c>
      <c r="O193" s="14">
        <f t="shared" si="10"/>
        <v>1055.99</v>
      </c>
      <c r="P193" s="15">
        <f t="shared" si="11"/>
        <v>1.272277108433735</v>
      </c>
    </row>
    <row r="194" spans="1:16" ht="15.75" customHeight="1" x14ac:dyDescent="0.3">
      <c r="A194" s="8" t="s">
        <v>59</v>
      </c>
      <c r="B194" s="289" t="s">
        <v>365</v>
      </c>
      <c r="C194" s="289" t="s">
        <v>80</v>
      </c>
      <c r="D194" s="289" t="s">
        <v>1102</v>
      </c>
      <c r="E194" s="284">
        <v>3</v>
      </c>
      <c r="F194" s="289" t="s">
        <v>153</v>
      </c>
      <c r="G194" s="290">
        <v>0</v>
      </c>
      <c r="H194" s="289" t="s">
        <v>643</v>
      </c>
      <c r="I194" s="289" t="s">
        <v>579</v>
      </c>
      <c r="J194" s="289" t="s">
        <v>8</v>
      </c>
      <c r="K194" s="289"/>
      <c r="L194" s="289"/>
      <c r="M194" s="12">
        <f t="shared" ref="M194:M257" si="12">SUMIFS($E$2:$E$300,$A$2:$A$300,"осень",$I$2:$I$300,I194)</f>
        <v>476.99</v>
      </c>
      <c r="N194" s="13">
        <f t="shared" ref="N194:N257" si="13">SUMIFS($E$2:$E$300,$A$2:$A$300,"весна",$I$2:$I$300,I194)</f>
        <v>579</v>
      </c>
      <c r="O194" s="14">
        <f t="shared" ref="O194:O257" si="14">M194+N194</f>
        <v>1055.99</v>
      </c>
      <c r="P194" s="15">
        <f t="shared" ref="P194:P257" si="15">O194/$P$1</f>
        <v>1.272277108433735</v>
      </c>
    </row>
    <row r="195" spans="1:16" ht="15.75" customHeight="1" x14ac:dyDescent="0.3">
      <c r="A195" s="8" t="s">
        <v>59</v>
      </c>
      <c r="B195" s="289" t="s">
        <v>365</v>
      </c>
      <c r="C195" s="289" t="s">
        <v>80</v>
      </c>
      <c r="D195" s="289" t="s">
        <v>1119</v>
      </c>
      <c r="E195" s="284">
        <v>4</v>
      </c>
      <c r="F195" s="289" t="s">
        <v>161</v>
      </c>
      <c r="G195" s="290">
        <v>0</v>
      </c>
      <c r="H195" s="289" t="s">
        <v>643</v>
      </c>
      <c r="I195" s="289" t="s">
        <v>579</v>
      </c>
      <c r="J195" s="289" t="s">
        <v>8</v>
      </c>
      <c r="K195" s="289"/>
      <c r="L195" s="289"/>
      <c r="M195" s="12">
        <f t="shared" si="12"/>
        <v>476.99</v>
      </c>
      <c r="N195" s="13">
        <f t="shared" si="13"/>
        <v>579</v>
      </c>
      <c r="O195" s="14">
        <f t="shared" si="14"/>
        <v>1055.99</v>
      </c>
      <c r="P195" s="15">
        <f t="shared" si="15"/>
        <v>1.272277108433735</v>
      </c>
    </row>
    <row r="196" spans="1:16" ht="15.75" customHeight="1" x14ac:dyDescent="0.3">
      <c r="A196" s="8" t="s">
        <v>59</v>
      </c>
      <c r="B196" s="289" t="s">
        <v>365</v>
      </c>
      <c r="C196" s="289" t="s">
        <v>80</v>
      </c>
      <c r="D196" s="289" t="s">
        <v>1117</v>
      </c>
      <c r="E196" s="284">
        <v>4</v>
      </c>
      <c r="F196" s="289" t="s">
        <v>161</v>
      </c>
      <c r="G196" s="290">
        <v>0</v>
      </c>
      <c r="H196" s="289" t="s">
        <v>643</v>
      </c>
      <c r="I196" s="289" t="s">
        <v>579</v>
      </c>
      <c r="J196" s="289" t="s">
        <v>8</v>
      </c>
      <c r="K196" s="289"/>
      <c r="L196" s="289"/>
      <c r="M196" s="12">
        <f t="shared" si="12"/>
        <v>476.99</v>
      </c>
      <c r="N196" s="13">
        <f t="shared" si="13"/>
        <v>579</v>
      </c>
      <c r="O196" s="14">
        <f t="shared" si="14"/>
        <v>1055.99</v>
      </c>
      <c r="P196" s="15">
        <f t="shared" si="15"/>
        <v>1.272277108433735</v>
      </c>
    </row>
    <row r="197" spans="1:16" ht="15.75" customHeight="1" x14ac:dyDescent="0.3">
      <c r="A197" s="8" t="s">
        <v>59</v>
      </c>
      <c r="B197" s="289" t="s">
        <v>365</v>
      </c>
      <c r="C197" s="289" t="s">
        <v>80</v>
      </c>
      <c r="D197" s="289" t="s">
        <v>1118</v>
      </c>
      <c r="E197" s="284">
        <v>4</v>
      </c>
      <c r="F197" s="289" t="s">
        <v>161</v>
      </c>
      <c r="G197" s="290">
        <v>0</v>
      </c>
      <c r="H197" s="289" t="s">
        <v>643</v>
      </c>
      <c r="I197" s="289" t="s">
        <v>579</v>
      </c>
      <c r="J197" s="289" t="s">
        <v>8</v>
      </c>
      <c r="K197" s="289"/>
      <c r="L197" s="289"/>
      <c r="M197" s="12">
        <f t="shared" si="12"/>
        <v>476.99</v>
      </c>
      <c r="N197" s="13">
        <f t="shared" si="13"/>
        <v>579</v>
      </c>
      <c r="O197" s="14">
        <f t="shared" si="14"/>
        <v>1055.99</v>
      </c>
      <c r="P197" s="15">
        <f t="shared" si="15"/>
        <v>1.272277108433735</v>
      </c>
    </row>
    <row r="198" spans="1:16" ht="15.75" customHeight="1" x14ac:dyDescent="0.3">
      <c r="A198" s="8" t="s">
        <v>59</v>
      </c>
      <c r="B198" s="289" t="s">
        <v>1145</v>
      </c>
      <c r="C198" s="289" t="s">
        <v>73</v>
      </c>
      <c r="D198" s="289" t="s">
        <v>1096</v>
      </c>
      <c r="E198" s="284">
        <v>12</v>
      </c>
      <c r="F198" s="289" t="s">
        <v>1097</v>
      </c>
      <c r="G198" s="284">
        <v>12</v>
      </c>
      <c r="H198" s="289" t="s">
        <v>719</v>
      </c>
      <c r="I198" s="289" t="s">
        <v>567</v>
      </c>
      <c r="J198" s="289" t="s">
        <v>426</v>
      </c>
      <c r="K198" s="289"/>
      <c r="L198" s="289" t="s">
        <v>1146</v>
      </c>
      <c r="M198" s="12">
        <f t="shared" si="12"/>
        <v>0</v>
      </c>
      <c r="N198" s="13">
        <f t="shared" si="13"/>
        <v>114</v>
      </c>
      <c r="O198" s="14">
        <f t="shared" si="14"/>
        <v>114</v>
      </c>
      <c r="P198" s="15">
        <f t="shared" si="15"/>
        <v>0.13734939759036144</v>
      </c>
    </row>
    <row r="199" spans="1:16" ht="15.75" customHeight="1" x14ac:dyDescent="0.3">
      <c r="A199" s="8" t="s">
        <v>59</v>
      </c>
      <c r="B199" s="289" t="s">
        <v>1145</v>
      </c>
      <c r="C199" s="289" t="s">
        <v>79</v>
      </c>
      <c r="D199" s="289" t="s">
        <v>1096</v>
      </c>
      <c r="E199" s="284">
        <v>8</v>
      </c>
      <c r="F199" s="289" t="s">
        <v>1097</v>
      </c>
      <c r="G199" s="284">
        <v>8</v>
      </c>
      <c r="H199" s="289" t="s">
        <v>719</v>
      </c>
      <c r="I199" s="289" t="s">
        <v>567</v>
      </c>
      <c r="J199" s="289" t="s">
        <v>426</v>
      </c>
      <c r="K199" s="289"/>
      <c r="L199" s="289" t="s">
        <v>1146</v>
      </c>
      <c r="M199" s="12">
        <f t="shared" si="12"/>
        <v>0</v>
      </c>
      <c r="N199" s="13">
        <f t="shared" si="13"/>
        <v>114</v>
      </c>
      <c r="O199" s="14">
        <f t="shared" si="14"/>
        <v>114</v>
      </c>
      <c r="P199" s="15">
        <f t="shared" si="15"/>
        <v>0.13734939759036144</v>
      </c>
    </row>
    <row r="200" spans="1:16" ht="15.75" customHeight="1" x14ac:dyDescent="0.3">
      <c r="A200" s="8" t="s">
        <v>59</v>
      </c>
      <c r="B200" s="289" t="s">
        <v>1145</v>
      </c>
      <c r="C200" s="289" t="s">
        <v>100</v>
      </c>
      <c r="D200" s="289" t="s">
        <v>1096</v>
      </c>
      <c r="E200" s="284">
        <v>8</v>
      </c>
      <c r="F200" s="289" t="s">
        <v>1097</v>
      </c>
      <c r="G200" s="284">
        <v>8</v>
      </c>
      <c r="H200" s="289" t="s">
        <v>646</v>
      </c>
      <c r="I200" s="289" t="s">
        <v>568</v>
      </c>
      <c r="J200" s="289" t="s">
        <v>8</v>
      </c>
      <c r="K200" s="289"/>
      <c r="L200" s="289"/>
      <c r="M200" s="12">
        <f t="shared" si="12"/>
        <v>488.01</v>
      </c>
      <c r="N200" s="13">
        <f t="shared" si="13"/>
        <v>683</v>
      </c>
      <c r="O200" s="14">
        <f t="shared" si="14"/>
        <v>1171.01</v>
      </c>
      <c r="P200" s="15">
        <f t="shared" si="15"/>
        <v>1.410855421686747</v>
      </c>
    </row>
    <row r="201" spans="1:16" ht="15.75" customHeight="1" x14ac:dyDescent="0.3">
      <c r="A201" s="8" t="s">
        <v>59</v>
      </c>
      <c r="B201" s="289" t="s">
        <v>1145</v>
      </c>
      <c r="C201" s="289" t="s">
        <v>111</v>
      </c>
      <c r="D201" s="289" t="s">
        <v>1096</v>
      </c>
      <c r="E201" s="284">
        <v>7</v>
      </c>
      <c r="F201" s="289" t="s">
        <v>1097</v>
      </c>
      <c r="G201" s="290">
        <v>0</v>
      </c>
      <c r="H201" s="289" t="s">
        <v>719</v>
      </c>
      <c r="I201" s="289" t="s">
        <v>567</v>
      </c>
      <c r="J201" s="289" t="s">
        <v>426</v>
      </c>
      <c r="K201" s="289"/>
      <c r="L201" s="289" t="s">
        <v>1146</v>
      </c>
      <c r="M201" s="12">
        <f t="shared" si="12"/>
        <v>0</v>
      </c>
      <c r="N201" s="13">
        <f t="shared" si="13"/>
        <v>114</v>
      </c>
      <c r="O201" s="14">
        <f t="shared" si="14"/>
        <v>114</v>
      </c>
      <c r="P201" s="15">
        <f t="shared" si="15"/>
        <v>0.13734939759036144</v>
      </c>
    </row>
    <row r="202" spans="1:16" ht="15.75" customHeight="1" x14ac:dyDescent="0.3">
      <c r="A202" s="8" t="s">
        <v>59</v>
      </c>
      <c r="B202" s="289" t="s">
        <v>1145</v>
      </c>
      <c r="C202" s="289" t="s">
        <v>192</v>
      </c>
      <c r="D202" s="289" t="s">
        <v>1096</v>
      </c>
      <c r="E202" s="284">
        <v>2</v>
      </c>
      <c r="F202" s="289" t="s">
        <v>1097</v>
      </c>
      <c r="G202" s="284">
        <v>2</v>
      </c>
      <c r="H202" s="289" t="s">
        <v>719</v>
      </c>
      <c r="I202" s="289" t="s">
        <v>567</v>
      </c>
      <c r="J202" s="289" t="s">
        <v>426</v>
      </c>
      <c r="K202" s="289"/>
      <c r="L202" s="289" t="s">
        <v>1146</v>
      </c>
      <c r="M202" s="12">
        <f t="shared" si="12"/>
        <v>0</v>
      </c>
      <c r="N202" s="13">
        <f t="shared" si="13"/>
        <v>114</v>
      </c>
      <c r="O202" s="14">
        <f t="shared" si="14"/>
        <v>114</v>
      </c>
      <c r="P202" s="15">
        <f t="shared" si="15"/>
        <v>0.13734939759036144</v>
      </c>
    </row>
    <row r="203" spans="1:16" ht="15.75" customHeight="1" x14ac:dyDescent="0.3">
      <c r="A203" s="8" t="s">
        <v>59</v>
      </c>
      <c r="B203" s="289" t="s">
        <v>1145</v>
      </c>
      <c r="C203" s="289" t="s">
        <v>80</v>
      </c>
      <c r="D203" s="289" t="s">
        <v>1096</v>
      </c>
      <c r="E203" s="284">
        <v>3</v>
      </c>
      <c r="F203" s="289" t="s">
        <v>1097</v>
      </c>
      <c r="G203" s="290">
        <v>0</v>
      </c>
      <c r="H203" s="289" t="s">
        <v>719</v>
      </c>
      <c r="I203" s="289" t="s">
        <v>567</v>
      </c>
      <c r="J203" s="289" t="s">
        <v>426</v>
      </c>
      <c r="K203" s="289"/>
      <c r="L203" s="289" t="s">
        <v>1146</v>
      </c>
      <c r="M203" s="12">
        <f t="shared" si="12"/>
        <v>0</v>
      </c>
      <c r="N203" s="13">
        <f t="shared" si="13"/>
        <v>114</v>
      </c>
      <c r="O203" s="14">
        <f t="shared" si="14"/>
        <v>114</v>
      </c>
      <c r="P203" s="15">
        <f t="shared" si="15"/>
        <v>0.13734939759036144</v>
      </c>
    </row>
    <row r="204" spans="1:16" ht="15.75" customHeight="1" x14ac:dyDescent="0.3">
      <c r="A204" s="8" t="s">
        <v>59</v>
      </c>
      <c r="B204" s="289" t="s">
        <v>157</v>
      </c>
      <c r="C204" s="289" t="s">
        <v>73</v>
      </c>
      <c r="D204" s="289" t="s">
        <v>1102</v>
      </c>
      <c r="E204" s="284">
        <v>12</v>
      </c>
      <c r="F204" s="289" t="s">
        <v>153</v>
      </c>
      <c r="G204" s="284">
        <v>12</v>
      </c>
      <c r="H204" s="289" t="s">
        <v>607</v>
      </c>
      <c r="I204" s="289" t="s">
        <v>554</v>
      </c>
      <c r="J204" s="289" t="s">
        <v>8</v>
      </c>
      <c r="K204" s="289"/>
      <c r="L204" s="289"/>
      <c r="M204" s="12">
        <f t="shared" si="12"/>
        <v>185</v>
      </c>
      <c r="N204" s="13">
        <f t="shared" si="13"/>
        <v>290</v>
      </c>
      <c r="O204" s="14">
        <f t="shared" si="14"/>
        <v>475</v>
      </c>
      <c r="P204" s="15">
        <f t="shared" si="15"/>
        <v>0.57228915662650603</v>
      </c>
    </row>
    <row r="205" spans="1:16" ht="15.75" customHeight="1" x14ac:dyDescent="0.3">
      <c r="A205" s="8" t="s">
        <v>59</v>
      </c>
      <c r="B205" s="289" t="s">
        <v>157</v>
      </c>
      <c r="C205" s="289" t="s">
        <v>87</v>
      </c>
      <c r="D205" s="289" t="s">
        <v>1102</v>
      </c>
      <c r="E205" s="284">
        <v>3</v>
      </c>
      <c r="F205" s="289" t="s">
        <v>153</v>
      </c>
      <c r="G205" s="290">
        <v>0</v>
      </c>
      <c r="H205" s="289" t="s">
        <v>607</v>
      </c>
      <c r="I205" s="289" t="s">
        <v>554</v>
      </c>
      <c r="J205" s="289" t="s">
        <v>8</v>
      </c>
      <c r="K205" s="289"/>
      <c r="L205" s="289"/>
      <c r="M205" s="12">
        <f t="shared" si="12"/>
        <v>185</v>
      </c>
      <c r="N205" s="13">
        <f t="shared" si="13"/>
        <v>290</v>
      </c>
      <c r="O205" s="14">
        <f t="shared" si="14"/>
        <v>475</v>
      </c>
      <c r="P205" s="15">
        <f t="shared" si="15"/>
        <v>0.57228915662650603</v>
      </c>
    </row>
    <row r="206" spans="1:16" ht="15.75" customHeight="1" x14ac:dyDescent="0.3">
      <c r="A206" s="8" t="s">
        <v>59</v>
      </c>
      <c r="B206" s="289" t="s">
        <v>157</v>
      </c>
      <c r="C206" s="289" t="s">
        <v>79</v>
      </c>
      <c r="D206" s="289" t="s">
        <v>1102</v>
      </c>
      <c r="E206" s="284">
        <v>24</v>
      </c>
      <c r="F206" s="289" t="s">
        <v>153</v>
      </c>
      <c r="G206" s="284">
        <v>24</v>
      </c>
      <c r="H206" s="289" t="s">
        <v>607</v>
      </c>
      <c r="I206" s="289" t="s">
        <v>554</v>
      </c>
      <c r="J206" s="289" t="s">
        <v>8</v>
      </c>
      <c r="K206" s="289"/>
      <c r="L206" s="289"/>
      <c r="M206" s="12">
        <f t="shared" si="12"/>
        <v>185</v>
      </c>
      <c r="N206" s="13">
        <f t="shared" si="13"/>
        <v>290</v>
      </c>
      <c r="O206" s="14">
        <f t="shared" si="14"/>
        <v>475</v>
      </c>
      <c r="P206" s="15">
        <f t="shared" si="15"/>
        <v>0.57228915662650603</v>
      </c>
    </row>
    <row r="207" spans="1:16" ht="15.75" customHeight="1" x14ac:dyDescent="0.3">
      <c r="A207" s="8" t="s">
        <v>59</v>
      </c>
      <c r="B207" s="289" t="s">
        <v>157</v>
      </c>
      <c r="C207" s="289" t="s">
        <v>80</v>
      </c>
      <c r="D207" s="289" t="s">
        <v>1102</v>
      </c>
      <c r="E207" s="284">
        <v>1</v>
      </c>
      <c r="F207" s="289" t="s">
        <v>153</v>
      </c>
      <c r="G207" s="290">
        <v>0</v>
      </c>
      <c r="H207" s="289" t="s">
        <v>607</v>
      </c>
      <c r="I207" s="289" t="s">
        <v>554</v>
      </c>
      <c r="J207" s="289" t="s">
        <v>8</v>
      </c>
      <c r="K207" s="289"/>
      <c r="L207" s="289"/>
      <c r="M207" s="12">
        <f t="shared" si="12"/>
        <v>185</v>
      </c>
      <c r="N207" s="13">
        <f t="shared" si="13"/>
        <v>290</v>
      </c>
      <c r="O207" s="14">
        <f t="shared" si="14"/>
        <v>475</v>
      </c>
      <c r="P207" s="15">
        <f t="shared" si="15"/>
        <v>0.57228915662650603</v>
      </c>
    </row>
    <row r="208" spans="1:16" ht="15.75" customHeight="1" x14ac:dyDescent="0.3">
      <c r="A208" s="8" t="s">
        <v>59</v>
      </c>
      <c r="B208" s="289" t="s">
        <v>1147</v>
      </c>
      <c r="C208" s="289" t="s">
        <v>73</v>
      </c>
      <c r="D208" s="289" t="s">
        <v>1102</v>
      </c>
      <c r="E208" s="284">
        <v>18</v>
      </c>
      <c r="F208" s="289" t="s">
        <v>153</v>
      </c>
      <c r="G208" s="284">
        <v>18</v>
      </c>
      <c r="H208" s="289" t="s">
        <v>646</v>
      </c>
      <c r="I208" s="289" t="s">
        <v>568</v>
      </c>
      <c r="J208" s="289" t="s">
        <v>8</v>
      </c>
      <c r="K208" s="289"/>
      <c r="L208" s="289"/>
      <c r="M208" s="12">
        <f t="shared" si="12"/>
        <v>488.01</v>
      </c>
      <c r="N208" s="13">
        <f t="shared" si="13"/>
        <v>683</v>
      </c>
      <c r="O208" s="14">
        <f t="shared" si="14"/>
        <v>1171.01</v>
      </c>
      <c r="P208" s="15">
        <f t="shared" si="15"/>
        <v>1.410855421686747</v>
      </c>
    </row>
    <row r="209" spans="1:16" ht="15.75" customHeight="1" x14ac:dyDescent="0.3">
      <c r="A209" s="8" t="s">
        <v>59</v>
      </c>
      <c r="B209" s="289" t="s">
        <v>1147</v>
      </c>
      <c r="C209" s="289" t="s">
        <v>87</v>
      </c>
      <c r="D209" s="289" t="s">
        <v>1102</v>
      </c>
      <c r="E209" s="284">
        <v>3</v>
      </c>
      <c r="F209" s="289" t="s">
        <v>153</v>
      </c>
      <c r="G209" s="290">
        <v>0</v>
      </c>
      <c r="H209" s="289" t="s">
        <v>646</v>
      </c>
      <c r="I209" s="289" t="s">
        <v>568</v>
      </c>
      <c r="J209" s="289" t="s">
        <v>8</v>
      </c>
      <c r="K209" s="289"/>
      <c r="L209" s="289"/>
      <c r="M209" s="12">
        <f t="shared" si="12"/>
        <v>488.01</v>
      </c>
      <c r="N209" s="13">
        <f t="shared" si="13"/>
        <v>683</v>
      </c>
      <c r="O209" s="14">
        <f t="shared" si="14"/>
        <v>1171.01</v>
      </c>
      <c r="P209" s="15">
        <f t="shared" si="15"/>
        <v>1.410855421686747</v>
      </c>
    </row>
    <row r="210" spans="1:16" ht="15.75" customHeight="1" x14ac:dyDescent="0.3">
      <c r="A210" s="8" t="s">
        <v>59</v>
      </c>
      <c r="B210" s="289" t="s">
        <v>1147</v>
      </c>
      <c r="C210" s="289" t="s">
        <v>79</v>
      </c>
      <c r="D210" s="289" t="s">
        <v>1102</v>
      </c>
      <c r="E210" s="284">
        <v>36</v>
      </c>
      <c r="F210" s="289" t="s">
        <v>153</v>
      </c>
      <c r="G210" s="284">
        <v>36</v>
      </c>
      <c r="H210" s="289" t="s">
        <v>646</v>
      </c>
      <c r="I210" s="289" t="s">
        <v>568</v>
      </c>
      <c r="J210" s="289" t="s">
        <v>8</v>
      </c>
      <c r="K210" s="289"/>
      <c r="L210" s="289"/>
      <c r="M210" s="12">
        <f t="shared" si="12"/>
        <v>488.01</v>
      </c>
      <c r="N210" s="13">
        <f t="shared" si="13"/>
        <v>683</v>
      </c>
      <c r="O210" s="14">
        <f t="shared" si="14"/>
        <v>1171.01</v>
      </c>
      <c r="P210" s="15">
        <f t="shared" si="15"/>
        <v>1.410855421686747</v>
      </c>
    </row>
    <row r="211" spans="1:16" ht="15.75" customHeight="1" x14ac:dyDescent="0.3">
      <c r="A211" s="8" t="s">
        <v>59</v>
      </c>
      <c r="B211" s="289" t="s">
        <v>1147</v>
      </c>
      <c r="C211" s="289" t="s">
        <v>100</v>
      </c>
      <c r="D211" s="289" t="s">
        <v>1102</v>
      </c>
      <c r="E211" s="284">
        <v>12</v>
      </c>
      <c r="F211" s="289" t="s">
        <v>153</v>
      </c>
      <c r="G211" s="284">
        <v>12</v>
      </c>
      <c r="H211" s="289" t="s">
        <v>646</v>
      </c>
      <c r="I211" s="289" t="s">
        <v>568</v>
      </c>
      <c r="J211" s="289" t="s">
        <v>8</v>
      </c>
      <c r="K211" s="289"/>
      <c r="L211" s="289"/>
      <c r="M211" s="12">
        <f t="shared" si="12"/>
        <v>488.01</v>
      </c>
      <c r="N211" s="13">
        <f t="shared" si="13"/>
        <v>683</v>
      </c>
      <c r="O211" s="14">
        <f t="shared" si="14"/>
        <v>1171.01</v>
      </c>
      <c r="P211" s="15">
        <f t="shared" si="15"/>
        <v>1.410855421686747</v>
      </c>
    </row>
    <row r="212" spans="1:16" ht="15.75" customHeight="1" x14ac:dyDescent="0.3">
      <c r="A212" s="8" t="s">
        <v>59</v>
      </c>
      <c r="B212" s="289" t="s">
        <v>1147</v>
      </c>
      <c r="C212" s="289" t="s">
        <v>80</v>
      </c>
      <c r="D212" s="289" t="s">
        <v>1102</v>
      </c>
      <c r="E212" s="284">
        <v>1</v>
      </c>
      <c r="F212" s="289" t="s">
        <v>153</v>
      </c>
      <c r="G212" s="290">
        <v>0</v>
      </c>
      <c r="H212" s="289" t="s">
        <v>646</v>
      </c>
      <c r="I212" s="289" t="s">
        <v>568</v>
      </c>
      <c r="J212" s="289" t="s">
        <v>8</v>
      </c>
      <c r="K212" s="289"/>
      <c r="L212" s="289"/>
      <c r="M212" s="12">
        <f t="shared" si="12"/>
        <v>488.01</v>
      </c>
      <c r="N212" s="13">
        <f t="shared" si="13"/>
        <v>683</v>
      </c>
      <c r="O212" s="14">
        <f t="shared" si="14"/>
        <v>1171.01</v>
      </c>
      <c r="P212" s="15">
        <f t="shared" si="15"/>
        <v>1.410855421686747</v>
      </c>
    </row>
    <row r="213" spans="1:16" ht="15.75" customHeight="1" x14ac:dyDescent="0.3">
      <c r="A213" s="8" t="s">
        <v>59</v>
      </c>
      <c r="B213" s="289" t="s">
        <v>1148</v>
      </c>
      <c r="C213" s="289" t="s">
        <v>73</v>
      </c>
      <c r="D213" s="289" t="s">
        <v>1096</v>
      </c>
      <c r="E213" s="284">
        <v>12</v>
      </c>
      <c r="F213" s="289" t="s">
        <v>1097</v>
      </c>
      <c r="G213" s="284">
        <v>12</v>
      </c>
      <c r="H213" s="289" t="s">
        <v>1098</v>
      </c>
      <c r="I213" s="289" t="s">
        <v>260</v>
      </c>
      <c r="J213" s="289" t="s">
        <v>21</v>
      </c>
      <c r="K213" s="291" t="s">
        <v>1099</v>
      </c>
      <c r="L213" s="289" t="s">
        <v>1100</v>
      </c>
      <c r="M213" s="12">
        <f t="shared" si="12"/>
        <v>234</v>
      </c>
      <c r="N213" s="13">
        <f t="shared" si="13"/>
        <v>201</v>
      </c>
      <c r="O213" s="14">
        <f t="shared" si="14"/>
        <v>435</v>
      </c>
      <c r="P213" s="15">
        <f t="shared" si="15"/>
        <v>0.52409638554216864</v>
      </c>
    </row>
    <row r="214" spans="1:16" ht="15.75" customHeight="1" x14ac:dyDescent="0.3">
      <c r="A214" s="8" t="s">
        <v>59</v>
      </c>
      <c r="B214" s="289" t="s">
        <v>1148</v>
      </c>
      <c r="C214" s="292" t="s">
        <v>73</v>
      </c>
      <c r="D214" s="289" t="s">
        <v>1096</v>
      </c>
      <c r="E214" s="284">
        <v>-12</v>
      </c>
      <c r="F214" s="289" t="s">
        <v>1097</v>
      </c>
      <c r="G214" s="284">
        <v>12</v>
      </c>
      <c r="H214" s="289" t="s">
        <v>606</v>
      </c>
      <c r="I214" s="289" t="s">
        <v>510</v>
      </c>
      <c r="J214" s="289" t="s">
        <v>4</v>
      </c>
      <c r="K214" s="291" t="s">
        <v>1099</v>
      </c>
      <c r="L214" s="289"/>
      <c r="M214" s="12">
        <f t="shared" si="12"/>
        <v>649</v>
      </c>
      <c r="N214" s="13">
        <f t="shared" si="13"/>
        <v>84</v>
      </c>
      <c r="O214" s="14">
        <f t="shared" si="14"/>
        <v>733</v>
      </c>
      <c r="P214" s="15">
        <f t="shared" si="15"/>
        <v>0.88313253012048187</v>
      </c>
    </row>
    <row r="215" spans="1:16" ht="15.75" customHeight="1" x14ac:dyDescent="0.3">
      <c r="A215" s="8" t="s">
        <v>59</v>
      </c>
      <c r="B215" s="289" t="s">
        <v>1148</v>
      </c>
      <c r="C215" s="292" t="s">
        <v>73</v>
      </c>
      <c r="D215" s="289" t="s">
        <v>1096</v>
      </c>
      <c r="E215" s="284">
        <v>12</v>
      </c>
      <c r="F215" s="289" t="s">
        <v>1097</v>
      </c>
      <c r="G215" s="284">
        <v>12</v>
      </c>
      <c r="H215" s="289" t="s">
        <v>606</v>
      </c>
      <c r="I215" s="289" t="s">
        <v>510</v>
      </c>
      <c r="J215" s="289" t="s">
        <v>4</v>
      </c>
      <c r="K215" s="289"/>
      <c r="L215" s="289" t="s">
        <v>260</v>
      </c>
      <c r="M215" s="12">
        <f t="shared" si="12"/>
        <v>649</v>
      </c>
      <c r="N215" s="13">
        <f t="shared" si="13"/>
        <v>84</v>
      </c>
      <c r="O215" s="14">
        <f t="shared" si="14"/>
        <v>733</v>
      </c>
      <c r="P215" s="15">
        <f t="shared" si="15"/>
        <v>0.88313253012048187</v>
      </c>
    </row>
    <row r="216" spans="1:16" ht="15.75" customHeight="1" x14ac:dyDescent="0.3">
      <c r="A216" s="8" t="s">
        <v>59</v>
      </c>
      <c r="B216" s="289" t="s">
        <v>1148</v>
      </c>
      <c r="C216" s="289" t="s">
        <v>123</v>
      </c>
      <c r="D216" s="289" t="s">
        <v>1096</v>
      </c>
      <c r="E216" s="284">
        <v>39</v>
      </c>
      <c r="F216" s="289" t="s">
        <v>1097</v>
      </c>
      <c r="G216" s="290">
        <v>0</v>
      </c>
      <c r="H216" s="289" t="s">
        <v>1098</v>
      </c>
      <c r="I216" s="289" t="s">
        <v>260</v>
      </c>
      <c r="J216" s="289" t="s">
        <v>21</v>
      </c>
      <c r="K216" s="289"/>
      <c r="L216" s="289"/>
      <c r="M216" s="12">
        <f t="shared" si="12"/>
        <v>234</v>
      </c>
      <c r="N216" s="13">
        <f t="shared" si="13"/>
        <v>201</v>
      </c>
      <c r="O216" s="14">
        <f t="shared" si="14"/>
        <v>435</v>
      </c>
      <c r="P216" s="15">
        <f t="shared" si="15"/>
        <v>0.52409638554216864</v>
      </c>
    </row>
    <row r="217" spans="1:16" ht="15.75" customHeight="1" x14ac:dyDescent="0.3">
      <c r="A217" s="8" t="s">
        <v>59</v>
      </c>
      <c r="B217" s="289" t="s">
        <v>1148</v>
      </c>
      <c r="C217" s="289" t="s">
        <v>87</v>
      </c>
      <c r="D217" s="289" t="s">
        <v>1096</v>
      </c>
      <c r="E217" s="284">
        <v>5</v>
      </c>
      <c r="F217" s="289" t="s">
        <v>1097</v>
      </c>
      <c r="G217" s="290">
        <v>0</v>
      </c>
      <c r="H217" s="289" t="s">
        <v>1098</v>
      </c>
      <c r="I217" s="289" t="s">
        <v>260</v>
      </c>
      <c r="J217" s="289" t="s">
        <v>21</v>
      </c>
      <c r="K217" s="291" t="s">
        <v>1099</v>
      </c>
      <c r="L217" s="289" t="s">
        <v>1100</v>
      </c>
      <c r="M217" s="12">
        <f t="shared" si="12"/>
        <v>234</v>
      </c>
      <c r="N217" s="13">
        <f t="shared" si="13"/>
        <v>201</v>
      </c>
      <c r="O217" s="14">
        <f t="shared" si="14"/>
        <v>435</v>
      </c>
      <c r="P217" s="15">
        <f t="shared" si="15"/>
        <v>0.52409638554216864</v>
      </c>
    </row>
    <row r="218" spans="1:16" ht="15.75" customHeight="1" x14ac:dyDescent="0.3">
      <c r="A218" s="8" t="s">
        <v>59</v>
      </c>
      <c r="B218" s="289" t="s">
        <v>1148</v>
      </c>
      <c r="C218" s="292" t="s">
        <v>87</v>
      </c>
      <c r="D218" s="289" t="s">
        <v>1096</v>
      </c>
      <c r="E218" s="284">
        <v>-5</v>
      </c>
      <c r="F218" s="289" t="s">
        <v>1097</v>
      </c>
      <c r="G218" s="290">
        <v>0</v>
      </c>
      <c r="H218" s="289" t="s">
        <v>606</v>
      </c>
      <c r="I218" s="289" t="s">
        <v>510</v>
      </c>
      <c r="J218" s="289" t="s">
        <v>4</v>
      </c>
      <c r="K218" s="291" t="s">
        <v>1099</v>
      </c>
      <c r="L218" s="289"/>
      <c r="M218" s="12">
        <f t="shared" si="12"/>
        <v>649</v>
      </c>
      <c r="N218" s="13">
        <f t="shared" si="13"/>
        <v>84</v>
      </c>
      <c r="O218" s="14">
        <f t="shared" si="14"/>
        <v>733</v>
      </c>
      <c r="P218" s="15">
        <f t="shared" si="15"/>
        <v>0.88313253012048187</v>
      </c>
    </row>
    <row r="219" spans="1:16" ht="15.75" customHeight="1" x14ac:dyDescent="0.3">
      <c r="A219" s="8" t="s">
        <v>59</v>
      </c>
      <c r="B219" s="289" t="s">
        <v>1148</v>
      </c>
      <c r="C219" s="292" t="s">
        <v>87</v>
      </c>
      <c r="D219" s="289" t="s">
        <v>1096</v>
      </c>
      <c r="E219" s="284">
        <v>5</v>
      </c>
      <c r="F219" s="289" t="s">
        <v>1097</v>
      </c>
      <c r="G219" s="290">
        <v>0</v>
      </c>
      <c r="H219" s="289" t="s">
        <v>606</v>
      </c>
      <c r="I219" s="289" t="s">
        <v>510</v>
      </c>
      <c r="J219" s="289" t="s">
        <v>4</v>
      </c>
      <c r="K219" s="289"/>
      <c r="L219" s="289" t="s">
        <v>260</v>
      </c>
      <c r="M219" s="12">
        <f t="shared" si="12"/>
        <v>649</v>
      </c>
      <c r="N219" s="13">
        <f t="shared" si="13"/>
        <v>84</v>
      </c>
      <c r="O219" s="14">
        <f t="shared" si="14"/>
        <v>733</v>
      </c>
      <c r="P219" s="15">
        <f t="shared" si="15"/>
        <v>0.88313253012048187</v>
      </c>
    </row>
    <row r="220" spans="1:16" ht="15.75" customHeight="1" x14ac:dyDescent="0.3">
      <c r="A220" s="8" t="s">
        <v>59</v>
      </c>
      <c r="B220" s="289" t="s">
        <v>1148</v>
      </c>
      <c r="C220" s="289" t="s">
        <v>79</v>
      </c>
      <c r="D220" s="289" t="s">
        <v>1096</v>
      </c>
      <c r="E220" s="284">
        <v>16</v>
      </c>
      <c r="F220" s="289" t="s">
        <v>1097</v>
      </c>
      <c r="G220" s="284">
        <v>16</v>
      </c>
      <c r="H220" s="289" t="s">
        <v>1098</v>
      </c>
      <c r="I220" s="289" t="s">
        <v>260</v>
      </c>
      <c r="J220" s="289" t="s">
        <v>21</v>
      </c>
      <c r="K220" s="289"/>
      <c r="L220" s="289"/>
      <c r="M220" s="12">
        <f t="shared" si="12"/>
        <v>234</v>
      </c>
      <c r="N220" s="13">
        <f t="shared" si="13"/>
        <v>201</v>
      </c>
      <c r="O220" s="14">
        <f t="shared" si="14"/>
        <v>435</v>
      </c>
      <c r="P220" s="15">
        <f t="shared" si="15"/>
        <v>0.52409638554216864</v>
      </c>
    </row>
    <row r="221" spans="1:16" ht="15.75" customHeight="1" x14ac:dyDescent="0.3">
      <c r="A221" s="8" t="s">
        <v>59</v>
      </c>
      <c r="B221" s="289" t="s">
        <v>1148</v>
      </c>
      <c r="C221" s="289" t="s">
        <v>192</v>
      </c>
      <c r="D221" s="289" t="s">
        <v>1096</v>
      </c>
      <c r="E221" s="284">
        <v>8</v>
      </c>
      <c r="F221" s="289" t="s">
        <v>1097</v>
      </c>
      <c r="G221" s="284">
        <v>8</v>
      </c>
      <c r="H221" s="289" t="s">
        <v>1098</v>
      </c>
      <c r="I221" s="289" t="s">
        <v>260</v>
      </c>
      <c r="J221" s="289" t="s">
        <v>21</v>
      </c>
      <c r="K221" s="289"/>
      <c r="L221" s="289"/>
      <c r="M221" s="12">
        <f t="shared" si="12"/>
        <v>234</v>
      </c>
      <c r="N221" s="13">
        <f t="shared" si="13"/>
        <v>201</v>
      </c>
      <c r="O221" s="14">
        <f t="shared" si="14"/>
        <v>435</v>
      </c>
      <c r="P221" s="15">
        <f t="shared" si="15"/>
        <v>0.52409638554216864</v>
      </c>
    </row>
    <row r="222" spans="1:16" ht="15.75" customHeight="1" x14ac:dyDescent="0.3">
      <c r="A222" s="8" t="s">
        <v>59</v>
      </c>
      <c r="B222" s="289" t="s">
        <v>1148</v>
      </c>
      <c r="C222" s="289" t="s">
        <v>80</v>
      </c>
      <c r="D222" s="289" t="s">
        <v>1096</v>
      </c>
      <c r="E222" s="284">
        <v>1</v>
      </c>
      <c r="F222" s="289" t="s">
        <v>1097</v>
      </c>
      <c r="G222" s="290">
        <v>0</v>
      </c>
      <c r="H222" s="289" t="s">
        <v>1098</v>
      </c>
      <c r="I222" s="289" t="s">
        <v>260</v>
      </c>
      <c r="J222" s="289" t="s">
        <v>21</v>
      </c>
      <c r="K222" s="289"/>
      <c r="L222" s="289"/>
      <c r="M222" s="12">
        <f t="shared" si="12"/>
        <v>234</v>
      </c>
      <c r="N222" s="13">
        <f t="shared" si="13"/>
        <v>201</v>
      </c>
      <c r="O222" s="14">
        <f t="shared" si="14"/>
        <v>435</v>
      </c>
      <c r="P222" s="15">
        <f t="shared" si="15"/>
        <v>0.52409638554216864</v>
      </c>
    </row>
    <row r="223" spans="1:16" ht="15.75" customHeight="1" x14ac:dyDescent="0.3">
      <c r="A223" s="8" t="s">
        <v>59</v>
      </c>
      <c r="B223" s="289" t="s">
        <v>1137</v>
      </c>
      <c r="C223" s="289" t="s">
        <v>73</v>
      </c>
      <c r="D223" s="289" t="s">
        <v>1096</v>
      </c>
      <c r="E223" s="284">
        <v>20</v>
      </c>
      <c r="F223" s="289" t="s">
        <v>1097</v>
      </c>
      <c r="G223" s="284">
        <v>20</v>
      </c>
      <c r="H223" s="289" t="s">
        <v>1114</v>
      </c>
      <c r="I223" s="289" t="s">
        <v>1115</v>
      </c>
      <c r="J223" s="289" t="s">
        <v>8</v>
      </c>
      <c r="K223" s="289"/>
      <c r="L223" s="289" t="s">
        <v>1149</v>
      </c>
      <c r="M223" s="12">
        <f t="shared" si="12"/>
        <v>296</v>
      </c>
      <c r="N223" s="13">
        <f t="shared" si="13"/>
        <v>270</v>
      </c>
      <c r="O223" s="14">
        <f t="shared" si="14"/>
        <v>566</v>
      </c>
      <c r="P223" s="15">
        <f t="shared" si="15"/>
        <v>0.68192771084337345</v>
      </c>
    </row>
    <row r="224" spans="1:16" ht="15.75" customHeight="1" x14ac:dyDescent="0.3">
      <c r="A224" s="8" t="s">
        <v>59</v>
      </c>
      <c r="B224" s="289" t="s">
        <v>1137</v>
      </c>
      <c r="C224" s="289" t="s">
        <v>79</v>
      </c>
      <c r="D224" s="289" t="s">
        <v>1096</v>
      </c>
      <c r="E224" s="284">
        <v>12</v>
      </c>
      <c r="F224" s="289" t="s">
        <v>1097</v>
      </c>
      <c r="G224" s="284">
        <v>12</v>
      </c>
      <c r="H224" s="289" t="s">
        <v>1114</v>
      </c>
      <c r="I224" s="289" t="s">
        <v>1115</v>
      </c>
      <c r="J224" s="289" t="s">
        <v>8</v>
      </c>
      <c r="K224" s="289"/>
      <c r="L224" s="289"/>
      <c r="M224" s="12">
        <f t="shared" si="12"/>
        <v>296</v>
      </c>
      <c r="N224" s="13">
        <f t="shared" si="13"/>
        <v>270</v>
      </c>
      <c r="O224" s="14">
        <f t="shared" si="14"/>
        <v>566</v>
      </c>
      <c r="P224" s="15">
        <f t="shared" si="15"/>
        <v>0.68192771084337345</v>
      </c>
    </row>
    <row r="225" spans="1:16" ht="15.75" customHeight="1" x14ac:dyDescent="0.3">
      <c r="A225" s="8" t="s">
        <v>59</v>
      </c>
      <c r="B225" s="289" t="s">
        <v>1137</v>
      </c>
      <c r="C225" s="289" t="s">
        <v>100</v>
      </c>
      <c r="D225" s="289" t="s">
        <v>1096</v>
      </c>
      <c r="E225" s="284">
        <v>12</v>
      </c>
      <c r="F225" s="289" t="s">
        <v>1097</v>
      </c>
      <c r="G225" s="284">
        <v>12</v>
      </c>
      <c r="H225" s="289" t="s">
        <v>646</v>
      </c>
      <c r="I225" s="289" t="s">
        <v>568</v>
      </c>
      <c r="J225" s="289" t="s">
        <v>8</v>
      </c>
      <c r="K225" s="289"/>
      <c r="L225" s="289"/>
      <c r="M225" s="12">
        <f t="shared" si="12"/>
        <v>488.01</v>
      </c>
      <c r="N225" s="13">
        <f t="shared" si="13"/>
        <v>683</v>
      </c>
      <c r="O225" s="14">
        <f t="shared" si="14"/>
        <v>1171.01</v>
      </c>
      <c r="P225" s="15">
        <f t="shared" si="15"/>
        <v>1.410855421686747</v>
      </c>
    </row>
    <row r="226" spans="1:16" ht="15.75" customHeight="1" x14ac:dyDescent="0.3">
      <c r="A226" s="8" t="s">
        <v>59</v>
      </c>
      <c r="B226" s="289" t="s">
        <v>1137</v>
      </c>
      <c r="C226" s="289" t="s">
        <v>111</v>
      </c>
      <c r="D226" s="289" t="s">
        <v>1096</v>
      </c>
      <c r="E226" s="284">
        <v>7</v>
      </c>
      <c r="F226" s="289" t="s">
        <v>1097</v>
      </c>
      <c r="G226" s="290">
        <v>0</v>
      </c>
      <c r="H226" s="289" t="s">
        <v>1114</v>
      </c>
      <c r="I226" s="289" t="s">
        <v>1115</v>
      </c>
      <c r="J226" s="289" t="s">
        <v>8</v>
      </c>
      <c r="K226" s="289"/>
      <c r="L226" s="289" t="s">
        <v>1149</v>
      </c>
      <c r="M226" s="12">
        <f t="shared" si="12"/>
        <v>296</v>
      </c>
      <c r="N226" s="13">
        <f t="shared" si="13"/>
        <v>270</v>
      </c>
      <c r="O226" s="14">
        <f t="shared" si="14"/>
        <v>566</v>
      </c>
      <c r="P226" s="15">
        <f t="shared" si="15"/>
        <v>0.68192771084337345</v>
      </c>
    </row>
    <row r="227" spans="1:16" ht="15.75" customHeight="1" x14ac:dyDescent="0.3">
      <c r="A227" s="8" t="s">
        <v>59</v>
      </c>
      <c r="B227" s="289" t="s">
        <v>1137</v>
      </c>
      <c r="C227" s="289" t="s">
        <v>192</v>
      </c>
      <c r="D227" s="289" t="s">
        <v>1096</v>
      </c>
      <c r="E227" s="284">
        <v>6</v>
      </c>
      <c r="F227" s="289" t="s">
        <v>1097</v>
      </c>
      <c r="G227" s="284">
        <v>6</v>
      </c>
      <c r="H227" s="289" t="s">
        <v>1114</v>
      </c>
      <c r="I227" s="289" t="s">
        <v>1115</v>
      </c>
      <c r="J227" s="289" t="s">
        <v>8</v>
      </c>
      <c r="K227" s="289"/>
      <c r="L227" s="289" t="s">
        <v>1149</v>
      </c>
      <c r="M227" s="12">
        <f t="shared" si="12"/>
        <v>296</v>
      </c>
      <c r="N227" s="13">
        <f t="shared" si="13"/>
        <v>270</v>
      </c>
      <c r="O227" s="14">
        <f t="shared" si="14"/>
        <v>566</v>
      </c>
      <c r="P227" s="15">
        <f t="shared" si="15"/>
        <v>0.68192771084337345</v>
      </c>
    </row>
    <row r="228" spans="1:16" ht="15.75" customHeight="1" x14ac:dyDescent="0.3">
      <c r="A228" s="8" t="s">
        <v>59</v>
      </c>
      <c r="B228" s="289" t="s">
        <v>1137</v>
      </c>
      <c r="C228" s="289" t="s">
        <v>80</v>
      </c>
      <c r="D228" s="289" t="s">
        <v>1096</v>
      </c>
      <c r="E228" s="284">
        <v>3</v>
      </c>
      <c r="F228" s="289" t="s">
        <v>1097</v>
      </c>
      <c r="G228" s="290">
        <v>0</v>
      </c>
      <c r="H228" s="289" t="s">
        <v>1114</v>
      </c>
      <c r="I228" s="289" t="s">
        <v>1115</v>
      </c>
      <c r="J228" s="289" t="s">
        <v>8</v>
      </c>
      <c r="K228" s="289"/>
      <c r="L228" s="289" t="s">
        <v>1149</v>
      </c>
      <c r="M228" s="12">
        <f t="shared" si="12"/>
        <v>296</v>
      </c>
      <c r="N228" s="13">
        <f t="shared" si="13"/>
        <v>270</v>
      </c>
      <c r="O228" s="14">
        <f t="shared" si="14"/>
        <v>566</v>
      </c>
      <c r="P228" s="15">
        <f t="shared" si="15"/>
        <v>0.68192771084337345</v>
      </c>
    </row>
    <row r="229" spans="1:16" ht="15.75" customHeight="1" x14ac:dyDescent="0.3">
      <c r="A229" s="8" t="s">
        <v>59</v>
      </c>
      <c r="B229" s="289" t="s">
        <v>1150</v>
      </c>
      <c r="C229" s="289" t="s">
        <v>73</v>
      </c>
      <c r="D229" s="289" t="s">
        <v>1096</v>
      </c>
      <c r="E229" s="284">
        <v>16</v>
      </c>
      <c r="F229" s="289" t="s">
        <v>1097</v>
      </c>
      <c r="G229" s="284">
        <v>16</v>
      </c>
      <c r="H229" s="289" t="s">
        <v>1098</v>
      </c>
      <c r="I229" s="289" t="s">
        <v>260</v>
      </c>
      <c r="J229" s="289" t="s">
        <v>21</v>
      </c>
      <c r="K229" s="291" t="s">
        <v>1099</v>
      </c>
      <c r="L229" s="289" t="s">
        <v>1100</v>
      </c>
      <c r="M229" s="12">
        <f t="shared" si="12"/>
        <v>234</v>
      </c>
      <c r="N229" s="13">
        <f t="shared" si="13"/>
        <v>201</v>
      </c>
      <c r="O229" s="14">
        <f t="shared" si="14"/>
        <v>435</v>
      </c>
      <c r="P229" s="15">
        <f t="shared" si="15"/>
        <v>0.52409638554216864</v>
      </c>
    </row>
    <row r="230" spans="1:16" ht="15.75" customHeight="1" x14ac:dyDescent="0.3">
      <c r="A230" s="8" t="s">
        <v>59</v>
      </c>
      <c r="B230" s="289" t="s">
        <v>1150</v>
      </c>
      <c r="C230" s="292" t="s">
        <v>73</v>
      </c>
      <c r="D230" s="289" t="s">
        <v>1096</v>
      </c>
      <c r="E230" s="284">
        <v>-16</v>
      </c>
      <c r="F230" s="289" t="s">
        <v>1097</v>
      </c>
      <c r="G230" s="284">
        <v>16</v>
      </c>
      <c r="H230" s="289" t="s">
        <v>606</v>
      </c>
      <c r="I230" s="289" t="s">
        <v>510</v>
      </c>
      <c r="J230" s="289" t="s">
        <v>4</v>
      </c>
      <c r="K230" s="291" t="s">
        <v>1099</v>
      </c>
      <c r="L230" s="289"/>
      <c r="M230" s="12">
        <f t="shared" si="12"/>
        <v>649</v>
      </c>
      <c r="N230" s="13">
        <f t="shared" si="13"/>
        <v>84</v>
      </c>
      <c r="O230" s="14">
        <f t="shared" si="14"/>
        <v>733</v>
      </c>
      <c r="P230" s="15">
        <f t="shared" si="15"/>
        <v>0.88313253012048187</v>
      </c>
    </row>
    <row r="231" spans="1:16" ht="15.75" customHeight="1" x14ac:dyDescent="0.3">
      <c r="A231" s="8" t="s">
        <v>59</v>
      </c>
      <c r="B231" s="289" t="s">
        <v>1150</v>
      </c>
      <c r="C231" s="292" t="s">
        <v>73</v>
      </c>
      <c r="D231" s="289" t="s">
        <v>1096</v>
      </c>
      <c r="E231" s="284">
        <v>16</v>
      </c>
      <c r="F231" s="289" t="s">
        <v>1097</v>
      </c>
      <c r="G231" s="284">
        <v>16</v>
      </c>
      <c r="H231" s="289" t="s">
        <v>606</v>
      </c>
      <c r="I231" s="289" t="s">
        <v>510</v>
      </c>
      <c r="J231" s="289" t="s">
        <v>4</v>
      </c>
      <c r="K231" s="289"/>
      <c r="L231" s="289" t="s">
        <v>260</v>
      </c>
      <c r="M231" s="12">
        <f t="shared" si="12"/>
        <v>649</v>
      </c>
      <c r="N231" s="13">
        <f t="shared" si="13"/>
        <v>84</v>
      </c>
      <c r="O231" s="14">
        <f t="shared" si="14"/>
        <v>733</v>
      </c>
      <c r="P231" s="15">
        <f t="shared" si="15"/>
        <v>0.88313253012048187</v>
      </c>
    </row>
    <row r="232" spans="1:16" ht="15.75" customHeight="1" x14ac:dyDescent="0.3">
      <c r="A232" s="8" t="s">
        <v>59</v>
      </c>
      <c r="B232" s="289" t="s">
        <v>1150</v>
      </c>
      <c r="C232" s="289" t="s">
        <v>87</v>
      </c>
      <c r="D232" s="289" t="s">
        <v>1096</v>
      </c>
      <c r="E232" s="284">
        <v>5</v>
      </c>
      <c r="F232" s="289" t="s">
        <v>1097</v>
      </c>
      <c r="G232" s="290">
        <v>0</v>
      </c>
      <c r="H232" s="289" t="s">
        <v>1098</v>
      </c>
      <c r="I232" s="289" t="s">
        <v>260</v>
      </c>
      <c r="J232" s="289" t="s">
        <v>21</v>
      </c>
      <c r="K232" s="291" t="s">
        <v>1099</v>
      </c>
      <c r="L232" s="289" t="s">
        <v>1100</v>
      </c>
      <c r="M232" s="12">
        <f t="shared" si="12"/>
        <v>234</v>
      </c>
      <c r="N232" s="13">
        <f t="shared" si="13"/>
        <v>201</v>
      </c>
      <c r="O232" s="14">
        <f t="shared" si="14"/>
        <v>435</v>
      </c>
      <c r="P232" s="15">
        <f t="shared" si="15"/>
        <v>0.52409638554216864</v>
      </c>
    </row>
    <row r="233" spans="1:16" ht="15.75" customHeight="1" x14ac:dyDescent="0.3">
      <c r="A233" s="8" t="s">
        <v>59</v>
      </c>
      <c r="B233" s="289" t="s">
        <v>1150</v>
      </c>
      <c r="C233" s="292" t="s">
        <v>87</v>
      </c>
      <c r="D233" s="289" t="s">
        <v>1096</v>
      </c>
      <c r="E233" s="284">
        <v>-5</v>
      </c>
      <c r="F233" s="289" t="s">
        <v>1097</v>
      </c>
      <c r="G233" s="290">
        <v>0</v>
      </c>
      <c r="H233" s="289" t="s">
        <v>606</v>
      </c>
      <c r="I233" s="289" t="s">
        <v>510</v>
      </c>
      <c r="J233" s="289" t="s">
        <v>4</v>
      </c>
      <c r="K233" s="291" t="s">
        <v>1099</v>
      </c>
      <c r="L233" s="289"/>
      <c r="M233" s="12">
        <f t="shared" si="12"/>
        <v>649</v>
      </c>
      <c r="N233" s="13">
        <f t="shared" si="13"/>
        <v>84</v>
      </c>
      <c r="O233" s="14">
        <f t="shared" si="14"/>
        <v>733</v>
      </c>
      <c r="P233" s="15">
        <f t="shared" si="15"/>
        <v>0.88313253012048187</v>
      </c>
    </row>
    <row r="234" spans="1:16" ht="15.75" customHeight="1" x14ac:dyDescent="0.3">
      <c r="A234" s="8" t="s">
        <v>59</v>
      </c>
      <c r="B234" s="289" t="s">
        <v>1150</v>
      </c>
      <c r="C234" s="292" t="s">
        <v>87</v>
      </c>
      <c r="D234" s="289" t="s">
        <v>1096</v>
      </c>
      <c r="E234" s="284">
        <v>5</v>
      </c>
      <c r="F234" s="289" t="s">
        <v>1097</v>
      </c>
      <c r="G234" s="290">
        <v>0</v>
      </c>
      <c r="H234" s="289" t="s">
        <v>606</v>
      </c>
      <c r="I234" s="289" t="s">
        <v>510</v>
      </c>
      <c r="J234" s="289" t="s">
        <v>4</v>
      </c>
      <c r="K234" s="289"/>
      <c r="L234" s="289" t="s">
        <v>260</v>
      </c>
      <c r="M234" s="12">
        <f t="shared" si="12"/>
        <v>649</v>
      </c>
      <c r="N234" s="13">
        <f t="shared" si="13"/>
        <v>84</v>
      </c>
      <c r="O234" s="14">
        <f t="shared" si="14"/>
        <v>733</v>
      </c>
      <c r="P234" s="15">
        <f t="shared" si="15"/>
        <v>0.88313253012048187</v>
      </c>
    </row>
    <row r="235" spans="1:16" ht="15.75" customHeight="1" x14ac:dyDescent="0.3">
      <c r="A235" s="8" t="s">
        <v>59</v>
      </c>
      <c r="B235" s="289" t="s">
        <v>1150</v>
      </c>
      <c r="C235" s="289" t="s">
        <v>79</v>
      </c>
      <c r="D235" s="289" t="s">
        <v>1096</v>
      </c>
      <c r="E235" s="284">
        <v>16</v>
      </c>
      <c r="F235" s="289" t="s">
        <v>1097</v>
      </c>
      <c r="G235" s="284">
        <v>16</v>
      </c>
      <c r="H235" s="289" t="s">
        <v>1098</v>
      </c>
      <c r="I235" s="289" t="s">
        <v>260</v>
      </c>
      <c r="J235" s="289" t="s">
        <v>21</v>
      </c>
      <c r="K235" s="289"/>
      <c r="L235" s="289"/>
      <c r="M235" s="12">
        <f t="shared" si="12"/>
        <v>234</v>
      </c>
      <c r="N235" s="13">
        <f t="shared" si="13"/>
        <v>201</v>
      </c>
      <c r="O235" s="14">
        <f t="shared" si="14"/>
        <v>435</v>
      </c>
      <c r="P235" s="15">
        <f t="shared" si="15"/>
        <v>0.52409638554216864</v>
      </c>
    </row>
    <row r="236" spans="1:16" ht="15.75" customHeight="1" x14ac:dyDescent="0.3">
      <c r="A236" s="8" t="s">
        <v>59</v>
      </c>
      <c r="B236" s="289" t="s">
        <v>1150</v>
      </c>
      <c r="C236" s="289" t="s">
        <v>100</v>
      </c>
      <c r="D236" s="289" t="s">
        <v>1096</v>
      </c>
      <c r="E236" s="284">
        <v>8</v>
      </c>
      <c r="F236" s="289" t="s">
        <v>1097</v>
      </c>
      <c r="G236" s="284">
        <v>8</v>
      </c>
      <c r="H236" s="289" t="s">
        <v>646</v>
      </c>
      <c r="I236" s="289" t="s">
        <v>568</v>
      </c>
      <c r="J236" s="289" t="s">
        <v>8</v>
      </c>
      <c r="K236" s="289"/>
      <c r="L236" s="289"/>
      <c r="M236" s="12">
        <f t="shared" si="12"/>
        <v>488.01</v>
      </c>
      <c r="N236" s="13">
        <f t="shared" si="13"/>
        <v>683</v>
      </c>
      <c r="O236" s="14">
        <f t="shared" si="14"/>
        <v>1171.01</v>
      </c>
      <c r="P236" s="15">
        <f t="shared" si="15"/>
        <v>1.410855421686747</v>
      </c>
    </row>
    <row r="237" spans="1:16" ht="15.75" customHeight="1" x14ac:dyDescent="0.3">
      <c r="A237" s="8" t="s">
        <v>59</v>
      </c>
      <c r="B237" s="289" t="s">
        <v>1150</v>
      </c>
      <c r="C237" s="289" t="s">
        <v>192</v>
      </c>
      <c r="D237" s="289" t="s">
        <v>1096</v>
      </c>
      <c r="E237" s="284">
        <v>8</v>
      </c>
      <c r="F237" s="289" t="s">
        <v>1097</v>
      </c>
      <c r="G237" s="284">
        <v>8</v>
      </c>
      <c r="H237" s="289" t="s">
        <v>1098</v>
      </c>
      <c r="I237" s="289" t="s">
        <v>260</v>
      </c>
      <c r="J237" s="289" t="s">
        <v>21</v>
      </c>
      <c r="K237" s="289"/>
      <c r="L237" s="289"/>
      <c r="M237" s="12">
        <f t="shared" si="12"/>
        <v>234</v>
      </c>
      <c r="N237" s="13">
        <f t="shared" si="13"/>
        <v>201</v>
      </c>
      <c r="O237" s="14">
        <f t="shared" si="14"/>
        <v>435</v>
      </c>
      <c r="P237" s="15">
        <f t="shared" si="15"/>
        <v>0.52409638554216864</v>
      </c>
    </row>
    <row r="238" spans="1:16" ht="15.75" customHeight="1" x14ac:dyDescent="0.3">
      <c r="A238" s="8" t="s">
        <v>59</v>
      </c>
      <c r="B238" s="289" t="s">
        <v>1150</v>
      </c>
      <c r="C238" s="289" t="s">
        <v>80</v>
      </c>
      <c r="D238" s="289" t="s">
        <v>1096</v>
      </c>
      <c r="E238" s="284">
        <v>1</v>
      </c>
      <c r="F238" s="289" t="s">
        <v>1097</v>
      </c>
      <c r="G238" s="290">
        <v>0</v>
      </c>
      <c r="H238" s="289" t="s">
        <v>1098</v>
      </c>
      <c r="I238" s="289" t="s">
        <v>260</v>
      </c>
      <c r="J238" s="289" t="s">
        <v>21</v>
      </c>
      <c r="K238" s="289"/>
      <c r="L238" s="289"/>
      <c r="M238" s="12">
        <f t="shared" si="12"/>
        <v>234</v>
      </c>
      <c r="N238" s="13">
        <f t="shared" si="13"/>
        <v>201</v>
      </c>
      <c r="O238" s="14">
        <f t="shared" si="14"/>
        <v>435</v>
      </c>
      <c r="P238" s="15">
        <f t="shared" si="15"/>
        <v>0.52409638554216864</v>
      </c>
    </row>
    <row r="239" spans="1:16" ht="15.75" customHeight="1" x14ac:dyDescent="0.3">
      <c r="A239" s="8" t="s">
        <v>59</v>
      </c>
      <c r="B239" s="289" t="s">
        <v>1151</v>
      </c>
      <c r="C239" s="289" t="s">
        <v>73</v>
      </c>
      <c r="D239" s="289" t="s">
        <v>1096</v>
      </c>
      <c r="E239" s="284">
        <v>8</v>
      </c>
      <c r="F239" s="289" t="s">
        <v>1097</v>
      </c>
      <c r="G239" s="284">
        <v>8</v>
      </c>
      <c r="H239" s="289" t="s">
        <v>643</v>
      </c>
      <c r="I239" s="289" t="s">
        <v>579</v>
      </c>
      <c r="J239" s="289" t="s">
        <v>8</v>
      </c>
      <c r="K239" s="289"/>
      <c r="L239" s="289"/>
      <c r="M239" s="12">
        <f t="shared" si="12"/>
        <v>476.99</v>
      </c>
      <c r="N239" s="13">
        <f t="shared" si="13"/>
        <v>579</v>
      </c>
      <c r="O239" s="14">
        <f t="shared" si="14"/>
        <v>1055.99</v>
      </c>
      <c r="P239" s="15">
        <f t="shared" si="15"/>
        <v>1.272277108433735</v>
      </c>
    </row>
    <row r="240" spans="1:16" ht="15.75" customHeight="1" x14ac:dyDescent="0.3">
      <c r="A240" s="8" t="s">
        <v>59</v>
      </c>
      <c r="B240" s="289" t="s">
        <v>1151</v>
      </c>
      <c r="C240" s="289" t="s">
        <v>87</v>
      </c>
      <c r="D240" s="289" t="s">
        <v>1096</v>
      </c>
      <c r="E240" s="284">
        <v>5</v>
      </c>
      <c r="F240" s="289" t="s">
        <v>1097</v>
      </c>
      <c r="G240" s="290">
        <v>0</v>
      </c>
      <c r="H240" s="289" t="s">
        <v>643</v>
      </c>
      <c r="I240" s="289" t="s">
        <v>579</v>
      </c>
      <c r="J240" s="289" t="s">
        <v>8</v>
      </c>
      <c r="K240" s="289"/>
      <c r="L240" s="289"/>
      <c r="M240" s="12">
        <f t="shared" si="12"/>
        <v>476.99</v>
      </c>
      <c r="N240" s="13">
        <f t="shared" si="13"/>
        <v>579</v>
      </c>
      <c r="O240" s="14">
        <f t="shared" si="14"/>
        <v>1055.99</v>
      </c>
      <c r="P240" s="15">
        <f t="shared" si="15"/>
        <v>1.272277108433735</v>
      </c>
    </row>
    <row r="241" spans="1:16" ht="15.75" customHeight="1" x14ac:dyDescent="0.3">
      <c r="A241" s="8" t="s">
        <v>59</v>
      </c>
      <c r="B241" s="289" t="s">
        <v>1151</v>
      </c>
      <c r="C241" s="289" t="s">
        <v>79</v>
      </c>
      <c r="D241" s="289" t="s">
        <v>1096</v>
      </c>
      <c r="E241" s="284">
        <v>16</v>
      </c>
      <c r="F241" s="289" t="s">
        <v>1097</v>
      </c>
      <c r="G241" s="284">
        <v>16</v>
      </c>
      <c r="H241" s="289" t="s">
        <v>643</v>
      </c>
      <c r="I241" s="289" t="s">
        <v>579</v>
      </c>
      <c r="J241" s="289" t="s">
        <v>8</v>
      </c>
      <c r="K241" s="289"/>
      <c r="L241" s="289"/>
      <c r="M241" s="12">
        <f t="shared" si="12"/>
        <v>476.99</v>
      </c>
      <c r="N241" s="13">
        <f t="shared" si="13"/>
        <v>579</v>
      </c>
      <c r="O241" s="14">
        <f t="shared" si="14"/>
        <v>1055.99</v>
      </c>
      <c r="P241" s="15">
        <f t="shared" si="15"/>
        <v>1.272277108433735</v>
      </c>
    </row>
    <row r="242" spans="1:16" ht="15.75" customHeight="1" x14ac:dyDescent="0.3">
      <c r="A242" s="8" t="s">
        <v>59</v>
      </c>
      <c r="B242" s="289" t="s">
        <v>1151</v>
      </c>
      <c r="C242" s="289" t="s">
        <v>192</v>
      </c>
      <c r="D242" s="289" t="s">
        <v>1096</v>
      </c>
      <c r="E242" s="284">
        <v>8</v>
      </c>
      <c r="F242" s="289" t="s">
        <v>1097</v>
      </c>
      <c r="G242" s="284">
        <v>8</v>
      </c>
      <c r="H242" s="289" t="s">
        <v>643</v>
      </c>
      <c r="I242" s="289" t="s">
        <v>579</v>
      </c>
      <c r="J242" s="289" t="s">
        <v>8</v>
      </c>
      <c r="K242" s="289"/>
      <c r="L242" s="289"/>
      <c r="M242" s="12">
        <f t="shared" si="12"/>
        <v>476.99</v>
      </c>
      <c r="N242" s="13">
        <f t="shared" si="13"/>
        <v>579</v>
      </c>
      <c r="O242" s="14">
        <f t="shared" si="14"/>
        <v>1055.99</v>
      </c>
      <c r="P242" s="15">
        <f t="shared" si="15"/>
        <v>1.272277108433735</v>
      </c>
    </row>
    <row r="243" spans="1:16" ht="15.75" customHeight="1" x14ac:dyDescent="0.3">
      <c r="A243" s="8" t="s">
        <v>59</v>
      </c>
      <c r="B243" s="289" t="s">
        <v>283</v>
      </c>
      <c r="C243" s="289" t="s">
        <v>73</v>
      </c>
      <c r="D243" s="289" t="s">
        <v>1102</v>
      </c>
      <c r="E243" s="284">
        <v>12</v>
      </c>
      <c r="F243" s="289" t="s">
        <v>153</v>
      </c>
      <c r="G243" s="284">
        <v>12</v>
      </c>
      <c r="H243" s="289" t="s">
        <v>1114</v>
      </c>
      <c r="I243" s="289" t="s">
        <v>1115</v>
      </c>
      <c r="J243" s="289" t="s">
        <v>8</v>
      </c>
      <c r="K243" s="289"/>
      <c r="L243" s="289"/>
      <c r="M243" s="12">
        <f t="shared" si="12"/>
        <v>296</v>
      </c>
      <c r="N243" s="13">
        <f t="shared" si="13"/>
        <v>270</v>
      </c>
      <c r="O243" s="14">
        <f t="shared" si="14"/>
        <v>566</v>
      </c>
      <c r="P243" s="15">
        <f t="shared" si="15"/>
        <v>0.68192771084337345</v>
      </c>
    </row>
    <row r="244" spans="1:16" ht="15.75" customHeight="1" x14ac:dyDescent="0.3">
      <c r="A244" s="8" t="s">
        <v>59</v>
      </c>
      <c r="B244" s="289" t="s">
        <v>283</v>
      </c>
      <c r="C244" s="289" t="s">
        <v>87</v>
      </c>
      <c r="D244" s="289" t="s">
        <v>1102</v>
      </c>
      <c r="E244" s="284">
        <v>3</v>
      </c>
      <c r="F244" s="289" t="s">
        <v>153</v>
      </c>
      <c r="G244" s="290">
        <v>0</v>
      </c>
      <c r="H244" s="289" t="s">
        <v>1114</v>
      </c>
      <c r="I244" s="289" t="s">
        <v>1115</v>
      </c>
      <c r="J244" s="289" t="s">
        <v>8</v>
      </c>
      <c r="K244" s="289"/>
      <c r="L244" s="289"/>
      <c r="M244" s="12">
        <f t="shared" si="12"/>
        <v>296</v>
      </c>
      <c r="N244" s="13">
        <f t="shared" si="13"/>
        <v>270</v>
      </c>
      <c r="O244" s="14">
        <f t="shared" si="14"/>
        <v>566</v>
      </c>
      <c r="P244" s="15">
        <f t="shared" si="15"/>
        <v>0.68192771084337345</v>
      </c>
    </row>
    <row r="245" spans="1:16" ht="15.75" customHeight="1" x14ac:dyDescent="0.3">
      <c r="A245" s="8" t="s">
        <v>59</v>
      </c>
      <c r="B245" s="289" t="s">
        <v>283</v>
      </c>
      <c r="C245" s="289" t="s">
        <v>79</v>
      </c>
      <c r="D245" s="289" t="s">
        <v>1102</v>
      </c>
      <c r="E245" s="284">
        <v>10</v>
      </c>
      <c r="F245" s="289" t="s">
        <v>153</v>
      </c>
      <c r="G245" s="284">
        <v>10</v>
      </c>
      <c r="H245" s="289" t="s">
        <v>1114</v>
      </c>
      <c r="I245" s="289" t="s">
        <v>1115</v>
      </c>
      <c r="J245" s="289" t="s">
        <v>8</v>
      </c>
      <c r="K245" s="289"/>
      <c r="L245" s="289"/>
      <c r="M245" s="12">
        <f t="shared" si="12"/>
        <v>296</v>
      </c>
      <c r="N245" s="13">
        <f t="shared" si="13"/>
        <v>270</v>
      </c>
      <c r="O245" s="14">
        <f t="shared" si="14"/>
        <v>566</v>
      </c>
      <c r="P245" s="15">
        <f t="shared" si="15"/>
        <v>0.68192771084337345</v>
      </c>
    </row>
    <row r="246" spans="1:16" ht="15.75" customHeight="1" x14ac:dyDescent="0.3">
      <c r="A246" s="8" t="s">
        <v>59</v>
      </c>
      <c r="B246" s="289" t="s">
        <v>283</v>
      </c>
      <c r="C246" s="289" t="s">
        <v>100</v>
      </c>
      <c r="D246" s="289" t="s">
        <v>1102</v>
      </c>
      <c r="E246" s="284">
        <v>12</v>
      </c>
      <c r="F246" s="289" t="s">
        <v>153</v>
      </c>
      <c r="G246" s="284">
        <v>12</v>
      </c>
      <c r="H246" s="289" t="s">
        <v>646</v>
      </c>
      <c r="I246" s="289" t="s">
        <v>568</v>
      </c>
      <c r="J246" s="289" t="s">
        <v>8</v>
      </c>
      <c r="K246" s="289"/>
      <c r="L246" s="289"/>
      <c r="M246" s="12">
        <f t="shared" si="12"/>
        <v>488.01</v>
      </c>
      <c r="N246" s="13">
        <f t="shared" si="13"/>
        <v>683</v>
      </c>
      <c r="O246" s="14">
        <f t="shared" si="14"/>
        <v>1171.01</v>
      </c>
      <c r="P246" s="15">
        <f t="shared" si="15"/>
        <v>1.410855421686747</v>
      </c>
    </row>
    <row r="247" spans="1:16" ht="15.75" customHeight="1" x14ac:dyDescent="0.3">
      <c r="A247" s="8" t="s">
        <v>59</v>
      </c>
      <c r="B247" s="289" t="s">
        <v>283</v>
      </c>
      <c r="C247" s="289" t="s">
        <v>80</v>
      </c>
      <c r="D247" s="289" t="s">
        <v>1102</v>
      </c>
      <c r="E247" s="284">
        <v>1</v>
      </c>
      <c r="F247" s="289" t="s">
        <v>153</v>
      </c>
      <c r="G247" s="290">
        <v>0</v>
      </c>
      <c r="H247" s="289" t="s">
        <v>1114</v>
      </c>
      <c r="I247" s="289" t="s">
        <v>1115</v>
      </c>
      <c r="J247" s="289" t="s">
        <v>8</v>
      </c>
      <c r="K247" s="289"/>
      <c r="L247" s="289"/>
      <c r="M247" s="12">
        <f t="shared" si="12"/>
        <v>296</v>
      </c>
      <c r="N247" s="13">
        <f t="shared" si="13"/>
        <v>270</v>
      </c>
      <c r="O247" s="14">
        <f t="shared" si="14"/>
        <v>566</v>
      </c>
      <c r="P247" s="15">
        <f t="shared" si="15"/>
        <v>0.68192771084337345</v>
      </c>
    </row>
    <row r="248" spans="1:16" ht="15.75" customHeight="1" x14ac:dyDescent="0.3">
      <c r="A248" s="8" t="s">
        <v>59</v>
      </c>
      <c r="B248" s="289" t="s">
        <v>310</v>
      </c>
      <c r="C248" s="289" t="s">
        <v>73</v>
      </c>
      <c r="D248" s="289" t="s">
        <v>1131</v>
      </c>
      <c r="E248" s="284">
        <v>32</v>
      </c>
      <c r="F248" s="289" t="s">
        <v>161</v>
      </c>
      <c r="G248" s="284">
        <v>32</v>
      </c>
      <c r="H248" s="289" t="s">
        <v>606</v>
      </c>
      <c r="I248" s="289" t="s">
        <v>510</v>
      </c>
      <c r="J248" s="289" t="s">
        <v>4</v>
      </c>
      <c r="K248" s="289"/>
      <c r="L248" s="289" t="s">
        <v>1152</v>
      </c>
      <c r="M248" s="12">
        <f t="shared" si="12"/>
        <v>649</v>
      </c>
      <c r="N248" s="13">
        <f t="shared" si="13"/>
        <v>84</v>
      </c>
      <c r="O248" s="14">
        <f t="shared" si="14"/>
        <v>733</v>
      </c>
      <c r="P248" s="15">
        <f t="shared" si="15"/>
        <v>0.88313253012048187</v>
      </c>
    </row>
    <row r="249" spans="1:16" ht="15.75" customHeight="1" x14ac:dyDescent="0.3">
      <c r="A249" s="8" t="s">
        <v>59</v>
      </c>
      <c r="B249" s="289" t="s">
        <v>310</v>
      </c>
      <c r="C249" s="289" t="s">
        <v>111</v>
      </c>
      <c r="D249" s="289" t="s">
        <v>1130</v>
      </c>
      <c r="E249" s="284">
        <v>11</v>
      </c>
      <c r="F249" s="289" t="s">
        <v>161</v>
      </c>
      <c r="G249" s="290">
        <v>0</v>
      </c>
      <c r="H249" s="289" t="s">
        <v>606</v>
      </c>
      <c r="I249" s="289" t="s">
        <v>510</v>
      </c>
      <c r="J249" s="289" t="s">
        <v>4</v>
      </c>
      <c r="K249" s="289"/>
      <c r="L249" s="289" t="s">
        <v>1106</v>
      </c>
      <c r="M249" s="12">
        <f t="shared" si="12"/>
        <v>649</v>
      </c>
      <c r="N249" s="13">
        <f t="shared" si="13"/>
        <v>84</v>
      </c>
      <c r="O249" s="14">
        <f t="shared" si="14"/>
        <v>733</v>
      </c>
      <c r="P249" s="15">
        <f t="shared" si="15"/>
        <v>0.88313253012048187</v>
      </c>
    </row>
    <row r="250" spans="1:16" ht="15.75" customHeight="1" x14ac:dyDescent="0.3">
      <c r="A250" s="8" t="s">
        <v>59</v>
      </c>
      <c r="B250" s="289" t="s">
        <v>310</v>
      </c>
      <c r="C250" s="289" t="s">
        <v>111</v>
      </c>
      <c r="D250" s="289" t="s">
        <v>1129</v>
      </c>
      <c r="E250" s="284">
        <v>11</v>
      </c>
      <c r="F250" s="289" t="s">
        <v>161</v>
      </c>
      <c r="G250" s="290">
        <v>0</v>
      </c>
      <c r="H250" s="289" t="s">
        <v>606</v>
      </c>
      <c r="I250" s="289" t="s">
        <v>510</v>
      </c>
      <c r="J250" s="289" t="s">
        <v>4</v>
      </c>
      <c r="K250" s="289"/>
      <c r="L250" s="289" t="s">
        <v>1106</v>
      </c>
      <c r="M250" s="12">
        <f t="shared" si="12"/>
        <v>649</v>
      </c>
      <c r="N250" s="13">
        <f t="shared" si="13"/>
        <v>84</v>
      </c>
      <c r="O250" s="14">
        <f t="shared" si="14"/>
        <v>733</v>
      </c>
      <c r="P250" s="15">
        <f t="shared" si="15"/>
        <v>0.88313253012048187</v>
      </c>
    </row>
    <row r="251" spans="1:16" ht="15.75" customHeight="1" x14ac:dyDescent="0.3">
      <c r="A251" s="8" t="s">
        <v>59</v>
      </c>
      <c r="B251" s="289" t="s">
        <v>317</v>
      </c>
      <c r="C251" s="289" t="s">
        <v>73</v>
      </c>
      <c r="D251" s="289" t="s">
        <v>1153</v>
      </c>
      <c r="E251" s="284">
        <v>24</v>
      </c>
      <c r="F251" s="289" t="s">
        <v>75</v>
      </c>
      <c r="G251" s="284">
        <v>24</v>
      </c>
      <c r="H251" s="289" t="s">
        <v>646</v>
      </c>
      <c r="I251" s="289" t="s">
        <v>568</v>
      </c>
      <c r="J251" s="289" t="s">
        <v>8</v>
      </c>
      <c r="K251" s="289"/>
      <c r="L251" s="289"/>
      <c r="M251" s="12">
        <f t="shared" si="12"/>
        <v>488.01</v>
      </c>
      <c r="N251" s="13">
        <f t="shared" si="13"/>
        <v>683</v>
      </c>
      <c r="O251" s="14">
        <f t="shared" si="14"/>
        <v>1171.01</v>
      </c>
      <c r="P251" s="15">
        <f t="shared" si="15"/>
        <v>1.410855421686747</v>
      </c>
    </row>
    <row r="252" spans="1:16" ht="15.75" customHeight="1" x14ac:dyDescent="0.3">
      <c r="A252" s="8" t="s">
        <v>59</v>
      </c>
      <c r="B252" s="289" t="s">
        <v>317</v>
      </c>
      <c r="C252" s="289" t="s">
        <v>79</v>
      </c>
      <c r="D252" s="289" t="s">
        <v>1153</v>
      </c>
      <c r="E252" s="284">
        <v>8</v>
      </c>
      <c r="F252" s="289" t="s">
        <v>75</v>
      </c>
      <c r="G252" s="284">
        <v>8</v>
      </c>
      <c r="H252" s="289" t="s">
        <v>646</v>
      </c>
      <c r="I252" s="289" t="s">
        <v>568</v>
      </c>
      <c r="J252" s="289" t="s">
        <v>8</v>
      </c>
      <c r="K252" s="289"/>
      <c r="L252" s="289"/>
      <c r="M252" s="12">
        <f t="shared" si="12"/>
        <v>488.01</v>
      </c>
      <c r="N252" s="13">
        <f t="shared" si="13"/>
        <v>683</v>
      </c>
      <c r="O252" s="14">
        <f t="shared" si="14"/>
        <v>1171.01</v>
      </c>
      <c r="P252" s="15">
        <f t="shared" si="15"/>
        <v>1.410855421686747</v>
      </c>
    </row>
    <row r="253" spans="1:16" ht="15.75" customHeight="1" x14ac:dyDescent="0.3">
      <c r="A253" s="8" t="s">
        <v>59</v>
      </c>
      <c r="B253" s="289" t="s">
        <v>317</v>
      </c>
      <c r="C253" s="289" t="s">
        <v>80</v>
      </c>
      <c r="D253" s="289" t="s">
        <v>1153</v>
      </c>
      <c r="E253" s="284">
        <v>1</v>
      </c>
      <c r="F253" s="289" t="s">
        <v>75</v>
      </c>
      <c r="G253" s="290">
        <v>0</v>
      </c>
      <c r="H253" s="289" t="s">
        <v>646</v>
      </c>
      <c r="I253" s="289" t="s">
        <v>568</v>
      </c>
      <c r="J253" s="289" t="s">
        <v>8</v>
      </c>
      <c r="K253" s="289"/>
      <c r="L253" s="289"/>
      <c r="M253" s="12">
        <f t="shared" si="12"/>
        <v>488.01</v>
      </c>
      <c r="N253" s="13">
        <f t="shared" si="13"/>
        <v>683</v>
      </c>
      <c r="O253" s="14">
        <f t="shared" si="14"/>
        <v>1171.01</v>
      </c>
      <c r="P253" s="15">
        <f t="shared" si="15"/>
        <v>1.410855421686747</v>
      </c>
    </row>
    <row r="254" spans="1:16" ht="15.75" customHeight="1" x14ac:dyDescent="0.3">
      <c r="A254" s="8" t="s">
        <v>59</v>
      </c>
      <c r="B254" s="289" t="s">
        <v>401</v>
      </c>
      <c r="C254" s="289" t="s">
        <v>73</v>
      </c>
      <c r="D254" s="289" t="s">
        <v>1123</v>
      </c>
      <c r="E254" s="284">
        <v>24</v>
      </c>
      <c r="F254" s="289" t="s">
        <v>319</v>
      </c>
      <c r="G254" s="284">
        <v>24</v>
      </c>
      <c r="H254" s="289" t="s">
        <v>646</v>
      </c>
      <c r="I254" s="289" t="s">
        <v>568</v>
      </c>
      <c r="J254" s="289" t="s">
        <v>8</v>
      </c>
      <c r="K254" s="289"/>
      <c r="L254" s="289"/>
      <c r="M254" s="12">
        <f t="shared" si="12"/>
        <v>488.01</v>
      </c>
      <c r="N254" s="13">
        <f t="shared" si="13"/>
        <v>683</v>
      </c>
      <c r="O254" s="14">
        <f t="shared" si="14"/>
        <v>1171.01</v>
      </c>
      <c r="P254" s="15">
        <f t="shared" si="15"/>
        <v>1.410855421686747</v>
      </c>
    </row>
    <row r="255" spans="1:16" ht="15.75" customHeight="1" x14ac:dyDescent="0.3">
      <c r="A255" s="8" t="s">
        <v>59</v>
      </c>
      <c r="B255" s="289" t="s">
        <v>401</v>
      </c>
      <c r="C255" s="289" t="s">
        <v>87</v>
      </c>
      <c r="D255" s="289" t="s">
        <v>1123</v>
      </c>
      <c r="E255" s="284">
        <v>1</v>
      </c>
      <c r="F255" s="289" t="s">
        <v>319</v>
      </c>
      <c r="G255" s="290">
        <v>0</v>
      </c>
      <c r="H255" s="289" t="s">
        <v>646</v>
      </c>
      <c r="I255" s="289" t="s">
        <v>568</v>
      </c>
      <c r="J255" s="289" t="s">
        <v>8</v>
      </c>
      <c r="K255" s="289"/>
      <c r="L255" s="289"/>
      <c r="M255" s="12">
        <f t="shared" si="12"/>
        <v>488.01</v>
      </c>
      <c r="N255" s="13">
        <f t="shared" si="13"/>
        <v>683</v>
      </c>
      <c r="O255" s="14">
        <f t="shared" si="14"/>
        <v>1171.01</v>
      </c>
      <c r="P255" s="15">
        <f t="shared" si="15"/>
        <v>1.410855421686747</v>
      </c>
    </row>
    <row r="256" spans="1:16" ht="15.75" customHeight="1" x14ac:dyDescent="0.3">
      <c r="A256" s="8" t="s">
        <v>59</v>
      </c>
      <c r="B256" s="289" t="s">
        <v>401</v>
      </c>
      <c r="C256" s="289" t="s">
        <v>79</v>
      </c>
      <c r="D256" s="289" t="s">
        <v>1123</v>
      </c>
      <c r="E256" s="284">
        <v>8</v>
      </c>
      <c r="F256" s="289" t="s">
        <v>319</v>
      </c>
      <c r="G256" s="284">
        <v>8</v>
      </c>
      <c r="H256" s="289" t="s">
        <v>646</v>
      </c>
      <c r="I256" s="289" t="s">
        <v>568</v>
      </c>
      <c r="J256" s="289" t="s">
        <v>8</v>
      </c>
      <c r="K256" s="289"/>
      <c r="L256" s="289"/>
      <c r="M256" s="12">
        <f t="shared" si="12"/>
        <v>488.01</v>
      </c>
      <c r="N256" s="13">
        <f t="shared" si="13"/>
        <v>683</v>
      </c>
      <c r="O256" s="14">
        <f t="shared" si="14"/>
        <v>1171.01</v>
      </c>
      <c r="P256" s="15">
        <f t="shared" si="15"/>
        <v>1.410855421686747</v>
      </c>
    </row>
    <row r="257" spans="1:16" ht="15.75" customHeight="1" x14ac:dyDescent="0.3">
      <c r="A257" s="8" t="s">
        <v>59</v>
      </c>
      <c r="B257" s="289" t="s">
        <v>401</v>
      </c>
      <c r="C257" s="289" t="s">
        <v>80</v>
      </c>
      <c r="D257" s="289" t="s">
        <v>1123</v>
      </c>
      <c r="E257" s="284">
        <v>1</v>
      </c>
      <c r="F257" s="289" t="s">
        <v>319</v>
      </c>
      <c r="G257" s="290">
        <v>0</v>
      </c>
      <c r="H257" s="289" t="s">
        <v>646</v>
      </c>
      <c r="I257" s="289" t="s">
        <v>568</v>
      </c>
      <c r="J257" s="289" t="s">
        <v>8</v>
      </c>
      <c r="K257" s="289"/>
      <c r="L257" s="289"/>
      <c r="M257" s="12">
        <f t="shared" si="12"/>
        <v>488.01</v>
      </c>
      <c r="N257" s="13">
        <f t="shared" si="13"/>
        <v>683</v>
      </c>
      <c r="O257" s="14">
        <f t="shared" si="14"/>
        <v>1171.01</v>
      </c>
      <c r="P257" s="15">
        <f t="shared" si="15"/>
        <v>1.410855421686747</v>
      </c>
    </row>
    <row r="258" spans="1:16" ht="15.75" customHeight="1" x14ac:dyDescent="0.3">
      <c r="A258" s="8" t="s">
        <v>59</v>
      </c>
      <c r="B258" s="289" t="s">
        <v>332</v>
      </c>
      <c r="C258" s="289" t="s">
        <v>406</v>
      </c>
      <c r="D258" s="289" t="s">
        <v>1154</v>
      </c>
      <c r="E258" s="284">
        <v>60</v>
      </c>
      <c r="F258" s="289"/>
      <c r="G258" s="290">
        <v>0</v>
      </c>
      <c r="H258" s="289" t="s">
        <v>646</v>
      </c>
      <c r="I258" s="289" t="s">
        <v>568</v>
      </c>
      <c r="J258" s="289" t="s">
        <v>8</v>
      </c>
      <c r="K258" s="289"/>
      <c r="L258" s="289"/>
      <c r="M258" s="12">
        <f t="shared" ref="M258:M299" si="16">SUMIFS($E$2:$E$300,$A$2:$A$300,"осень",$I$2:$I$300,I258)</f>
        <v>488.01</v>
      </c>
      <c r="N258" s="13">
        <f t="shared" ref="N258:N299" si="17">SUMIFS($E$2:$E$300,$A$2:$A$300,"весна",$I$2:$I$300,I258)</f>
        <v>683</v>
      </c>
      <c r="O258" s="14">
        <f t="shared" ref="O258:O299" si="18">M258+N258</f>
        <v>1171.01</v>
      </c>
      <c r="P258" s="15">
        <f t="shared" ref="P258:P299" si="19">O258/$P$1</f>
        <v>1.410855421686747</v>
      </c>
    </row>
    <row r="259" spans="1:16" ht="15.75" customHeight="1" x14ac:dyDescent="0.3">
      <c r="A259" s="8" t="s">
        <v>59</v>
      </c>
      <c r="B259" s="289" t="s">
        <v>335</v>
      </c>
      <c r="C259" s="289" t="s">
        <v>406</v>
      </c>
      <c r="D259" s="289" t="s">
        <v>1121</v>
      </c>
      <c r="E259" s="284">
        <v>30</v>
      </c>
      <c r="F259" s="289"/>
      <c r="G259" s="290">
        <v>0</v>
      </c>
      <c r="H259" s="289" t="s">
        <v>606</v>
      </c>
      <c r="I259" s="289" t="s">
        <v>510</v>
      </c>
      <c r="J259" s="289" t="s">
        <v>4</v>
      </c>
      <c r="K259" s="289"/>
      <c r="L259" s="289" t="s">
        <v>1106</v>
      </c>
      <c r="M259" s="12">
        <f t="shared" si="16"/>
        <v>649</v>
      </c>
      <c r="N259" s="13">
        <f t="shared" si="17"/>
        <v>84</v>
      </c>
      <c r="O259" s="14">
        <f t="shared" si="18"/>
        <v>733</v>
      </c>
      <c r="P259" s="15">
        <f t="shared" si="19"/>
        <v>0.88313253012048187</v>
      </c>
    </row>
    <row r="260" spans="1:16" ht="15.75" customHeight="1" x14ac:dyDescent="0.3">
      <c r="A260" s="8" t="s">
        <v>59</v>
      </c>
      <c r="B260" s="289" t="s">
        <v>335</v>
      </c>
      <c r="C260" s="289" t="s">
        <v>406</v>
      </c>
      <c r="D260" s="289" t="s">
        <v>1123</v>
      </c>
      <c r="E260" s="284">
        <v>30</v>
      </c>
      <c r="F260" s="289"/>
      <c r="G260" s="290">
        <v>0</v>
      </c>
      <c r="H260" s="289" t="s">
        <v>646</v>
      </c>
      <c r="I260" s="289" t="s">
        <v>568</v>
      </c>
      <c r="J260" s="289" t="s">
        <v>8</v>
      </c>
      <c r="K260" s="289"/>
      <c r="L260" s="289"/>
      <c r="M260" s="12">
        <f t="shared" si="16"/>
        <v>488.01</v>
      </c>
      <c r="N260" s="13">
        <f t="shared" si="17"/>
        <v>683</v>
      </c>
      <c r="O260" s="14">
        <f t="shared" si="18"/>
        <v>1171.01</v>
      </c>
      <c r="P260" s="15">
        <f t="shared" si="19"/>
        <v>1.410855421686747</v>
      </c>
    </row>
    <row r="261" spans="1:16" ht="15.75" customHeight="1" x14ac:dyDescent="0.3">
      <c r="A261" s="8" t="s">
        <v>59</v>
      </c>
      <c r="B261" s="289" t="s">
        <v>335</v>
      </c>
      <c r="C261" s="289" t="s">
        <v>406</v>
      </c>
      <c r="D261" s="289" t="s">
        <v>1124</v>
      </c>
      <c r="E261" s="284">
        <v>10</v>
      </c>
      <c r="F261" s="289"/>
      <c r="G261" s="290">
        <v>0</v>
      </c>
      <c r="H261" s="289" t="s">
        <v>646</v>
      </c>
      <c r="I261" s="289" t="s">
        <v>568</v>
      </c>
      <c r="J261" s="289" t="s">
        <v>8</v>
      </c>
      <c r="K261" s="289"/>
      <c r="L261" s="289"/>
      <c r="M261" s="12">
        <f t="shared" si="16"/>
        <v>488.01</v>
      </c>
      <c r="N261" s="13">
        <f t="shared" si="17"/>
        <v>683</v>
      </c>
      <c r="O261" s="14">
        <f t="shared" si="18"/>
        <v>1171.01</v>
      </c>
      <c r="P261" s="15">
        <f t="shared" si="19"/>
        <v>1.410855421686747</v>
      </c>
    </row>
    <row r="262" spans="1:16" ht="15.75" customHeight="1" x14ac:dyDescent="0.3">
      <c r="A262" s="8" t="s">
        <v>59</v>
      </c>
      <c r="B262" s="289" t="s">
        <v>335</v>
      </c>
      <c r="C262" s="289" t="s">
        <v>406</v>
      </c>
      <c r="D262" s="289" t="s">
        <v>1124</v>
      </c>
      <c r="E262" s="284">
        <v>20</v>
      </c>
      <c r="F262" s="289"/>
      <c r="G262" s="290">
        <v>0</v>
      </c>
      <c r="H262" s="289" t="s">
        <v>643</v>
      </c>
      <c r="I262" s="289" t="s">
        <v>579</v>
      </c>
      <c r="J262" s="289" t="s">
        <v>8</v>
      </c>
      <c r="K262" s="289"/>
      <c r="L262" s="289"/>
      <c r="M262" s="12">
        <f t="shared" si="16"/>
        <v>476.99</v>
      </c>
      <c r="N262" s="13">
        <f t="shared" si="17"/>
        <v>579</v>
      </c>
      <c r="O262" s="14">
        <f t="shared" si="18"/>
        <v>1055.99</v>
      </c>
      <c r="P262" s="15">
        <f t="shared" si="19"/>
        <v>1.272277108433735</v>
      </c>
    </row>
    <row r="263" spans="1:16" ht="15.75" customHeight="1" x14ac:dyDescent="0.3">
      <c r="A263" s="8" t="s">
        <v>59</v>
      </c>
      <c r="B263" s="289" t="s">
        <v>333</v>
      </c>
      <c r="C263" s="289" t="s">
        <v>333</v>
      </c>
      <c r="D263" s="289" t="s">
        <v>1104</v>
      </c>
      <c r="E263" s="284">
        <v>15</v>
      </c>
      <c r="F263" s="289"/>
      <c r="G263" s="290">
        <v>0</v>
      </c>
      <c r="H263" s="289" t="s">
        <v>643</v>
      </c>
      <c r="I263" s="289" t="s">
        <v>579</v>
      </c>
      <c r="J263" s="289" t="s">
        <v>8</v>
      </c>
      <c r="K263" s="289"/>
      <c r="L263" s="289" t="s">
        <v>1125</v>
      </c>
      <c r="M263" s="12">
        <f t="shared" si="16"/>
        <v>476.99</v>
      </c>
      <c r="N263" s="13">
        <f t="shared" si="17"/>
        <v>579</v>
      </c>
      <c r="O263" s="14">
        <f t="shared" si="18"/>
        <v>1055.99</v>
      </c>
      <c r="P263" s="15">
        <f t="shared" si="19"/>
        <v>1.272277108433735</v>
      </c>
    </row>
    <row r="264" spans="1:16" ht="15.75" customHeight="1" x14ac:dyDescent="0.3">
      <c r="A264" s="8" t="s">
        <v>59</v>
      </c>
      <c r="B264" s="289" t="s">
        <v>333</v>
      </c>
      <c r="C264" s="289" t="s">
        <v>333</v>
      </c>
      <c r="D264" s="289" t="s">
        <v>1104</v>
      </c>
      <c r="E264" s="284">
        <v>60</v>
      </c>
      <c r="F264" s="289"/>
      <c r="G264" s="290">
        <v>0</v>
      </c>
      <c r="H264" s="289" t="s">
        <v>646</v>
      </c>
      <c r="I264" s="289" t="s">
        <v>568</v>
      </c>
      <c r="J264" s="289" t="s">
        <v>8</v>
      </c>
      <c r="K264" s="289"/>
      <c r="L264" s="289" t="s">
        <v>1127</v>
      </c>
      <c r="M264" s="12">
        <f t="shared" si="16"/>
        <v>488.01</v>
      </c>
      <c r="N264" s="13">
        <f t="shared" si="17"/>
        <v>683</v>
      </c>
      <c r="O264" s="14">
        <f t="shared" si="18"/>
        <v>1171.01</v>
      </c>
      <c r="P264" s="15">
        <f t="shared" si="19"/>
        <v>1.410855421686747</v>
      </c>
    </row>
    <row r="265" spans="1:16" ht="15.75" customHeight="1" x14ac:dyDescent="0.3">
      <c r="A265" s="8" t="s">
        <v>59</v>
      </c>
      <c r="B265" s="289" t="s">
        <v>333</v>
      </c>
      <c r="C265" s="289" t="s">
        <v>333</v>
      </c>
      <c r="D265" s="289" t="s">
        <v>1104</v>
      </c>
      <c r="E265" s="284">
        <v>30</v>
      </c>
      <c r="F265" s="289"/>
      <c r="G265" s="290">
        <v>0</v>
      </c>
      <c r="H265" s="289" t="s">
        <v>1114</v>
      </c>
      <c r="I265" s="289" t="s">
        <v>1115</v>
      </c>
      <c r="J265" s="289" t="s">
        <v>8</v>
      </c>
      <c r="K265" s="289"/>
      <c r="L265" s="289" t="s">
        <v>1155</v>
      </c>
      <c r="M265" s="12">
        <f t="shared" si="16"/>
        <v>296</v>
      </c>
      <c r="N265" s="13">
        <f t="shared" si="17"/>
        <v>270</v>
      </c>
      <c r="O265" s="14">
        <f t="shared" si="18"/>
        <v>566</v>
      </c>
      <c r="P265" s="15">
        <f t="shared" si="19"/>
        <v>0.68192771084337345</v>
      </c>
    </row>
    <row r="266" spans="1:16" ht="15.75" customHeight="1" x14ac:dyDescent="0.3">
      <c r="A266" s="8" t="s">
        <v>59</v>
      </c>
      <c r="B266" s="289" t="s">
        <v>333</v>
      </c>
      <c r="C266" s="289" t="s">
        <v>333</v>
      </c>
      <c r="D266" s="289" t="s">
        <v>1104</v>
      </c>
      <c r="E266" s="284">
        <v>30</v>
      </c>
      <c r="F266" s="289"/>
      <c r="G266" s="290">
        <v>0</v>
      </c>
      <c r="H266" s="289" t="s">
        <v>607</v>
      </c>
      <c r="I266" s="289" t="s">
        <v>554</v>
      </c>
      <c r="J266" s="289" t="s">
        <v>8</v>
      </c>
      <c r="K266" s="289"/>
      <c r="L266" s="289" t="s">
        <v>1128</v>
      </c>
      <c r="M266" s="12">
        <f t="shared" si="16"/>
        <v>185</v>
      </c>
      <c r="N266" s="13">
        <f t="shared" si="17"/>
        <v>290</v>
      </c>
      <c r="O266" s="14">
        <f t="shared" si="18"/>
        <v>475</v>
      </c>
      <c r="P266" s="15">
        <f t="shared" si="19"/>
        <v>0.57228915662650603</v>
      </c>
    </row>
    <row r="267" spans="1:16" ht="15.75" customHeight="1" x14ac:dyDescent="0.3">
      <c r="A267" s="8" t="s">
        <v>59</v>
      </c>
      <c r="B267" s="289" t="s">
        <v>333</v>
      </c>
      <c r="C267" s="289" t="s">
        <v>333</v>
      </c>
      <c r="D267" s="289" t="s">
        <v>1096</v>
      </c>
      <c r="E267" s="284">
        <v>8</v>
      </c>
      <c r="F267" s="289"/>
      <c r="G267" s="290">
        <v>0</v>
      </c>
      <c r="H267" s="289" t="s">
        <v>646</v>
      </c>
      <c r="I267" s="289" t="s">
        <v>568</v>
      </c>
      <c r="J267" s="289" t="s">
        <v>8</v>
      </c>
      <c r="K267" s="289"/>
      <c r="L267" s="289" t="s">
        <v>1128</v>
      </c>
      <c r="M267" s="12">
        <f t="shared" si="16"/>
        <v>488.01</v>
      </c>
      <c r="N267" s="13">
        <f t="shared" si="17"/>
        <v>683</v>
      </c>
      <c r="O267" s="14">
        <f t="shared" si="18"/>
        <v>1171.01</v>
      </c>
      <c r="P267" s="15">
        <f t="shared" si="19"/>
        <v>1.410855421686747</v>
      </c>
    </row>
    <row r="268" spans="1:16" ht="15.75" customHeight="1" x14ac:dyDescent="0.3">
      <c r="A268" s="8" t="s">
        <v>59</v>
      </c>
      <c r="B268" s="289" t="s">
        <v>333</v>
      </c>
      <c r="C268" s="289" t="s">
        <v>333</v>
      </c>
      <c r="D268" s="289" t="s">
        <v>1096</v>
      </c>
      <c r="E268" s="284">
        <v>8</v>
      </c>
      <c r="F268" s="289"/>
      <c r="G268" s="290">
        <v>0</v>
      </c>
      <c r="H268" s="289" t="s">
        <v>643</v>
      </c>
      <c r="I268" s="289" t="s">
        <v>579</v>
      </c>
      <c r="J268" s="289" t="s">
        <v>8</v>
      </c>
      <c r="K268" s="289"/>
      <c r="L268" s="289" t="s">
        <v>1127</v>
      </c>
      <c r="M268" s="12">
        <f t="shared" si="16"/>
        <v>476.99</v>
      </c>
      <c r="N268" s="13">
        <f t="shared" si="17"/>
        <v>579</v>
      </c>
      <c r="O268" s="14">
        <f t="shared" si="18"/>
        <v>1055.99</v>
      </c>
      <c r="P268" s="15">
        <f t="shared" si="19"/>
        <v>1.272277108433735</v>
      </c>
    </row>
    <row r="269" spans="1:16" ht="15.75" customHeight="1" x14ac:dyDescent="0.3">
      <c r="A269" s="8" t="s">
        <v>59</v>
      </c>
      <c r="B269" s="289" t="s">
        <v>333</v>
      </c>
      <c r="C269" s="289" t="s">
        <v>333</v>
      </c>
      <c r="D269" s="289" t="s">
        <v>1096</v>
      </c>
      <c r="E269" s="284">
        <v>8</v>
      </c>
      <c r="F269" s="289"/>
      <c r="G269" s="290">
        <v>0</v>
      </c>
      <c r="H269" s="289" t="s">
        <v>607</v>
      </c>
      <c r="I269" s="289" t="s">
        <v>554</v>
      </c>
      <c r="J269" s="289" t="s">
        <v>8</v>
      </c>
      <c r="K269" s="289"/>
      <c r="L269" s="289" t="s">
        <v>1127</v>
      </c>
      <c r="M269" s="12">
        <f t="shared" si="16"/>
        <v>185</v>
      </c>
      <c r="N269" s="13">
        <f t="shared" si="17"/>
        <v>290</v>
      </c>
      <c r="O269" s="14">
        <f t="shared" si="18"/>
        <v>475</v>
      </c>
      <c r="P269" s="15">
        <f t="shared" si="19"/>
        <v>0.57228915662650603</v>
      </c>
    </row>
    <row r="270" spans="1:16" ht="15.75" customHeight="1" x14ac:dyDescent="0.3">
      <c r="A270" s="8" t="s">
        <v>59</v>
      </c>
      <c r="B270" s="289" t="s">
        <v>333</v>
      </c>
      <c r="C270" s="289" t="s">
        <v>333</v>
      </c>
      <c r="D270" s="289" t="s">
        <v>1096</v>
      </c>
      <c r="E270" s="284">
        <v>2</v>
      </c>
      <c r="F270" s="289"/>
      <c r="G270" s="290">
        <v>0</v>
      </c>
      <c r="H270" s="289" t="s">
        <v>1114</v>
      </c>
      <c r="I270" s="289" t="s">
        <v>1115</v>
      </c>
      <c r="J270" s="289" t="s">
        <v>8</v>
      </c>
      <c r="K270" s="289"/>
      <c r="L270" s="289" t="s">
        <v>1156</v>
      </c>
      <c r="M270" s="12">
        <f t="shared" si="16"/>
        <v>296</v>
      </c>
      <c r="N270" s="13">
        <f t="shared" si="17"/>
        <v>270</v>
      </c>
      <c r="O270" s="14">
        <f t="shared" si="18"/>
        <v>566</v>
      </c>
      <c r="P270" s="15">
        <f t="shared" si="19"/>
        <v>0.68192771084337345</v>
      </c>
    </row>
    <row r="271" spans="1:16" ht="15.75" customHeight="1" x14ac:dyDescent="0.3">
      <c r="A271" s="8" t="s">
        <v>59</v>
      </c>
      <c r="B271" s="289" t="s">
        <v>410</v>
      </c>
      <c r="C271" s="289" t="s">
        <v>406</v>
      </c>
      <c r="D271" s="289" t="s">
        <v>1094</v>
      </c>
      <c r="E271" s="284">
        <v>6</v>
      </c>
      <c r="F271" s="289"/>
      <c r="G271" s="290">
        <v>0</v>
      </c>
      <c r="H271" s="289" t="s">
        <v>1114</v>
      </c>
      <c r="I271" s="289" t="s">
        <v>1115</v>
      </c>
      <c r="J271" s="289" t="s">
        <v>8</v>
      </c>
      <c r="K271" s="289"/>
      <c r="L271" s="289"/>
      <c r="M271" s="12">
        <f t="shared" si="16"/>
        <v>296</v>
      </c>
      <c r="N271" s="13">
        <f t="shared" si="17"/>
        <v>270</v>
      </c>
      <c r="O271" s="14">
        <f t="shared" si="18"/>
        <v>566</v>
      </c>
      <c r="P271" s="15">
        <f t="shared" si="19"/>
        <v>0.68192771084337345</v>
      </c>
    </row>
    <row r="272" spans="1:16" ht="15.75" customHeight="1" x14ac:dyDescent="0.3">
      <c r="A272" s="8" t="s">
        <v>59</v>
      </c>
      <c r="B272" s="289" t="s">
        <v>410</v>
      </c>
      <c r="C272" s="289" t="s">
        <v>406</v>
      </c>
      <c r="D272" s="289" t="s">
        <v>1093</v>
      </c>
      <c r="E272" s="284">
        <v>8</v>
      </c>
      <c r="F272" s="289"/>
      <c r="G272" s="290">
        <v>0</v>
      </c>
      <c r="H272" s="289" t="s">
        <v>1114</v>
      </c>
      <c r="I272" s="289" t="s">
        <v>1115</v>
      </c>
      <c r="J272" s="289" t="s">
        <v>8</v>
      </c>
      <c r="K272" s="289"/>
      <c r="L272" s="289"/>
      <c r="M272" s="12">
        <f t="shared" si="16"/>
        <v>296</v>
      </c>
      <c r="N272" s="13">
        <f t="shared" si="17"/>
        <v>270</v>
      </c>
      <c r="O272" s="14">
        <f t="shared" si="18"/>
        <v>566</v>
      </c>
      <c r="P272" s="15">
        <f t="shared" si="19"/>
        <v>0.68192771084337345</v>
      </c>
    </row>
    <row r="273" spans="1:16" ht="15.75" customHeight="1" x14ac:dyDescent="0.3">
      <c r="A273" s="8" t="s">
        <v>59</v>
      </c>
      <c r="B273" s="289" t="s">
        <v>411</v>
      </c>
      <c r="C273" s="289" t="s">
        <v>333</v>
      </c>
      <c r="D273" s="289" t="s">
        <v>1107</v>
      </c>
      <c r="E273" s="284">
        <v>2</v>
      </c>
      <c r="F273" s="289"/>
      <c r="G273" s="290">
        <v>0</v>
      </c>
      <c r="H273" s="289" t="s">
        <v>607</v>
      </c>
      <c r="I273" s="289" t="s">
        <v>554</v>
      </c>
      <c r="J273" s="289" t="s">
        <v>8</v>
      </c>
      <c r="K273" s="289"/>
      <c r="L273" s="289"/>
      <c r="M273" s="12">
        <f t="shared" si="16"/>
        <v>185</v>
      </c>
      <c r="N273" s="13">
        <f t="shared" si="17"/>
        <v>290</v>
      </c>
      <c r="O273" s="14">
        <f t="shared" si="18"/>
        <v>475</v>
      </c>
      <c r="P273" s="15">
        <f t="shared" si="19"/>
        <v>0.57228915662650603</v>
      </c>
    </row>
    <row r="274" spans="1:16" ht="15.75" customHeight="1" x14ac:dyDescent="0.3">
      <c r="A274" s="8" t="s">
        <v>59</v>
      </c>
      <c r="B274" s="289" t="s">
        <v>412</v>
      </c>
      <c r="C274" s="289" t="s">
        <v>333</v>
      </c>
      <c r="D274" s="289" t="s">
        <v>1107</v>
      </c>
      <c r="E274" s="284">
        <v>4</v>
      </c>
      <c r="F274" s="289"/>
      <c r="G274" s="290">
        <v>0</v>
      </c>
      <c r="H274" s="289" t="s">
        <v>607</v>
      </c>
      <c r="I274" s="289" t="s">
        <v>554</v>
      </c>
      <c r="J274" s="289" t="s">
        <v>8</v>
      </c>
      <c r="K274" s="289"/>
      <c r="L274" s="289"/>
      <c r="M274" s="12">
        <f t="shared" si="16"/>
        <v>185</v>
      </c>
      <c r="N274" s="13">
        <f t="shared" si="17"/>
        <v>290</v>
      </c>
      <c r="O274" s="14">
        <f t="shared" si="18"/>
        <v>475</v>
      </c>
      <c r="P274" s="15">
        <f t="shared" si="19"/>
        <v>0.57228915662650603</v>
      </c>
    </row>
    <row r="275" spans="1:16" ht="15.75" customHeight="1" x14ac:dyDescent="0.3">
      <c r="A275" s="8" t="s">
        <v>59</v>
      </c>
      <c r="B275" s="289" t="s">
        <v>336</v>
      </c>
      <c r="C275" s="289" t="s">
        <v>336</v>
      </c>
      <c r="D275" s="289" t="s">
        <v>1102</v>
      </c>
      <c r="E275" s="284">
        <v>30</v>
      </c>
      <c r="F275" s="289"/>
      <c r="G275" s="290">
        <v>0</v>
      </c>
      <c r="H275" s="289" t="s">
        <v>646</v>
      </c>
      <c r="I275" s="289" t="s">
        <v>568</v>
      </c>
      <c r="J275" s="289" t="s">
        <v>8</v>
      </c>
      <c r="K275" s="289"/>
      <c r="L275" s="289"/>
      <c r="M275" s="12">
        <f t="shared" si="16"/>
        <v>488.01</v>
      </c>
      <c r="N275" s="13">
        <f t="shared" si="17"/>
        <v>683</v>
      </c>
      <c r="O275" s="14">
        <f t="shared" si="18"/>
        <v>1171.01</v>
      </c>
      <c r="P275" s="15">
        <f t="shared" si="19"/>
        <v>1.410855421686747</v>
      </c>
    </row>
    <row r="276" spans="1:16" ht="15.75" customHeight="1" x14ac:dyDescent="0.3">
      <c r="A276" s="8" t="s">
        <v>59</v>
      </c>
      <c r="B276" s="289" t="s">
        <v>336</v>
      </c>
      <c r="C276" s="289" t="s">
        <v>336</v>
      </c>
      <c r="D276" s="289" t="s">
        <v>1102</v>
      </c>
      <c r="E276" s="284">
        <v>30</v>
      </c>
      <c r="F276" s="289"/>
      <c r="G276" s="290">
        <v>0</v>
      </c>
      <c r="H276" s="289" t="s">
        <v>643</v>
      </c>
      <c r="I276" s="289" t="s">
        <v>579</v>
      </c>
      <c r="J276" s="289" t="s">
        <v>8</v>
      </c>
      <c r="K276" s="289"/>
      <c r="L276" s="289"/>
      <c r="M276" s="12">
        <f t="shared" si="16"/>
        <v>476.99</v>
      </c>
      <c r="N276" s="13">
        <f t="shared" si="17"/>
        <v>579</v>
      </c>
      <c r="O276" s="14">
        <f t="shared" si="18"/>
        <v>1055.99</v>
      </c>
      <c r="P276" s="15">
        <f t="shared" si="19"/>
        <v>1.272277108433735</v>
      </c>
    </row>
    <row r="277" spans="1:16" ht="15.75" customHeight="1" x14ac:dyDescent="0.3">
      <c r="A277" s="8" t="s">
        <v>59</v>
      </c>
      <c r="B277" s="289" t="s">
        <v>336</v>
      </c>
      <c r="C277" s="289" t="s">
        <v>336</v>
      </c>
      <c r="D277" s="289" t="s">
        <v>1102</v>
      </c>
      <c r="E277" s="284">
        <v>30</v>
      </c>
      <c r="F277" s="289"/>
      <c r="G277" s="290">
        <v>0</v>
      </c>
      <c r="H277" s="289" t="s">
        <v>607</v>
      </c>
      <c r="I277" s="289" t="s">
        <v>554</v>
      </c>
      <c r="J277" s="289" t="s">
        <v>8</v>
      </c>
      <c r="K277" s="289"/>
      <c r="L277" s="289"/>
      <c r="M277" s="12">
        <f t="shared" si="16"/>
        <v>185</v>
      </c>
      <c r="N277" s="13">
        <f t="shared" si="17"/>
        <v>290</v>
      </c>
      <c r="O277" s="14">
        <f t="shared" si="18"/>
        <v>475</v>
      </c>
      <c r="P277" s="15">
        <f t="shared" si="19"/>
        <v>0.57228915662650603</v>
      </c>
    </row>
    <row r="278" spans="1:16" ht="15.75" customHeight="1" x14ac:dyDescent="0.3">
      <c r="A278" s="8" t="s">
        <v>59</v>
      </c>
      <c r="B278" s="289" t="s">
        <v>336</v>
      </c>
      <c r="C278" s="289" t="s">
        <v>336</v>
      </c>
      <c r="D278" s="289" t="s">
        <v>1102</v>
      </c>
      <c r="E278" s="284">
        <v>30</v>
      </c>
      <c r="F278" s="289"/>
      <c r="G278" s="290">
        <v>0</v>
      </c>
      <c r="H278" s="289" t="s">
        <v>1114</v>
      </c>
      <c r="I278" s="289" t="s">
        <v>1115</v>
      </c>
      <c r="J278" s="289" t="s">
        <v>8</v>
      </c>
      <c r="K278" s="289"/>
      <c r="L278" s="289"/>
      <c r="M278" s="12">
        <f t="shared" si="16"/>
        <v>296</v>
      </c>
      <c r="N278" s="13">
        <f t="shared" si="17"/>
        <v>270</v>
      </c>
      <c r="O278" s="14">
        <f t="shared" si="18"/>
        <v>566</v>
      </c>
      <c r="P278" s="15">
        <f t="shared" si="19"/>
        <v>0.68192771084337345</v>
      </c>
    </row>
    <row r="279" spans="1:16" ht="15.75" customHeight="1" x14ac:dyDescent="0.3">
      <c r="A279" s="8" t="s">
        <v>59</v>
      </c>
      <c r="B279" s="289" t="s">
        <v>341</v>
      </c>
      <c r="C279" s="289" t="s">
        <v>341</v>
      </c>
      <c r="D279" s="289" t="s">
        <v>1121</v>
      </c>
      <c r="E279" s="284">
        <v>25</v>
      </c>
      <c r="F279" s="289"/>
      <c r="G279" s="290">
        <v>0</v>
      </c>
      <c r="H279" s="289" t="s">
        <v>646</v>
      </c>
      <c r="I279" s="289" t="s">
        <v>568</v>
      </c>
      <c r="J279" s="289" t="s">
        <v>8</v>
      </c>
      <c r="K279" s="289"/>
      <c r="L279" s="289"/>
      <c r="M279" s="12">
        <f t="shared" si="16"/>
        <v>488.01</v>
      </c>
      <c r="N279" s="13">
        <f t="shared" si="17"/>
        <v>683</v>
      </c>
      <c r="O279" s="14">
        <f t="shared" si="18"/>
        <v>1171.01</v>
      </c>
      <c r="P279" s="15">
        <f t="shared" si="19"/>
        <v>1.410855421686747</v>
      </c>
    </row>
    <row r="280" spans="1:16" ht="15.75" customHeight="1" x14ac:dyDescent="0.3">
      <c r="A280" s="8" t="s">
        <v>59</v>
      </c>
      <c r="B280" s="289" t="s">
        <v>341</v>
      </c>
      <c r="C280" s="289" t="s">
        <v>341</v>
      </c>
      <c r="D280" s="289" t="s">
        <v>1123</v>
      </c>
      <c r="E280" s="284">
        <v>75</v>
      </c>
      <c r="F280" s="289"/>
      <c r="G280" s="290">
        <v>0</v>
      </c>
      <c r="H280" s="289" t="s">
        <v>646</v>
      </c>
      <c r="I280" s="289" t="s">
        <v>568</v>
      </c>
      <c r="J280" s="289" t="s">
        <v>8</v>
      </c>
      <c r="K280" s="289"/>
      <c r="L280" s="289"/>
      <c r="M280" s="12">
        <f t="shared" si="16"/>
        <v>488.01</v>
      </c>
      <c r="N280" s="13">
        <f t="shared" si="17"/>
        <v>683</v>
      </c>
      <c r="O280" s="14">
        <f t="shared" si="18"/>
        <v>1171.01</v>
      </c>
      <c r="P280" s="15">
        <f t="shared" si="19"/>
        <v>1.410855421686747</v>
      </c>
    </row>
    <row r="281" spans="1:16" ht="15.75" customHeight="1" x14ac:dyDescent="0.3">
      <c r="A281" s="8" t="s">
        <v>59</v>
      </c>
      <c r="B281" s="289" t="s">
        <v>341</v>
      </c>
      <c r="C281" s="289" t="s">
        <v>341</v>
      </c>
      <c r="D281" s="289" t="s">
        <v>1124</v>
      </c>
      <c r="E281" s="284">
        <v>50</v>
      </c>
      <c r="F281" s="289"/>
      <c r="G281" s="290">
        <v>0</v>
      </c>
      <c r="H281" s="289" t="s">
        <v>643</v>
      </c>
      <c r="I281" s="289" t="s">
        <v>579</v>
      </c>
      <c r="J281" s="289" t="s">
        <v>8</v>
      </c>
      <c r="K281" s="289"/>
      <c r="L281" s="289" t="s">
        <v>1157</v>
      </c>
      <c r="M281" s="12">
        <f t="shared" si="16"/>
        <v>476.99</v>
      </c>
      <c r="N281" s="13">
        <f t="shared" si="17"/>
        <v>579</v>
      </c>
      <c r="O281" s="14">
        <f t="shared" si="18"/>
        <v>1055.99</v>
      </c>
      <c r="P281" s="15">
        <f t="shared" si="19"/>
        <v>1.272277108433735</v>
      </c>
    </row>
    <row r="282" spans="1:16" ht="15.75" customHeight="1" x14ac:dyDescent="0.3">
      <c r="A282" s="8" t="s">
        <v>59</v>
      </c>
      <c r="B282" s="289" t="s">
        <v>341</v>
      </c>
      <c r="C282" s="289" t="s">
        <v>341</v>
      </c>
      <c r="D282" s="289" t="s">
        <v>1124</v>
      </c>
      <c r="E282" s="284">
        <v>25</v>
      </c>
      <c r="F282" s="289"/>
      <c r="G282" s="290">
        <v>0</v>
      </c>
      <c r="H282" s="289" t="s">
        <v>646</v>
      </c>
      <c r="I282" s="289" t="s">
        <v>568</v>
      </c>
      <c r="J282" s="289" t="s">
        <v>8</v>
      </c>
      <c r="K282" s="289"/>
      <c r="L282" s="289" t="s">
        <v>470</v>
      </c>
      <c r="M282" s="12">
        <f t="shared" si="16"/>
        <v>488.01</v>
      </c>
      <c r="N282" s="13">
        <f t="shared" si="17"/>
        <v>683</v>
      </c>
      <c r="O282" s="14">
        <f t="shared" si="18"/>
        <v>1171.01</v>
      </c>
      <c r="P282" s="15">
        <f t="shared" si="19"/>
        <v>1.410855421686747</v>
      </c>
    </row>
    <row r="283" spans="1:16" ht="15.75" customHeight="1" x14ac:dyDescent="0.3">
      <c r="A283" s="8" t="s">
        <v>59</v>
      </c>
      <c r="B283" s="289" t="s">
        <v>415</v>
      </c>
      <c r="C283" s="289" t="s">
        <v>415</v>
      </c>
      <c r="D283" s="289" t="s">
        <v>1107</v>
      </c>
      <c r="E283" s="284">
        <v>25</v>
      </c>
      <c r="F283" s="289"/>
      <c r="G283" s="290">
        <v>0</v>
      </c>
      <c r="H283" s="289" t="s">
        <v>607</v>
      </c>
      <c r="I283" s="289" t="s">
        <v>554</v>
      </c>
      <c r="J283" s="289" t="s">
        <v>8</v>
      </c>
      <c r="K283" s="289"/>
      <c r="L283" s="289"/>
      <c r="M283" s="12">
        <f t="shared" si="16"/>
        <v>185</v>
      </c>
      <c r="N283" s="13">
        <f t="shared" si="17"/>
        <v>290</v>
      </c>
      <c r="O283" s="14">
        <f t="shared" si="18"/>
        <v>475</v>
      </c>
      <c r="P283" s="15">
        <f t="shared" si="19"/>
        <v>0.57228915662650603</v>
      </c>
    </row>
    <row r="284" spans="1:16" ht="15.75" customHeight="1" x14ac:dyDescent="0.3">
      <c r="A284" s="8" t="s">
        <v>59</v>
      </c>
      <c r="B284" s="289" t="s">
        <v>415</v>
      </c>
      <c r="C284" s="289" t="s">
        <v>415</v>
      </c>
      <c r="D284" s="289" t="s">
        <v>1104</v>
      </c>
      <c r="E284" s="284">
        <v>124.5</v>
      </c>
      <c r="F284" s="289"/>
      <c r="G284" s="290">
        <v>0</v>
      </c>
      <c r="H284" s="289" t="s">
        <v>646</v>
      </c>
      <c r="I284" s="289" t="s">
        <v>568</v>
      </c>
      <c r="J284" s="289" t="s">
        <v>8</v>
      </c>
      <c r="K284" s="289"/>
      <c r="L284" s="289" t="s">
        <v>1158</v>
      </c>
      <c r="M284" s="12">
        <f t="shared" si="16"/>
        <v>488.01</v>
      </c>
      <c r="N284" s="13">
        <f t="shared" si="17"/>
        <v>683</v>
      </c>
      <c r="O284" s="14">
        <f t="shared" si="18"/>
        <v>1171.01</v>
      </c>
      <c r="P284" s="15">
        <f t="shared" si="19"/>
        <v>1.410855421686747</v>
      </c>
    </row>
    <row r="285" spans="1:16" ht="15.75" customHeight="1" x14ac:dyDescent="0.3">
      <c r="A285" s="8" t="s">
        <v>59</v>
      </c>
      <c r="B285" s="289" t="s">
        <v>415</v>
      </c>
      <c r="C285" s="289" t="s">
        <v>415</v>
      </c>
      <c r="D285" s="289" t="s">
        <v>1104</v>
      </c>
      <c r="E285" s="284">
        <v>64.5</v>
      </c>
      <c r="F285" s="289"/>
      <c r="G285" s="290">
        <v>0</v>
      </c>
      <c r="H285" s="289" t="s">
        <v>607</v>
      </c>
      <c r="I285" s="289" t="s">
        <v>554</v>
      </c>
      <c r="J285" s="289" t="s">
        <v>8</v>
      </c>
      <c r="K285" s="289"/>
      <c r="L285" s="289" t="s">
        <v>473</v>
      </c>
      <c r="M285" s="12">
        <f t="shared" si="16"/>
        <v>185</v>
      </c>
      <c r="N285" s="13">
        <f t="shared" si="17"/>
        <v>290</v>
      </c>
      <c r="O285" s="14">
        <f t="shared" si="18"/>
        <v>475</v>
      </c>
      <c r="P285" s="15">
        <f t="shared" si="19"/>
        <v>0.57228915662650603</v>
      </c>
    </row>
    <row r="286" spans="1:16" ht="15.75" customHeight="1" x14ac:dyDescent="0.3">
      <c r="A286" s="8" t="s">
        <v>59</v>
      </c>
      <c r="B286" s="289" t="s">
        <v>415</v>
      </c>
      <c r="C286" s="289" t="s">
        <v>415</v>
      </c>
      <c r="D286" s="289" t="s">
        <v>1104</v>
      </c>
      <c r="E286" s="284">
        <v>60</v>
      </c>
      <c r="F286" s="289"/>
      <c r="G286" s="290">
        <v>0</v>
      </c>
      <c r="H286" s="289" t="s">
        <v>1114</v>
      </c>
      <c r="I286" s="289" t="s">
        <v>1115</v>
      </c>
      <c r="J286" s="289" t="s">
        <v>8</v>
      </c>
      <c r="K286" s="289"/>
      <c r="L286" s="289" t="s">
        <v>1157</v>
      </c>
      <c r="M286" s="12">
        <f t="shared" si="16"/>
        <v>296</v>
      </c>
      <c r="N286" s="13">
        <f t="shared" si="17"/>
        <v>270</v>
      </c>
      <c r="O286" s="14">
        <f t="shared" si="18"/>
        <v>566</v>
      </c>
      <c r="P286" s="15">
        <f t="shared" si="19"/>
        <v>0.68192771084337345</v>
      </c>
    </row>
    <row r="287" spans="1:16" ht="15.75" customHeight="1" x14ac:dyDescent="0.3">
      <c r="A287" s="8" t="s">
        <v>59</v>
      </c>
      <c r="B287" s="289" t="s">
        <v>415</v>
      </c>
      <c r="C287" s="289" t="s">
        <v>415</v>
      </c>
      <c r="D287" s="289" t="s">
        <v>1104</v>
      </c>
      <c r="E287" s="294">
        <v>18</v>
      </c>
      <c r="F287" s="289"/>
      <c r="G287" s="290">
        <v>0</v>
      </c>
      <c r="H287" s="289"/>
      <c r="I287" s="289" t="s">
        <v>474</v>
      </c>
      <c r="J287" s="289"/>
      <c r="K287" s="291" t="s">
        <v>1099</v>
      </c>
      <c r="L287" s="289" t="s">
        <v>1159</v>
      </c>
      <c r="M287" s="12">
        <f t="shared" si="16"/>
        <v>0</v>
      </c>
      <c r="N287" s="13">
        <f t="shared" si="17"/>
        <v>44</v>
      </c>
      <c r="O287" s="14">
        <f t="shared" si="18"/>
        <v>44</v>
      </c>
      <c r="P287" s="15">
        <f t="shared" si="19"/>
        <v>5.3012048192771083E-2</v>
      </c>
    </row>
    <row r="288" spans="1:16" ht="15.75" customHeight="1" x14ac:dyDescent="0.3">
      <c r="A288" s="8" t="s">
        <v>59</v>
      </c>
      <c r="B288" s="289" t="s">
        <v>415</v>
      </c>
      <c r="C288" s="289" t="s">
        <v>415</v>
      </c>
      <c r="D288" s="289" t="s">
        <v>1104</v>
      </c>
      <c r="E288" s="294">
        <v>13.5</v>
      </c>
      <c r="F288" s="289"/>
      <c r="G288" s="290">
        <v>0</v>
      </c>
      <c r="H288" s="289" t="s">
        <v>1098</v>
      </c>
      <c r="I288" s="289" t="s">
        <v>260</v>
      </c>
      <c r="J288" s="289" t="s">
        <v>21</v>
      </c>
      <c r="K288" s="291" t="s">
        <v>1099</v>
      </c>
      <c r="L288" s="289" t="s">
        <v>1159</v>
      </c>
      <c r="M288" s="12">
        <f t="shared" si="16"/>
        <v>234</v>
      </c>
      <c r="N288" s="13">
        <f t="shared" si="17"/>
        <v>201</v>
      </c>
      <c r="O288" s="14">
        <f t="shared" si="18"/>
        <v>435</v>
      </c>
      <c r="P288" s="15">
        <f t="shared" si="19"/>
        <v>0.52409638554216864</v>
      </c>
    </row>
    <row r="289" spans="1:16" ht="15.75" customHeight="1" x14ac:dyDescent="0.3">
      <c r="A289" s="8" t="s">
        <v>59</v>
      </c>
      <c r="B289" s="289" t="s">
        <v>415</v>
      </c>
      <c r="C289" s="289" t="s">
        <v>415</v>
      </c>
      <c r="D289" s="289" t="s">
        <v>1104</v>
      </c>
      <c r="E289" s="294">
        <v>-31.5</v>
      </c>
      <c r="F289" s="289"/>
      <c r="G289" s="290">
        <v>0</v>
      </c>
      <c r="H289" s="289" t="s">
        <v>606</v>
      </c>
      <c r="I289" s="289" t="s">
        <v>510</v>
      </c>
      <c r="J289" s="289" t="s">
        <v>4</v>
      </c>
      <c r="K289" s="291" t="s">
        <v>1100</v>
      </c>
      <c r="L289" s="289" t="s">
        <v>1159</v>
      </c>
      <c r="M289" s="12">
        <f t="shared" si="16"/>
        <v>649</v>
      </c>
      <c r="N289" s="13">
        <f t="shared" si="17"/>
        <v>84</v>
      </c>
      <c r="O289" s="14">
        <f t="shared" si="18"/>
        <v>733</v>
      </c>
      <c r="P289" s="15">
        <f t="shared" si="19"/>
        <v>0.88313253012048187</v>
      </c>
    </row>
    <row r="290" spans="1:16" ht="15.75" customHeight="1" x14ac:dyDescent="0.3">
      <c r="A290" s="8" t="s">
        <v>59</v>
      </c>
      <c r="B290" s="289" t="s">
        <v>415</v>
      </c>
      <c r="C290" s="289" t="s">
        <v>415</v>
      </c>
      <c r="D290" s="289" t="s">
        <v>1104</v>
      </c>
      <c r="E290" s="284">
        <v>31.5</v>
      </c>
      <c r="F290" s="289"/>
      <c r="G290" s="290">
        <v>0</v>
      </c>
      <c r="H290" s="289" t="s">
        <v>606</v>
      </c>
      <c r="I290" s="289" t="s">
        <v>510</v>
      </c>
      <c r="J290" s="289" t="s">
        <v>4</v>
      </c>
      <c r="K290" s="289"/>
      <c r="L290" s="289" t="s">
        <v>1159</v>
      </c>
      <c r="M290" s="12">
        <f t="shared" si="16"/>
        <v>649</v>
      </c>
      <c r="N290" s="13">
        <f t="shared" si="17"/>
        <v>84</v>
      </c>
      <c r="O290" s="14">
        <f t="shared" si="18"/>
        <v>733</v>
      </c>
      <c r="P290" s="15">
        <f t="shared" si="19"/>
        <v>0.88313253012048187</v>
      </c>
    </row>
    <row r="291" spans="1:16" ht="15.75" customHeight="1" x14ac:dyDescent="0.3">
      <c r="A291" s="8" t="s">
        <v>59</v>
      </c>
      <c r="B291" s="289" t="s">
        <v>415</v>
      </c>
      <c r="C291" s="289" t="s">
        <v>415</v>
      </c>
      <c r="D291" s="289" t="s">
        <v>1104</v>
      </c>
      <c r="E291" s="284">
        <v>34.5</v>
      </c>
      <c r="F291" s="289"/>
      <c r="G291" s="290">
        <v>0</v>
      </c>
      <c r="H291" s="289" t="s">
        <v>643</v>
      </c>
      <c r="I291" s="289" t="s">
        <v>579</v>
      </c>
      <c r="J291" s="289" t="s">
        <v>8</v>
      </c>
      <c r="K291" s="289"/>
      <c r="L291" s="289" t="s">
        <v>448</v>
      </c>
      <c r="M291" s="12">
        <f t="shared" si="16"/>
        <v>476.99</v>
      </c>
      <c r="N291" s="13">
        <f t="shared" si="17"/>
        <v>579</v>
      </c>
      <c r="O291" s="14">
        <f t="shared" si="18"/>
        <v>1055.99</v>
      </c>
      <c r="P291" s="15">
        <f t="shared" si="19"/>
        <v>1.272277108433735</v>
      </c>
    </row>
    <row r="292" spans="1:16" ht="15.75" customHeight="1" x14ac:dyDescent="0.3">
      <c r="A292" s="8" t="s">
        <v>59</v>
      </c>
      <c r="B292" s="289" t="s">
        <v>415</v>
      </c>
      <c r="C292" s="289" t="s">
        <v>415</v>
      </c>
      <c r="D292" s="289" t="s">
        <v>1096</v>
      </c>
      <c r="E292" s="284">
        <v>60</v>
      </c>
      <c r="F292" s="289"/>
      <c r="G292" s="290">
        <v>0</v>
      </c>
      <c r="H292" s="289" t="s">
        <v>1114</v>
      </c>
      <c r="I292" s="289" t="s">
        <v>1115</v>
      </c>
      <c r="J292" s="289" t="s">
        <v>8</v>
      </c>
      <c r="K292" s="289"/>
      <c r="L292" s="289" t="s">
        <v>340</v>
      </c>
      <c r="M292" s="12">
        <f t="shared" si="16"/>
        <v>296</v>
      </c>
      <c r="N292" s="13">
        <f t="shared" si="17"/>
        <v>270</v>
      </c>
      <c r="O292" s="14">
        <f t="shared" si="18"/>
        <v>566</v>
      </c>
      <c r="P292" s="15">
        <f t="shared" si="19"/>
        <v>0.68192771084337345</v>
      </c>
    </row>
    <row r="293" spans="1:16" ht="15.75" customHeight="1" x14ac:dyDescent="0.3">
      <c r="A293" s="8" t="s">
        <v>59</v>
      </c>
      <c r="B293" s="289" t="s">
        <v>415</v>
      </c>
      <c r="C293" s="289" t="s">
        <v>415</v>
      </c>
      <c r="D293" s="289" t="s">
        <v>1096</v>
      </c>
      <c r="E293" s="284">
        <v>86.5</v>
      </c>
      <c r="F293" s="289"/>
      <c r="G293" s="290">
        <v>0</v>
      </c>
      <c r="H293" s="289" t="s">
        <v>607</v>
      </c>
      <c r="I293" s="289" t="s">
        <v>554</v>
      </c>
      <c r="J293" s="289" t="s">
        <v>8</v>
      </c>
      <c r="K293" s="289"/>
      <c r="L293" s="289" t="s">
        <v>1160</v>
      </c>
      <c r="M293" s="12">
        <f t="shared" si="16"/>
        <v>185</v>
      </c>
      <c r="N293" s="13">
        <f t="shared" si="17"/>
        <v>290</v>
      </c>
      <c r="O293" s="14">
        <f t="shared" si="18"/>
        <v>475</v>
      </c>
      <c r="P293" s="15">
        <f t="shared" si="19"/>
        <v>0.57228915662650603</v>
      </c>
    </row>
    <row r="294" spans="1:16" ht="15.75" customHeight="1" x14ac:dyDescent="0.3">
      <c r="A294" s="8" t="s">
        <v>59</v>
      </c>
      <c r="B294" s="289" t="s">
        <v>415</v>
      </c>
      <c r="C294" s="289" t="s">
        <v>415</v>
      </c>
      <c r="D294" s="289" t="s">
        <v>1096</v>
      </c>
      <c r="E294" s="284">
        <v>19.5</v>
      </c>
      <c r="F294" s="289"/>
      <c r="G294" s="290">
        <v>0</v>
      </c>
      <c r="H294" s="289" t="s">
        <v>1098</v>
      </c>
      <c r="I294" s="289" t="s">
        <v>260</v>
      </c>
      <c r="J294" s="289" t="s">
        <v>21</v>
      </c>
      <c r="K294" s="291" t="s">
        <v>1099</v>
      </c>
      <c r="L294" s="289" t="s">
        <v>1161</v>
      </c>
      <c r="M294" s="12">
        <f t="shared" si="16"/>
        <v>234</v>
      </c>
      <c r="N294" s="13">
        <f t="shared" si="17"/>
        <v>201</v>
      </c>
      <c r="O294" s="14">
        <f t="shared" si="18"/>
        <v>435</v>
      </c>
      <c r="P294" s="15">
        <f t="shared" si="19"/>
        <v>0.52409638554216864</v>
      </c>
    </row>
    <row r="295" spans="1:16" ht="15.75" customHeight="1" x14ac:dyDescent="0.3">
      <c r="A295" s="8" t="s">
        <v>59</v>
      </c>
      <c r="B295" s="289" t="s">
        <v>415</v>
      </c>
      <c r="C295" s="289" t="s">
        <v>415</v>
      </c>
      <c r="D295" s="289" t="s">
        <v>1096</v>
      </c>
      <c r="E295" s="284">
        <v>26</v>
      </c>
      <c r="F295" s="289"/>
      <c r="G295" s="290">
        <v>0</v>
      </c>
      <c r="H295" s="289"/>
      <c r="I295" s="289" t="s">
        <v>474</v>
      </c>
      <c r="J295" s="289"/>
      <c r="K295" s="291" t="s">
        <v>1099</v>
      </c>
      <c r="L295" s="289" t="s">
        <v>1161</v>
      </c>
      <c r="M295" s="12">
        <f t="shared" si="16"/>
        <v>0</v>
      </c>
      <c r="N295" s="13">
        <f t="shared" si="17"/>
        <v>44</v>
      </c>
      <c r="O295" s="14">
        <f t="shared" si="18"/>
        <v>44</v>
      </c>
      <c r="P295" s="15">
        <f t="shared" si="19"/>
        <v>5.3012048192771083E-2</v>
      </c>
    </row>
    <row r="296" spans="1:16" ht="15.75" customHeight="1" x14ac:dyDescent="0.3">
      <c r="A296" s="8" t="s">
        <v>59</v>
      </c>
      <c r="B296" s="289" t="s">
        <v>415</v>
      </c>
      <c r="C296" s="289" t="s">
        <v>415</v>
      </c>
      <c r="D296" s="289" t="s">
        <v>1096</v>
      </c>
      <c r="E296" s="294">
        <v>-45.5</v>
      </c>
      <c r="F296" s="289"/>
      <c r="G296" s="290">
        <v>0</v>
      </c>
      <c r="H296" s="289" t="s">
        <v>606</v>
      </c>
      <c r="I296" s="289" t="s">
        <v>510</v>
      </c>
      <c r="J296" s="289" t="s">
        <v>4</v>
      </c>
      <c r="K296" s="291" t="s">
        <v>1100</v>
      </c>
      <c r="L296" s="289" t="s">
        <v>1161</v>
      </c>
      <c r="M296" s="12">
        <f t="shared" si="16"/>
        <v>649</v>
      </c>
      <c r="N296" s="13">
        <f t="shared" si="17"/>
        <v>84</v>
      </c>
      <c r="O296" s="14">
        <f t="shared" si="18"/>
        <v>733</v>
      </c>
      <c r="P296" s="15">
        <f t="shared" si="19"/>
        <v>0.88313253012048187</v>
      </c>
    </row>
    <row r="297" spans="1:16" ht="15.75" customHeight="1" x14ac:dyDescent="0.3">
      <c r="A297" s="8" t="s">
        <v>59</v>
      </c>
      <c r="B297" s="289" t="s">
        <v>415</v>
      </c>
      <c r="C297" s="289" t="s">
        <v>415</v>
      </c>
      <c r="D297" s="289" t="s">
        <v>1096</v>
      </c>
      <c r="E297" s="284">
        <v>45.5</v>
      </c>
      <c r="F297" s="289"/>
      <c r="G297" s="290">
        <v>0</v>
      </c>
      <c r="H297" s="289" t="s">
        <v>606</v>
      </c>
      <c r="I297" s="289" t="s">
        <v>510</v>
      </c>
      <c r="J297" s="289" t="s">
        <v>4</v>
      </c>
      <c r="K297" s="289"/>
      <c r="L297" s="289" t="s">
        <v>1161</v>
      </c>
      <c r="M297" s="12">
        <f t="shared" si="16"/>
        <v>649</v>
      </c>
      <c r="N297" s="13">
        <f t="shared" si="17"/>
        <v>84</v>
      </c>
      <c r="O297" s="14">
        <f t="shared" si="18"/>
        <v>733</v>
      </c>
      <c r="P297" s="15">
        <f t="shared" si="19"/>
        <v>0.88313253012048187</v>
      </c>
    </row>
    <row r="298" spans="1:16" ht="15.75" customHeight="1" x14ac:dyDescent="0.3">
      <c r="A298" s="8" t="s">
        <v>59</v>
      </c>
      <c r="B298" s="289" t="s">
        <v>415</v>
      </c>
      <c r="C298" s="289" t="s">
        <v>415</v>
      </c>
      <c r="D298" s="289" t="s">
        <v>1096</v>
      </c>
      <c r="E298" s="284">
        <v>46.5</v>
      </c>
      <c r="F298" s="289"/>
      <c r="G298" s="290">
        <v>0</v>
      </c>
      <c r="H298" s="289" t="s">
        <v>646</v>
      </c>
      <c r="I298" s="289" t="s">
        <v>568</v>
      </c>
      <c r="J298" s="289" t="s">
        <v>8</v>
      </c>
      <c r="K298" s="289"/>
      <c r="L298" s="289" t="s">
        <v>1162</v>
      </c>
      <c r="M298" s="12">
        <f t="shared" si="16"/>
        <v>488.01</v>
      </c>
      <c r="N298" s="13">
        <f t="shared" si="17"/>
        <v>683</v>
      </c>
      <c r="O298" s="14">
        <f t="shared" si="18"/>
        <v>1171.01</v>
      </c>
      <c r="P298" s="15">
        <f t="shared" si="19"/>
        <v>1.410855421686747</v>
      </c>
    </row>
    <row r="299" spans="1:16" ht="15.75" customHeight="1" x14ac:dyDescent="0.3">
      <c r="A299" s="8" t="s">
        <v>59</v>
      </c>
      <c r="B299" s="289" t="s">
        <v>415</v>
      </c>
      <c r="C299" s="289" t="s">
        <v>415</v>
      </c>
      <c r="D299" s="289" t="s">
        <v>1096</v>
      </c>
      <c r="E299" s="284">
        <v>86.5</v>
      </c>
      <c r="F299" s="289"/>
      <c r="G299" s="290">
        <v>0</v>
      </c>
      <c r="H299" s="289" t="s">
        <v>643</v>
      </c>
      <c r="I299" s="289" t="s">
        <v>579</v>
      </c>
      <c r="J299" s="289" t="s">
        <v>8</v>
      </c>
      <c r="K299" s="289"/>
      <c r="L299" s="289" t="s">
        <v>1163</v>
      </c>
      <c r="M299" s="12">
        <f t="shared" si="16"/>
        <v>476.99</v>
      </c>
      <c r="N299" s="13">
        <f t="shared" si="17"/>
        <v>579</v>
      </c>
      <c r="O299" s="14">
        <f t="shared" si="18"/>
        <v>1055.99</v>
      </c>
      <c r="P299" s="15">
        <f t="shared" si="19"/>
        <v>1.272277108433735</v>
      </c>
    </row>
    <row r="300" spans="1:16" ht="15.75" customHeight="1" x14ac:dyDescent="0.3"/>
    <row r="301" spans="1:16" ht="15.75" customHeight="1" x14ac:dyDescent="0.3">
      <c r="E301" s="2">
        <f>SUBTOTAL(9,E1:E300)</f>
        <v>4594</v>
      </c>
    </row>
    <row r="302" spans="1:16" ht="15.75" customHeight="1" x14ac:dyDescent="0.3"/>
    <row r="303" spans="1:16" ht="15.75" customHeight="1" x14ac:dyDescent="0.3"/>
    <row r="304" spans="1:16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P299" xr:uid="{00000000-0009-0000-0000-00000F000000}"/>
  <pageMargins left="0.7" right="0.7" top="0.75" bottom="0.75" header="0" footer="0"/>
  <pageSetup paperSize="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E1:U1000"/>
  <sheetViews>
    <sheetView workbookViewId="0"/>
  </sheetViews>
  <sheetFormatPr defaultColWidth="14.44140625" defaultRowHeight="15" customHeight="1" x14ac:dyDescent="0.3"/>
  <cols>
    <col min="1" max="26" width="8" customWidth="1"/>
  </cols>
  <sheetData>
    <row r="1" spans="5:21" ht="14.4" x14ac:dyDescent="0.3">
      <c r="E1" s="295"/>
      <c r="G1" s="296" t="s">
        <v>1164</v>
      </c>
      <c r="H1" s="297" t="s">
        <v>1164</v>
      </c>
    </row>
    <row r="2" spans="5:21" ht="14.4" x14ac:dyDescent="0.3">
      <c r="E2" s="295">
        <v>30</v>
      </c>
      <c r="G2" s="296">
        <v>150</v>
      </c>
      <c r="H2" s="297">
        <v>150</v>
      </c>
      <c r="I2" s="133">
        <f t="shared" ref="I2:I65" si="0">G2-H2</f>
        <v>0</v>
      </c>
      <c r="J2" s="298" t="s">
        <v>62</v>
      </c>
      <c r="K2" s="298" t="s">
        <v>62</v>
      </c>
      <c r="L2" s="298"/>
      <c r="M2" s="297">
        <v>150</v>
      </c>
      <c r="N2" s="298"/>
      <c r="O2" s="299"/>
      <c r="P2" s="298"/>
      <c r="Q2" s="298"/>
      <c r="R2" s="298"/>
      <c r="S2" s="298" t="s">
        <v>593</v>
      </c>
      <c r="T2" s="298"/>
      <c r="U2" s="298"/>
    </row>
    <row r="3" spans="5:21" ht="14.4" x14ac:dyDescent="0.3">
      <c r="E3" s="300">
        <v>75</v>
      </c>
      <c r="G3" s="296">
        <v>30</v>
      </c>
      <c r="H3" s="297">
        <v>30</v>
      </c>
      <c r="I3" s="133">
        <f t="shared" si="0"/>
        <v>0</v>
      </c>
      <c r="J3" s="298" t="s">
        <v>69</v>
      </c>
      <c r="K3" s="298" t="s">
        <v>69</v>
      </c>
      <c r="L3" s="298"/>
      <c r="M3" s="297">
        <v>30</v>
      </c>
      <c r="N3" s="298"/>
      <c r="O3" s="299"/>
      <c r="P3" s="298" t="s">
        <v>70</v>
      </c>
      <c r="Q3" s="298" t="s">
        <v>71</v>
      </c>
      <c r="R3" s="298"/>
      <c r="S3" s="298" t="s">
        <v>565</v>
      </c>
      <c r="T3" s="298"/>
      <c r="U3" s="298"/>
    </row>
    <row r="4" spans="5:21" ht="14.4" x14ac:dyDescent="0.3">
      <c r="E4" s="300">
        <v>25</v>
      </c>
      <c r="G4" s="296">
        <v>16</v>
      </c>
      <c r="H4" s="297">
        <v>16</v>
      </c>
      <c r="I4" s="133">
        <f t="shared" si="0"/>
        <v>0</v>
      </c>
      <c r="J4" s="298" t="s">
        <v>350</v>
      </c>
      <c r="K4" s="298" t="s">
        <v>73</v>
      </c>
      <c r="L4" s="298" t="s">
        <v>1165</v>
      </c>
      <c r="M4" s="297">
        <v>16</v>
      </c>
      <c r="N4" s="298" t="s">
        <v>221</v>
      </c>
      <c r="O4" s="297">
        <v>16</v>
      </c>
      <c r="P4" s="298" t="s">
        <v>84</v>
      </c>
      <c r="Q4" s="298" t="s">
        <v>85</v>
      </c>
      <c r="R4" s="298"/>
      <c r="S4" s="298" t="s">
        <v>593</v>
      </c>
      <c r="T4" s="298" t="s">
        <v>205</v>
      </c>
      <c r="U4" s="298" t="s">
        <v>1166</v>
      </c>
    </row>
    <row r="5" spans="5:21" ht="14.4" x14ac:dyDescent="0.3">
      <c r="E5" s="300">
        <v>50</v>
      </c>
      <c r="G5" s="296">
        <v>20</v>
      </c>
      <c r="H5" s="297">
        <v>20</v>
      </c>
      <c r="I5" s="133">
        <f t="shared" si="0"/>
        <v>0</v>
      </c>
      <c r="J5" s="298" t="s">
        <v>350</v>
      </c>
      <c r="K5" s="298" t="s">
        <v>100</v>
      </c>
      <c r="L5" s="298" t="s">
        <v>1165</v>
      </c>
      <c r="M5" s="297">
        <v>20</v>
      </c>
      <c r="N5" s="298" t="s">
        <v>221</v>
      </c>
      <c r="O5" s="297">
        <v>20</v>
      </c>
      <c r="P5" s="298" t="s">
        <v>84</v>
      </c>
      <c r="Q5" s="298" t="s">
        <v>85</v>
      </c>
      <c r="R5" s="298"/>
      <c r="S5" s="298" t="s">
        <v>593</v>
      </c>
      <c r="T5" s="298" t="s">
        <v>1167</v>
      </c>
      <c r="U5" s="298" t="s">
        <v>1166</v>
      </c>
    </row>
    <row r="6" spans="5:21" ht="14.4" x14ac:dyDescent="0.3">
      <c r="E6" s="301">
        <v>25</v>
      </c>
      <c r="G6" s="296">
        <v>4</v>
      </c>
      <c r="H6" s="297">
        <v>4</v>
      </c>
      <c r="I6" s="133">
        <f t="shared" si="0"/>
        <v>0</v>
      </c>
      <c r="J6" s="298" t="s">
        <v>350</v>
      </c>
      <c r="K6" s="298" t="s">
        <v>142</v>
      </c>
      <c r="L6" s="298" t="s">
        <v>1165</v>
      </c>
      <c r="M6" s="297">
        <v>4</v>
      </c>
      <c r="N6" s="298" t="s">
        <v>221</v>
      </c>
      <c r="O6" s="299"/>
      <c r="P6" s="298" t="s">
        <v>84</v>
      </c>
      <c r="Q6" s="298" t="s">
        <v>85</v>
      </c>
      <c r="R6" s="298"/>
      <c r="S6" s="298" t="s">
        <v>593</v>
      </c>
      <c r="T6" s="298"/>
      <c r="U6" s="298" t="s">
        <v>1166</v>
      </c>
    </row>
    <row r="7" spans="5:21" ht="14.4" x14ac:dyDescent="0.3">
      <c r="E7" s="300">
        <v>25</v>
      </c>
      <c r="G7" s="296">
        <v>2</v>
      </c>
      <c r="H7" s="297">
        <v>2</v>
      </c>
      <c r="I7" s="133">
        <f t="shared" si="0"/>
        <v>0</v>
      </c>
      <c r="J7" s="298" t="s">
        <v>350</v>
      </c>
      <c r="K7" s="298" t="s">
        <v>80</v>
      </c>
      <c r="L7" s="298" t="s">
        <v>1165</v>
      </c>
      <c r="M7" s="297">
        <v>2</v>
      </c>
      <c r="N7" s="298" t="s">
        <v>221</v>
      </c>
      <c r="O7" s="299"/>
      <c r="P7" s="298" t="s">
        <v>84</v>
      </c>
      <c r="Q7" s="298" t="s">
        <v>85</v>
      </c>
      <c r="R7" s="298"/>
      <c r="S7" s="298" t="s">
        <v>593</v>
      </c>
      <c r="T7" s="298"/>
      <c r="U7" s="298" t="s">
        <v>1166</v>
      </c>
    </row>
    <row r="8" spans="5:21" ht="14.4" x14ac:dyDescent="0.3">
      <c r="E8" s="301">
        <v>25</v>
      </c>
      <c r="G8" s="296">
        <v>16</v>
      </c>
      <c r="H8" s="297">
        <v>16</v>
      </c>
      <c r="I8" s="133">
        <f t="shared" si="0"/>
        <v>0</v>
      </c>
      <c r="J8" s="298" t="s">
        <v>355</v>
      </c>
      <c r="K8" s="298" t="s">
        <v>73</v>
      </c>
      <c r="L8" s="298" t="s">
        <v>1165</v>
      </c>
      <c r="M8" s="297">
        <v>16</v>
      </c>
      <c r="N8" s="298" t="s">
        <v>221</v>
      </c>
      <c r="O8" s="297">
        <v>16</v>
      </c>
      <c r="P8" s="298" t="s">
        <v>174</v>
      </c>
      <c r="Q8" s="298" t="s">
        <v>175</v>
      </c>
      <c r="R8" s="298"/>
      <c r="S8" s="298" t="s">
        <v>565</v>
      </c>
      <c r="T8" s="298"/>
      <c r="U8" s="298"/>
    </row>
    <row r="9" spans="5:21" ht="14.4" x14ac:dyDescent="0.3">
      <c r="E9" s="300">
        <v>16</v>
      </c>
      <c r="G9" s="296">
        <v>20</v>
      </c>
      <c r="H9" s="297">
        <v>20</v>
      </c>
      <c r="I9" s="133">
        <f t="shared" si="0"/>
        <v>0</v>
      </c>
      <c r="J9" s="298" t="s">
        <v>355</v>
      </c>
      <c r="K9" s="298" t="s">
        <v>79</v>
      </c>
      <c r="L9" s="298" t="s">
        <v>1165</v>
      </c>
      <c r="M9" s="297">
        <v>20</v>
      </c>
      <c r="N9" s="298" t="s">
        <v>221</v>
      </c>
      <c r="O9" s="297">
        <v>20</v>
      </c>
      <c r="P9" s="298" t="s">
        <v>174</v>
      </c>
      <c r="Q9" s="298" t="s">
        <v>175</v>
      </c>
      <c r="R9" s="298"/>
      <c r="S9" s="298" t="s">
        <v>565</v>
      </c>
      <c r="T9" s="298"/>
      <c r="U9" s="298"/>
    </row>
    <row r="10" spans="5:21" ht="14.4" x14ac:dyDescent="0.3">
      <c r="E10" s="300">
        <v>20</v>
      </c>
      <c r="G10" s="296">
        <v>3.33</v>
      </c>
      <c r="H10" s="297">
        <v>3.33</v>
      </c>
      <c r="I10" s="133">
        <f t="shared" si="0"/>
        <v>0</v>
      </c>
      <c r="J10" s="298" t="s">
        <v>355</v>
      </c>
      <c r="K10" s="298" t="s">
        <v>111</v>
      </c>
      <c r="L10" s="298" t="s">
        <v>1165</v>
      </c>
      <c r="M10" s="297">
        <v>3.33</v>
      </c>
      <c r="N10" s="298" t="s">
        <v>221</v>
      </c>
      <c r="O10" s="299"/>
      <c r="P10" s="298" t="s">
        <v>174</v>
      </c>
      <c r="Q10" s="298" t="s">
        <v>175</v>
      </c>
      <c r="R10" s="298"/>
      <c r="S10" s="298" t="s">
        <v>565</v>
      </c>
      <c r="T10" s="298"/>
      <c r="U10" s="298"/>
    </row>
    <row r="11" spans="5:21" ht="14.4" x14ac:dyDescent="0.3">
      <c r="E11" s="300">
        <v>4</v>
      </c>
      <c r="G11" s="296">
        <v>1.67</v>
      </c>
      <c r="H11" s="297">
        <v>1.67</v>
      </c>
      <c r="I11" s="133">
        <f t="shared" si="0"/>
        <v>0</v>
      </c>
      <c r="J11" s="298" t="s">
        <v>355</v>
      </c>
      <c r="K11" s="298" t="s">
        <v>111</v>
      </c>
      <c r="L11" s="298" t="s">
        <v>1165</v>
      </c>
      <c r="M11" s="297">
        <v>1.67</v>
      </c>
      <c r="N11" s="298" t="s">
        <v>221</v>
      </c>
      <c r="O11" s="299"/>
      <c r="P11" s="298" t="s">
        <v>250</v>
      </c>
      <c r="Q11" s="298" t="s">
        <v>251</v>
      </c>
      <c r="R11" s="298" t="s">
        <v>8</v>
      </c>
      <c r="S11" s="298" t="s">
        <v>565</v>
      </c>
      <c r="T11" s="298"/>
      <c r="U11" s="298"/>
    </row>
    <row r="12" spans="5:21" ht="14.4" x14ac:dyDescent="0.3">
      <c r="E12" s="300">
        <v>2</v>
      </c>
      <c r="G12" s="296">
        <v>3</v>
      </c>
      <c r="H12" s="297">
        <v>3</v>
      </c>
      <c r="I12" s="133">
        <f t="shared" si="0"/>
        <v>0</v>
      </c>
      <c r="J12" s="298" t="s">
        <v>355</v>
      </c>
      <c r="K12" s="298" t="s">
        <v>80</v>
      </c>
      <c r="L12" s="298" t="s">
        <v>1165</v>
      </c>
      <c r="M12" s="297">
        <v>3</v>
      </c>
      <c r="N12" s="298" t="s">
        <v>221</v>
      </c>
      <c r="O12" s="299"/>
      <c r="P12" s="298" t="s">
        <v>174</v>
      </c>
      <c r="Q12" s="298" t="s">
        <v>175</v>
      </c>
      <c r="R12" s="298"/>
      <c r="S12" s="298" t="s">
        <v>565</v>
      </c>
      <c r="T12" s="298"/>
      <c r="U12" s="298"/>
    </row>
    <row r="13" spans="5:21" ht="14.4" x14ac:dyDescent="0.3">
      <c r="E13" s="302">
        <v>16</v>
      </c>
      <c r="G13" s="296">
        <v>1</v>
      </c>
      <c r="H13" s="297">
        <v>1</v>
      </c>
      <c r="I13" s="133">
        <f t="shared" si="0"/>
        <v>0</v>
      </c>
      <c r="J13" s="298" t="s">
        <v>355</v>
      </c>
      <c r="K13" s="298" t="s">
        <v>80</v>
      </c>
      <c r="L13" s="298" t="s">
        <v>1165</v>
      </c>
      <c r="M13" s="297">
        <v>1</v>
      </c>
      <c r="N13" s="298" t="s">
        <v>221</v>
      </c>
      <c r="O13" s="299"/>
      <c r="P13" s="298" t="s">
        <v>250</v>
      </c>
      <c r="Q13" s="298" t="s">
        <v>251</v>
      </c>
      <c r="R13" s="298" t="s">
        <v>8</v>
      </c>
      <c r="S13" s="298" t="s">
        <v>565</v>
      </c>
      <c r="T13" s="298"/>
      <c r="U13" s="298"/>
    </row>
    <row r="14" spans="5:21" ht="14.4" x14ac:dyDescent="0.3">
      <c r="E14" s="302">
        <v>20</v>
      </c>
      <c r="G14" s="296">
        <v>44</v>
      </c>
      <c r="H14" s="297">
        <v>44</v>
      </c>
      <c r="I14" s="133">
        <f t="shared" si="0"/>
        <v>0</v>
      </c>
      <c r="J14" s="298" t="s">
        <v>81</v>
      </c>
      <c r="K14" s="298" t="s">
        <v>73</v>
      </c>
      <c r="L14" s="298" t="s">
        <v>1168</v>
      </c>
      <c r="M14" s="297">
        <v>44</v>
      </c>
      <c r="N14" s="298" t="s">
        <v>603</v>
      </c>
      <c r="O14" s="297">
        <v>44</v>
      </c>
      <c r="P14" s="298" t="s">
        <v>84</v>
      </c>
      <c r="Q14" s="298" t="s">
        <v>85</v>
      </c>
      <c r="R14" s="298"/>
      <c r="S14" s="298" t="s">
        <v>593</v>
      </c>
      <c r="T14" s="298" t="s">
        <v>205</v>
      </c>
      <c r="U14" s="298" t="s">
        <v>1166</v>
      </c>
    </row>
    <row r="15" spans="5:21" ht="14.4" x14ac:dyDescent="0.3">
      <c r="E15" s="295">
        <v>3</v>
      </c>
      <c r="G15" s="296">
        <v>7</v>
      </c>
      <c r="H15" s="297">
        <v>7</v>
      </c>
      <c r="I15" s="133">
        <f t="shared" si="0"/>
        <v>0</v>
      </c>
      <c r="J15" s="298" t="s">
        <v>81</v>
      </c>
      <c r="K15" s="298" t="s">
        <v>87</v>
      </c>
      <c r="L15" s="298" t="s">
        <v>1168</v>
      </c>
      <c r="M15" s="297">
        <v>7</v>
      </c>
      <c r="N15" s="298" t="s">
        <v>603</v>
      </c>
      <c r="O15" s="299"/>
      <c r="P15" s="298" t="s">
        <v>84</v>
      </c>
      <c r="Q15" s="298" t="s">
        <v>85</v>
      </c>
      <c r="R15" s="298"/>
      <c r="S15" s="298" t="s">
        <v>593</v>
      </c>
      <c r="T15" s="298"/>
      <c r="U15" s="298"/>
    </row>
    <row r="16" spans="5:21" ht="14.4" x14ac:dyDescent="0.3">
      <c r="E16" s="302">
        <v>2</v>
      </c>
      <c r="G16" s="296">
        <v>1</v>
      </c>
      <c r="H16" s="297">
        <v>1</v>
      </c>
      <c r="I16" s="133">
        <f t="shared" si="0"/>
        <v>0</v>
      </c>
      <c r="J16" s="298" t="s">
        <v>81</v>
      </c>
      <c r="K16" s="298" t="s">
        <v>87</v>
      </c>
      <c r="L16" s="298" t="s">
        <v>1168</v>
      </c>
      <c r="M16" s="297">
        <v>1</v>
      </c>
      <c r="N16" s="298" t="s">
        <v>603</v>
      </c>
      <c r="O16" s="299"/>
      <c r="P16" s="298" t="s">
        <v>250</v>
      </c>
      <c r="Q16" s="298" t="s">
        <v>251</v>
      </c>
      <c r="R16" s="298" t="s">
        <v>8</v>
      </c>
      <c r="S16" s="298" t="s">
        <v>565</v>
      </c>
      <c r="T16" s="298"/>
      <c r="U16" s="298"/>
    </row>
    <row r="17" spans="5:21" ht="14.4" x14ac:dyDescent="0.3">
      <c r="E17" s="302">
        <v>3</v>
      </c>
      <c r="G17" s="296">
        <v>8</v>
      </c>
      <c r="H17" s="297">
        <v>8</v>
      </c>
      <c r="I17" s="133">
        <f t="shared" si="0"/>
        <v>0</v>
      </c>
      <c r="J17" s="298" t="s">
        <v>81</v>
      </c>
      <c r="K17" s="298" t="s">
        <v>79</v>
      </c>
      <c r="L17" s="298" t="s">
        <v>1168</v>
      </c>
      <c r="M17" s="297">
        <v>8</v>
      </c>
      <c r="N17" s="298" t="s">
        <v>603</v>
      </c>
      <c r="O17" s="297">
        <v>32</v>
      </c>
      <c r="P17" s="298" t="s">
        <v>91</v>
      </c>
      <c r="Q17" s="298" t="s">
        <v>92</v>
      </c>
      <c r="R17" s="298"/>
      <c r="S17" s="298" t="s">
        <v>593</v>
      </c>
      <c r="T17" s="298" t="s">
        <v>206</v>
      </c>
      <c r="U17" s="298" t="s">
        <v>1169</v>
      </c>
    </row>
    <row r="18" spans="5:21" ht="14.4" x14ac:dyDescent="0.3">
      <c r="E18" s="302">
        <v>1</v>
      </c>
      <c r="G18" s="296">
        <v>8</v>
      </c>
      <c r="H18" s="297">
        <v>8</v>
      </c>
      <c r="I18" s="133">
        <f t="shared" si="0"/>
        <v>0</v>
      </c>
      <c r="J18" s="298" t="s">
        <v>81</v>
      </c>
      <c r="K18" s="298" t="s">
        <v>79</v>
      </c>
      <c r="L18" s="298" t="s">
        <v>1168</v>
      </c>
      <c r="M18" s="297">
        <v>8</v>
      </c>
      <c r="N18" s="298" t="s">
        <v>603</v>
      </c>
      <c r="O18" s="297">
        <v>32</v>
      </c>
      <c r="P18" s="298" t="s">
        <v>94</v>
      </c>
      <c r="Q18" s="298" t="s">
        <v>95</v>
      </c>
      <c r="R18" s="298"/>
      <c r="S18" s="298" t="s">
        <v>565</v>
      </c>
      <c r="T18" s="298" t="s">
        <v>1170</v>
      </c>
      <c r="U18" s="298" t="s">
        <v>1171</v>
      </c>
    </row>
    <row r="19" spans="5:21" ht="14.4" x14ac:dyDescent="0.3">
      <c r="E19" s="300">
        <v>44</v>
      </c>
      <c r="G19" s="296">
        <v>8</v>
      </c>
      <c r="H19" s="297">
        <v>8</v>
      </c>
      <c r="I19" s="133">
        <f t="shared" si="0"/>
        <v>0</v>
      </c>
      <c r="J19" s="298" t="s">
        <v>81</v>
      </c>
      <c r="K19" s="298" t="s">
        <v>79</v>
      </c>
      <c r="L19" s="298" t="s">
        <v>1168</v>
      </c>
      <c r="M19" s="297">
        <v>8</v>
      </c>
      <c r="N19" s="298" t="s">
        <v>603</v>
      </c>
      <c r="O19" s="297">
        <v>32</v>
      </c>
      <c r="P19" s="298" t="s">
        <v>96</v>
      </c>
      <c r="Q19" s="298" t="s">
        <v>97</v>
      </c>
      <c r="R19" s="298"/>
      <c r="S19" s="298" t="s">
        <v>565</v>
      </c>
      <c r="T19" s="298"/>
      <c r="U19" s="298"/>
    </row>
    <row r="20" spans="5:21" ht="14.4" x14ac:dyDescent="0.3">
      <c r="E20" s="300">
        <v>6</v>
      </c>
      <c r="G20" s="296">
        <v>8</v>
      </c>
      <c r="H20" s="297">
        <v>8</v>
      </c>
      <c r="I20" s="133">
        <f t="shared" si="0"/>
        <v>0</v>
      </c>
      <c r="J20" s="298" t="s">
        <v>81</v>
      </c>
      <c r="K20" s="298" t="s">
        <v>79</v>
      </c>
      <c r="L20" s="298" t="s">
        <v>1168</v>
      </c>
      <c r="M20" s="297">
        <v>8</v>
      </c>
      <c r="N20" s="298" t="s">
        <v>603</v>
      </c>
      <c r="O20" s="297">
        <v>32</v>
      </c>
      <c r="P20" s="298" t="s">
        <v>98</v>
      </c>
      <c r="Q20" s="298" t="s">
        <v>99</v>
      </c>
      <c r="R20" s="298"/>
      <c r="S20" s="298" t="s">
        <v>593</v>
      </c>
      <c r="T20" s="298" t="s">
        <v>1172</v>
      </c>
      <c r="U20" s="298" t="s">
        <v>1173</v>
      </c>
    </row>
    <row r="21" spans="5:21" ht="15.75" customHeight="1" x14ac:dyDescent="0.3">
      <c r="E21" s="300">
        <v>2</v>
      </c>
      <c r="G21" s="296">
        <v>8</v>
      </c>
      <c r="H21" s="297">
        <v>8</v>
      </c>
      <c r="I21" s="133">
        <f t="shared" si="0"/>
        <v>0</v>
      </c>
      <c r="J21" s="298" t="s">
        <v>81</v>
      </c>
      <c r="K21" s="298" t="s">
        <v>100</v>
      </c>
      <c r="L21" s="298" t="s">
        <v>1168</v>
      </c>
      <c r="M21" s="297">
        <v>8</v>
      </c>
      <c r="N21" s="298" t="s">
        <v>603</v>
      </c>
      <c r="O21" s="297">
        <v>16</v>
      </c>
      <c r="P21" s="298" t="s">
        <v>98</v>
      </c>
      <c r="Q21" s="298" t="s">
        <v>99</v>
      </c>
      <c r="R21" s="298"/>
      <c r="S21" s="298" t="s">
        <v>593</v>
      </c>
      <c r="T21" s="298" t="s">
        <v>1172</v>
      </c>
      <c r="U21" s="298" t="s">
        <v>1173</v>
      </c>
    </row>
    <row r="22" spans="5:21" ht="15.75" customHeight="1" x14ac:dyDescent="0.3">
      <c r="E22" s="300">
        <v>8</v>
      </c>
      <c r="G22" s="296">
        <v>8</v>
      </c>
      <c r="H22" s="297">
        <v>8</v>
      </c>
      <c r="I22" s="133">
        <f t="shared" si="0"/>
        <v>0</v>
      </c>
      <c r="J22" s="298" t="s">
        <v>81</v>
      </c>
      <c r="K22" s="298" t="s">
        <v>100</v>
      </c>
      <c r="L22" s="298" t="s">
        <v>1168</v>
      </c>
      <c r="M22" s="297">
        <v>8</v>
      </c>
      <c r="N22" s="298" t="s">
        <v>603</v>
      </c>
      <c r="O22" s="297">
        <v>16</v>
      </c>
      <c r="P22" s="298" t="s">
        <v>96</v>
      </c>
      <c r="Q22" s="298" t="s">
        <v>97</v>
      </c>
      <c r="R22" s="298"/>
      <c r="S22" s="298" t="s">
        <v>565</v>
      </c>
      <c r="T22" s="298"/>
      <c r="U22" s="298"/>
    </row>
    <row r="23" spans="5:21" ht="15.75" customHeight="1" x14ac:dyDescent="0.3">
      <c r="E23" s="300">
        <v>8</v>
      </c>
      <c r="G23" s="296">
        <v>8</v>
      </c>
      <c r="H23" s="297">
        <v>8</v>
      </c>
      <c r="I23" s="133">
        <f t="shared" si="0"/>
        <v>0</v>
      </c>
      <c r="J23" s="298" t="s">
        <v>81</v>
      </c>
      <c r="K23" s="298" t="s">
        <v>100</v>
      </c>
      <c r="L23" s="298" t="s">
        <v>1168</v>
      </c>
      <c r="M23" s="297">
        <v>8</v>
      </c>
      <c r="N23" s="298" t="s">
        <v>603</v>
      </c>
      <c r="O23" s="297">
        <v>16</v>
      </c>
      <c r="P23" s="298" t="s">
        <v>94</v>
      </c>
      <c r="Q23" s="298" t="s">
        <v>95</v>
      </c>
      <c r="R23" s="298"/>
      <c r="S23" s="298" t="s">
        <v>565</v>
      </c>
      <c r="T23" s="298" t="s">
        <v>1170</v>
      </c>
      <c r="U23" s="298" t="s">
        <v>1171</v>
      </c>
    </row>
    <row r="24" spans="5:21" ht="15.75" customHeight="1" x14ac:dyDescent="0.3">
      <c r="E24" s="300">
        <v>8</v>
      </c>
      <c r="G24" s="296">
        <v>8</v>
      </c>
      <c r="H24" s="297">
        <v>8</v>
      </c>
      <c r="I24" s="133">
        <f t="shared" si="0"/>
        <v>0</v>
      </c>
      <c r="J24" s="298" t="s">
        <v>81</v>
      </c>
      <c r="K24" s="298" t="s">
        <v>100</v>
      </c>
      <c r="L24" s="298" t="s">
        <v>1168</v>
      </c>
      <c r="M24" s="297">
        <v>8</v>
      </c>
      <c r="N24" s="298" t="s">
        <v>603</v>
      </c>
      <c r="O24" s="297">
        <v>16</v>
      </c>
      <c r="P24" s="298" t="s">
        <v>91</v>
      </c>
      <c r="Q24" s="298" t="s">
        <v>92</v>
      </c>
      <c r="R24" s="298"/>
      <c r="S24" s="298" t="s">
        <v>593</v>
      </c>
      <c r="T24" s="298" t="s">
        <v>205</v>
      </c>
      <c r="U24" s="298" t="s">
        <v>1169</v>
      </c>
    </row>
    <row r="25" spans="5:21" ht="15.75" customHeight="1" x14ac:dyDescent="0.3">
      <c r="E25" s="300">
        <v>8</v>
      </c>
      <c r="G25" s="296">
        <v>2</v>
      </c>
      <c r="H25" s="297">
        <v>2</v>
      </c>
      <c r="I25" s="133">
        <f t="shared" si="0"/>
        <v>0</v>
      </c>
      <c r="J25" s="298" t="s">
        <v>81</v>
      </c>
      <c r="K25" s="298" t="s">
        <v>80</v>
      </c>
      <c r="L25" s="298" t="s">
        <v>1168</v>
      </c>
      <c r="M25" s="297">
        <v>2</v>
      </c>
      <c r="N25" s="298" t="s">
        <v>603</v>
      </c>
      <c r="O25" s="299"/>
      <c r="P25" s="298" t="s">
        <v>84</v>
      </c>
      <c r="Q25" s="298" t="s">
        <v>85</v>
      </c>
      <c r="R25" s="298"/>
      <c r="S25" s="298" t="s">
        <v>593</v>
      </c>
      <c r="T25" s="298"/>
      <c r="U25" s="298"/>
    </row>
    <row r="26" spans="5:21" ht="15.75" customHeight="1" x14ac:dyDescent="0.3">
      <c r="E26" s="300">
        <v>8</v>
      </c>
      <c r="G26" s="296">
        <v>12</v>
      </c>
      <c r="H26" s="297">
        <v>12</v>
      </c>
      <c r="I26" s="133">
        <f t="shared" si="0"/>
        <v>0</v>
      </c>
      <c r="J26" s="298" t="s">
        <v>361</v>
      </c>
      <c r="K26" s="298" t="s">
        <v>73</v>
      </c>
      <c r="L26" s="298" t="s">
        <v>1174</v>
      </c>
      <c r="M26" s="297">
        <v>12</v>
      </c>
      <c r="N26" s="298" t="s">
        <v>127</v>
      </c>
      <c r="O26" s="297">
        <v>12</v>
      </c>
      <c r="P26" s="298" t="s">
        <v>210</v>
      </c>
      <c r="Q26" s="298" t="s">
        <v>211</v>
      </c>
      <c r="R26" s="298"/>
      <c r="S26" s="298" t="s">
        <v>593</v>
      </c>
      <c r="T26" s="298" t="s">
        <v>1167</v>
      </c>
      <c r="U26" s="298"/>
    </row>
    <row r="27" spans="5:21" ht="15.75" customHeight="1" x14ac:dyDescent="0.3">
      <c r="E27" s="300">
        <v>8</v>
      </c>
      <c r="G27" s="296">
        <v>4</v>
      </c>
      <c r="H27" s="297">
        <v>4</v>
      </c>
      <c r="I27" s="133">
        <f t="shared" si="0"/>
        <v>0</v>
      </c>
      <c r="J27" s="298" t="s">
        <v>361</v>
      </c>
      <c r="K27" s="298" t="s">
        <v>87</v>
      </c>
      <c r="L27" s="298" t="s">
        <v>1174</v>
      </c>
      <c r="M27" s="297">
        <v>4</v>
      </c>
      <c r="N27" s="298" t="s">
        <v>127</v>
      </c>
      <c r="O27" s="299"/>
      <c r="P27" s="298" t="s">
        <v>210</v>
      </c>
      <c r="Q27" s="298" t="s">
        <v>211</v>
      </c>
      <c r="R27" s="298"/>
      <c r="S27" s="298" t="s">
        <v>593</v>
      </c>
      <c r="T27" s="298" t="s">
        <v>1167</v>
      </c>
      <c r="U27" s="298"/>
    </row>
    <row r="28" spans="5:21" ht="15.75" customHeight="1" x14ac:dyDescent="0.3">
      <c r="E28" s="300">
        <v>8</v>
      </c>
      <c r="G28" s="296">
        <v>1</v>
      </c>
      <c r="H28" s="297">
        <v>1</v>
      </c>
      <c r="I28" s="133">
        <f t="shared" si="0"/>
        <v>0</v>
      </c>
      <c r="J28" s="298" t="s">
        <v>361</v>
      </c>
      <c r="K28" s="298" t="s">
        <v>87</v>
      </c>
      <c r="L28" s="298" t="s">
        <v>1174</v>
      </c>
      <c r="M28" s="297">
        <v>1</v>
      </c>
      <c r="N28" s="298" t="s">
        <v>127</v>
      </c>
      <c r="O28" s="299"/>
      <c r="P28" s="298" t="s">
        <v>250</v>
      </c>
      <c r="Q28" s="298" t="s">
        <v>251</v>
      </c>
      <c r="R28" s="298" t="s">
        <v>8</v>
      </c>
      <c r="S28" s="298" t="s">
        <v>565</v>
      </c>
      <c r="T28" s="298"/>
      <c r="U28" s="298"/>
    </row>
    <row r="29" spans="5:21" ht="15.75" customHeight="1" x14ac:dyDescent="0.3">
      <c r="E29" s="300">
        <v>8</v>
      </c>
      <c r="G29" s="296">
        <v>24</v>
      </c>
      <c r="H29" s="297">
        <v>24</v>
      </c>
      <c r="I29" s="133">
        <f t="shared" si="0"/>
        <v>0</v>
      </c>
      <c r="J29" s="298" t="s">
        <v>361</v>
      </c>
      <c r="K29" s="298" t="s">
        <v>79</v>
      </c>
      <c r="L29" s="298" t="s">
        <v>1174</v>
      </c>
      <c r="M29" s="297">
        <v>24</v>
      </c>
      <c r="N29" s="298" t="s">
        <v>127</v>
      </c>
      <c r="O29" s="297">
        <v>24</v>
      </c>
      <c r="P29" s="298" t="s">
        <v>210</v>
      </c>
      <c r="Q29" s="298" t="s">
        <v>211</v>
      </c>
      <c r="R29" s="298"/>
      <c r="S29" s="298" t="s">
        <v>593</v>
      </c>
      <c r="T29" s="298" t="s">
        <v>1167</v>
      </c>
      <c r="U29" s="298"/>
    </row>
    <row r="30" spans="5:21" ht="15.75" customHeight="1" x14ac:dyDescent="0.3">
      <c r="E30" s="300">
        <v>2</v>
      </c>
      <c r="G30" s="296">
        <v>1</v>
      </c>
      <c r="H30" s="297">
        <v>1</v>
      </c>
      <c r="I30" s="133">
        <f t="shared" si="0"/>
        <v>0</v>
      </c>
      <c r="J30" s="298" t="s">
        <v>361</v>
      </c>
      <c r="K30" s="298" t="s">
        <v>80</v>
      </c>
      <c r="L30" s="298" t="s">
        <v>1174</v>
      </c>
      <c r="M30" s="297">
        <v>1</v>
      </c>
      <c r="N30" s="298" t="s">
        <v>127</v>
      </c>
      <c r="O30" s="299"/>
      <c r="P30" s="298" t="s">
        <v>210</v>
      </c>
      <c r="Q30" s="298" t="s">
        <v>211</v>
      </c>
      <c r="R30" s="298"/>
      <c r="S30" s="298" t="s">
        <v>593</v>
      </c>
      <c r="T30" s="298" t="s">
        <v>1167</v>
      </c>
      <c r="U30" s="298"/>
    </row>
    <row r="31" spans="5:21" ht="15.75" customHeight="1" x14ac:dyDescent="0.3">
      <c r="E31" s="302">
        <v>12</v>
      </c>
      <c r="G31" s="296">
        <v>16</v>
      </c>
      <c r="H31" s="297">
        <v>16</v>
      </c>
      <c r="I31" s="133">
        <f t="shared" si="0"/>
        <v>0</v>
      </c>
      <c r="J31" s="298" t="s">
        <v>101</v>
      </c>
      <c r="K31" s="298" t="s">
        <v>102</v>
      </c>
      <c r="L31" s="298" t="s">
        <v>1175</v>
      </c>
      <c r="M31" s="297">
        <v>16</v>
      </c>
      <c r="N31" s="298" t="s">
        <v>1176</v>
      </c>
      <c r="O31" s="299"/>
      <c r="P31" s="298" t="s">
        <v>94</v>
      </c>
      <c r="Q31" s="298" t="s">
        <v>95</v>
      </c>
      <c r="R31" s="298"/>
      <c r="S31" s="298" t="s">
        <v>565</v>
      </c>
      <c r="T31" s="298"/>
      <c r="U31" s="298" t="s">
        <v>1171</v>
      </c>
    </row>
    <row r="32" spans="5:21" ht="15.75" customHeight="1" x14ac:dyDescent="0.3">
      <c r="E32" s="302">
        <v>4</v>
      </c>
      <c r="G32" s="296">
        <v>16</v>
      </c>
      <c r="H32" s="297">
        <v>16</v>
      </c>
      <c r="I32" s="133">
        <f t="shared" si="0"/>
        <v>0</v>
      </c>
      <c r="J32" s="298" t="s">
        <v>101</v>
      </c>
      <c r="K32" s="298" t="s">
        <v>102</v>
      </c>
      <c r="L32" s="298" t="s">
        <v>1175</v>
      </c>
      <c r="M32" s="297">
        <v>16</v>
      </c>
      <c r="N32" s="298" t="s">
        <v>1176</v>
      </c>
      <c r="O32" s="299"/>
      <c r="P32" s="298" t="s">
        <v>146</v>
      </c>
      <c r="Q32" s="298" t="s">
        <v>147</v>
      </c>
      <c r="R32" s="298"/>
      <c r="S32" s="298" t="s">
        <v>565</v>
      </c>
      <c r="T32" s="298"/>
      <c r="U32" s="298"/>
    </row>
    <row r="33" spans="5:21" ht="15.75" customHeight="1" x14ac:dyDescent="0.3">
      <c r="E33" s="302">
        <v>1</v>
      </c>
      <c r="G33" s="296">
        <v>8</v>
      </c>
      <c r="H33" s="297">
        <v>8</v>
      </c>
      <c r="I33" s="133">
        <f t="shared" si="0"/>
        <v>0</v>
      </c>
      <c r="J33" s="298" t="s">
        <v>101</v>
      </c>
      <c r="K33" s="298" t="s">
        <v>102</v>
      </c>
      <c r="L33" s="298" t="s">
        <v>1175</v>
      </c>
      <c r="M33" s="297">
        <v>8</v>
      </c>
      <c r="N33" s="298" t="s">
        <v>1176</v>
      </c>
      <c r="O33" s="299"/>
      <c r="P33" s="298" t="s">
        <v>245</v>
      </c>
      <c r="Q33" s="298" t="s">
        <v>246</v>
      </c>
      <c r="R33" s="298"/>
      <c r="S33" s="298" t="s">
        <v>565</v>
      </c>
      <c r="T33" s="298" t="s">
        <v>1177</v>
      </c>
      <c r="U33" s="298" t="s">
        <v>1178</v>
      </c>
    </row>
    <row r="34" spans="5:21" ht="15.75" customHeight="1" x14ac:dyDescent="0.3">
      <c r="E34" s="302">
        <v>24</v>
      </c>
      <c r="G34" s="296">
        <v>12</v>
      </c>
      <c r="H34" s="297">
        <v>12</v>
      </c>
      <c r="I34" s="133">
        <f t="shared" si="0"/>
        <v>0</v>
      </c>
      <c r="J34" s="298" t="s">
        <v>101</v>
      </c>
      <c r="K34" s="298" t="s">
        <v>102</v>
      </c>
      <c r="L34" s="298" t="s">
        <v>1175</v>
      </c>
      <c r="M34" s="297">
        <v>12</v>
      </c>
      <c r="N34" s="298" t="s">
        <v>1176</v>
      </c>
      <c r="O34" s="299"/>
      <c r="P34" s="298" t="s">
        <v>108</v>
      </c>
      <c r="Q34" s="298" t="s">
        <v>109</v>
      </c>
      <c r="R34" s="298"/>
      <c r="S34" s="298" t="s">
        <v>593</v>
      </c>
      <c r="T34" s="298" t="s">
        <v>1170</v>
      </c>
      <c r="U34" s="298" t="s">
        <v>1179</v>
      </c>
    </row>
    <row r="35" spans="5:21" ht="15.75" customHeight="1" x14ac:dyDescent="0.3">
      <c r="E35" s="302">
        <v>1</v>
      </c>
      <c r="G35" s="296">
        <v>8</v>
      </c>
      <c r="H35" s="297">
        <v>8</v>
      </c>
      <c r="I35" s="133">
        <f t="shared" si="0"/>
        <v>0</v>
      </c>
      <c r="J35" s="298" t="s">
        <v>101</v>
      </c>
      <c r="K35" s="298" t="s">
        <v>102</v>
      </c>
      <c r="L35" s="298" t="s">
        <v>1175</v>
      </c>
      <c r="M35" s="297">
        <v>8</v>
      </c>
      <c r="N35" s="298" t="s">
        <v>1176</v>
      </c>
      <c r="O35" s="299"/>
      <c r="P35" s="298" t="s">
        <v>291</v>
      </c>
      <c r="Q35" s="298" t="s">
        <v>292</v>
      </c>
      <c r="R35" s="298"/>
      <c r="S35" s="298" t="s">
        <v>565</v>
      </c>
      <c r="T35" s="298"/>
      <c r="U35" s="298"/>
    </row>
    <row r="36" spans="5:21" ht="15.75" customHeight="1" x14ac:dyDescent="0.3">
      <c r="E36" s="300">
        <v>16</v>
      </c>
      <c r="G36" s="296">
        <v>44</v>
      </c>
      <c r="H36" s="297">
        <v>44</v>
      </c>
      <c r="I36" s="133">
        <f t="shared" si="0"/>
        <v>0</v>
      </c>
      <c r="J36" s="298" t="s">
        <v>101</v>
      </c>
      <c r="K36" s="298" t="s">
        <v>73</v>
      </c>
      <c r="L36" s="298" t="s">
        <v>1175</v>
      </c>
      <c r="M36" s="297">
        <v>44</v>
      </c>
      <c r="N36" s="298" t="s">
        <v>1176</v>
      </c>
      <c r="O36" s="297">
        <v>44</v>
      </c>
      <c r="P36" s="298" t="s">
        <v>108</v>
      </c>
      <c r="Q36" s="298" t="s">
        <v>109</v>
      </c>
      <c r="R36" s="298"/>
      <c r="S36" s="298" t="s">
        <v>593</v>
      </c>
      <c r="T36" s="298" t="s">
        <v>1170</v>
      </c>
      <c r="U36" s="298" t="s">
        <v>1179</v>
      </c>
    </row>
    <row r="37" spans="5:21" ht="15.75" customHeight="1" x14ac:dyDescent="0.3">
      <c r="E37" s="300">
        <v>16</v>
      </c>
      <c r="G37" s="296">
        <v>64</v>
      </c>
      <c r="H37" s="297">
        <v>64</v>
      </c>
      <c r="I37" s="133">
        <f t="shared" si="0"/>
        <v>0</v>
      </c>
      <c r="J37" s="298" t="s">
        <v>101</v>
      </c>
      <c r="K37" s="298" t="s">
        <v>79</v>
      </c>
      <c r="L37" s="298" t="s">
        <v>1175</v>
      </c>
      <c r="M37" s="297">
        <v>64</v>
      </c>
      <c r="N37" s="298" t="s">
        <v>1176</v>
      </c>
      <c r="O37" s="297">
        <v>64</v>
      </c>
      <c r="P37" s="298" t="s">
        <v>108</v>
      </c>
      <c r="Q37" s="298" t="s">
        <v>109</v>
      </c>
      <c r="R37" s="298"/>
      <c r="S37" s="298" t="s">
        <v>593</v>
      </c>
      <c r="T37" s="298" t="s">
        <v>1170</v>
      </c>
      <c r="U37" s="298" t="s">
        <v>1179</v>
      </c>
    </row>
    <row r="38" spans="5:21" ht="15.75" customHeight="1" x14ac:dyDescent="0.3">
      <c r="E38" s="300">
        <v>8</v>
      </c>
      <c r="G38" s="296">
        <v>36</v>
      </c>
      <c r="H38" s="297">
        <v>36</v>
      </c>
      <c r="I38" s="133">
        <f t="shared" si="0"/>
        <v>0</v>
      </c>
      <c r="J38" s="298" t="s">
        <v>101</v>
      </c>
      <c r="K38" s="298" t="s">
        <v>100</v>
      </c>
      <c r="L38" s="298" t="s">
        <v>1175</v>
      </c>
      <c r="M38" s="297">
        <v>36</v>
      </c>
      <c r="N38" s="298" t="s">
        <v>1176</v>
      </c>
      <c r="O38" s="297">
        <v>36</v>
      </c>
      <c r="P38" s="298" t="s">
        <v>108</v>
      </c>
      <c r="Q38" s="298" t="s">
        <v>109</v>
      </c>
      <c r="R38" s="298"/>
      <c r="S38" s="298" t="s">
        <v>593</v>
      </c>
      <c r="T38" s="298" t="s">
        <v>1177</v>
      </c>
      <c r="U38" s="298" t="s">
        <v>1179</v>
      </c>
    </row>
    <row r="39" spans="5:21" ht="15.75" customHeight="1" x14ac:dyDescent="0.3">
      <c r="E39" s="300">
        <v>8</v>
      </c>
      <c r="G39" s="296">
        <v>8</v>
      </c>
      <c r="H39" s="297">
        <v>8</v>
      </c>
      <c r="I39" s="133">
        <f t="shared" si="0"/>
        <v>0</v>
      </c>
      <c r="J39" s="298" t="s">
        <v>101</v>
      </c>
      <c r="K39" s="298" t="s">
        <v>111</v>
      </c>
      <c r="L39" s="298" t="s">
        <v>1175</v>
      </c>
      <c r="M39" s="297">
        <v>8</v>
      </c>
      <c r="N39" s="298" t="s">
        <v>1176</v>
      </c>
      <c r="O39" s="299"/>
      <c r="P39" s="298" t="s">
        <v>108</v>
      </c>
      <c r="Q39" s="298" t="s">
        <v>109</v>
      </c>
      <c r="R39" s="298"/>
      <c r="S39" s="298" t="s">
        <v>593</v>
      </c>
      <c r="T39" s="298"/>
      <c r="U39" s="298" t="s">
        <v>1179</v>
      </c>
    </row>
    <row r="40" spans="5:21" ht="15.75" customHeight="1" x14ac:dyDescent="0.3">
      <c r="E40" s="300">
        <v>12</v>
      </c>
      <c r="G40" s="296">
        <v>3</v>
      </c>
      <c r="H40" s="297">
        <v>3</v>
      </c>
      <c r="I40" s="133">
        <f t="shared" si="0"/>
        <v>0</v>
      </c>
      <c r="J40" s="298" t="s">
        <v>101</v>
      </c>
      <c r="K40" s="298" t="s">
        <v>80</v>
      </c>
      <c r="L40" s="298" t="s">
        <v>1175</v>
      </c>
      <c r="M40" s="297">
        <v>3</v>
      </c>
      <c r="N40" s="298" t="s">
        <v>1176</v>
      </c>
      <c r="O40" s="299"/>
      <c r="P40" s="298" t="s">
        <v>108</v>
      </c>
      <c r="Q40" s="298" t="s">
        <v>109</v>
      </c>
      <c r="R40" s="298"/>
      <c r="S40" s="298" t="s">
        <v>593</v>
      </c>
      <c r="T40" s="298" t="s">
        <v>1170</v>
      </c>
      <c r="U40" s="298" t="s">
        <v>1179</v>
      </c>
    </row>
    <row r="41" spans="5:21" ht="15.75" customHeight="1" x14ac:dyDescent="0.3">
      <c r="E41" s="300">
        <v>44</v>
      </c>
      <c r="G41" s="296">
        <v>1</v>
      </c>
      <c r="H41" s="297">
        <v>1</v>
      </c>
      <c r="I41" s="133">
        <f t="shared" si="0"/>
        <v>0</v>
      </c>
      <c r="J41" s="298" t="s">
        <v>101</v>
      </c>
      <c r="K41" s="298" t="s">
        <v>80</v>
      </c>
      <c r="L41" s="298" t="s">
        <v>1175</v>
      </c>
      <c r="M41" s="297">
        <v>1</v>
      </c>
      <c r="N41" s="298" t="s">
        <v>1176</v>
      </c>
      <c r="O41" s="299"/>
      <c r="P41" s="298" t="s">
        <v>250</v>
      </c>
      <c r="Q41" s="298" t="s">
        <v>251</v>
      </c>
      <c r="R41" s="298" t="s">
        <v>8</v>
      </c>
      <c r="S41" s="298" t="s">
        <v>565</v>
      </c>
      <c r="T41" s="298"/>
      <c r="U41" s="298"/>
    </row>
    <row r="42" spans="5:21" ht="15.75" customHeight="1" x14ac:dyDescent="0.3">
      <c r="E42" s="300">
        <v>64</v>
      </c>
      <c r="G42" s="296">
        <v>24</v>
      </c>
      <c r="H42" s="297">
        <v>24</v>
      </c>
      <c r="I42" s="133">
        <f t="shared" si="0"/>
        <v>0</v>
      </c>
      <c r="J42" s="298" t="s">
        <v>112</v>
      </c>
      <c r="K42" s="298" t="s">
        <v>73</v>
      </c>
      <c r="L42" s="298" t="s">
        <v>1180</v>
      </c>
      <c r="M42" s="297">
        <v>24</v>
      </c>
      <c r="N42" s="298" t="s">
        <v>1181</v>
      </c>
      <c r="O42" s="297">
        <v>24</v>
      </c>
      <c r="P42" s="298" t="s">
        <v>115</v>
      </c>
      <c r="Q42" s="298" t="s">
        <v>116</v>
      </c>
      <c r="R42" s="298"/>
      <c r="S42" s="298" t="s">
        <v>593</v>
      </c>
      <c r="T42" s="298" t="s">
        <v>1182</v>
      </c>
      <c r="U42" s="298" t="s">
        <v>1183</v>
      </c>
    </row>
    <row r="43" spans="5:21" ht="15.75" customHeight="1" x14ac:dyDescent="0.3">
      <c r="E43" s="300">
        <v>36</v>
      </c>
      <c r="G43" s="296">
        <v>3</v>
      </c>
      <c r="H43" s="297">
        <v>3</v>
      </c>
      <c r="I43" s="133">
        <f t="shared" si="0"/>
        <v>0</v>
      </c>
      <c r="J43" s="298" t="s">
        <v>112</v>
      </c>
      <c r="K43" s="298" t="s">
        <v>87</v>
      </c>
      <c r="L43" s="298" t="s">
        <v>1180</v>
      </c>
      <c r="M43" s="297">
        <v>3</v>
      </c>
      <c r="N43" s="298" t="s">
        <v>1181</v>
      </c>
      <c r="O43" s="299"/>
      <c r="P43" s="298" t="s">
        <v>115</v>
      </c>
      <c r="Q43" s="298" t="s">
        <v>116</v>
      </c>
      <c r="R43" s="298"/>
      <c r="S43" s="298" t="s">
        <v>593</v>
      </c>
      <c r="T43" s="298"/>
      <c r="U43" s="298" t="s">
        <v>1183</v>
      </c>
    </row>
    <row r="44" spans="5:21" ht="15.75" customHeight="1" x14ac:dyDescent="0.3">
      <c r="E44" s="300">
        <v>8</v>
      </c>
      <c r="G44" s="296">
        <v>1</v>
      </c>
      <c r="H44" s="297">
        <v>1</v>
      </c>
      <c r="I44" s="133">
        <f t="shared" si="0"/>
        <v>0</v>
      </c>
      <c r="J44" s="298" t="s">
        <v>112</v>
      </c>
      <c r="K44" s="298" t="s">
        <v>87</v>
      </c>
      <c r="L44" s="298" t="s">
        <v>1180</v>
      </c>
      <c r="M44" s="297">
        <v>1</v>
      </c>
      <c r="N44" s="298" t="s">
        <v>1181</v>
      </c>
      <c r="O44" s="299"/>
      <c r="P44" s="298" t="s">
        <v>250</v>
      </c>
      <c r="Q44" s="298" t="s">
        <v>251</v>
      </c>
      <c r="R44" s="298" t="s">
        <v>8</v>
      </c>
      <c r="S44" s="298" t="s">
        <v>565</v>
      </c>
      <c r="T44" s="298"/>
      <c r="U44" s="298"/>
    </row>
    <row r="45" spans="5:21" ht="15.75" customHeight="1" x14ac:dyDescent="0.3">
      <c r="E45" s="300">
        <v>3</v>
      </c>
      <c r="G45" s="296">
        <v>28</v>
      </c>
      <c r="H45" s="297">
        <v>28</v>
      </c>
      <c r="I45" s="133">
        <f t="shared" si="0"/>
        <v>0</v>
      </c>
      <c r="J45" s="298" t="s">
        <v>112</v>
      </c>
      <c r="K45" s="298" t="s">
        <v>79</v>
      </c>
      <c r="L45" s="298" t="s">
        <v>1180</v>
      </c>
      <c r="M45" s="297">
        <v>28</v>
      </c>
      <c r="N45" s="298" t="s">
        <v>1181</v>
      </c>
      <c r="O45" s="297">
        <v>28</v>
      </c>
      <c r="P45" s="298" t="s">
        <v>115</v>
      </c>
      <c r="Q45" s="298" t="s">
        <v>116</v>
      </c>
      <c r="R45" s="298"/>
      <c r="S45" s="298" t="s">
        <v>593</v>
      </c>
      <c r="T45" s="298" t="s">
        <v>1182</v>
      </c>
      <c r="U45" s="298" t="s">
        <v>1183</v>
      </c>
    </row>
    <row r="46" spans="5:21" ht="15.75" customHeight="1" x14ac:dyDescent="0.3">
      <c r="E46" s="300">
        <v>1</v>
      </c>
      <c r="G46" s="296">
        <v>8</v>
      </c>
      <c r="H46" s="297">
        <v>8</v>
      </c>
      <c r="I46" s="133">
        <f t="shared" si="0"/>
        <v>0</v>
      </c>
      <c r="J46" s="298" t="s">
        <v>112</v>
      </c>
      <c r="K46" s="298" t="s">
        <v>100</v>
      </c>
      <c r="L46" s="298" t="s">
        <v>1180</v>
      </c>
      <c r="M46" s="297">
        <v>8</v>
      </c>
      <c r="N46" s="298" t="s">
        <v>1181</v>
      </c>
      <c r="O46" s="297">
        <v>8</v>
      </c>
      <c r="P46" s="298" t="s">
        <v>115</v>
      </c>
      <c r="Q46" s="298" t="s">
        <v>116</v>
      </c>
      <c r="R46" s="298"/>
      <c r="S46" s="298" t="s">
        <v>593</v>
      </c>
      <c r="T46" s="298" t="s">
        <v>1172</v>
      </c>
      <c r="U46" s="298" t="s">
        <v>1183</v>
      </c>
    </row>
    <row r="47" spans="5:21" ht="15.75" customHeight="1" x14ac:dyDescent="0.3">
      <c r="E47" s="300">
        <v>24</v>
      </c>
      <c r="G47" s="296">
        <v>1</v>
      </c>
      <c r="H47" s="297">
        <v>1</v>
      </c>
      <c r="I47" s="133">
        <f t="shared" si="0"/>
        <v>0</v>
      </c>
      <c r="J47" s="298" t="s">
        <v>112</v>
      </c>
      <c r="K47" s="298" t="s">
        <v>80</v>
      </c>
      <c r="L47" s="298" t="s">
        <v>1180</v>
      </c>
      <c r="M47" s="297">
        <v>1</v>
      </c>
      <c r="N47" s="298" t="s">
        <v>1181</v>
      </c>
      <c r="O47" s="299"/>
      <c r="P47" s="298" t="s">
        <v>115</v>
      </c>
      <c r="Q47" s="298" t="s">
        <v>116</v>
      </c>
      <c r="R47" s="298"/>
      <c r="S47" s="298" t="s">
        <v>593</v>
      </c>
      <c r="T47" s="298"/>
      <c r="U47" s="298"/>
    </row>
    <row r="48" spans="5:21" ht="15.75" customHeight="1" x14ac:dyDescent="0.3">
      <c r="E48" s="300">
        <v>3</v>
      </c>
      <c r="G48" s="296">
        <v>44</v>
      </c>
      <c r="H48" s="297">
        <v>44</v>
      </c>
      <c r="I48" s="133">
        <f t="shared" si="0"/>
        <v>0</v>
      </c>
      <c r="J48" s="298" t="s">
        <v>120</v>
      </c>
      <c r="K48" s="298" t="s">
        <v>73</v>
      </c>
      <c r="L48" s="298" t="s">
        <v>1180</v>
      </c>
      <c r="M48" s="297">
        <v>44</v>
      </c>
      <c r="N48" s="298" t="s">
        <v>1181</v>
      </c>
      <c r="O48" s="297">
        <v>44</v>
      </c>
      <c r="P48" s="298" t="s">
        <v>63</v>
      </c>
      <c r="Q48" s="298" t="s">
        <v>64</v>
      </c>
      <c r="R48" s="298"/>
      <c r="S48" s="298" t="s">
        <v>565</v>
      </c>
      <c r="T48" s="298" t="s">
        <v>1172</v>
      </c>
      <c r="U48" s="298" t="s">
        <v>1184</v>
      </c>
    </row>
    <row r="49" spans="5:21" ht="15.75" customHeight="1" x14ac:dyDescent="0.3">
      <c r="E49" s="300">
        <v>1</v>
      </c>
      <c r="G49" s="296">
        <v>30</v>
      </c>
      <c r="H49" s="297">
        <v>30</v>
      </c>
      <c r="I49" s="133">
        <f t="shared" si="0"/>
        <v>0</v>
      </c>
      <c r="J49" s="298" t="s">
        <v>120</v>
      </c>
      <c r="K49" s="298" t="s">
        <v>123</v>
      </c>
      <c r="L49" s="298" t="s">
        <v>1180</v>
      </c>
      <c r="M49" s="297">
        <v>30</v>
      </c>
      <c r="N49" s="298" t="s">
        <v>1181</v>
      </c>
      <c r="O49" s="299"/>
      <c r="P49" s="298" t="s">
        <v>63</v>
      </c>
      <c r="Q49" s="298" t="s">
        <v>64</v>
      </c>
      <c r="R49" s="298"/>
      <c r="S49" s="298" t="s">
        <v>565</v>
      </c>
      <c r="T49" s="298"/>
      <c r="U49" s="298"/>
    </row>
    <row r="50" spans="5:21" ht="15.75" customHeight="1" x14ac:dyDescent="0.3">
      <c r="E50" s="300">
        <v>28</v>
      </c>
      <c r="G50" s="296">
        <v>32</v>
      </c>
      <c r="H50" s="297">
        <v>32</v>
      </c>
      <c r="I50" s="133">
        <f t="shared" si="0"/>
        <v>0</v>
      </c>
      <c r="J50" s="298" t="s">
        <v>120</v>
      </c>
      <c r="K50" s="298" t="s">
        <v>79</v>
      </c>
      <c r="L50" s="298" t="s">
        <v>1180</v>
      </c>
      <c r="M50" s="297">
        <v>32</v>
      </c>
      <c r="N50" s="298" t="s">
        <v>1181</v>
      </c>
      <c r="O50" s="297">
        <v>32</v>
      </c>
      <c r="P50" s="298" t="s">
        <v>63</v>
      </c>
      <c r="Q50" s="298" t="s">
        <v>64</v>
      </c>
      <c r="R50" s="298"/>
      <c r="S50" s="298" t="s">
        <v>565</v>
      </c>
      <c r="T50" s="298" t="s">
        <v>1172</v>
      </c>
      <c r="U50" s="298" t="s">
        <v>1184</v>
      </c>
    </row>
    <row r="51" spans="5:21" ht="15.75" customHeight="1" x14ac:dyDescent="0.3">
      <c r="E51" s="300">
        <v>8</v>
      </c>
      <c r="G51" s="296">
        <v>32</v>
      </c>
      <c r="H51" s="297">
        <v>32</v>
      </c>
      <c r="I51" s="133">
        <f t="shared" si="0"/>
        <v>0</v>
      </c>
      <c r="J51" s="298" t="s">
        <v>120</v>
      </c>
      <c r="K51" s="298" t="s">
        <v>100</v>
      </c>
      <c r="L51" s="298" t="s">
        <v>1180</v>
      </c>
      <c r="M51" s="297">
        <v>32</v>
      </c>
      <c r="N51" s="298" t="s">
        <v>1181</v>
      </c>
      <c r="O51" s="297">
        <v>32</v>
      </c>
      <c r="P51" s="298" t="s">
        <v>98</v>
      </c>
      <c r="Q51" s="298" t="s">
        <v>99</v>
      </c>
      <c r="R51" s="298"/>
      <c r="S51" s="298" t="s">
        <v>593</v>
      </c>
      <c r="T51" s="298" t="s">
        <v>1172</v>
      </c>
      <c r="U51" s="298" t="s">
        <v>1173</v>
      </c>
    </row>
    <row r="52" spans="5:21" ht="15.75" customHeight="1" x14ac:dyDescent="0.3">
      <c r="E52" s="300">
        <v>1</v>
      </c>
      <c r="G52" s="296">
        <v>3.33</v>
      </c>
      <c r="H52" s="297">
        <v>3.33</v>
      </c>
      <c r="I52" s="133">
        <f t="shared" si="0"/>
        <v>0</v>
      </c>
      <c r="J52" s="298" t="s">
        <v>120</v>
      </c>
      <c r="K52" s="298" t="s">
        <v>111</v>
      </c>
      <c r="L52" s="298" t="s">
        <v>1180</v>
      </c>
      <c r="M52" s="297">
        <v>3.33</v>
      </c>
      <c r="N52" s="298" t="s">
        <v>1181</v>
      </c>
      <c r="O52" s="299"/>
      <c r="P52" s="298" t="s">
        <v>63</v>
      </c>
      <c r="Q52" s="298" t="s">
        <v>64</v>
      </c>
      <c r="R52" s="298"/>
      <c r="S52" s="298" t="s">
        <v>565</v>
      </c>
      <c r="T52" s="298"/>
      <c r="U52" s="298"/>
    </row>
    <row r="53" spans="5:21" ht="15.75" customHeight="1" x14ac:dyDescent="0.3">
      <c r="E53" s="302">
        <v>44</v>
      </c>
      <c r="G53" s="296">
        <v>1.67</v>
      </c>
      <c r="H53" s="297">
        <v>1.67</v>
      </c>
      <c r="I53" s="133">
        <f t="shared" si="0"/>
        <v>0</v>
      </c>
      <c r="J53" s="298" t="s">
        <v>120</v>
      </c>
      <c r="K53" s="298" t="s">
        <v>111</v>
      </c>
      <c r="L53" s="298" t="s">
        <v>1180</v>
      </c>
      <c r="M53" s="297">
        <v>1.67</v>
      </c>
      <c r="N53" s="298" t="s">
        <v>1181</v>
      </c>
      <c r="O53" s="299"/>
      <c r="P53" s="298" t="s">
        <v>250</v>
      </c>
      <c r="Q53" s="298" t="s">
        <v>251</v>
      </c>
      <c r="R53" s="298" t="s">
        <v>8</v>
      </c>
      <c r="S53" s="298" t="s">
        <v>565</v>
      </c>
      <c r="T53" s="298"/>
      <c r="U53" s="298"/>
    </row>
    <row r="54" spans="5:21" ht="15.75" customHeight="1" x14ac:dyDescent="0.3">
      <c r="E54" s="295">
        <v>30</v>
      </c>
      <c r="G54" s="296">
        <v>3</v>
      </c>
      <c r="H54" s="297">
        <v>3</v>
      </c>
      <c r="I54" s="133">
        <f t="shared" si="0"/>
        <v>0</v>
      </c>
      <c r="J54" s="298" t="s">
        <v>120</v>
      </c>
      <c r="K54" s="298" t="s">
        <v>80</v>
      </c>
      <c r="L54" s="298" t="s">
        <v>1180</v>
      </c>
      <c r="M54" s="297">
        <v>3</v>
      </c>
      <c r="N54" s="298" t="s">
        <v>1181</v>
      </c>
      <c r="O54" s="299"/>
      <c r="P54" s="298" t="s">
        <v>63</v>
      </c>
      <c r="Q54" s="298" t="s">
        <v>64</v>
      </c>
      <c r="R54" s="298"/>
      <c r="S54" s="298" t="s">
        <v>565</v>
      </c>
      <c r="T54" s="298"/>
      <c r="U54" s="298"/>
    </row>
    <row r="55" spans="5:21" ht="15.75" customHeight="1" x14ac:dyDescent="0.3">
      <c r="E55" s="302">
        <v>32</v>
      </c>
      <c r="G55" s="296">
        <v>1</v>
      </c>
      <c r="H55" s="297">
        <v>1</v>
      </c>
      <c r="I55" s="133">
        <f t="shared" si="0"/>
        <v>0</v>
      </c>
      <c r="J55" s="298" t="s">
        <v>120</v>
      </c>
      <c r="K55" s="298" t="s">
        <v>80</v>
      </c>
      <c r="L55" s="298" t="s">
        <v>1180</v>
      </c>
      <c r="M55" s="297">
        <v>1</v>
      </c>
      <c r="N55" s="298" t="s">
        <v>1181</v>
      </c>
      <c r="O55" s="299"/>
      <c r="P55" s="298" t="s">
        <v>250</v>
      </c>
      <c r="Q55" s="298" t="s">
        <v>251</v>
      </c>
      <c r="R55" s="298" t="s">
        <v>8</v>
      </c>
      <c r="S55" s="298" t="s">
        <v>565</v>
      </c>
      <c r="T55" s="298"/>
      <c r="U55" s="298"/>
    </row>
    <row r="56" spans="5:21" ht="15.75" customHeight="1" x14ac:dyDescent="0.3">
      <c r="E56" s="302">
        <v>32</v>
      </c>
      <c r="G56" s="296">
        <v>24</v>
      </c>
      <c r="H56" s="297">
        <v>24</v>
      </c>
      <c r="I56" s="133">
        <f t="shared" si="0"/>
        <v>0</v>
      </c>
      <c r="J56" s="298" t="s">
        <v>125</v>
      </c>
      <c r="K56" s="298" t="s">
        <v>73</v>
      </c>
      <c r="L56" s="298" t="s">
        <v>1185</v>
      </c>
      <c r="M56" s="297">
        <v>24</v>
      </c>
      <c r="N56" s="298" t="s">
        <v>621</v>
      </c>
      <c r="O56" s="297">
        <v>24</v>
      </c>
      <c r="P56" s="298" t="s">
        <v>128</v>
      </c>
      <c r="Q56" s="298" t="s">
        <v>129</v>
      </c>
      <c r="R56" s="298"/>
      <c r="S56" s="298" t="s">
        <v>593</v>
      </c>
      <c r="T56" s="298" t="s">
        <v>1167</v>
      </c>
      <c r="U56" s="298" t="s">
        <v>1186</v>
      </c>
    </row>
    <row r="57" spans="5:21" ht="15.75" customHeight="1" x14ac:dyDescent="0.3">
      <c r="E57" s="295">
        <v>3</v>
      </c>
      <c r="G57" s="296">
        <v>5</v>
      </c>
      <c r="H57" s="297">
        <v>5</v>
      </c>
      <c r="I57" s="133">
        <f t="shared" si="0"/>
        <v>0</v>
      </c>
      <c r="J57" s="298" t="s">
        <v>125</v>
      </c>
      <c r="K57" s="298" t="s">
        <v>87</v>
      </c>
      <c r="L57" s="298" t="s">
        <v>1185</v>
      </c>
      <c r="M57" s="297">
        <v>5</v>
      </c>
      <c r="N57" s="298" t="s">
        <v>621</v>
      </c>
      <c r="O57" s="299"/>
      <c r="P57" s="298" t="s">
        <v>128</v>
      </c>
      <c r="Q57" s="298" t="s">
        <v>129</v>
      </c>
      <c r="R57" s="298"/>
      <c r="S57" s="298" t="s">
        <v>593</v>
      </c>
      <c r="T57" s="298"/>
      <c r="U57" s="298"/>
    </row>
    <row r="58" spans="5:21" ht="15.75" customHeight="1" x14ac:dyDescent="0.3">
      <c r="E58" s="302">
        <v>2</v>
      </c>
      <c r="G58" s="296">
        <v>2</v>
      </c>
      <c r="H58" s="297">
        <v>2</v>
      </c>
      <c r="I58" s="133">
        <f t="shared" si="0"/>
        <v>0</v>
      </c>
      <c r="J58" s="298" t="s">
        <v>125</v>
      </c>
      <c r="K58" s="298" t="s">
        <v>87</v>
      </c>
      <c r="L58" s="298" t="s">
        <v>1185</v>
      </c>
      <c r="M58" s="297">
        <v>2</v>
      </c>
      <c r="N58" s="298" t="s">
        <v>621</v>
      </c>
      <c r="O58" s="299"/>
      <c r="P58" s="298"/>
      <c r="Q58" s="298"/>
      <c r="R58" s="298"/>
      <c r="S58" s="298" t="s">
        <v>593</v>
      </c>
      <c r="T58" s="298"/>
      <c r="U58" s="298"/>
    </row>
    <row r="59" spans="5:21" ht="15.75" customHeight="1" x14ac:dyDescent="0.3">
      <c r="E59" s="302">
        <v>3</v>
      </c>
      <c r="G59" s="296">
        <v>16</v>
      </c>
      <c r="H59" s="297">
        <v>16</v>
      </c>
      <c r="I59" s="133">
        <f t="shared" si="0"/>
        <v>0</v>
      </c>
      <c r="J59" s="298" t="s">
        <v>125</v>
      </c>
      <c r="K59" s="298" t="s">
        <v>79</v>
      </c>
      <c r="L59" s="298" t="s">
        <v>1185</v>
      </c>
      <c r="M59" s="297">
        <v>16</v>
      </c>
      <c r="N59" s="298" t="s">
        <v>621</v>
      </c>
      <c r="O59" s="297">
        <v>16</v>
      </c>
      <c r="P59" s="298" t="s">
        <v>128</v>
      </c>
      <c r="Q59" s="298" t="s">
        <v>129</v>
      </c>
      <c r="R59" s="298"/>
      <c r="S59" s="298" t="s">
        <v>593</v>
      </c>
      <c r="T59" s="298" t="s">
        <v>1167</v>
      </c>
      <c r="U59" s="298" t="s">
        <v>1186</v>
      </c>
    </row>
    <row r="60" spans="5:21" ht="15.75" customHeight="1" x14ac:dyDescent="0.3">
      <c r="E60" s="302">
        <v>1</v>
      </c>
      <c r="G60" s="296">
        <v>32</v>
      </c>
      <c r="H60" s="297">
        <v>32</v>
      </c>
      <c r="I60" s="133">
        <f t="shared" si="0"/>
        <v>0</v>
      </c>
      <c r="J60" s="298" t="s">
        <v>125</v>
      </c>
      <c r="K60" s="298" t="s">
        <v>100</v>
      </c>
      <c r="L60" s="298" t="s">
        <v>1185</v>
      </c>
      <c r="M60" s="297">
        <v>32</v>
      </c>
      <c r="N60" s="298" t="s">
        <v>621</v>
      </c>
      <c r="O60" s="297">
        <v>16</v>
      </c>
      <c r="P60" s="298" t="s">
        <v>128</v>
      </c>
      <c r="Q60" s="298" t="s">
        <v>129</v>
      </c>
      <c r="R60" s="298"/>
      <c r="S60" s="298" t="s">
        <v>593</v>
      </c>
      <c r="T60" s="298" t="s">
        <v>1167</v>
      </c>
      <c r="U60" s="298" t="s">
        <v>1186</v>
      </c>
    </row>
    <row r="61" spans="5:21" ht="15.75" customHeight="1" x14ac:dyDescent="0.3">
      <c r="E61" s="302">
        <v>24</v>
      </c>
      <c r="G61" s="296">
        <v>1</v>
      </c>
      <c r="H61" s="297">
        <v>1</v>
      </c>
      <c r="I61" s="133">
        <f t="shared" si="0"/>
        <v>0</v>
      </c>
      <c r="J61" s="298" t="s">
        <v>125</v>
      </c>
      <c r="K61" s="298" t="s">
        <v>80</v>
      </c>
      <c r="L61" s="298" t="s">
        <v>1185</v>
      </c>
      <c r="M61" s="297">
        <v>1</v>
      </c>
      <c r="N61" s="298" t="s">
        <v>621</v>
      </c>
      <c r="O61" s="299"/>
      <c r="P61" s="298" t="s">
        <v>128</v>
      </c>
      <c r="Q61" s="298" t="s">
        <v>129</v>
      </c>
      <c r="R61" s="298"/>
      <c r="S61" s="298" t="s">
        <v>593</v>
      </c>
      <c r="T61" s="298"/>
      <c r="U61" s="298"/>
    </row>
    <row r="62" spans="5:21" ht="15.75" customHeight="1" x14ac:dyDescent="0.3">
      <c r="E62" s="302">
        <v>5</v>
      </c>
      <c r="G62" s="303">
        <v>18</v>
      </c>
      <c r="H62" s="297">
        <v>18</v>
      </c>
      <c r="I62" s="133">
        <f t="shared" si="0"/>
        <v>0</v>
      </c>
      <c r="J62" s="298" t="s">
        <v>131</v>
      </c>
      <c r="K62" s="298" t="s">
        <v>73</v>
      </c>
      <c r="L62" s="298" t="s">
        <v>1187</v>
      </c>
      <c r="M62" s="297">
        <v>18</v>
      </c>
      <c r="N62" s="298" t="s">
        <v>135</v>
      </c>
      <c r="O62" s="297">
        <v>18</v>
      </c>
      <c r="P62" s="298" t="s">
        <v>108</v>
      </c>
      <c r="Q62" s="298" t="s">
        <v>109</v>
      </c>
      <c r="R62" s="298"/>
      <c r="S62" s="298" t="s">
        <v>593</v>
      </c>
      <c r="T62" s="298" t="s">
        <v>1170</v>
      </c>
      <c r="U62" s="298" t="s">
        <v>1179</v>
      </c>
    </row>
    <row r="63" spans="5:21" ht="15.75" customHeight="1" x14ac:dyDescent="0.3">
      <c r="E63" s="302">
        <v>2</v>
      </c>
      <c r="G63" s="303">
        <v>28</v>
      </c>
      <c r="H63" s="297">
        <v>28</v>
      </c>
      <c r="I63" s="133">
        <f t="shared" si="0"/>
        <v>0</v>
      </c>
      <c r="J63" s="298" t="s">
        <v>131</v>
      </c>
      <c r="K63" s="298" t="s">
        <v>79</v>
      </c>
      <c r="L63" s="298" t="s">
        <v>1188</v>
      </c>
      <c r="M63" s="297">
        <v>28</v>
      </c>
      <c r="N63" s="298" t="s">
        <v>135</v>
      </c>
      <c r="O63" s="297">
        <v>28</v>
      </c>
      <c r="P63" s="298" t="s">
        <v>136</v>
      </c>
      <c r="Q63" s="298" t="s">
        <v>137</v>
      </c>
      <c r="R63" s="298"/>
      <c r="S63" s="298" t="s">
        <v>593</v>
      </c>
      <c r="T63" s="298" t="s">
        <v>1177</v>
      </c>
      <c r="U63" s="298"/>
    </row>
    <row r="64" spans="5:21" ht="15.75" customHeight="1" x14ac:dyDescent="0.3">
      <c r="E64" s="302">
        <v>16</v>
      </c>
      <c r="G64" s="303">
        <v>28</v>
      </c>
      <c r="H64" s="297">
        <v>28</v>
      </c>
      <c r="I64" s="133">
        <f t="shared" si="0"/>
        <v>0</v>
      </c>
      <c r="J64" s="298" t="s">
        <v>131</v>
      </c>
      <c r="K64" s="298" t="s">
        <v>79</v>
      </c>
      <c r="L64" s="298" t="s">
        <v>1189</v>
      </c>
      <c r="M64" s="297">
        <v>28</v>
      </c>
      <c r="N64" s="298" t="s">
        <v>135</v>
      </c>
      <c r="O64" s="297">
        <v>28</v>
      </c>
      <c r="P64" s="298" t="s">
        <v>136</v>
      </c>
      <c r="Q64" s="298" t="s">
        <v>137</v>
      </c>
      <c r="R64" s="298"/>
      <c r="S64" s="298" t="s">
        <v>593</v>
      </c>
      <c r="T64" s="298" t="s">
        <v>1177</v>
      </c>
      <c r="U64" s="298"/>
    </row>
    <row r="65" spans="5:21" ht="15.75" customHeight="1" x14ac:dyDescent="0.3">
      <c r="E65" s="302">
        <v>32</v>
      </c>
      <c r="G65" s="303">
        <v>28</v>
      </c>
      <c r="H65" s="297">
        <v>28</v>
      </c>
      <c r="I65" s="133">
        <f t="shared" si="0"/>
        <v>0</v>
      </c>
      <c r="J65" s="298" t="s">
        <v>131</v>
      </c>
      <c r="K65" s="298" t="s">
        <v>79</v>
      </c>
      <c r="L65" s="298" t="s">
        <v>1190</v>
      </c>
      <c r="M65" s="297">
        <v>28</v>
      </c>
      <c r="N65" s="298" t="s">
        <v>135</v>
      </c>
      <c r="O65" s="297">
        <v>28</v>
      </c>
      <c r="P65" s="298" t="s">
        <v>136</v>
      </c>
      <c r="Q65" s="298" t="s">
        <v>137</v>
      </c>
      <c r="R65" s="298"/>
      <c r="S65" s="298" t="s">
        <v>593</v>
      </c>
      <c r="T65" s="298" t="s">
        <v>1177</v>
      </c>
      <c r="U65" s="298"/>
    </row>
    <row r="66" spans="5:21" ht="15.75" customHeight="1" x14ac:dyDescent="0.3">
      <c r="E66" s="302">
        <v>1</v>
      </c>
      <c r="G66" s="303">
        <v>28</v>
      </c>
      <c r="H66" s="297">
        <v>28</v>
      </c>
      <c r="I66" s="133">
        <f t="shared" ref="I66:I129" si="1">G66-H66</f>
        <v>0</v>
      </c>
      <c r="J66" s="298" t="s">
        <v>131</v>
      </c>
      <c r="K66" s="298" t="s">
        <v>79</v>
      </c>
      <c r="L66" s="298" t="s">
        <v>1191</v>
      </c>
      <c r="M66" s="297">
        <v>28</v>
      </c>
      <c r="N66" s="298" t="s">
        <v>135</v>
      </c>
      <c r="O66" s="297">
        <v>28</v>
      </c>
      <c r="P66" s="298" t="s">
        <v>136</v>
      </c>
      <c r="Q66" s="298" t="s">
        <v>137</v>
      </c>
      <c r="R66" s="298"/>
      <c r="S66" s="298" t="s">
        <v>593</v>
      </c>
      <c r="T66" s="298" t="s">
        <v>1177</v>
      </c>
      <c r="U66" s="298"/>
    </row>
    <row r="67" spans="5:21" ht="15.75" customHeight="1" x14ac:dyDescent="0.3">
      <c r="E67" s="302">
        <v>18</v>
      </c>
      <c r="G67" s="303">
        <v>28</v>
      </c>
      <c r="H67" s="297">
        <v>28</v>
      </c>
      <c r="I67" s="133">
        <f t="shared" si="1"/>
        <v>0</v>
      </c>
      <c r="J67" s="298" t="s">
        <v>131</v>
      </c>
      <c r="K67" s="298" t="s">
        <v>79</v>
      </c>
      <c r="L67" s="298" t="s">
        <v>1192</v>
      </c>
      <c r="M67" s="297">
        <v>28</v>
      </c>
      <c r="N67" s="298" t="s">
        <v>135</v>
      </c>
      <c r="O67" s="297">
        <v>28</v>
      </c>
      <c r="P67" s="298" t="s">
        <v>136</v>
      </c>
      <c r="Q67" s="298" t="s">
        <v>137</v>
      </c>
      <c r="R67" s="298"/>
      <c r="S67" s="298" t="s">
        <v>593</v>
      </c>
      <c r="T67" s="298" t="s">
        <v>1177</v>
      </c>
      <c r="U67" s="298"/>
    </row>
    <row r="68" spans="5:21" ht="15.75" customHeight="1" x14ac:dyDescent="0.3">
      <c r="E68" s="302">
        <v>28</v>
      </c>
      <c r="G68" s="303">
        <v>2</v>
      </c>
      <c r="H68" s="297">
        <v>2</v>
      </c>
      <c r="I68" s="133">
        <f t="shared" si="1"/>
        <v>0</v>
      </c>
      <c r="J68" s="298" t="s">
        <v>131</v>
      </c>
      <c r="K68" s="298" t="s">
        <v>142</v>
      </c>
      <c r="L68" s="298" t="s">
        <v>1188</v>
      </c>
      <c r="M68" s="297">
        <v>2</v>
      </c>
      <c r="N68" s="298" t="s">
        <v>135</v>
      </c>
      <c r="O68" s="299"/>
      <c r="P68" s="298" t="s">
        <v>108</v>
      </c>
      <c r="Q68" s="298" t="s">
        <v>109</v>
      </c>
      <c r="R68" s="298"/>
      <c r="S68" s="298" t="s">
        <v>593</v>
      </c>
      <c r="T68" s="298"/>
      <c r="U68" s="298" t="s">
        <v>110</v>
      </c>
    </row>
    <row r="69" spans="5:21" ht="15.75" customHeight="1" x14ac:dyDescent="0.3">
      <c r="E69" s="302">
        <v>28</v>
      </c>
      <c r="G69" s="303">
        <v>2</v>
      </c>
      <c r="H69" s="297">
        <v>2</v>
      </c>
      <c r="I69" s="133">
        <f t="shared" si="1"/>
        <v>0</v>
      </c>
      <c r="J69" s="298" t="s">
        <v>131</v>
      </c>
      <c r="K69" s="298" t="s">
        <v>142</v>
      </c>
      <c r="L69" s="298" t="s">
        <v>1189</v>
      </c>
      <c r="M69" s="297">
        <v>2</v>
      </c>
      <c r="N69" s="298" t="s">
        <v>135</v>
      </c>
      <c r="O69" s="299"/>
      <c r="P69" s="298" t="s">
        <v>108</v>
      </c>
      <c r="Q69" s="298" t="s">
        <v>109</v>
      </c>
      <c r="R69" s="298"/>
      <c r="S69" s="298" t="s">
        <v>593</v>
      </c>
      <c r="T69" s="298"/>
      <c r="U69" s="298" t="s">
        <v>110</v>
      </c>
    </row>
    <row r="70" spans="5:21" ht="15.75" customHeight="1" x14ac:dyDescent="0.3">
      <c r="E70" s="302">
        <v>28</v>
      </c>
      <c r="G70" s="303">
        <v>2</v>
      </c>
      <c r="H70" s="297">
        <v>2</v>
      </c>
      <c r="I70" s="133">
        <f t="shared" si="1"/>
        <v>0</v>
      </c>
      <c r="J70" s="298" t="s">
        <v>131</v>
      </c>
      <c r="K70" s="298" t="s">
        <v>142</v>
      </c>
      <c r="L70" s="298" t="s">
        <v>1190</v>
      </c>
      <c r="M70" s="297">
        <v>2</v>
      </c>
      <c r="N70" s="298" t="s">
        <v>135</v>
      </c>
      <c r="O70" s="299"/>
      <c r="P70" s="298" t="s">
        <v>108</v>
      </c>
      <c r="Q70" s="298" t="s">
        <v>109</v>
      </c>
      <c r="R70" s="298"/>
      <c r="S70" s="298" t="s">
        <v>593</v>
      </c>
      <c r="T70" s="298"/>
      <c r="U70" s="298" t="s">
        <v>110</v>
      </c>
    </row>
    <row r="71" spans="5:21" ht="15.75" customHeight="1" x14ac:dyDescent="0.3">
      <c r="E71" s="302">
        <v>28</v>
      </c>
      <c r="G71" s="303">
        <v>2</v>
      </c>
      <c r="H71" s="297">
        <v>2</v>
      </c>
      <c r="I71" s="133">
        <f t="shared" si="1"/>
        <v>0</v>
      </c>
      <c r="J71" s="298" t="s">
        <v>131</v>
      </c>
      <c r="K71" s="298" t="s">
        <v>142</v>
      </c>
      <c r="L71" s="298" t="s">
        <v>1191</v>
      </c>
      <c r="M71" s="297">
        <v>2</v>
      </c>
      <c r="N71" s="298" t="s">
        <v>135</v>
      </c>
      <c r="O71" s="299"/>
      <c r="P71" s="298" t="s">
        <v>108</v>
      </c>
      <c r="Q71" s="298" t="s">
        <v>109</v>
      </c>
      <c r="R71" s="298"/>
      <c r="S71" s="298" t="s">
        <v>593</v>
      </c>
      <c r="T71" s="298"/>
      <c r="U71" s="298" t="s">
        <v>110</v>
      </c>
    </row>
    <row r="72" spans="5:21" ht="15.75" customHeight="1" x14ac:dyDescent="0.3">
      <c r="E72" s="302">
        <v>28</v>
      </c>
      <c r="G72" s="303">
        <v>2</v>
      </c>
      <c r="H72" s="297">
        <v>2</v>
      </c>
      <c r="I72" s="133">
        <f t="shared" si="1"/>
        <v>0</v>
      </c>
      <c r="J72" s="298" t="s">
        <v>131</v>
      </c>
      <c r="K72" s="298" t="s">
        <v>142</v>
      </c>
      <c r="L72" s="298" t="s">
        <v>1192</v>
      </c>
      <c r="M72" s="297">
        <v>2</v>
      </c>
      <c r="N72" s="298" t="s">
        <v>135</v>
      </c>
      <c r="O72" s="299"/>
      <c r="P72" s="298" t="s">
        <v>108</v>
      </c>
      <c r="Q72" s="298" t="s">
        <v>109</v>
      </c>
      <c r="R72" s="298"/>
      <c r="S72" s="298" t="s">
        <v>593</v>
      </c>
      <c r="T72" s="298"/>
      <c r="U72" s="298"/>
    </row>
    <row r="73" spans="5:21" ht="15.75" customHeight="1" x14ac:dyDescent="0.3">
      <c r="E73" s="302">
        <v>2</v>
      </c>
      <c r="G73" s="303">
        <v>1</v>
      </c>
      <c r="H73" s="297">
        <v>1</v>
      </c>
      <c r="I73" s="133">
        <f t="shared" si="1"/>
        <v>0</v>
      </c>
      <c r="J73" s="298" t="s">
        <v>131</v>
      </c>
      <c r="K73" s="298" t="s">
        <v>80</v>
      </c>
      <c r="L73" s="298" t="s">
        <v>1188</v>
      </c>
      <c r="M73" s="297">
        <v>1</v>
      </c>
      <c r="N73" s="298" t="s">
        <v>135</v>
      </c>
      <c r="O73" s="299"/>
      <c r="P73" s="298" t="s">
        <v>108</v>
      </c>
      <c r="Q73" s="298" t="s">
        <v>109</v>
      </c>
      <c r="R73" s="298"/>
      <c r="S73" s="298" t="s">
        <v>593</v>
      </c>
      <c r="T73" s="298"/>
      <c r="U73" s="298"/>
    </row>
    <row r="74" spans="5:21" ht="15.75" customHeight="1" x14ac:dyDescent="0.3">
      <c r="E74" s="302">
        <v>2</v>
      </c>
      <c r="G74" s="303">
        <v>1</v>
      </c>
      <c r="H74" s="297">
        <v>1</v>
      </c>
      <c r="I74" s="133">
        <f t="shared" si="1"/>
        <v>0</v>
      </c>
      <c r="J74" s="298" t="s">
        <v>131</v>
      </c>
      <c r="K74" s="298" t="s">
        <v>80</v>
      </c>
      <c r="L74" s="298" t="s">
        <v>1189</v>
      </c>
      <c r="M74" s="297">
        <v>1</v>
      </c>
      <c r="N74" s="298" t="s">
        <v>135</v>
      </c>
      <c r="O74" s="299"/>
      <c r="P74" s="298" t="s">
        <v>108</v>
      </c>
      <c r="Q74" s="298" t="s">
        <v>109</v>
      </c>
      <c r="R74" s="298"/>
      <c r="S74" s="298" t="s">
        <v>593</v>
      </c>
      <c r="T74" s="298"/>
      <c r="U74" s="298"/>
    </row>
    <row r="75" spans="5:21" ht="15.75" customHeight="1" x14ac:dyDescent="0.3">
      <c r="E75" s="302">
        <v>2</v>
      </c>
      <c r="G75" s="303">
        <v>1</v>
      </c>
      <c r="H75" s="297">
        <v>1</v>
      </c>
      <c r="I75" s="133">
        <f t="shared" si="1"/>
        <v>0</v>
      </c>
      <c r="J75" s="298" t="s">
        <v>131</v>
      </c>
      <c r="K75" s="298" t="s">
        <v>80</v>
      </c>
      <c r="L75" s="298" t="s">
        <v>1190</v>
      </c>
      <c r="M75" s="297">
        <v>1</v>
      </c>
      <c r="N75" s="298" t="s">
        <v>135</v>
      </c>
      <c r="O75" s="299"/>
      <c r="P75" s="298" t="s">
        <v>108</v>
      </c>
      <c r="Q75" s="298" t="s">
        <v>109</v>
      </c>
      <c r="R75" s="298"/>
      <c r="S75" s="298" t="s">
        <v>593</v>
      </c>
      <c r="T75" s="298"/>
      <c r="U75" s="298"/>
    </row>
    <row r="76" spans="5:21" ht="15.75" customHeight="1" x14ac:dyDescent="0.3">
      <c r="E76" s="302">
        <v>2</v>
      </c>
      <c r="G76" s="303">
        <v>1</v>
      </c>
      <c r="H76" s="297">
        <v>1</v>
      </c>
      <c r="I76" s="133">
        <f t="shared" si="1"/>
        <v>0</v>
      </c>
      <c r="J76" s="298" t="s">
        <v>131</v>
      </c>
      <c r="K76" s="298" t="s">
        <v>80</v>
      </c>
      <c r="L76" s="298" t="s">
        <v>1191</v>
      </c>
      <c r="M76" s="297">
        <v>1</v>
      </c>
      <c r="N76" s="298" t="s">
        <v>135</v>
      </c>
      <c r="O76" s="299"/>
      <c r="P76" s="298" t="s">
        <v>108</v>
      </c>
      <c r="Q76" s="298" t="s">
        <v>109</v>
      </c>
      <c r="R76" s="298"/>
      <c r="S76" s="298" t="s">
        <v>593</v>
      </c>
      <c r="T76" s="298"/>
      <c r="U76" s="298"/>
    </row>
    <row r="77" spans="5:21" ht="15.75" customHeight="1" x14ac:dyDescent="0.3">
      <c r="E77" s="302">
        <v>2</v>
      </c>
      <c r="G77" s="303">
        <v>1</v>
      </c>
      <c r="H77" s="297">
        <v>1</v>
      </c>
      <c r="I77" s="133">
        <f t="shared" si="1"/>
        <v>0</v>
      </c>
      <c r="J77" s="298" t="s">
        <v>131</v>
      </c>
      <c r="K77" s="298" t="s">
        <v>80</v>
      </c>
      <c r="L77" s="298" t="s">
        <v>1192</v>
      </c>
      <c r="M77" s="297">
        <v>1</v>
      </c>
      <c r="N77" s="298" t="s">
        <v>135</v>
      </c>
      <c r="O77" s="299"/>
      <c r="P77" s="298" t="s">
        <v>108</v>
      </c>
      <c r="Q77" s="298" t="s">
        <v>109</v>
      </c>
      <c r="R77" s="298"/>
      <c r="S77" s="298" t="s">
        <v>593</v>
      </c>
      <c r="T77" s="298"/>
      <c r="U77" s="298"/>
    </row>
    <row r="78" spans="5:21" ht="15.75" customHeight="1" x14ac:dyDescent="0.3">
      <c r="E78" s="302">
        <v>1</v>
      </c>
      <c r="G78" s="296">
        <v>8</v>
      </c>
      <c r="H78" s="297">
        <v>8</v>
      </c>
      <c r="I78" s="133">
        <f t="shared" si="1"/>
        <v>0</v>
      </c>
      <c r="J78" s="298" t="s">
        <v>143</v>
      </c>
      <c r="K78" s="298" t="s">
        <v>73</v>
      </c>
      <c r="L78" s="298" t="s">
        <v>1193</v>
      </c>
      <c r="M78" s="297">
        <v>8</v>
      </c>
      <c r="N78" s="298" t="s">
        <v>145</v>
      </c>
      <c r="O78" s="297">
        <v>8</v>
      </c>
      <c r="P78" s="298" t="s">
        <v>146</v>
      </c>
      <c r="Q78" s="298" t="s">
        <v>147</v>
      </c>
      <c r="R78" s="298"/>
      <c r="S78" s="298" t="s">
        <v>565</v>
      </c>
      <c r="T78" s="298"/>
      <c r="U78" s="298" t="s">
        <v>148</v>
      </c>
    </row>
    <row r="79" spans="5:21" ht="15.75" customHeight="1" x14ac:dyDescent="0.3">
      <c r="E79" s="302">
        <v>1</v>
      </c>
      <c r="G79" s="296">
        <v>18</v>
      </c>
      <c r="H79" s="297">
        <v>18</v>
      </c>
      <c r="I79" s="133">
        <f t="shared" si="1"/>
        <v>0</v>
      </c>
      <c r="J79" s="298" t="s">
        <v>143</v>
      </c>
      <c r="K79" s="298" t="s">
        <v>123</v>
      </c>
      <c r="L79" s="298" t="s">
        <v>1193</v>
      </c>
      <c r="M79" s="297">
        <v>18</v>
      </c>
      <c r="N79" s="298" t="s">
        <v>145</v>
      </c>
      <c r="O79" s="299"/>
      <c r="P79" s="298" t="s">
        <v>146</v>
      </c>
      <c r="Q79" s="298" t="s">
        <v>147</v>
      </c>
      <c r="R79" s="298"/>
      <c r="S79" s="298" t="s">
        <v>565</v>
      </c>
      <c r="T79" s="298"/>
      <c r="U79" s="298" t="s">
        <v>148</v>
      </c>
    </row>
    <row r="80" spans="5:21" ht="15.75" customHeight="1" x14ac:dyDescent="0.3">
      <c r="E80" s="302">
        <v>1</v>
      </c>
      <c r="G80" s="296">
        <v>36</v>
      </c>
      <c r="H80" s="297">
        <v>36</v>
      </c>
      <c r="I80" s="133">
        <f t="shared" si="1"/>
        <v>0</v>
      </c>
      <c r="J80" s="298" t="s">
        <v>143</v>
      </c>
      <c r="K80" s="298" t="s">
        <v>79</v>
      </c>
      <c r="L80" s="298" t="s">
        <v>1193</v>
      </c>
      <c r="M80" s="297">
        <v>36</v>
      </c>
      <c r="N80" s="298" t="s">
        <v>145</v>
      </c>
      <c r="O80" s="297">
        <v>36</v>
      </c>
      <c r="P80" s="298" t="s">
        <v>146</v>
      </c>
      <c r="Q80" s="298" t="s">
        <v>147</v>
      </c>
      <c r="R80" s="298"/>
      <c r="S80" s="298" t="s">
        <v>565</v>
      </c>
      <c r="T80" s="298"/>
      <c r="U80" s="298" t="s">
        <v>148</v>
      </c>
    </row>
    <row r="81" spans="5:21" ht="15.75" customHeight="1" x14ac:dyDescent="0.3">
      <c r="E81" s="302">
        <v>1</v>
      </c>
      <c r="G81" s="296">
        <v>3</v>
      </c>
      <c r="H81" s="297">
        <v>3</v>
      </c>
      <c r="I81" s="133">
        <f t="shared" si="1"/>
        <v>0</v>
      </c>
      <c r="J81" s="298" t="s">
        <v>143</v>
      </c>
      <c r="K81" s="298" t="s">
        <v>111</v>
      </c>
      <c r="L81" s="298" t="s">
        <v>1193</v>
      </c>
      <c r="M81" s="297">
        <v>3</v>
      </c>
      <c r="N81" s="298" t="s">
        <v>145</v>
      </c>
      <c r="O81" s="299"/>
      <c r="P81" s="298" t="s">
        <v>146</v>
      </c>
      <c r="Q81" s="298" t="s">
        <v>147</v>
      </c>
      <c r="R81" s="298"/>
      <c r="S81" s="298" t="s">
        <v>565</v>
      </c>
      <c r="T81" s="298"/>
      <c r="U81" s="298"/>
    </row>
    <row r="82" spans="5:21" ht="15.75" customHeight="1" x14ac:dyDescent="0.3">
      <c r="E82" s="302">
        <v>1</v>
      </c>
      <c r="G82" s="296">
        <v>2</v>
      </c>
      <c r="H82" s="297">
        <v>2</v>
      </c>
      <c r="I82" s="133">
        <f t="shared" si="1"/>
        <v>0</v>
      </c>
      <c r="J82" s="298" t="s">
        <v>143</v>
      </c>
      <c r="K82" s="298" t="s">
        <v>80</v>
      </c>
      <c r="L82" s="298" t="s">
        <v>1193</v>
      </c>
      <c r="M82" s="297">
        <v>2</v>
      </c>
      <c r="N82" s="298" t="s">
        <v>145</v>
      </c>
      <c r="O82" s="299"/>
      <c r="P82" s="298" t="s">
        <v>146</v>
      </c>
      <c r="Q82" s="298" t="s">
        <v>147</v>
      </c>
      <c r="R82" s="298"/>
      <c r="S82" s="298" t="s">
        <v>565</v>
      </c>
      <c r="T82" s="298"/>
      <c r="U82" s="298"/>
    </row>
    <row r="83" spans="5:21" ht="15.75" customHeight="1" x14ac:dyDescent="0.3">
      <c r="E83" s="300">
        <v>8</v>
      </c>
      <c r="G83" s="304">
        <v>8</v>
      </c>
      <c r="H83" s="297">
        <v>8</v>
      </c>
      <c r="I83" s="133">
        <f t="shared" si="1"/>
        <v>0</v>
      </c>
      <c r="J83" s="298" t="s">
        <v>149</v>
      </c>
      <c r="K83" s="298" t="s">
        <v>73</v>
      </c>
      <c r="L83" s="298" t="s">
        <v>1191</v>
      </c>
      <c r="M83" s="297">
        <v>8</v>
      </c>
      <c r="N83" s="298" t="s">
        <v>145</v>
      </c>
      <c r="O83" s="297">
        <v>8</v>
      </c>
      <c r="P83" s="298" t="s">
        <v>108</v>
      </c>
      <c r="Q83" s="298" t="s">
        <v>109</v>
      </c>
      <c r="R83" s="298"/>
      <c r="S83" s="298" t="s">
        <v>593</v>
      </c>
      <c r="T83" s="298" t="s">
        <v>1170</v>
      </c>
      <c r="U83" s="298" t="s">
        <v>1179</v>
      </c>
    </row>
    <row r="84" spans="5:21" ht="15.75" customHeight="1" x14ac:dyDescent="0.3">
      <c r="E84" s="300">
        <v>18</v>
      </c>
      <c r="G84" s="304">
        <v>15</v>
      </c>
      <c r="H84" s="297">
        <v>15</v>
      </c>
      <c r="I84" s="133">
        <f t="shared" si="1"/>
        <v>0</v>
      </c>
      <c r="J84" s="298" t="s">
        <v>149</v>
      </c>
      <c r="K84" s="298" t="s">
        <v>123</v>
      </c>
      <c r="L84" s="298" t="s">
        <v>1191</v>
      </c>
      <c r="M84" s="297">
        <v>15</v>
      </c>
      <c r="N84" s="298" t="s">
        <v>145</v>
      </c>
      <c r="O84" s="299"/>
      <c r="P84" s="298" t="s">
        <v>108</v>
      </c>
      <c r="Q84" s="298" t="s">
        <v>109</v>
      </c>
      <c r="R84" s="298"/>
      <c r="S84" s="298" t="s">
        <v>593</v>
      </c>
      <c r="T84" s="298"/>
      <c r="U84" s="298"/>
    </row>
    <row r="85" spans="5:21" ht="15.75" customHeight="1" x14ac:dyDescent="0.3">
      <c r="E85" s="300">
        <v>36</v>
      </c>
      <c r="G85" s="304">
        <v>2</v>
      </c>
      <c r="H85" s="297">
        <v>2</v>
      </c>
      <c r="I85" s="133">
        <f t="shared" si="1"/>
        <v>0</v>
      </c>
      <c r="J85" s="298" t="s">
        <v>149</v>
      </c>
      <c r="K85" s="298" t="s">
        <v>87</v>
      </c>
      <c r="L85" s="298" t="s">
        <v>1191</v>
      </c>
      <c r="M85" s="297">
        <v>2</v>
      </c>
      <c r="N85" s="298" t="s">
        <v>145</v>
      </c>
      <c r="O85" s="299"/>
      <c r="P85" s="298" t="s">
        <v>108</v>
      </c>
      <c r="Q85" s="298" t="s">
        <v>109</v>
      </c>
      <c r="R85" s="298"/>
      <c r="S85" s="298" t="s">
        <v>593</v>
      </c>
      <c r="T85" s="298"/>
      <c r="U85" s="298"/>
    </row>
    <row r="86" spans="5:21" ht="15.75" customHeight="1" x14ac:dyDescent="0.3">
      <c r="E86" s="300">
        <v>3</v>
      </c>
      <c r="G86" s="304">
        <v>36</v>
      </c>
      <c r="H86" s="297">
        <v>36</v>
      </c>
      <c r="I86" s="133">
        <f t="shared" si="1"/>
        <v>0</v>
      </c>
      <c r="J86" s="298" t="s">
        <v>149</v>
      </c>
      <c r="K86" s="298" t="s">
        <v>79</v>
      </c>
      <c r="L86" s="298" t="s">
        <v>1191</v>
      </c>
      <c r="M86" s="297">
        <v>36</v>
      </c>
      <c r="N86" s="298" t="s">
        <v>145</v>
      </c>
      <c r="O86" s="297">
        <v>36</v>
      </c>
      <c r="P86" s="298" t="s">
        <v>108</v>
      </c>
      <c r="Q86" s="298" t="s">
        <v>109</v>
      </c>
      <c r="R86" s="298"/>
      <c r="S86" s="298" t="s">
        <v>593</v>
      </c>
      <c r="T86" s="298" t="s">
        <v>1170</v>
      </c>
      <c r="U86" s="298" t="s">
        <v>1179</v>
      </c>
    </row>
    <row r="87" spans="5:21" ht="15.75" customHeight="1" x14ac:dyDescent="0.3">
      <c r="E87" s="300">
        <v>2</v>
      </c>
      <c r="G87" s="296">
        <v>12</v>
      </c>
      <c r="H87" s="297">
        <v>12</v>
      </c>
      <c r="I87" s="133">
        <f t="shared" si="1"/>
        <v>0</v>
      </c>
      <c r="J87" s="298" t="s">
        <v>150</v>
      </c>
      <c r="K87" s="298" t="s">
        <v>73</v>
      </c>
      <c r="L87" s="298" t="s">
        <v>1193</v>
      </c>
      <c r="M87" s="297">
        <v>12</v>
      </c>
      <c r="N87" s="298" t="s">
        <v>145</v>
      </c>
      <c r="O87" s="297">
        <v>12</v>
      </c>
      <c r="P87" s="298" t="s">
        <v>76</v>
      </c>
      <c r="Q87" s="298" t="s">
        <v>77</v>
      </c>
      <c r="R87" s="298"/>
      <c r="S87" s="298" t="s">
        <v>593</v>
      </c>
      <c r="T87" s="298" t="s">
        <v>1170</v>
      </c>
      <c r="U87" s="298"/>
    </row>
    <row r="88" spans="5:21" ht="15.75" customHeight="1" x14ac:dyDescent="0.3">
      <c r="E88" s="302">
        <v>8</v>
      </c>
      <c r="G88" s="296">
        <v>2</v>
      </c>
      <c r="H88" s="297">
        <v>2</v>
      </c>
      <c r="I88" s="133">
        <f t="shared" si="1"/>
        <v>0</v>
      </c>
      <c r="J88" s="298" t="s">
        <v>150</v>
      </c>
      <c r="K88" s="298" t="s">
        <v>87</v>
      </c>
      <c r="L88" s="298" t="s">
        <v>1193</v>
      </c>
      <c r="M88" s="297">
        <v>2</v>
      </c>
      <c r="N88" s="298" t="s">
        <v>145</v>
      </c>
      <c r="O88" s="299"/>
      <c r="P88" s="298" t="s">
        <v>76</v>
      </c>
      <c r="Q88" s="298" t="s">
        <v>77</v>
      </c>
      <c r="R88" s="298"/>
      <c r="S88" s="298" t="s">
        <v>593</v>
      </c>
      <c r="T88" s="298"/>
      <c r="U88" s="298"/>
    </row>
    <row r="89" spans="5:21" ht="15.75" customHeight="1" x14ac:dyDescent="0.3">
      <c r="E89" s="302">
        <v>15</v>
      </c>
      <c r="G89" s="296">
        <v>40</v>
      </c>
      <c r="H89" s="297">
        <v>40</v>
      </c>
      <c r="I89" s="133">
        <f t="shared" si="1"/>
        <v>0</v>
      </c>
      <c r="J89" s="298" t="s">
        <v>150</v>
      </c>
      <c r="K89" s="298" t="s">
        <v>79</v>
      </c>
      <c r="L89" s="298" t="s">
        <v>1193</v>
      </c>
      <c r="M89" s="297">
        <v>40</v>
      </c>
      <c r="N89" s="298" t="s">
        <v>145</v>
      </c>
      <c r="O89" s="297">
        <v>40</v>
      </c>
      <c r="P89" s="298" t="s">
        <v>76</v>
      </c>
      <c r="Q89" s="298" t="s">
        <v>77</v>
      </c>
      <c r="R89" s="298"/>
      <c r="S89" s="298" t="s">
        <v>593</v>
      </c>
      <c r="T89" s="298" t="s">
        <v>1170</v>
      </c>
      <c r="U89" s="298"/>
    </row>
    <row r="90" spans="5:21" ht="15.75" customHeight="1" x14ac:dyDescent="0.3">
      <c r="E90" s="302">
        <v>2</v>
      </c>
      <c r="G90" s="296">
        <v>1</v>
      </c>
      <c r="H90" s="297">
        <v>1</v>
      </c>
      <c r="I90" s="133">
        <f t="shared" si="1"/>
        <v>0</v>
      </c>
      <c r="J90" s="298" t="s">
        <v>150</v>
      </c>
      <c r="K90" s="298" t="s">
        <v>80</v>
      </c>
      <c r="L90" s="298" t="s">
        <v>1193</v>
      </c>
      <c r="M90" s="297">
        <v>1</v>
      </c>
      <c r="N90" s="298" t="s">
        <v>145</v>
      </c>
      <c r="O90" s="299"/>
      <c r="P90" s="298" t="s">
        <v>76</v>
      </c>
      <c r="Q90" s="298" t="s">
        <v>77</v>
      </c>
      <c r="R90" s="298"/>
      <c r="S90" s="298" t="s">
        <v>593</v>
      </c>
      <c r="T90" s="298"/>
      <c r="U90" s="298"/>
    </row>
    <row r="91" spans="5:21" ht="15.75" customHeight="1" x14ac:dyDescent="0.3">
      <c r="E91" s="302">
        <v>36</v>
      </c>
      <c r="G91" s="296">
        <v>16</v>
      </c>
      <c r="H91" s="297">
        <v>16</v>
      </c>
      <c r="I91" s="133">
        <f t="shared" si="1"/>
        <v>0</v>
      </c>
      <c r="J91" s="298" t="s">
        <v>151</v>
      </c>
      <c r="K91" s="298" t="s">
        <v>73</v>
      </c>
      <c r="L91" s="298" t="s">
        <v>1194</v>
      </c>
      <c r="M91" s="297">
        <v>16</v>
      </c>
      <c r="N91" s="298" t="s">
        <v>153</v>
      </c>
      <c r="O91" s="297">
        <v>16</v>
      </c>
      <c r="P91" s="298" t="s">
        <v>154</v>
      </c>
      <c r="Q91" s="298" t="s">
        <v>155</v>
      </c>
      <c r="R91" s="298"/>
      <c r="S91" s="298" t="s">
        <v>565</v>
      </c>
      <c r="T91" s="298" t="s">
        <v>1195</v>
      </c>
      <c r="U91" s="298" t="s">
        <v>1196</v>
      </c>
    </row>
    <row r="92" spans="5:21" ht="15.75" customHeight="1" x14ac:dyDescent="0.3">
      <c r="E92" s="300">
        <v>12</v>
      </c>
      <c r="G92" s="296">
        <v>36</v>
      </c>
      <c r="H92" s="297">
        <v>36</v>
      </c>
      <c r="I92" s="133">
        <f t="shared" si="1"/>
        <v>0</v>
      </c>
      <c r="J92" s="298" t="s">
        <v>151</v>
      </c>
      <c r="K92" s="298" t="s">
        <v>79</v>
      </c>
      <c r="L92" s="298" t="s">
        <v>1194</v>
      </c>
      <c r="M92" s="297">
        <v>36</v>
      </c>
      <c r="N92" s="298" t="s">
        <v>153</v>
      </c>
      <c r="O92" s="297">
        <v>36</v>
      </c>
      <c r="P92" s="298" t="s">
        <v>154</v>
      </c>
      <c r="Q92" s="298" t="s">
        <v>155</v>
      </c>
      <c r="R92" s="298"/>
      <c r="S92" s="298" t="s">
        <v>565</v>
      </c>
      <c r="T92" s="298" t="s">
        <v>1195</v>
      </c>
      <c r="U92" s="298" t="s">
        <v>1196</v>
      </c>
    </row>
    <row r="93" spans="5:21" ht="15.75" customHeight="1" x14ac:dyDescent="0.3">
      <c r="E93" s="300">
        <v>2</v>
      </c>
      <c r="G93" s="296">
        <v>2</v>
      </c>
      <c r="H93" s="297">
        <v>2</v>
      </c>
      <c r="I93" s="133">
        <f t="shared" si="1"/>
        <v>0</v>
      </c>
      <c r="J93" s="298" t="s">
        <v>151</v>
      </c>
      <c r="K93" s="298" t="s">
        <v>142</v>
      </c>
      <c r="L93" s="298" t="s">
        <v>1194</v>
      </c>
      <c r="M93" s="297">
        <v>2</v>
      </c>
      <c r="N93" s="298" t="s">
        <v>153</v>
      </c>
      <c r="O93" s="299"/>
      <c r="P93" s="298" t="s">
        <v>154</v>
      </c>
      <c r="Q93" s="298" t="s">
        <v>155</v>
      </c>
      <c r="R93" s="298"/>
      <c r="S93" s="298" t="s">
        <v>565</v>
      </c>
      <c r="T93" s="298"/>
      <c r="U93" s="298"/>
    </row>
    <row r="94" spans="5:21" ht="15.75" customHeight="1" x14ac:dyDescent="0.3">
      <c r="E94" s="300">
        <v>40</v>
      </c>
      <c r="G94" s="296">
        <v>1</v>
      </c>
      <c r="H94" s="297">
        <v>1</v>
      </c>
      <c r="I94" s="133">
        <f t="shared" si="1"/>
        <v>0</v>
      </c>
      <c r="J94" s="298" t="s">
        <v>151</v>
      </c>
      <c r="K94" s="298" t="s">
        <v>80</v>
      </c>
      <c r="L94" s="298" t="s">
        <v>1194</v>
      </c>
      <c r="M94" s="297">
        <v>1</v>
      </c>
      <c r="N94" s="298" t="s">
        <v>153</v>
      </c>
      <c r="O94" s="299"/>
      <c r="P94" s="298" t="s">
        <v>154</v>
      </c>
      <c r="Q94" s="298" t="s">
        <v>155</v>
      </c>
      <c r="R94" s="298"/>
      <c r="S94" s="298" t="s">
        <v>565</v>
      </c>
      <c r="T94" s="298"/>
      <c r="U94" s="298"/>
    </row>
    <row r="95" spans="5:21" ht="15.75" customHeight="1" x14ac:dyDescent="0.3">
      <c r="E95" s="300">
        <v>1</v>
      </c>
      <c r="G95" s="296">
        <v>12</v>
      </c>
      <c r="H95" s="297">
        <v>12</v>
      </c>
      <c r="I95" s="133">
        <f t="shared" si="1"/>
        <v>0</v>
      </c>
      <c r="J95" s="298" t="s">
        <v>157</v>
      </c>
      <c r="K95" s="298" t="s">
        <v>73</v>
      </c>
      <c r="L95" s="298" t="s">
        <v>1190</v>
      </c>
      <c r="M95" s="297">
        <v>12</v>
      </c>
      <c r="N95" s="298" t="s">
        <v>153</v>
      </c>
      <c r="O95" s="297">
        <v>12</v>
      </c>
      <c r="P95" s="298" t="s">
        <v>154</v>
      </c>
      <c r="Q95" s="298" t="s">
        <v>155</v>
      </c>
      <c r="R95" s="298"/>
      <c r="S95" s="298" t="s">
        <v>565</v>
      </c>
      <c r="T95" s="298" t="s">
        <v>1195</v>
      </c>
      <c r="U95" s="298" t="s">
        <v>1196</v>
      </c>
    </row>
    <row r="96" spans="5:21" ht="15.75" customHeight="1" x14ac:dyDescent="0.3">
      <c r="E96" s="305">
        <v>16</v>
      </c>
      <c r="G96" s="296">
        <v>2</v>
      </c>
      <c r="H96" s="297">
        <v>2</v>
      </c>
      <c r="I96" s="133">
        <f t="shared" si="1"/>
        <v>0</v>
      </c>
      <c r="J96" s="298" t="s">
        <v>157</v>
      </c>
      <c r="K96" s="298" t="s">
        <v>87</v>
      </c>
      <c r="L96" s="298" t="s">
        <v>1190</v>
      </c>
      <c r="M96" s="297">
        <v>2</v>
      </c>
      <c r="N96" s="298" t="s">
        <v>153</v>
      </c>
      <c r="O96" s="299"/>
      <c r="P96" s="298" t="s">
        <v>154</v>
      </c>
      <c r="Q96" s="298" t="s">
        <v>155</v>
      </c>
      <c r="R96" s="298"/>
      <c r="S96" s="298" t="s">
        <v>565</v>
      </c>
      <c r="T96" s="298"/>
      <c r="U96" s="298"/>
    </row>
    <row r="97" spans="5:21" ht="15.75" customHeight="1" x14ac:dyDescent="0.3">
      <c r="E97" s="305">
        <v>36</v>
      </c>
      <c r="G97" s="296">
        <v>6</v>
      </c>
      <c r="H97" s="297">
        <v>6</v>
      </c>
      <c r="I97" s="133">
        <f t="shared" si="1"/>
        <v>0</v>
      </c>
      <c r="J97" s="298" t="s">
        <v>157</v>
      </c>
      <c r="K97" s="298" t="s">
        <v>79</v>
      </c>
      <c r="L97" s="298" t="s">
        <v>1190</v>
      </c>
      <c r="M97" s="297">
        <v>6</v>
      </c>
      <c r="N97" s="298" t="s">
        <v>153</v>
      </c>
      <c r="O97" s="297">
        <v>6</v>
      </c>
      <c r="P97" s="298" t="s">
        <v>154</v>
      </c>
      <c r="Q97" s="298" t="s">
        <v>155</v>
      </c>
      <c r="R97" s="298"/>
      <c r="S97" s="298" t="s">
        <v>565</v>
      </c>
      <c r="T97" s="298" t="s">
        <v>1195</v>
      </c>
      <c r="U97" s="298" t="s">
        <v>1196</v>
      </c>
    </row>
    <row r="98" spans="5:21" ht="15.75" customHeight="1" x14ac:dyDescent="0.3">
      <c r="E98" s="305">
        <v>2</v>
      </c>
      <c r="G98" s="296">
        <v>20</v>
      </c>
      <c r="H98" s="297">
        <v>20</v>
      </c>
      <c r="I98" s="133">
        <f t="shared" si="1"/>
        <v>0</v>
      </c>
      <c r="J98" s="298" t="s">
        <v>157</v>
      </c>
      <c r="K98" s="298" t="s">
        <v>100</v>
      </c>
      <c r="L98" s="298" t="s">
        <v>1190</v>
      </c>
      <c r="M98" s="297">
        <v>20</v>
      </c>
      <c r="N98" s="298" t="s">
        <v>153</v>
      </c>
      <c r="O98" s="297">
        <v>20</v>
      </c>
      <c r="P98" s="298" t="s">
        <v>154</v>
      </c>
      <c r="Q98" s="298" t="s">
        <v>155</v>
      </c>
      <c r="R98" s="298"/>
      <c r="S98" s="298" t="s">
        <v>565</v>
      </c>
      <c r="T98" s="298" t="s">
        <v>1195</v>
      </c>
      <c r="U98" s="298" t="s">
        <v>1196</v>
      </c>
    </row>
    <row r="99" spans="5:21" ht="15.75" customHeight="1" x14ac:dyDescent="0.3">
      <c r="E99" s="305">
        <v>1</v>
      </c>
      <c r="G99" s="296">
        <v>1</v>
      </c>
      <c r="H99" s="297">
        <v>1</v>
      </c>
      <c r="I99" s="133">
        <f t="shared" si="1"/>
        <v>0</v>
      </c>
      <c r="J99" s="298" t="s">
        <v>157</v>
      </c>
      <c r="K99" s="298" t="s">
        <v>80</v>
      </c>
      <c r="L99" s="298" t="s">
        <v>1190</v>
      </c>
      <c r="M99" s="297">
        <v>1</v>
      </c>
      <c r="N99" s="298" t="s">
        <v>153</v>
      </c>
      <c r="O99" s="299"/>
      <c r="P99" s="298" t="s">
        <v>154</v>
      </c>
      <c r="Q99" s="298" t="s">
        <v>155</v>
      </c>
      <c r="R99" s="298"/>
      <c r="S99" s="298" t="s">
        <v>565</v>
      </c>
      <c r="T99" s="298"/>
      <c r="U99" s="298"/>
    </row>
    <row r="100" spans="5:21" ht="15.75" customHeight="1" x14ac:dyDescent="0.3">
      <c r="E100" s="300">
        <v>12</v>
      </c>
      <c r="G100" s="306">
        <v>18</v>
      </c>
      <c r="H100" s="297">
        <v>18</v>
      </c>
      <c r="I100" s="133">
        <f t="shared" si="1"/>
        <v>0</v>
      </c>
      <c r="J100" s="298" t="s">
        <v>159</v>
      </c>
      <c r="K100" s="298" t="s">
        <v>73</v>
      </c>
      <c r="L100" s="298" t="s">
        <v>1197</v>
      </c>
      <c r="M100" s="297">
        <v>18</v>
      </c>
      <c r="N100" s="298" t="s">
        <v>161</v>
      </c>
      <c r="O100" s="297">
        <v>18</v>
      </c>
      <c r="P100" s="298" t="s">
        <v>316</v>
      </c>
      <c r="Q100" s="298" t="s">
        <v>499</v>
      </c>
      <c r="R100" s="298"/>
      <c r="S100" s="298" t="s">
        <v>593</v>
      </c>
      <c r="T100" s="298" t="s">
        <v>1177</v>
      </c>
      <c r="U100" s="298"/>
    </row>
    <row r="101" spans="5:21" ht="15.75" customHeight="1" x14ac:dyDescent="0.3">
      <c r="E101" s="300">
        <v>2</v>
      </c>
      <c r="G101" s="306">
        <v>18</v>
      </c>
      <c r="H101" s="297">
        <v>18</v>
      </c>
      <c r="I101" s="133">
        <f t="shared" si="1"/>
        <v>0</v>
      </c>
      <c r="J101" s="298" t="s">
        <v>159</v>
      </c>
      <c r="K101" s="298" t="s">
        <v>79</v>
      </c>
      <c r="L101" s="298" t="s">
        <v>1198</v>
      </c>
      <c r="M101" s="297">
        <v>18</v>
      </c>
      <c r="N101" s="298" t="s">
        <v>161</v>
      </c>
      <c r="O101" s="297">
        <v>18</v>
      </c>
      <c r="P101" s="298" t="s">
        <v>316</v>
      </c>
      <c r="Q101" s="298" t="s">
        <v>499</v>
      </c>
      <c r="R101" s="298"/>
      <c r="S101" s="298" t="s">
        <v>593</v>
      </c>
      <c r="T101" s="298" t="s">
        <v>1177</v>
      </c>
      <c r="U101" s="298"/>
    </row>
    <row r="102" spans="5:21" ht="15.75" customHeight="1" x14ac:dyDescent="0.3">
      <c r="E102" s="300">
        <v>6</v>
      </c>
      <c r="G102" s="306">
        <v>18</v>
      </c>
      <c r="H102" s="297">
        <v>18</v>
      </c>
      <c r="I102" s="133">
        <f t="shared" si="1"/>
        <v>0</v>
      </c>
      <c r="J102" s="298" t="s">
        <v>159</v>
      </c>
      <c r="K102" s="298" t="s">
        <v>79</v>
      </c>
      <c r="L102" s="298" t="s">
        <v>1199</v>
      </c>
      <c r="M102" s="297">
        <v>18</v>
      </c>
      <c r="N102" s="298" t="s">
        <v>161</v>
      </c>
      <c r="O102" s="297">
        <v>18</v>
      </c>
      <c r="P102" s="298" t="s">
        <v>316</v>
      </c>
      <c r="Q102" s="298" t="s">
        <v>499</v>
      </c>
      <c r="R102" s="298"/>
      <c r="S102" s="298" t="s">
        <v>593</v>
      </c>
      <c r="T102" s="298" t="s">
        <v>1177</v>
      </c>
      <c r="U102" s="298"/>
    </row>
    <row r="103" spans="5:21" ht="15.75" customHeight="1" x14ac:dyDescent="0.3">
      <c r="E103" s="300">
        <v>20</v>
      </c>
      <c r="G103" s="306">
        <v>3.33</v>
      </c>
      <c r="H103" s="297">
        <v>3.33</v>
      </c>
      <c r="I103" s="133">
        <f t="shared" si="1"/>
        <v>0</v>
      </c>
      <c r="J103" s="298" t="s">
        <v>159</v>
      </c>
      <c r="K103" s="298" t="s">
        <v>142</v>
      </c>
      <c r="L103" s="298" t="s">
        <v>1198</v>
      </c>
      <c r="M103" s="297">
        <v>3.33</v>
      </c>
      <c r="N103" s="298" t="s">
        <v>161</v>
      </c>
      <c r="O103" s="299"/>
      <c r="P103" s="298" t="s">
        <v>316</v>
      </c>
      <c r="Q103" s="298" t="s">
        <v>499</v>
      </c>
      <c r="R103" s="298"/>
      <c r="S103" s="298" t="s">
        <v>593</v>
      </c>
      <c r="T103" s="298"/>
      <c r="U103" s="298"/>
    </row>
    <row r="104" spans="5:21" ht="15.75" customHeight="1" x14ac:dyDescent="0.3">
      <c r="E104" s="300">
        <v>1</v>
      </c>
      <c r="G104" s="306">
        <v>1.67</v>
      </c>
      <c r="H104" s="297">
        <v>1.67</v>
      </c>
      <c r="I104" s="133">
        <f t="shared" si="1"/>
        <v>0</v>
      </c>
      <c r="J104" s="298" t="s">
        <v>159</v>
      </c>
      <c r="K104" s="298" t="s">
        <v>142</v>
      </c>
      <c r="L104" s="298" t="s">
        <v>1198</v>
      </c>
      <c r="M104" s="297">
        <v>1.67</v>
      </c>
      <c r="N104" s="298" t="s">
        <v>161</v>
      </c>
      <c r="O104" s="299"/>
      <c r="P104" s="298" t="s">
        <v>250</v>
      </c>
      <c r="Q104" s="298" t="s">
        <v>251</v>
      </c>
      <c r="R104" s="298" t="s">
        <v>8</v>
      </c>
      <c r="S104" s="298" t="s">
        <v>565</v>
      </c>
      <c r="T104" s="298"/>
      <c r="U104" s="298"/>
    </row>
    <row r="105" spans="5:21" ht="15.75" customHeight="1" x14ac:dyDescent="0.3">
      <c r="E105" s="300">
        <v>18</v>
      </c>
      <c r="G105" s="306">
        <v>6</v>
      </c>
      <c r="H105" s="297">
        <v>6</v>
      </c>
      <c r="I105" s="133">
        <f t="shared" si="1"/>
        <v>0</v>
      </c>
      <c r="J105" s="298" t="s">
        <v>159</v>
      </c>
      <c r="K105" s="298" t="s">
        <v>142</v>
      </c>
      <c r="L105" s="298" t="s">
        <v>1199</v>
      </c>
      <c r="M105" s="297">
        <v>6</v>
      </c>
      <c r="N105" s="298" t="s">
        <v>161</v>
      </c>
      <c r="O105" s="299"/>
      <c r="P105" s="298" t="s">
        <v>316</v>
      </c>
      <c r="Q105" s="298" t="s">
        <v>499</v>
      </c>
      <c r="R105" s="298"/>
      <c r="S105" s="298" t="s">
        <v>593</v>
      </c>
      <c r="T105" s="298"/>
      <c r="U105" s="298"/>
    </row>
    <row r="106" spans="5:21" ht="15.75" customHeight="1" x14ac:dyDescent="0.3">
      <c r="E106" s="300">
        <v>18</v>
      </c>
      <c r="G106" s="306">
        <v>2</v>
      </c>
      <c r="H106" s="297">
        <v>2</v>
      </c>
      <c r="I106" s="133">
        <f t="shared" si="1"/>
        <v>0</v>
      </c>
      <c r="J106" s="298" t="s">
        <v>159</v>
      </c>
      <c r="K106" s="298" t="s">
        <v>142</v>
      </c>
      <c r="L106" s="298" t="s">
        <v>1199</v>
      </c>
      <c r="M106" s="297">
        <v>2</v>
      </c>
      <c r="N106" s="298" t="s">
        <v>161</v>
      </c>
      <c r="O106" s="299"/>
      <c r="P106" s="298" t="s">
        <v>250</v>
      </c>
      <c r="Q106" s="298" t="s">
        <v>251</v>
      </c>
      <c r="R106" s="298" t="s">
        <v>8</v>
      </c>
      <c r="S106" s="298" t="s">
        <v>565</v>
      </c>
      <c r="T106" s="298"/>
      <c r="U106" s="298"/>
    </row>
    <row r="107" spans="5:21" ht="15.75" customHeight="1" x14ac:dyDescent="0.3">
      <c r="E107" s="300">
        <v>18</v>
      </c>
      <c r="G107" s="306">
        <v>1</v>
      </c>
      <c r="H107" s="297">
        <v>1</v>
      </c>
      <c r="I107" s="133">
        <f t="shared" si="1"/>
        <v>0</v>
      </c>
      <c r="J107" s="298" t="s">
        <v>159</v>
      </c>
      <c r="K107" s="298" t="s">
        <v>80</v>
      </c>
      <c r="L107" s="298" t="s">
        <v>1198</v>
      </c>
      <c r="M107" s="297">
        <v>1</v>
      </c>
      <c r="N107" s="298" t="s">
        <v>161</v>
      </c>
      <c r="O107" s="299"/>
      <c r="P107" s="298" t="s">
        <v>316</v>
      </c>
      <c r="Q107" s="298" t="s">
        <v>499</v>
      </c>
      <c r="R107" s="298"/>
      <c r="S107" s="298" t="s">
        <v>593</v>
      </c>
      <c r="T107" s="298"/>
      <c r="U107" s="298"/>
    </row>
    <row r="108" spans="5:21" ht="15.75" customHeight="1" x14ac:dyDescent="0.3">
      <c r="E108" s="295">
        <v>3</v>
      </c>
      <c r="G108" s="306">
        <v>1</v>
      </c>
      <c r="H108" s="297">
        <v>1</v>
      </c>
      <c r="I108" s="133">
        <f t="shared" si="1"/>
        <v>0</v>
      </c>
      <c r="J108" s="298" t="s">
        <v>159</v>
      </c>
      <c r="K108" s="298" t="s">
        <v>80</v>
      </c>
      <c r="L108" s="298" t="s">
        <v>1199</v>
      </c>
      <c r="M108" s="297">
        <v>1</v>
      </c>
      <c r="N108" s="298" t="s">
        <v>161</v>
      </c>
      <c r="O108" s="299"/>
      <c r="P108" s="298" t="s">
        <v>316</v>
      </c>
      <c r="Q108" s="298" t="s">
        <v>499</v>
      </c>
      <c r="R108" s="298"/>
      <c r="S108" s="298" t="s">
        <v>593</v>
      </c>
      <c r="T108" s="298"/>
      <c r="U108" s="298"/>
    </row>
    <row r="109" spans="5:21" ht="15.75" customHeight="1" x14ac:dyDescent="0.3">
      <c r="E109" s="300">
        <v>2</v>
      </c>
      <c r="G109" s="296">
        <v>18</v>
      </c>
      <c r="H109" s="297">
        <v>18</v>
      </c>
      <c r="I109" s="133">
        <f t="shared" si="1"/>
        <v>0</v>
      </c>
      <c r="J109" s="298" t="s">
        <v>164</v>
      </c>
      <c r="K109" s="298" t="s">
        <v>73</v>
      </c>
      <c r="L109" s="298" t="s">
        <v>1200</v>
      </c>
      <c r="M109" s="297">
        <v>18</v>
      </c>
      <c r="N109" s="298" t="s">
        <v>166</v>
      </c>
      <c r="O109" s="297">
        <v>18</v>
      </c>
      <c r="P109" s="298" t="s">
        <v>167</v>
      </c>
      <c r="Q109" s="298" t="s">
        <v>168</v>
      </c>
      <c r="R109" s="298"/>
      <c r="S109" s="298" t="s">
        <v>593</v>
      </c>
      <c r="T109" s="298" t="s">
        <v>205</v>
      </c>
      <c r="U109" s="298" t="s">
        <v>1201</v>
      </c>
    </row>
    <row r="110" spans="5:21" ht="15.75" customHeight="1" x14ac:dyDescent="0.3">
      <c r="E110" s="300">
        <v>6</v>
      </c>
      <c r="G110" s="296">
        <v>18</v>
      </c>
      <c r="H110" s="297">
        <v>18</v>
      </c>
      <c r="I110" s="133">
        <f t="shared" si="1"/>
        <v>0</v>
      </c>
      <c r="J110" s="298" t="s">
        <v>164</v>
      </c>
      <c r="K110" s="298" t="s">
        <v>123</v>
      </c>
      <c r="L110" s="298" t="s">
        <v>1200</v>
      </c>
      <c r="M110" s="297">
        <v>18</v>
      </c>
      <c r="N110" s="298" t="s">
        <v>166</v>
      </c>
      <c r="O110" s="299"/>
      <c r="P110" s="298" t="s">
        <v>167</v>
      </c>
      <c r="Q110" s="298" t="s">
        <v>168</v>
      </c>
      <c r="R110" s="298"/>
      <c r="S110" s="298" t="s">
        <v>593</v>
      </c>
      <c r="T110" s="298"/>
      <c r="U110" s="298"/>
    </row>
    <row r="111" spans="5:21" ht="15.75" customHeight="1" x14ac:dyDescent="0.3">
      <c r="E111" s="300">
        <v>2</v>
      </c>
      <c r="G111" s="296">
        <v>2</v>
      </c>
      <c r="H111" s="297">
        <v>2</v>
      </c>
      <c r="I111" s="133">
        <f t="shared" si="1"/>
        <v>0</v>
      </c>
      <c r="J111" s="298" t="s">
        <v>164</v>
      </c>
      <c r="K111" s="298" t="s">
        <v>87</v>
      </c>
      <c r="L111" s="298" t="s">
        <v>1200</v>
      </c>
      <c r="M111" s="297">
        <v>2</v>
      </c>
      <c r="N111" s="298" t="s">
        <v>166</v>
      </c>
      <c r="O111" s="299"/>
      <c r="P111" s="298" t="s">
        <v>167</v>
      </c>
      <c r="Q111" s="298" t="s">
        <v>168</v>
      </c>
      <c r="R111" s="298"/>
      <c r="S111" s="298" t="s">
        <v>593</v>
      </c>
      <c r="T111" s="298"/>
      <c r="U111" s="298"/>
    </row>
    <row r="112" spans="5:21" ht="15.75" customHeight="1" x14ac:dyDescent="0.3">
      <c r="E112" s="300">
        <v>1</v>
      </c>
      <c r="G112" s="296">
        <v>62</v>
      </c>
      <c r="H112" s="297">
        <v>62</v>
      </c>
      <c r="I112" s="133">
        <f t="shared" si="1"/>
        <v>0</v>
      </c>
      <c r="J112" s="298" t="s">
        <v>164</v>
      </c>
      <c r="K112" s="298" t="s">
        <v>79</v>
      </c>
      <c r="L112" s="298" t="s">
        <v>1200</v>
      </c>
      <c r="M112" s="297">
        <v>62</v>
      </c>
      <c r="N112" s="298" t="s">
        <v>166</v>
      </c>
      <c r="O112" s="297">
        <v>62</v>
      </c>
      <c r="P112" s="298" t="s">
        <v>167</v>
      </c>
      <c r="Q112" s="298" t="s">
        <v>168</v>
      </c>
      <c r="R112" s="298"/>
      <c r="S112" s="298" t="s">
        <v>593</v>
      </c>
      <c r="T112" s="298" t="s">
        <v>1167</v>
      </c>
      <c r="U112" s="298" t="s">
        <v>1201</v>
      </c>
    </row>
    <row r="113" spans="5:21" ht="15.75" customHeight="1" x14ac:dyDescent="0.3">
      <c r="E113" s="300">
        <v>1</v>
      </c>
      <c r="G113" s="296">
        <v>1</v>
      </c>
      <c r="H113" s="297">
        <v>1</v>
      </c>
      <c r="I113" s="133">
        <f t="shared" si="1"/>
        <v>0</v>
      </c>
      <c r="J113" s="298" t="s">
        <v>164</v>
      </c>
      <c r="K113" s="298" t="s">
        <v>80</v>
      </c>
      <c r="L113" s="298" t="s">
        <v>1200</v>
      </c>
      <c r="M113" s="297">
        <v>1</v>
      </c>
      <c r="N113" s="298" t="s">
        <v>166</v>
      </c>
      <c r="O113" s="299"/>
      <c r="P113" s="298" t="s">
        <v>167</v>
      </c>
      <c r="Q113" s="298" t="s">
        <v>168</v>
      </c>
      <c r="R113" s="298"/>
      <c r="S113" s="298" t="s">
        <v>593</v>
      </c>
      <c r="T113" s="298"/>
      <c r="U113" s="298"/>
    </row>
    <row r="114" spans="5:21" ht="15.75" customHeight="1" x14ac:dyDescent="0.3">
      <c r="E114" s="300">
        <v>18</v>
      </c>
      <c r="G114" s="296">
        <v>12</v>
      </c>
      <c r="H114" s="297">
        <v>12</v>
      </c>
      <c r="I114" s="133">
        <f t="shared" si="1"/>
        <v>0</v>
      </c>
      <c r="J114" s="298" t="s">
        <v>170</v>
      </c>
      <c r="K114" s="298" t="s">
        <v>73</v>
      </c>
      <c r="L114" s="298" t="s">
        <v>1200</v>
      </c>
      <c r="M114" s="297">
        <v>12</v>
      </c>
      <c r="N114" s="298" t="s">
        <v>166</v>
      </c>
      <c r="O114" s="297">
        <v>12</v>
      </c>
      <c r="P114" s="298" t="s">
        <v>171</v>
      </c>
      <c r="Q114" s="298" t="s">
        <v>172</v>
      </c>
      <c r="R114" s="298" t="s">
        <v>8</v>
      </c>
      <c r="S114" s="298" t="s">
        <v>565</v>
      </c>
      <c r="T114" s="298" t="s">
        <v>1167</v>
      </c>
      <c r="U114" s="298" t="s">
        <v>431</v>
      </c>
    </row>
    <row r="115" spans="5:21" ht="15.75" customHeight="1" x14ac:dyDescent="0.3">
      <c r="E115" s="295">
        <v>18</v>
      </c>
      <c r="G115" s="296">
        <v>42</v>
      </c>
      <c r="H115" s="297">
        <v>42</v>
      </c>
      <c r="I115" s="133">
        <f t="shared" si="1"/>
        <v>0</v>
      </c>
      <c r="J115" s="298" t="s">
        <v>170</v>
      </c>
      <c r="K115" s="298" t="s">
        <v>79</v>
      </c>
      <c r="L115" s="298" t="s">
        <v>1200</v>
      </c>
      <c r="M115" s="297">
        <v>42</v>
      </c>
      <c r="N115" s="298" t="s">
        <v>166</v>
      </c>
      <c r="O115" s="297">
        <v>42</v>
      </c>
      <c r="P115" s="298" t="s">
        <v>171</v>
      </c>
      <c r="Q115" s="298" t="s">
        <v>172</v>
      </c>
      <c r="R115" s="298" t="s">
        <v>8</v>
      </c>
      <c r="S115" s="298" t="s">
        <v>565</v>
      </c>
      <c r="T115" s="298" t="s">
        <v>1167</v>
      </c>
      <c r="U115" s="298" t="s">
        <v>431</v>
      </c>
    </row>
    <row r="116" spans="5:21" ht="15.75" customHeight="1" x14ac:dyDescent="0.3">
      <c r="E116" s="300">
        <v>2</v>
      </c>
      <c r="G116" s="296">
        <v>2.25</v>
      </c>
      <c r="H116" s="297">
        <v>2.25</v>
      </c>
      <c r="I116" s="133">
        <f t="shared" si="1"/>
        <v>0</v>
      </c>
      <c r="J116" s="298" t="s">
        <v>170</v>
      </c>
      <c r="K116" s="298" t="s">
        <v>111</v>
      </c>
      <c r="L116" s="298" t="s">
        <v>1200</v>
      </c>
      <c r="M116" s="297">
        <v>2.25</v>
      </c>
      <c r="N116" s="298" t="s">
        <v>166</v>
      </c>
      <c r="O116" s="299"/>
      <c r="P116" s="298" t="s">
        <v>171</v>
      </c>
      <c r="Q116" s="298" t="s">
        <v>172</v>
      </c>
      <c r="R116" s="298" t="s">
        <v>8</v>
      </c>
      <c r="S116" s="298" t="s">
        <v>565</v>
      </c>
      <c r="T116" s="298"/>
      <c r="U116" s="298"/>
    </row>
    <row r="117" spans="5:21" ht="15.75" customHeight="1" x14ac:dyDescent="0.3">
      <c r="E117" s="300">
        <v>62</v>
      </c>
      <c r="G117" s="296">
        <v>0.75</v>
      </c>
      <c r="H117" s="297">
        <v>0.75</v>
      </c>
      <c r="I117" s="133">
        <f t="shared" si="1"/>
        <v>0</v>
      </c>
      <c r="J117" s="298" t="s">
        <v>170</v>
      </c>
      <c r="K117" s="298" t="s">
        <v>111</v>
      </c>
      <c r="L117" s="298" t="s">
        <v>1200</v>
      </c>
      <c r="M117" s="297">
        <v>0.75</v>
      </c>
      <c r="N117" s="298" t="s">
        <v>166</v>
      </c>
      <c r="O117" s="299"/>
      <c r="P117" s="298" t="s">
        <v>250</v>
      </c>
      <c r="Q117" s="298" t="s">
        <v>251</v>
      </c>
      <c r="R117" s="298" t="s">
        <v>8</v>
      </c>
      <c r="S117" s="298" t="s">
        <v>565</v>
      </c>
      <c r="T117" s="298"/>
      <c r="U117" s="298"/>
    </row>
    <row r="118" spans="5:21" ht="15.75" customHeight="1" x14ac:dyDescent="0.3">
      <c r="E118" s="300">
        <v>1</v>
      </c>
      <c r="G118" s="296">
        <v>3</v>
      </c>
      <c r="H118" s="297">
        <v>3</v>
      </c>
      <c r="I118" s="133">
        <f t="shared" si="1"/>
        <v>0</v>
      </c>
      <c r="J118" s="298" t="s">
        <v>170</v>
      </c>
      <c r="K118" s="298" t="s">
        <v>80</v>
      </c>
      <c r="L118" s="298" t="s">
        <v>1200</v>
      </c>
      <c r="M118" s="297">
        <v>3</v>
      </c>
      <c r="N118" s="298" t="s">
        <v>166</v>
      </c>
      <c r="O118" s="299"/>
      <c r="P118" s="298" t="s">
        <v>171</v>
      </c>
      <c r="Q118" s="298" t="s">
        <v>172</v>
      </c>
      <c r="R118" s="298" t="s">
        <v>8</v>
      </c>
      <c r="S118" s="298" t="s">
        <v>565</v>
      </c>
      <c r="T118" s="298"/>
      <c r="U118" s="298"/>
    </row>
    <row r="119" spans="5:21" ht="15.75" customHeight="1" x14ac:dyDescent="0.3">
      <c r="E119" s="300">
        <v>12</v>
      </c>
      <c r="G119" s="296">
        <v>18</v>
      </c>
      <c r="H119" s="297">
        <v>18</v>
      </c>
      <c r="I119" s="133">
        <f t="shared" si="1"/>
        <v>0</v>
      </c>
      <c r="J119" s="298" t="s">
        <v>173</v>
      </c>
      <c r="K119" s="298" t="s">
        <v>73</v>
      </c>
      <c r="L119" s="298" t="s">
        <v>1200</v>
      </c>
      <c r="M119" s="297">
        <v>18</v>
      </c>
      <c r="N119" s="298" t="s">
        <v>166</v>
      </c>
      <c r="O119" s="297">
        <v>18</v>
      </c>
      <c r="P119" s="298" t="s">
        <v>174</v>
      </c>
      <c r="Q119" s="298" t="s">
        <v>175</v>
      </c>
      <c r="R119" s="298"/>
      <c r="S119" s="298" t="s">
        <v>565</v>
      </c>
      <c r="T119" s="298"/>
      <c r="U119" s="298"/>
    </row>
    <row r="120" spans="5:21" ht="15.75" customHeight="1" x14ac:dyDescent="0.3">
      <c r="E120" s="300">
        <v>42</v>
      </c>
      <c r="G120" s="296">
        <v>36</v>
      </c>
      <c r="H120" s="297">
        <v>36</v>
      </c>
      <c r="I120" s="133">
        <f t="shared" si="1"/>
        <v>0</v>
      </c>
      <c r="J120" s="298" t="s">
        <v>173</v>
      </c>
      <c r="K120" s="298" t="s">
        <v>79</v>
      </c>
      <c r="L120" s="298" t="s">
        <v>1200</v>
      </c>
      <c r="M120" s="297">
        <v>36</v>
      </c>
      <c r="N120" s="298" t="s">
        <v>166</v>
      </c>
      <c r="O120" s="297">
        <v>36</v>
      </c>
      <c r="P120" s="298" t="s">
        <v>174</v>
      </c>
      <c r="Q120" s="298" t="s">
        <v>175</v>
      </c>
      <c r="R120" s="298"/>
      <c r="S120" s="298" t="s">
        <v>565</v>
      </c>
      <c r="T120" s="298"/>
      <c r="U120" s="298"/>
    </row>
    <row r="121" spans="5:21" ht="15.75" customHeight="1" x14ac:dyDescent="0.3">
      <c r="E121" s="300">
        <v>3</v>
      </c>
      <c r="G121" s="296">
        <v>2.25</v>
      </c>
      <c r="H121" s="297">
        <v>2.25</v>
      </c>
      <c r="I121" s="133">
        <f t="shared" si="1"/>
        <v>0</v>
      </c>
      <c r="J121" s="298" t="s">
        <v>173</v>
      </c>
      <c r="K121" s="298" t="s">
        <v>111</v>
      </c>
      <c r="L121" s="298" t="s">
        <v>1200</v>
      </c>
      <c r="M121" s="297">
        <v>2.25</v>
      </c>
      <c r="N121" s="298" t="s">
        <v>166</v>
      </c>
      <c r="O121" s="299"/>
      <c r="P121" s="298" t="s">
        <v>174</v>
      </c>
      <c r="Q121" s="298" t="s">
        <v>175</v>
      </c>
      <c r="R121" s="298"/>
      <c r="S121" s="298" t="s">
        <v>565</v>
      </c>
      <c r="T121" s="298"/>
      <c r="U121" s="298"/>
    </row>
    <row r="122" spans="5:21" ht="15.75" customHeight="1" x14ac:dyDescent="0.3">
      <c r="E122" s="300">
        <v>1</v>
      </c>
      <c r="G122" s="296">
        <v>0.75</v>
      </c>
      <c r="H122" s="297">
        <v>0.75</v>
      </c>
      <c r="I122" s="133">
        <f t="shared" si="1"/>
        <v>0</v>
      </c>
      <c r="J122" s="298" t="s">
        <v>173</v>
      </c>
      <c r="K122" s="298" t="s">
        <v>111</v>
      </c>
      <c r="L122" s="298" t="s">
        <v>1200</v>
      </c>
      <c r="M122" s="297">
        <v>0.75</v>
      </c>
      <c r="N122" s="298" t="s">
        <v>166</v>
      </c>
      <c r="O122" s="299"/>
      <c r="P122" s="298" t="s">
        <v>250</v>
      </c>
      <c r="Q122" s="298" t="s">
        <v>251</v>
      </c>
      <c r="R122" s="298" t="s">
        <v>8</v>
      </c>
      <c r="S122" s="298" t="s">
        <v>565</v>
      </c>
      <c r="T122" s="298"/>
      <c r="U122" s="298"/>
    </row>
    <row r="123" spans="5:21" ht="15.75" customHeight="1" x14ac:dyDescent="0.3">
      <c r="E123" s="295">
        <v>2</v>
      </c>
      <c r="G123" s="296">
        <v>3</v>
      </c>
      <c r="H123" s="297">
        <v>3</v>
      </c>
      <c r="I123" s="133">
        <f t="shared" si="1"/>
        <v>0</v>
      </c>
      <c r="J123" s="298" t="s">
        <v>173</v>
      </c>
      <c r="K123" s="298" t="s">
        <v>80</v>
      </c>
      <c r="L123" s="298" t="s">
        <v>1200</v>
      </c>
      <c r="M123" s="297">
        <v>3</v>
      </c>
      <c r="N123" s="298" t="s">
        <v>166</v>
      </c>
      <c r="O123" s="299"/>
      <c r="P123" s="298" t="s">
        <v>174</v>
      </c>
      <c r="Q123" s="298" t="s">
        <v>175</v>
      </c>
      <c r="R123" s="298"/>
      <c r="S123" s="298" t="s">
        <v>565</v>
      </c>
      <c r="T123" s="298"/>
      <c r="U123" s="298"/>
    </row>
    <row r="124" spans="5:21" ht="15.75" customHeight="1" x14ac:dyDescent="0.3">
      <c r="E124" s="300">
        <v>18</v>
      </c>
      <c r="G124" s="296">
        <v>24</v>
      </c>
      <c r="H124" s="297">
        <v>24</v>
      </c>
      <c r="I124" s="133">
        <f t="shared" si="1"/>
        <v>0</v>
      </c>
      <c r="J124" s="298" t="s">
        <v>176</v>
      </c>
      <c r="K124" s="298" t="s">
        <v>73</v>
      </c>
      <c r="L124" s="298" t="s">
        <v>1202</v>
      </c>
      <c r="M124" s="297">
        <v>24</v>
      </c>
      <c r="N124" s="298" t="s">
        <v>1203</v>
      </c>
      <c r="O124" s="297">
        <v>24</v>
      </c>
      <c r="P124" s="298" t="s">
        <v>84</v>
      </c>
      <c r="Q124" s="298" t="s">
        <v>85</v>
      </c>
      <c r="R124" s="298"/>
      <c r="S124" s="298" t="s">
        <v>593</v>
      </c>
      <c r="T124" s="298" t="s">
        <v>205</v>
      </c>
      <c r="U124" s="298" t="s">
        <v>1166</v>
      </c>
    </row>
    <row r="125" spans="5:21" ht="15.75" customHeight="1" x14ac:dyDescent="0.3">
      <c r="E125" s="300">
        <v>36</v>
      </c>
      <c r="G125" s="296">
        <v>3.33</v>
      </c>
      <c r="H125" s="297">
        <v>3.33</v>
      </c>
      <c r="I125" s="133">
        <f t="shared" si="1"/>
        <v>0</v>
      </c>
      <c r="J125" s="298" t="s">
        <v>176</v>
      </c>
      <c r="K125" s="298" t="s">
        <v>87</v>
      </c>
      <c r="L125" s="298" t="s">
        <v>1198</v>
      </c>
      <c r="M125" s="297">
        <v>3.33</v>
      </c>
      <c r="N125" s="298" t="s">
        <v>1203</v>
      </c>
      <c r="O125" s="299"/>
      <c r="P125" s="298" t="s">
        <v>84</v>
      </c>
      <c r="Q125" s="298" t="s">
        <v>85</v>
      </c>
      <c r="R125" s="298"/>
      <c r="S125" s="298" t="s">
        <v>593</v>
      </c>
      <c r="T125" s="298"/>
      <c r="U125" s="298"/>
    </row>
    <row r="126" spans="5:21" ht="15.75" customHeight="1" x14ac:dyDescent="0.3">
      <c r="E126" s="300">
        <v>3</v>
      </c>
      <c r="G126" s="296">
        <v>1.67</v>
      </c>
      <c r="H126" s="297">
        <v>1.67</v>
      </c>
      <c r="I126" s="133">
        <f t="shared" si="1"/>
        <v>0</v>
      </c>
      <c r="J126" s="298" t="s">
        <v>176</v>
      </c>
      <c r="K126" s="298" t="s">
        <v>87</v>
      </c>
      <c r="L126" s="298" t="s">
        <v>1198</v>
      </c>
      <c r="M126" s="297">
        <v>1.67</v>
      </c>
      <c r="N126" s="298" t="s">
        <v>1203</v>
      </c>
      <c r="O126" s="299"/>
      <c r="P126" s="298" t="s">
        <v>250</v>
      </c>
      <c r="Q126" s="298" t="s">
        <v>251</v>
      </c>
      <c r="R126" s="298" t="s">
        <v>8</v>
      </c>
      <c r="S126" s="298" t="s">
        <v>565</v>
      </c>
      <c r="T126" s="298"/>
      <c r="U126" s="298"/>
    </row>
    <row r="127" spans="5:21" ht="15.75" customHeight="1" x14ac:dyDescent="0.3">
      <c r="E127" s="300">
        <v>1</v>
      </c>
      <c r="G127" s="296">
        <v>6</v>
      </c>
      <c r="H127" s="297">
        <v>6</v>
      </c>
      <c r="I127" s="133">
        <f t="shared" si="1"/>
        <v>0</v>
      </c>
      <c r="J127" s="298" t="s">
        <v>176</v>
      </c>
      <c r="K127" s="298" t="s">
        <v>87</v>
      </c>
      <c r="L127" s="298" t="s">
        <v>1199</v>
      </c>
      <c r="M127" s="297">
        <v>6</v>
      </c>
      <c r="N127" s="298" t="s">
        <v>1203</v>
      </c>
      <c r="O127" s="299"/>
      <c r="P127" s="298" t="s">
        <v>84</v>
      </c>
      <c r="Q127" s="298" t="s">
        <v>85</v>
      </c>
      <c r="R127" s="298"/>
      <c r="S127" s="298" t="s">
        <v>593</v>
      </c>
      <c r="T127" s="298"/>
      <c r="U127" s="298"/>
    </row>
    <row r="128" spans="5:21" ht="15.75" customHeight="1" x14ac:dyDescent="0.3">
      <c r="E128" s="295">
        <v>2</v>
      </c>
      <c r="G128" s="296">
        <v>2</v>
      </c>
      <c r="H128" s="297">
        <v>2</v>
      </c>
      <c r="I128" s="133">
        <f t="shared" si="1"/>
        <v>0</v>
      </c>
      <c r="J128" s="298" t="s">
        <v>176</v>
      </c>
      <c r="K128" s="298" t="s">
        <v>87</v>
      </c>
      <c r="L128" s="298" t="s">
        <v>1199</v>
      </c>
      <c r="M128" s="297">
        <v>2</v>
      </c>
      <c r="N128" s="298" t="s">
        <v>1203</v>
      </c>
      <c r="O128" s="299"/>
      <c r="P128" s="298" t="s">
        <v>250</v>
      </c>
      <c r="Q128" s="298" t="s">
        <v>251</v>
      </c>
      <c r="R128" s="298" t="s">
        <v>8</v>
      </c>
      <c r="S128" s="298" t="s">
        <v>565</v>
      </c>
      <c r="T128" s="298"/>
      <c r="U128" s="298"/>
    </row>
    <row r="129" spans="5:21" ht="15.75" customHeight="1" x14ac:dyDescent="0.3">
      <c r="E129" s="307">
        <v>24</v>
      </c>
      <c r="G129" s="296">
        <v>8</v>
      </c>
      <c r="H129" s="297">
        <v>8</v>
      </c>
      <c r="I129" s="133">
        <f t="shared" si="1"/>
        <v>0</v>
      </c>
      <c r="J129" s="298" t="s">
        <v>176</v>
      </c>
      <c r="K129" s="298" t="s">
        <v>79</v>
      </c>
      <c r="L129" s="298" t="s">
        <v>1204</v>
      </c>
      <c r="M129" s="297">
        <v>8</v>
      </c>
      <c r="N129" s="298" t="s">
        <v>1203</v>
      </c>
      <c r="O129" s="297">
        <v>8</v>
      </c>
      <c r="P129" s="298" t="s">
        <v>167</v>
      </c>
      <c r="Q129" s="298" t="s">
        <v>168</v>
      </c>
      <c r="R129" s="298"/>
      <c r="S129" s="298" t="s">
        <v>593</v>
      </c>
      <c r="T129" s="298" t="s">
        <v>1167</v>
      </c>
      <c r="U129" s="298" t="s">
        <v>1201</v>
      </c>
    </row>
    <row r="130" spans="5:21" ht="15.75" customHeight="1" x14ac:dyDescent="0.3">
      <c r="E130" s="308">
        <v>3</v>
      </c>
      <c r="G130" s="296">
        <v>8</v>
      </c>
      <c r="H130" s="297">
        <v>8</v>
      </c>
      <c r="I130" s="133">
        <f t="shared" ref="I130:I193" si="2">G130-H130</f>
        <v>0</v>
      </c>
      <c r="J130" s="298" t="s">
        <v>176</v>
      </c>
      <c r="K130" s="298" t="s">
        <v>79</v>
      </c>
      <c r="L130" s="298" t="s">
        <v>1198</v>
      </c>
      <c r="M130" s="297">
        <v>8</v>
      </c>
      <c r="N130" s="298" t="s">
        <v>1203</v>
      </c>
      <c r="O130" s="297">
        <v>8</v>
      </c>
      <c r="P130" s="298" t="s">
        <v>167</v>
      </c>
      <c r="Q130" s="298" t="s">
        <v>168</v>
      </c>
      <c r="R130" s="298"/>
      <c r="S130" s="298" t="s">
        <v>593</v>
      </c>
      <c r="T130" s="298" t="s">
        <v>1167</v>
      </c>
      <c r="U130" s="298" t="s">
        <v>1201</v>
      </c>
    </row>
    <row r="131" spans="5:21" ht="15.75" customHeight="1" x14ac:dyDescent="0.3">
      <c r="E131" s="307">
        <v>2</v>
      </c>
      <c r="G131" s="296">
        <v>8</v>
      </c>
      <c r="H131" s="297">
        <v>8</v>
      </c>
      <c r="I131" s="133">
        <f t="shared" si="2"/>
        <v>0</v>
      </c>
      <c r="J131" s="298" t="s">
        <v>176</v>
      </c>
      <c r="K131" s="298" t="s">
        <v>79</v>
      </c>
      <c r="L131" s="298" t="s">
        <v>1199</v>
      </c>
      <c r="M131" s="297">
        <v>8</v>
      </c>
      <c r="N131" s="298" t="s">
        <v>1203</v>
      </c>
      <c r="O131" s="297">
        <v>8</v>
      </c>
      <c r="P131" s="298" t="s">
        <v>167</v>
      </c>
      <c r="Q131" s="298" t="s">
        <v>168</v>
      </c>
      <c r="R131" s="298"/>
      <c r="S131" s="298" t="s">
        <v>593</v>
      </c>
      <c r="T131" s="298" t="s">
        <v>1167</v>
      </c>
      <c r="U131" s="298" t="s">
        <v>1201</v>
      </c>
    </row>
    <row r="132" spans="5:21" ht="15.75" customHeight="1" x14ac:dyDescent="0.3">
      <c r="E132" s="307">
        <v>6</v>
      </c>
      <c r="G132" s="296">
        <v>8</v>
      </c>
      <c r="H132" s="297">
        <v>8</v>
      </c>
      <c r="I132" s="133">
        <f t="shared" si="2"/>
        <v>0</v>
      </c>
      <c r="J132" s="298" t="s">
        <v>176</v>
      </c>
      <c r="K132" s="298" t="s">
        <v>79</v>
      </c>
      <c r="L132" s="298" t="s">
        <v>1205</v>
      </c>
      <c r="M132" s="297">
        <v>8</v>
      </c>
      <c r="N132" s="298" t="s">
        <v>1203</v>
      </c>
      <c r="O132" s="297">
        <v>8</v>
      </c>
      <c r="P132" s="298" t="s">
        <v>167</v>
      </c>
      <c r="Q132" s="298" t="s">
        <v>168</v>
      </c>
      <c r="R132" s="298"/>
      <c r="S132" s="298" t="s">
        <v>593</v>
      </c>
      <c r="T132" s="298" t="s">
        <v>1167</v>
      </c>
      <c r="U132" s="298" t="s">
        <v>1201</v>
      </c>
    </row>
    <row r="133" spans="5:21" ht="15.75" customHeight="1" x14ac:dyDescent="0.3">
      <c r="E133" s="307">
        <v>2</v>
      </c>
      <c r="G133" s="296">
        <v>8</v>
      </c>
      <c r="H133" s="297">
        <v>8</v>
      </c>
      <c r="I133" s="133">
        <f t="shared" si="2"/>
        <v>0</v>
      </c>
      <c r="J133" s="298" t="s">
        <v>176</v>
      </c>
      <c r="K133" s="298" t="s">
        <v>79</v>
      </c>
      <c r="L133" s="298" t="s">
        <v>1206</v>
      </c>
      <c r="M133" s="297">
        <v>8</v>
      </c>
      <c r="N133" s="298" t="s">
        <v>1203</v>
      </c>
      <c r="O133" s="297">
        <v>8</v>
      </c>
      <c r="P133" s="298" t="s">
        <v>186</v>
      </c>
      <c r="Q133" s="298" t="s">
        <v>187</v>
      </c>
      <c r="R133" s="298"/>
      <c r="S133" s="298" t="s">
        <v>593</v>
      </c>
      <c r="T133" s="298" t="s">
        <v>1167</v>
      </c>
      <c r="U133" s="298" t="s">
        <v>1207</v>
      </c>
    </row>
    <row r="134" spans="5:21" ht="15.75" customHeight="1" x14ac:dyDescent="0.3">
      <c r="E134" s="307">
        <v>8</v>
      </c>
      <c r="G134" s="296">
        <v>8</v>
      </c>
      <c r="H134" s="297">
        <v>8</v>
      </c>
      <c r="I134" s="133">
        <f t="shared" si="2"/>
        <v>0</v>
      </c>
      <c r="J134" s="298" t="s">
        <v>176</v>
      </c>
      <c r="K134" s="298" t="s">
        <v>79</v>
      </c>
      <c r="L134" s="298" t="s">
        <v>1208</v>
      </c>
      <c r="M134" s="297">
        <v>8</v>
      </c>
      <c r="N134" s="298" t="s">
        <v>1203</v>
      </c>
      <c r="O134" s="297">
        <v>8</v>
      </c>
      <c r="P134" s="298" t="s">
        <v>186</v>
      </c>
      <c r="Q134" s="298" t="s">
        <v>187</v>
      </c>
      <c r="R134" s="298"/>
      <c r="S134" s="298" t="s">
        <v>593</v>
      </c>
      <c r="T134" s="298" t="s">
        <v>1167</v>
      </c>
      <c r="U134" s="298" t="s">
        <v>1207</v>
      </c>
    </row>
    <row r="135" spans="5:21" ht="15.75" customHeight="1" x14ac:dyDescent="0.3">
      <c r="E135" s="307">
        <v>8</v>
      </c>
      <c r="G135" s="296">
        <v>8</v>
      </c>
      <c r="H135" s="297">
        <v>8</v>
      </c>
      <c r="I135" s="133">
        <f t="shared" si="2"/>
        <v>0</v>
      </c>
      <c r="J135" s="298" t="s">
        <v>176</v>
      </c>
      <c r="K135" s="298" t="s">
        <v>79</v>
      </c>
      <c r="L135" s="298" t="s">
        <v>1209</v>
      </c>
      <c r="M135" s="297">
        <v>8</v>
      </c>
      <c r="N135" s="298" t="s">
        <v>1203</v>
      </c>
      <c r="O135" s="297">
        <v>8</v>
      </c>
      <c r="P135" s="298" t="s">
        <v>167</v>
      </c>
      <c r="Q135" s="298" t="s">
        <v>168</v>
      </c>
      <c r="R135" s="298"/>
      <c r="S135" s="298" t="s">
        <v>593</v>
      </c>
      <c r="T135" s="298" t="s">
        <v>1167</v>
      </c>
      <c r="U135" s="298" t="s">
        <v>1201</v>
      </c>
    </row>
    <row r="136" spans="5:21" ht="15.75" customHeight="1" x14ac:dyDescent="0.3">
      <c r="E136" s="307">
        <v>8</v>
      </c>
      <c r="G136" s="296">
        <v>24</v>
      </c>
      <c r="H136" s="297">
        <v>24</v>
      </c>
      <c r="I136" s="133">
        <f t="shared" si="2"/>
        <v>0</v>
      </c>
      <c r="J136" s="298" t="s">
        <v>176</v>
      </c>
      <c r="K136" s="298" t="s">
        <v>100</v>
      </c>
      <c r="L136" s="298" t="s">
        <v>1204</v>
      </c>
      <c r="M136" s="297">
        <v>24</v>
      </c>
      <c r="N136" s="298" t="s">
        <v>1203</v>
      </c>
      <c r="O136" s="297">
        <v>24</v>
      </c>
      <c r="P136" s="298" t="s">
        <v>167</v>
      </c>
      <c r="Q136" s="298" t="s">
        <v>168</v>
      </c>
      <c r="R136" s="298"/>
      <c r="S136" s="298" t="s">
        <v>593</v>
      </c>
      <c r="T136" s="298" t="s">
        <v>1167</v>
      </c>
      <c r="U136" s="298" t="s">
        <v>1201</v>
      </c>
    </row>
    <row r="137" spans="5:21" ht="15.75" customHeight="1" x14ac:dyDescent="0.3">
      <c r="E137" s="307">
        <v>8</v>
      </c>
      <c r="G137" s="296">
        <v>24</v>
      </c>
      <c r="H137" s="297">
        <v>24</v>
      </c>
      <c r="I137" s="133">
        <f t="shared" si="2"/>
        <v>0</v>
      </c>
      <c r="J137" s="298" t="s">
        <v>176</v>
      </c>
      <c r="K137" s="298" t="s">
        <v>100</v>
      </c>
      <c r="L137" s="298" t="s">
        <v>1198</v>
      </c>
      <c r="M137" s="297">
        <v>24</v>
      </c>
      <c r="N137" s="298" t="s">
        <v>1203</v>
      </c>
      <c r="O137" s="297">
        <v>24</v>
      </c>
      <c r="P137" s="298" t="s">
        <v>167</v>
      </c>
      <c r="Q137" s="298" t="s">
        <v>168</v>
      </c>
      <c r="R137" s="298"/>
      <c r="S137" s="298" t="s">
        <v>593</v>
      </c>
      <c r="T137" s="298" t="s">
        <v>1167</v>
      </c>
      <c r="U137" s="298" t="s">
        <v>1201</v>
      </c>
    </row>
    <row r="138" spans="5:21" ht="15.75" customHeight="1" x14ac:dyDescent="0.3">
      <c r="E138" s="307">
        <v>8</v>
      </c>
      <c r="G138" s="296">
        <v>48</v>
      </c>
      <c r="H138" s="297">
        <v>48</v>
      </c>
      <c r="I138" s="133">
        <f t="shared" si="2"/>
        <v>0</v>
      </c>
      <c r="J138" s="298" t="s">
        <v>176</v>
      </c>
      <c r="K138" s="298" t="s">
        <v>100</v>
      </c>
      <c r="L138" s="298" t="s">
        <v>1199</v>
      </c>
      <c r="M138" s="297">
        <v>48</v>
      </c>
      <c r="N138" s="298" t="s">
        <v>1203</v>
      </c>
      <c r="O138" s="297">
        <v>24</v>
      </c>
      <c r="P138" s="298" t="s">
        <v>167</v>
      </c>
      <c r="Q138" s="298" t="s">
        <v>168</v>
      </c>
      <c r="R138" s="298"/>
      <c r="S138" s="298" t="s">
        <v>593</v>
      </c>
      <c r="T138" s="298" t="s">
        <v>1167</v>
      </c>
      <c r="U138" s="298" t="s">
        <v>1201</v>
      </c>
    </row>
    <row r="139" spans="5:21" ht="15.75" customHeight="1" x14ac:dyDescent="0.3">
      <c r="E139" s="307">
        <v>8</v>
      </c>
      <c r="G139" s="296">
        <v>48</v>
      </c>
      <c r="H139" s="297">
        <v>48</v>
      </c>
      <c r="I139" s="133">
        <f t="shared" si="2"/>
        <v>0</v>
      </c>
      <c r="J139" s="298" t="s">
        <v>176</v>
      </c>
      <c r="K139" s="298" t="s">
        <v>100</v>
      </c>
      <c r="L139" s="298" t="s">
        <v>1205</v>
      </c>
      <c r="M139" s="297">
        <v>48</v>
      </c>
      <c r="N139" s="298" t="s">
        <v>1203</v>
      </c>
      <c r="O139" s="297">
        <v>24</v>
      </c>
      <c r="P139" s="298" t="s">
        <v>167</v>
      </c>
      <c r="Q139" s="298" t="s">
        <v>168</v>
      </c>
      <c r="R139" s="298"/>
      <c r="S139" s="298" t="s">
        <v>593</v>
      </c>
      <c r="T139" s="298" t="s">
        <v>1167</v>
      </c>
      <c r="U139" s="298" t="s">
        <v>1201</v>
      </c>
    </row>
    <row r="140" spans="5:21" ht="15.75" customHeight="1" x14ac:dyDescent="0.3">
      <c r="E140" s="307">
        <v>8</v>
      </c>
      <c r="G140" s="296">
        <v>24</v>
      </c>
      <c r="H140" s="297">
        <v>24</v>
      </c>
      <c r="I140" s="133">
        <f t="shared" si="2"/>
        <v>0</v>
      </c>
      <c r="J140" s="298" t="s">
        <v>176</v>
      </c>
      <c r="K140" s="298" t="s">
        <v>100</v>
      </c>
      <c r="L140" s="298" t="s">
        <v>1206</v>
      </c>
      <c r="M140" s="297">
        <v>24</v>
      </c>
      <c r="N140" s="298" t="s">
        <v>1203</v>
      </c>
      <c r="O140" s="297">
        <v>24</v>
      </c>
      <c r="P140" s="298" t="s">
        <v>186</v>
      </c>
      <c r="Q140" s="298" t="s">
        <v>187</v>
      </c>
      <c r="R140" s="298"/>
      <c r="S140" s="298" t="s">
        <v>593</v>
      </c>
      <c r="T140" s="298" t="s">
        <v>1167</v>
      </c>
      <c r="U140" s="298" t="s">
        <v>1207</v>
      </c>
    </row>
    <row r="141" spans="5:21" ht="15.75" customHeight="1" x14ac:dyDescent="0.3">
      <c r="E141" s="308">
        <v>24</v>
      </c>
      <c r="G141" s="296">
        <v>24</v>
      </c>
      <c r="H141" s="297">
        <v>24</v>
      </c>
      <c r="I141" s="133">
        <f t="shared" si="2"/>
        <v>0</v>
      </c>
      <c r="J141" s="298" t="s">
        <v>176</v>
      </c>
      <c r="K141" s="298" t="s">
        <v>100</v>
      </c>
      <c r="L141" s="298" t="s">
        <v>1208</v>
      </c>
      <c r="M141" s="297">
        <v>24</v>
      </c>
      <c r="N141" s="298" t="s">
        <v>1203</v>
      </c>
      <c r="O141" s="297">
        <v>24</v>
      </c>
      <c r="P141" s="298" t="s">
        <v>186</v>
      </c>
      <c r="Q141" s="298" t="s">
        <v>187</v>
      </c>
      <c r="R141" s="298"/>
      <c r="S141" s="298" t="s">
        <v>593</v>
      </c>
      <c r="T141" s="298" t="s">
        <v>1167</v>
      </c>
      <c r="U141" s="298" t="s">
        <v>1207</v>
      </c>
    </row>
    <row r="142" spans="5:21" ht="15.75" customHeight="1" x14ac:dyDescent="0.3">
      <c r="E142" s="308">
        <v>24</v>
      </c>
      <c r="G142" s="296">
        <v>48</v>
      </c>
      <c r="H142" s="297">
        <v>48</v>
      </c>
      <c r="I142" s="133">
        <f t="shared" si="2"/>
        <v>0</v>
      </c>
      <c r="J142" s="298" t="s">
        <v>176</v>
      </c>
      <c r="K142" s="298" t="s">
        <v>100</v>
      </c>
      <c r="L142" s="298" t="s">
        <v>1209</v>
      </c>
      <c r="M142" s="297">
        <v>48</v>
      </c>
      <c r="N142" s="298" t="s">
        <v>1203</v>
      </c>
      <c r="O142" s="297">
        <v>24</v>
      </c>
      <c r="P142" s="298" t="s">
        <v>167</v>
      </c>
      <c r="Q142" s="298" t="s">
        <v>168</v>
      </c>
      <c r="R142" s="298"/>
      <c r="S142" s="298" t="s">
        <v>593</v>
      </c>
      <c r="T142" s="298" t="s">
        <v>1167</v>
      </c>
      <c r="U142" s="298" t="s">
        <v>1201</v>
      </c>
    </row>
    <row r="143" spans="5:21" ht="15.75" customHeight="1" x14ac:dyDescent="0.3">
      <c r="E143" s="307">
        <v>48</v>
      </c>
      <c r="G143" s="296">
        <v>8</v>
      </c>
      <c r="H143" s="297">
        <v>8</v>
      </c>
      <c r="I143" s="133">
        <f t="shared" si="2"/>
        <v>0</v>
      </c>
      <c r="J143" s="298" t="s">
        <v>176</v>
      </c>
      <c r="K143" s="298" t="s">
        <v>111</v>
      </c>
      <c r="L143" s="298" t="s">
        <v>1204</v>
      </c>
      <c r="M143" s="297">
        <v>8</v>
      </c>
      <c r="N143" s="298" t="s">
        <v>1203</v>
      </c>
      <c r="O143" s="299"/>
      <c r="P143" s="298" t="s">
        <v>250</v>
      </c>
      <c r="Q143" s="298" t="s">
        <v>251</v>
      </c>
      <c r="R143" s="298" t="s">
        <v>8</v>
      </c>
      <c r="S143" s="298" t="s">
        <v>565</v>
      </c>
      <c r="T143" s="298"/>
      <c r="U143" s="298"/>
    </row>
    <row r="144" spans="5:21" ht="15.75" customHeight="1" x14ac:dyDescent="0.3">
      <c r="E144" s="309">
        <v>48</v>
      </c>
      <c r="G144" s="296">
        <v>4</v>
      </c>
      <c r="H144" s="297">
        <v>4</v>
      </c>
      <c r="I144" s="133">
        <f t="shared" si="2"/>
        <v>0</v>
      </c>
      <c r="J144" s="298" t="s">
        <v>176</v>
      </c>
      <c r="K144" s="298" t="s">
        <v>111</v>
      </c>
      <c r="L144" s="298" t="s">
        <v>1205</v>
      </c>
      <c r="M144" s="297">
        <v>4</v>
      </c>
      <c r="N144" s="298" t="s">
        <v>1203</v>
      </c>
      <c r="O144" s="299"/>
      <c r="P144" s="298" t="s">
        <v>84</v>
      </c>
      <c r="Q144" s="298" t="s">
        <v>85</v>
      </c>
      <c r="R144" s="298"/>
      <c r="S144" s="298" t="s">
        <v>593</v>
      </c>
      <c r="T144" s="298"/>
      <c r="U144" s="298"/>
    </row>
    <row r="145" spans="5:21" ht="15.75" customHeight="1" x14ac:dyDescent="0.3">
      <c r="E145" s="307">
        <v>24</v>
      </c>
      <c r="G145" s="296">
        <v>4</v>
      </c>
      <c r="H145" s="297">
        <v>4</v>
      </c>
      <c r="I145" s="133">
        <f t="shared" si="2"/>
        <v>0</v>
      </c>
      <c r="J145" s="298" t="s">
        <v>176</v>
      </c>
      <c r="K145" s="298" t="s">
        <v>111</v>
      </c>
      <c r="L145" s="298" t="s">
        <v>1205</v>
      </c>
      <c r="M145" s="297">
        <v>4</v>
      </c>
      <c r="N145" s="298" t="s">
        <v>1203</v>
      </c>
      <c r="O145" s="299"/>
      <c r="P145" s="298" t="s">
        <v>250</v>
      </c>
      <c r="Q145" s="298" t="s">
        <v>251</v>
      </c>
      <c r="R145" s="298" t="s">
        <v>8</v>
      </c>
      <c r="S145" s="298" t="s">
        <v>565</v>
      </c>
      <c r="T145" s="298"/>
      <c r="U145" s="298"/>
    </row>
    <row r="146" spans="5:21" ht="15.75" customHeight="1" x14ac:dyDescent="0.3">
      <c r="E146" s="307">
        <v>24</v>
      </c>
      <c r="G146" s="296">
        <v>3.57</v>
      </c>
      <c r="H146" s="297">
        <v>3.57</v>
      </c>
      <c r="I146" s="133">
        <f t="shared" si="2"/>
        <v>0</v>
      </c>
      <c r="J146" s="298" t="s">
        <v>176</v>
      </c>
      <c r="K146" s="298" t="s">
        <v>111</v>
      </c>
      <c r="L146" s="298" t="s">
        <v>1206</v>
      </c>
      <c r="M146" s="297">
        <v>3.57</v>
      </c>
      <c r="N146" s="298" t="s">
        <v>1203</v>
      </c>
      <c r="O146" s="299"/>
      <c r="P146" s="298" t="s">
        <v>84</v>
      </c>
      <c r="Q146" s="298" t="s">
        <v>85</v>
      </c>
      <c r="R146" s="298"/>
      <c r="S146" s="298" t="s">
        <v>593</v>
      </c>
      <c r="T146" s="298"/>
      <c r="U146" s="298"/>
    </row>
    <row r="147" spans="5:21" ht="15.75" customHeight="1" x14ac:dyDescent="0.3">
      <c r="E147" s="307">
        <v>48</v>
      </c>
      <c r="G147" s="296">
        <v>1.43</v>
      </c>
      <c r="H147" s="297">
        <v>1.43</v>
      </c>
      <c r="I147" s="133">
        <f t="shared" si="2"/>
        <v>0</v>
      </c>
      <c r="J147" s="298" t="s">
        <v>176</v>
      </c>
      <c r="K147" s="298" t="s">
        <v>111</v>
      </c>
      <c r="L147" s="298" t="s">
        <v>1206</v>
      </c>
      <c r="M147" s="297">
        <v>1.43</v>
      </c>
      <c r="N147" s="298" t="s">
        <v>1203</v>
      </c>
      <c r="O147" s="299"/>
      <c r="P147" s="298" t="s">
        <v>250</v>
      </c>
      <c r="Q147" s="298" t="s">
        <v>251</v>
      </c>
      <c r="R147" s="298" t="s">
        <v>8</v>
      </c>
      <c r="S147" s="298" t="s">
        <v>565</v>
      </c>
      <c r="T147" s="298"/>
      <c r="U147" s="298"/>
    </row>
    <row r="148" spans="5:21" ht="15.75" customHeight="1" x14ac:dyDescent="0.3">
      <c r="E148" s="307">
        <v>3</v>
      </c>
      <c r="G148" s="296">
        <v>6</v>
      </c>
      <c r="H148" s="297">
        <v>6</v>
      </c>
      <c r="I148" s="133">
        <f t="shared" si="2"/>
        <v>0</v>
      </c>
      <c r="J148" s="298" t="s">
        <v>176</v>
      </c>
      <c r="K148" s="298" t="s">
        <v>111</v>
      </c>
      <c r="L148" s="298" t="s">
        <v>1208</v>
      </c>
      <c r="M148" s="297">
        <v>6</v>
      </c>
      <c r="N148" s="298" t="s">
        <v>1203</v>
      </c>
      <c r="O148" s="299"/>
      <c r="P148" s="298" t="s">
        <v>84</v>
      </c>
      <c r="Q148" s="298" t="s">
        <v>85</v>
      </c>
      <c r="R148" s="298"/>
      <c r="S148" s="298" t="s">
        <v>593</v>
      </c>
      <c r="T148" s="298"/>
      <c r="U148" s="298"/>
    </row>
    <row r="149" spans="5:21" ht="15.75" customHeight="1" x14ac:dyDescent="0.3">
      <c r="E149" s="307">
        <v>2</v>
      </c>
      <c r="G149" s="296">
        <v>2</v>
      </c>
      <c r="H149" s="297">
        <v>2</v>
      </c>
      <c r="I149" s="133">
        <f t="shared" si="2"/>
        <v>0</v>
      </c>
      <c r="J149" s="298" t="s">
        <v>176</v>
      </c>
      <c r="K149" s="298" t="s">
        <v>111</v>
      </c>
      <c r="L149" s="298" t="s">
        <v>1208</v>
      </c>
      <c r="M149" s="297">
        <v>2</v>
      </c>
      <c r="N149" s="298" t="s">
        <v>1203</v>
      </c>
      <c r="O149" s="299"/>
      <c r="P149" s="298" t="s">
        <v>250</v>
      </c>
      <c r="Q149" s="298" t="s">
        <v>251</v>
      </c>
      <c r="R149" s="298" t="s">
        <v>8</v>
      </c>
      <c r="S149" s="298" t="s">
        <v>565</v>
      </c>
      <c r="T149" s="298"/>
      <c r="U149" s="298"/>
    </row>
    <row r="150" spans="5:21" ht="15.75" customHeight="1" x14ac:dyDescent="0.3">
      <c r="E150" s="307">
        <v>2</v>
      </c>
      <c r="G150" s="296">
        <v>4.5</v>
      </c>
      <c r="H150" s="297">
        <v>4.5</v>
      </c>
      <c r="I150" s="133">
        <f t="shared" si="2"/>
        <v>0</v>
      </c>
      <c r="J150" s="298" t="s">
        <v>176</v>
      </c>
      <c r="K150" s="298" t="s">
        <v>111</v>
      </c>
      <c r="L150" s="298" t="s">
        <v>1209</v>
      </c>
      <c r="M150" s="297">
        <v>4.5</v>
      </c>
      <c r="N150" s="298" t="s">
        <v>1203</v>
      </c>
      <c r="O150" s="299"/>
      <c r="P150" s="298" t="s">
        <v>84</v>
      </c>
      <c r="Q150" s="298" t="s">
        <v>85</v>
      </c>
      <c r="R150" s="298"/>
      <c r="S150" s="298" t="s">
        <v>593</v>
      </c>
      <c r="T150" s="298"/>
      <c r="U150" s="298"/>
    </row>
    <row r="151" spans="5:21" ht="15.75" customHeight="1" x14ac:dyDescent="0.3">
      <c r="E151" s="307">
        <v>1</v>
      </c>
      <c r="G151" s="296">
        <v>4.5</v>
      </c>
      <c r="H151" s="297">
        <v>4.5</v>
      </c>
      <c r="I151" s="133">
        <f t="shared" si="2"/>
        <v>0</v>
      </c>
      <c r="J151" s="298" t="s">
        <v>176</v>
      </c>
      <c r="K151" s="298" t="s">
        <v>111</v>
      </c>
      <c r="L151" s="298" t="s">
        <v>1209</v>
      </c>
      <c r="M151" s="297">
        <v>4.5</v>
      </c>
      <c r="N151" s="298" t="s">
        <v>1203</v>
      </c>
      <c r="O151" s="299"/>
      <c r="P151" s="298" t="s">
        <v>250</v>
      </c>
      <c r="Q151" s="298" t="s">
        <v>251</v>
      </c>
      <c r="R151" s="298" t="s">
        <v>8</v>
      </c>
      <c r="S151" s="298" t="s">
        <v>565</v>
      </c>
      <c r="T151" s="298"/>
      <c r="U151" s="298"/>
    </row>
    <row r="152" spans="5:21" ht="15.75" customHeight="1" x14ac:dyDescent="0.3">
      <c r="E152" s="307">
        <v>4</v>
      </c>
      <c r="G152" s="296">
        <v>3</v>
      </c>
      <c r="H152" s="297">
        <v>3</v>
      </c>
      <c r="I152" s="133">
        <f t="shared" si="2"/>
        <v>0</v>
      </c>
      <c r="J152" s="298" t="s">
        <v>176</v>
      </c>
      <c r="K152" s="298" t="s">
        <v>80</v>
      </c>
      <c r="L152" s="298" t="s">
        <v>1204</v>
      </c>
      <c r="M152" s="297">
        <v>3</v>
      </c>
      <c r="N152" s="298" t="s">
        <v>1203</v>
      </c>
      <c r="O152" s="299"/>
      <c r="P152" s="298" t="s">
        <v>84</v>
      </c>
      <c r="Q152" s="298" t="s">
        <v>85</v>
      </c>
      <c r="R152" s="298"/>
      <c r="S152" s="298" t="s">
        <v>593</v>
      </c>
      <c r="T152" s="298"/>
      <c r="U152" s="298"/>
    </row>
    <row r="153" spans="5:21" ht="15.75" customHeight="1" x14ac:dyDescent="0.3">
      <c r="E153" s="307">
        <v>2</v>
      </c>
      <c r="G153" s="296">
        <v>1</v>
      </c>
      <c r="H153" s="297">
        <v>1</v>
      </c>
      <c r="I153" s="133">
        <f t="shared" si="2"/>
        <v>0</v>
      </c>
      <c r="J153" s="298" t="s">
        <v>176</v>
      </c>
      <c r="K153" s="298" t="s">
        <v>80</v>
      </c>
      <c r="L153" s="298" t="s">
        <v>1198</v>
      </c>
      <c r="M153" s="297">
        <v>1</v>
      </c>
      <c r="N153" s="298" t="s">
        <v>1203</v>
      </c>
      <c r="O153" s="299"/>
      <c r="P153" s="298" t="s">
        <v>84</v>
      </c>
      <c r="Q153" s="298" t="s">
        <v>85</v>
      </c>
      <c r="R153" s="298"/>
      <c r="S153" s="298" t="s">
        <v>593</v>
      </c>
      <c r="T153" s="298"/>
      <c r="U153" s="298"/>
    </row>
    <row r="154" spans="5:21" ht="15.75" customHeight="1" x14ac:dyDescent="0.3">
      <c r="E154" s="307">
        <v>2</v>
      </c>
      <c r="G154" s="296">
        <v>1</v>
      </c>
      <c r="H154" s="297">
        <v>1</v>
      </c>
      <c r="I154" s="133">
        <f t="shared" si="2"/>
        <v>0</v>
      </c>
      <c r="J154" s="298" t="s">
        <v>176</v>
      </c>
      <c r="K154" s="298" t="s">
        <v>80</v>
      </c>
      <c r="L154" s="298" t="s">
        <v>1199</v>
      </c>
      <c r="M154" s="297">
        <v>1</v>
      </c>
      <c r="N154" s="298" t="s">
        <v>1203</v>
      </c>
      <c r="O154" s="299"/>
      <c r="P154" s="298" t="s">
        <v>84</v>
      </c>
      <c r="Q154" s="298" t="s">
        <v>85</v>
      </c>
      <c r="R154" s="298"/>
      <c r="S154" s="298" t="s">
        <v>593</v>
      </c>
      <c r="T154" s="298"/>
      <c r="U154" s="298"/>
    </row>
    <row r="155" spans="5:21" ht="15.75" customHeight="1" x14ac:dyDescent="0.3">
      <c r="E155" s="308">
        <v>3</v>
      </c>
      <c r="G155" s="296">
        <v>3</v>
      </c>
      <c r="H155" s="297">
        <v>3</v>
      </c>
      <c r="I155" s="133">
        <f t="shared" si="2"/>
        <v>0</v>
      </c>
      <c r="J155" s="298" t="s">
        <v>176</v>
      </c>
      <c r="K155" s="298" t="s">
        <v>80</v>
      </c>
      <c r="L155" s="298" t="s">
        <v>1205</v>
      </c>
      <c r="M155" s="297">
        <v>3</v>
      </c>
      <c r="N155" s="298" t="s">
        <v>1203</v>
      </c>
      <c r="O155" s="299"/>
      <c r="P155" s="298" t="s">
        <v>84</v>
      </c>
      <c r="Q155" s="298" t="s">
        <v>85</v>
      </c>
      <c r="R155" s="298"/>
      <c r="S155" s="298" t="s">
        <v>593</v>
      </c>
      <c r="T155" s="298"/>
      <c r="U155" s="298"/>
    </row>
    <row r="156" spans="5:21" ht="15.75" customHeight="1" x14ac:dyDescent="0.3">
      <c r="E156" s="307">
        <v>2</v>
      </c>
      <c r="G156" s="296">
        <v>3</v>
      </c>
      <c r="H156" s="297">
        <v>3</v>
      </c>
      <c r="I156" s="133">
        <f t="shared" si="2"/>
        <v>0</v>
      </c>
      <c r="J156" s="298" t="s">
        <v>176</v>
      </c>
      <c r="K156" s="298" t="s">
        <v>80</v>
      </c>
      <c r="L156" s="298" t="s">
        <v>1206</v>
      </c>
      <c r="M156" s="297">
        <v>3</v>
      </c>
      <c r="N156" s="298" t="s">
        <v>1203</v>
      </c>
      <c r="O156" s="299"/>
      <c r="P156" s="298" t="s">
        <v>84</v>
      </c>
      <c r="Q156" s="298" t="s">
        <v>85</v>
      </c>
      <c r="R156" s="298"/>
      <c r="S156" s="298" t="s">
        <v>593</v>
      </c>
      <c r="T156" s="298"/>
      <c r="U156" s="298"/>
    </row>
    <row r="157" spans="5:21" ht="15.75" customHeight="1" x14ac:dyDescent="0.3">
      <c r="E157" s="307">
        <v>6</v>
      </c>
      <c r="G157" s="296">
        <v>3</v>
      </c>
      <c r="H157" s="297">
        <v>3</v>
      </c>
      <c r="I157" s="133">
        <f t="shared" si="2"/>
        <v>0</v>
      </c>
      <c r="J157" s="298" t="s">
        <v>176</v>
      </c>
      <c r="K157" s="298" t="s">
        <v>80</v>
      </c>
      <c r="L157" s="298" t="s">
        <v>1208</v>
      </c>
      <c r="M157" s="297">
        <v>3</v>
      </c>
      <c r="N157" s="298" t="s">
        <v>1203</v>
      </c>
      <c r="O157" s="299"/>
      <c r="P157" s="298" t="s">
        <v>84</v>
      </c>
      <c r="Q157" s="298" t="s">
        <v>85</v>
      </c>
      <c r="R157" s="298"/>
      <c r="S157" s="298" t="s">
        <v>593</v>
      </c>
      <c r="T157" s="298"/>
      <c r="U157" s="298"/>
    </row>
    <row r="158" spans="5:21" ht="15.75" customHeight="1" x14ac:dyDescent="0.3">
      <c r="E158" s="307">
        <v>2</v>
      </c>
      <c r="G158" s="296">
        <v>3</v>
      </c>
      <c r="H158" s="297">
        <v>3</v>
      </c>
      <c r="I158" s="133">
        <f t="shared" si="2"/>
        <v>0</v>
      </c>
      <c r="J158" s="298" t="s">
        <v>176</v>
      </c>
      <c r="K158" s="298" t="s">
        <v>80</v>
      </c>
      <c r="L158" s="298" t="s">
        <v>1209</v>
      </c>
      <c r="M158" s="297">
        <v>3</v>
      </c>
      <c r="N158" s="298" t="s">
        <v>1203</v>
      </c>
      <c r="O158" s="299"/>
      <c r="P158" s="298" t="s">
        <v>84</v>
      </c>
      <c r="Q158" s="298" t="s">
        <v>85</v>
      </c>
      <c r="R158" s="298"/>
      <c r="S158" s="298" t="s">
        <v>593</v>
      </c>
      <c r="T158" s="298"/>
      <c r="U158" s="298"/>
    </row>
    <row r="159" spans="5:21" ht="15.75" customHeight="1" x14ac:dyDescent="0.3">
      <c r="E159" s="308">
        <v>4</v>
      </c>
      <c r="G159" s="296">
        <v>24</v>
      </c>
      <c r="H159" s="297">
        <v>24</v>
      </c>
      <c r="I159" s="133">
        <f t="shared" si="2"/>
        <v>0</v>
      </c>
      <c r="J159" s="298" t="s">
        <v>198</v>
      </c>
      <c r="K159" s="298" t="s">
        <v>73</v>
      </c>
      <c r="L159" s="298" t="s">
        <v>1210</v>
      </c>
      <c r="M159" s="297">
        <v>24</v>
      </c>
      <c r="N159" s="298" t="s">
        <v>195</v>
      </c>
      <c r="O159" s="297">
        <v>24</v>
      </c>
      <c r="P159" s="298" t="s">
        <v>200</v>
      </c>
      <c r="Q159" s="298" t="s">
        <v>201</v>
      </c>
      <c r="R159" s="298"/>
      <c r="S159" s="298" t="s">
        <v>593</v>
      </c>
      <c r="T159" s="298" t="s">
        <v>1167</v>
      </c>
      <c r="U159" s="298" t="s">
        <v>1211</v>
      </c>
    </row>
    <row r="160" spans="5:21" ht="15.75" customHeight="1" x14ac:dyDescent="0.3">
      <c r="E160" s="307">
        <v>3</v>
      </c>
      <c r="G160" s="296">
        <v>40</v>
      </c>
      <c r="H160" s="297">
        <v>40</v>
      </c>
      <c r="I160" s="133">
        <f t="shared" si="2"/>
        <v>0</v>
      </c>
      <c r="J160" s="298" t="s">
        <v>198</v>
      </c>
      <c r="K160" s="298" t="s">
        <v>79</v>
      </c>
      <c r="L160" s="298" t="s">
        <v>1210</v>
      </c>
      <c r="M160" s="297">
        <v>40</v>
      </c>
      <c r="N160" s="298" t="s">
        <v>195</v>
      </c>
      <c r="O160" s="297">
        <v>40</v>
      </c>
      <c r="P160" s="298" t="s">
        <v>200</v>
      </c>
      <c r="Q160" s="298" t="s">
        <v>201</v>
      </c>
      <c r="R160" s="298"/>
      <c r="S160" s="298" t="s">
        <v>593</v>
      </c>
      <c r="T160" s="298" t="s">
        <v>1167</v>
      </c>
      <c r="U160" s="298" t="s">
        <v>1211</v>
      </c>
    </row>
    <row r="161" spans="5:21" ht="15.75" customHeight="1" x14ac:dyDescent="0.3">
      <c r="E161" s="307">
        <v>2</v>
      </c>
      <c r="G161" s="296">
        <v>6</v>
      </c>
      <c r="H161" s="297">
        <v>6</v>
      </c>
      <c r="I161" s="133">
        <f t="shared" si="2"/>
        <v>0</v>
      </c>
      <c r="J161" s="298" t="s">
        <v>198</v>
      </c>
      <c r="K161" s="298" t="s">
        <v>111</v>
      </c>
      <c r="L161" s="298" t="s">
        <v>1210</v>
      </c>
      <c r="M161" s="297">
        <v>6</v>
      </c>
      <c r="N161" s="298" t="s">
        <v>195</v>
      </c>
      <c r="O161" s="299"/>
      <c r="P161" s="298" t="s">
        <v>200</v>
      </c>
      <c r="Q161" s="298" t="s">
        <v>201</v>
      </c>
      <c r="R161" s="298"/>
      <c r="S161" s="298" t="s">
        <v>593</v>
      </c>
      <c r="T161" s="298"/>
      <c r="U161" s="298"/>
    </row>
    <row r="162" spans="5:21" ht="15.75" customHeight="1" x14ac:dyDescent="0.3">
      <c r="E162" s="307">
        <v>3</v>
      </c>
      <c r="G162" s="296">
        <v>3</v>
      </c>
      <c r="H162" s="297">
        <v>3</v>
      </c>
      <c r="I162" s="133">
        <f t="shared" si="2"/>
        <v>0</v>
      </c>
      <c r="J162" s="298" t="s">
        <v>198</v>
      </c>
      <c r="K162" s="298" t="s">
        <v>111</v>
      </c>
      <c r="L162" s="298" t="s">
        <v>1210</v>
      </c>
      <c r="M162" s="297">
        <v>3</v>
      </c>
      <c r="N162" s="298" t="s">
        <v>195</v>
      </c>
      <c r="O162" s="299"/>
      <c r="P162" s="298" t="s">
        <v>250</v>
      </c>
      <c r="Q162" s="298" t="s">
        <v>251</v>
      </c>
      <c r="R162" s="298" t="s">
        <v>8</v>
      </c>
      <c r="S162" s="298" t="s">
        <v>565</v>
      </c>
      <c r="T162" s="298"/>
      <c r="U162" s="298"/>
    </row>
    <row r="163" spans="5:21" ht="15.75" customHeight="1" x14ac:dyDescent="0.3">
      <c r="E163" s="307">
        <v>1</v>
      </c>
      <c r="G163" s="296">
        <v>3</v>
      </c>
      <c r="H163" s="297">
        <v>3</v>
      </c>
      <c r="I163" s="133">
        <f t="shared" si="2"/>
        <v>0</v>
      </c>
      <c r="J163" s="298" t="s">
        <v>198</v>
      </c>
      <c r="K163" s="298" t="s">
        <v>80</v>
      </c>
      <c r="L163" s="298" t="s">
        <v>1210</v>
      </c>
      <c r="M163" s="297">
        <v>3</v>
      </c>
      <c r="N163" s="298" t="s">
        <v>195</v>
      </c>
      <c r="O163" s="299"/>
      <c r="P163" s="298" t="s">
        <v>200</v>
      </c>
      <c r="Q163" s="298" t="s">
        <v>201</v>
      </c>
      <c r="R163" s="298"/>
      <c r="S163" s="298" t="s">
        <v>593</v>
      </c>
      <c r="T163" s="298"/>
      <c r="U163" s="298"/>
    </row>
    <row r="164" spans="5:21" ht="15.75" customHeight="1" x14ac:dyDescent="0.3">
      <c r="E164" s="307">
        <v>1</v>
      </c>
      <c r="G164" s="296">
        <v>10</v>
      </c>
      <c r="H164" s="297">
        <v>10</v>
      </c>
      <c r="I164" s="133">
        <f t="shared" si="2"/>
        <v>0</v>
      </c>
      <c r="J164" s="298" t="s">
        <v>203</v>
      </c>
      <c r="K164" s="298" t="s">
        <v>73</v>
      </c>
      <c r="L164" s="298" t="s">
        <v>1188</v>
      </c>
      <c r="M164" s="297">
        <v>10</v>
      </c>
      <c r="N164" s="298" t="s">
        <v>166</v>
      </c>
      <c r="O164" s="297">
        <v>10</v>
      </c>
      <c r="P164" s="298" t="s">
        <v>200</v>
      </c>
      <c r="Q164" s="298" t="s">
        <v>201</v>
      </c>
      <c r="R164" s="298"/>
      <c r="S164" s="298" t="s">
        <v>593</v>
      </c>
      <c r="T164" s="298" t="s">
        <v>1167</v>
      </c>
      <c r="U164" s="298" t="s">
        <v>1211</v>
      </c>
    </row>
    <row r="165" spans="5:21" ht="15.75" customHeight="1" x14ac:dyDescent="0.3">
      <c r="E165" s="307">
        <v>3</v>
      </c>
      <c r="G165" s="296">
        <v>16</v>
      </c>
      <c r="H165" s="297">
        <v>16</v>
      </c>
      <c r="I165" s="133">
        <f t="shared" si="2"/>
        <v>0</v>
      </c>
      <c r="J165" s="298" t="s">
        <v>203</v>
      </c>
      <c r="K165" s="298" t="s">
        <v>79</v>
      </c>
      <c r="L165" s="298" t="s">
        <v>1188</v>
      </c>
      <c r="M165" s="297">
        <v>16</v>
      </c>
      <c r="N165" s="298" t="s">
        <v>166</v>
      </c>
      <c r="O165" s="297">
        <v>16</v>
      </c>
      <c r="P165" s="298" t="s">
        <v>200</v>
      </c>
      <c r="Q165" s="298" t="s">
        <v>201</v>
      </c>
      <c r="R165" s="298"/>
      <c r="S165" s="298" t="s">
        <v>593</v>
      </c>
      <c r="T165" s="298" t="s">
        <v>1167</v>
      </c>
      <c r="U165" s="298" t="s">
        <v>1211</v>
      </c>
    </row>
    <row r="166" spans="5:21" ht="15.75" customHeight="1" x14ac:dyDescent="0.3">
      <c r="E166" s="307">
        <v>3</v>
      </c>
      <c r="G166" s="296">
        <v>2</v>
      </c>
      <c r="H166" s="297">
        <v>2</v>
      </c>
      <c r="I166" s="133">
        <f t="shared" si="2"/>
        <v>0</v>
      </c>
      <c r="J166" s="298" t="s">
        <v>203</v>
      </c>
      <c r="K166" s="298" t="s">
        <v>142</v>
      </c>
      <c r="L166" s="298" t="s">
        <v>1188</v>
      </c>
      <c r="M166" s="297">
        <v>2</v>
      </c>
      <c r="N166" s="298" t="s">
        <v>166</v>
      </c>
      <c r="O166" s="299"/>
      <c r="P166" s="298" t="s">
        <v>200</v>
      </c>
      <c r="Q166" s="298" t="s">
        <v>201</v>
      </c>
      <c r="R166" s="298"/>
      <c r="S166" s="298" t="s">
        <v>593</v>
      </c>
      <c r="T166" s="298"/>
      <c r="U166" s="298"/>
    </row>
    <row r="167" spans="5:21" ht="15.75" customHeight="1" x14ac:dyDescent="0.3">
      <c r="E167" s="307">
        <v>3</v>
      </c>
      <c r="G167" s="296">
        <v>1</v>
      </c>
      <c r="H167" s="297">
        <v>1</v>
      </c>
      <c r="I167" s="133">
        <f t="shared" si="2"/>
        <v>0</v>
      </c>
      <c r="J167" s="298" t="s">
        <v>203</v>
      </c>
      <c r="K167" s="298" t="s">
        <v>80</v>
      </c>
      <c r="L167" s="298" t="s">
        <v>1188</v>
      </c>
      <c r="M167" s="297">
        <v>1</v>
      </c>
      <c r="N167" s="298" t="s">
        <v>166</v>
      </c>
      <c r="O167" s="299"/>
      <c r="P167" s="298" t="s">
        <v>200</v>
      </c>
      <c r="Q167" s="298" t="s">
        <v>201</v>
      </c>
      <c r="R167" s="298"/>
      <c r="S167" s="298" t="s">
        <v>593</v>
      </c>
      <c r="T167" s="298"/>
      <c r="U167" s="298"/>
    </row>
    <row r="168" spans="5:21" ht="15.75" customHeight="1" x14ac:dyDescent="0.3">
      <c r="E168" s="307">
        <v>3</v>
      </c>
      <c r="G168" s="296">
        <v>40</v>
      </c>
      <c r="H168" s="297">
        <v>40</v>
      </c>
      <c r="I168" s="133">
        <f t="shared" si="2"/>
        <v>0</v>
      </c>
      <c r="J168" s="298" t="s">
        <v>204</v>
      </c>
      <c r="K168" s="298" t="s">
        <v>73</v>
      </c>
      <c r="L168" s="298" t="s">
        <v>1175</v>
      </c>
      <c r="M168" s="297">
        <v>40</v>
      </c>
      <c r="N168" s="298" t="s">
        <v>1176</v>
      </c>
      <c r="O168" s="297">
        <v>40</v>
      </c>
      <c r="P168" s="298" t="s">
        <v>167</v>
      </c>
      <c r="Q168" s="298" t="s">
        <v>168</v>
      </c>
      <c r="R168" s="298"/>
      <c r="S168" s="298" t="s">
        <v>593</v>
      </c>
      <c r="T168" s="298" t="s">
        <v>1167</v>
      </c>
      <c r="U168" s="298" t="s">
        <v>1201</v>
      </c>
    </row>
    <row r="169" spans="5:21" ht="15.75" customHeight="1" x14ac:dyDescent="0.3">
      <c r="E169" s="307">
        <v>24</v>
      </c>
      <c r="G169" s="296">
        <v>68</v>
      </c>
      <c r="H169" s="297">
        <v>68</v>
      </c>
      <c r="I169" s="133">
        <f t="shared" si="2"/>
        <v>0</v>
      </c>
      <c r="J169" s="298" t="s">
        <v>204</v>
      </c>
      <c r="K169" s="298" t="s">
        <v>79</v>
      </c>
      <c r="L169" s="298" t="s">
        <v>1175</v>
      </c>
      <c r="M169" s="297">
        <v>68</v>
      </c>
      <c r="N169" s="298" t="s">
        <v>1176</v>
      </c>
      <c r="O169" s="297">
        <v>68</v>
      </c>
      <c r="P169" s="298" t="s">
        <v>167</v>
      </c>
      <c r="Q169" s="298" t="s">
        <v>168</v>
      </c>
      <c r="R169" s="298"/>
      <c r="S169" s="298" t="s">
        <v>593</v>
      </c>
      <c r="T169" s="298" t="s">
        <v>1167</v>
      </c>
      <c r="U169" s="298" t="s">
        <v>1201</v>
      </c>
    </row>
    <row r="170" spans="5:21" ht="15.75" customHeight="1" x14ac:dyDescent="0.3">
      <c r="E170" s="307">
        <v>40</v>
      </c>
      <c r="G170" s="296">
        <v>6</v>
      </c>
      <c r="H170" s="297">
        <v>6</v>
      </c>
      <c r="I170" s="133">
        <f t="shared" si="2"/>
        <v>0</v>
      </c>
      <c r="J170" s="298" t="s">
        <v>204</v>
      </c>
      <c r="K170" s="298" t="s">
        <v>111</v>
      </c>
      <c r="L170" s="298" t="s">
        <v>1175</v>
      </c>
      <c r="M170" s="297">
        <v>6</v>
      </c>
      <c r="N170" s="298" t="s">
        <v>1176</v>
      </c>
      <c r="O170" s="299"/>
      <c r="P170" s="298" t="s">
        <v>167</v>
      </c>
      <c r="Q170" s="298" t="s">
        <v>168</v>
      </c>
      <c r="R170" s="298"/>
      <c r="S170" s="298" t="s">
        <v>593</v>
      </c>
      <c r="T170" s="298"/>
      <c r="U170" s="298"/>
    </row>
    <row r="171" spans="5:21" ht="15.75" customHeight="1" x14ac:dyDescent="0.3">
      <c r="E171" s="307">
        <v>6</v>
      </c>
      <c r="G171" s="296">
        <v>2</v>
      </c>
      <c r="H171" s="297">
        <v>2</v>
      </c>
      <c r="I171" s="133">
        <f t="shared" si="2"/>
        <v>0</v>
      </c>
      <c r="J171" s="298" t="s">
        <v>204</v>
      </c>
      <c r="K171" s="298" t="s">
        <v>111</v>
      </c>
      <c r="L171" s="298" t="s">
        <v>1175</v>
      </c>
      <c r="M171" s="297">
        <v>2</v>
      </c>
      <c r="N171" s="298" t="s">
        <v>1176</v>
      </c>
      <c r="O171" s="299"/>
      <c r="P171" s="298" t="s">
        <v>250</v>
      </c>
      <c r="Q171" s="298" t="s">
        <v>251</v>
      </c>
      <c r="R171" s="298" t="s">
        <v>8</v>
      </c>
      <c r="S171" s="298" t="s">
        <v>565</v>
      </c>
      <c r="T171" s="298" t="s">
        <v>207</v>
      </c>
      <c r="U171" s="298"/>
    </row>
    <row r="172" spans="5:21" ht="15.75" customHeight="1" x14ac:dyDescent="0.3">
      <c r="E172" s="307">
        <v>3</v>
      </c>
      <c r="G172" s="296">
        <v>3</v>
      </c>
      <c r="H172" s="297">
        <v>3</v>
      </c>
      <c r="I172" s="133">
        <f t="shared" si="2"/>
        <v>0</v>
      </c>
      <c r="J172" s="298" t="s">
        <v>204</v>
      </c>
      <c r="K172" s="298" t="s">
        <v>80</v>
      </c>
      <c r="L172" s="298" t="s">
        <v>1175</v>
      </c>
      <c r="M172" s="297">
        <v>3</v>
      </c>
      <c r="N172" s="298" t="s">
        <v>1176</v>
      </c>
      <c r="O172" s="299"/>
      <c r="P172" s="298" t="s">
        <v>167</v>
      </c>
      <c r="Q172" s="298" t="s">
        <v>168</v>
      </c>
      <c r="R172" s="298"/>
      <c r="S172" s="298" t="s">
        <v>593</v>
      </c>
      <c r="T172" s="298"/>
      <c r="U172" s="298"/>
    </row>
    <row r="173" spans="5:21" ht="15.75" customHeight="1" x14ac:dyDescent="0.3">
      <c r="E173" s="300">
        <v>3</v>
      </c>
      <c r="G173" s="296">
        <v>1</v>
      </c>
      <c r="H173" s="297">
        <v>1</v>
      </c>
      <c r="I173" s="133">
        <f t="shared" si="2"/>
        <v>0</v>
      </c>
      <c r="J173" s="298" t="s">
        <v>204</v>
      </c>
      <c r="K173" s="298" t="s">
        <v>80</v>
      </c>
      <c r="L173" s="298" t="s">
        <v>1175</v>
      </c>
      <c r="M173" s="297">
        <v>1</v>
      </c>
      <c r="N173" s="298" t="s">
        <v>1176</v>
      </c>
      <c r="O173" s="299"/>
      <c r="P173" s="298" t="s">
        <v>250</v>
      </c>
      <c r="Q173" s="298" t="s">
        <v>251</v>
      </c>
      <c r="R173" s="298" t="s">
        <v>8</v>
      </c>
      <c r="S173" s="298" t="s">
        <v>565</v>
      </c>
      <c r="T173" s="298"/>
      <c r="U173" s="298"/>
    </row>
    <row r="174" spans="5:21" ht="15.75" customHeight="1" x14ac:dyDescent="0.3">
      <c r="E174" s="300">
        <v>10</v>
      </c>
      <c r="G174" s="296">
        <v>18</v>
      </c>
      <c r="H174" s="297">
        <v>18</v>
      </c>
      <c r="I174" s="133">
        <f t="shared" si="2"/>
        <v>0</v>
      </c>
      <c r="J174" s="298" t="s">
        <v>382</v>
      </c>
      <c r="K174" s="298" t="s">
        <v>73</v>
      </c>
      <c r="L174" s="298" t="s">
        <v>1174</v>
      </c>
      <c r="M174" s="297">
        <v>18</v>
      </c>
      <c r="N174" s="298" t="s">
        <v>127</v>
      </c>
      <c r="O174" s="297">
        <v>18</v>
      </c>
      <c r="P174" s="298" t="s">
        <v>210</v>
      </c>
      <c r="Q174" s="298" t="s">
        <v>211</v>
      </c>
      <c r="R174" s="298"/>
      <c r="S174" s="298" t="s">
        <v>593</v>
      </c>
      <c r="T174" s="298" t="s">
        <v>1167</v>
      </c>
      <c r="U174" s="298"/>
    </row>
    <row r="175" spans="5:21" ht="15.75" customHeight="1" x14ac:dyDescent="0.3">
      <c r="E175" s="300">
        <v>16</v>
      </c>
      <c r="G175" s="296">
        <v>4</v>
      </c>
      <c r="H175" s="297">
        <v>4</v>
      </c>
      <c r="I175" s="133">
        <f t="shared" si="2"/>
        <v>0</v>
      </c>
      <c r="J175" s="298" t="s">
        <v>382</v>
      </c>
      <c r="K175" s="298" t="s">
        <v>87</v>
      </c>
      <c r="L175" s="298" t="s">
        <v>1174</v>
      </c>
      <c r="M175" s="297">
        <v>4</v>
      </c>
      <c r="N175" s="298" t="s">
        <v>127</v>
      </c>
      <c r="O175" s="299"/>
      <c r="P175" s="298" t="s">
        <v>210</v>
      </c>
      <c r="Q175" s="298" t="s">
        <v>211</v>
      </c>
      <c r="R175" s="298"/>
      <c r="S175" s="298" t="s">
        <v>593</v>
      </c>
      <c r="T175" s="298"/>
      <c r="U175" s="298"/>
    </row>
    <row r="176" spans="5:21" ht="15.75" customHeight="1" x14ac:dyDescent="0.3">
      <c r="E176" s="300">
        <v>2</v>
      </c>
      <c r="G176" s="296">
        <v>1</v>
      </c>
      <c r="H176" s="297">
        <v>1</v>
      </c>
      <c r="I176" s="133">
        <f t="shared" si="2"/>
        <v>0</v>
      </c>
      <c r="J176" s="298" t="s">
        <v>382</v>
      </c>
      <c r="K176" s="298" t="s">
        <v>87</v>
      </c>
      <c r="L176" s="298" t="s">
        <v>1174</v>
      </c>
      <c r="M176" s="297">
        <v>1</v>
      </c>
      <c r="N176" s="298" t="s">
        <v>127</v>
      </c>
      <c r="O176" s="299"/>
      <c r="P176" s="298" t="s">
        <v>250</v>
      </c>
      <c r="Q176" s="298" t="s">
        <v>251</v>
      </c>
      <c r="R176" s="298" t="s">
        <v>8</v>
      </c>
      <c r="S176" s="298" t="s">
        <v>565</v>
      </c>
      <c r="T176" s="298"/>
      <c r="U176" s="298"/>
    </row>
    <row r="177" spans="5:21" ht="15.75" customHeight="1" x14ac:dyDescent="0.3">
      <c r="E177" s="300">
        <v>1</v>
      </c>
      <c r="G177" s="296">
        <v>18</v>
      </c>
      <c r="H177" s="297">
        <v>18</v>
      </c>
      <c r="I177" s="133">
        <f t="shared" si="2"/>
        <v>0</v>
      </c>
      <c r="J177" s="298" t="s">
        <v>382</v>
      </c>
      <c r="K177" s="298" t="s">
        <v>79</v>
      </c>
      <c r="L177" s="298" t="s">
        <v>1174</v>
      </c>
      <c r="M177" s="297">
        <v>18</v>
      </c>
      <c r="N177" s="298" t="s">
        <v>127</v>
      </c>
      <c r="O177" s="297">
        <v>18</v>
      </c>
      <c r="P177" s="298" t="s">
        <v>210</v>
      </c>
      <c r="Q177" s="298" t="s">
        <v>211</v>
      </c>
      <c r="R177" s="298"/>
      <c r="S177" s="298" t="s">
        <v>593</v>
      </c>
      <c r="T177" s="298" t="s">
        <v>1167</v>
      </c>
      <c r="U177" s="298"/>
    </row>
    <row r="178" spans="5:21" ht="15.75" customHeight="1" x14ac:dyDescent="0.3">
      <c r="E178" s="300">
        <v>40</v>
      </c>
      <c r="G178" s="296">
        <v>1</v>
      </c>
      <c r="H178" s="297">
        <v>1</v>
      </c>
      <c r="I178" s="133">
        <f t="shared" si="2"/>
        <v>0</v>
      </c>
      <c r="J178" s="298" t="s">
        <v>382</v>
      </c>
      <c r="K178" s="298" t="s">
        <v>80</v>
      </c>
      <c r="L178" s="298" t="s">
        <v>1174</v>
      </c>
      <c r="M178" s="297">
        <v>1</v>
      </c>
      <c r="N178" s="298" t="s">
        <v>127</v>
      </c>
      <c r="O178" s="299"/>
      <c r="P178" s="298" t="s">
        <v>210</v>
      </c>
      <c r="Q178" s="298" t="s">
        <v>211</v>
      </c>
      <c r="R178" s="298"/>
      <c r="S178" s="298" t="s">
        <v>593</v>
      </c>
      <c r="T178" s="298"/>
      <c r="U178" s="298"/>
    </row>
    <row r="179" spans="5:21" ht="15.75" customHeight="1" x14ac:dyDescent="0.3">
      <c r="E179" s="300">
        <v>68</v>
      </c>
      <c r="G179" s="296">
        <v>16</v>
      </c>
      <c r="H179" s="297">
        <v>16</v>
      </c>
      <c r="I179" s="133">
        <f t="shared" si="2"/>
        <v>0</v>
      </c>
      <c r="J179" s="298" t="s">
        <v>209</v>
      </c>
      <c r="K179" s="298" t="s">
        <v>73</v>
      </c>
      <c r="L179" s="298" t="s">
        <v>1210</v>
      </c>
      <c r="M179" s="297">
        <v>16</v>
      </c>
      <c r="N179" s="298" t="s">
        <v>195</v>
      </c>
      <c r="O179" s="297">
        <v>16</v>
      </c>
      <c r="P179" s="298" t="s">
        <v>210</v>
      </c>
      <c r="Q179" s="298" t="s">
        <v>211</v>
      </c>
      <c r="R179" s="298"/>
      <c r="S179" s="298" t="s">
        <v>593</v>
      </c>
      <c r="T179" s="298" t="s">
        <v>1167</v>
      </c>
      <c r="U179" s="298"/>
    </row>
    <row r="180" spans="5:21" ht="15.75" customHeight="1" x14ac:dyDescent="0.3">
      <c r="E180" s="300">
        <v>6</v>
      </c>
      <c r="G180" s="296">
        <v>16</v>
      </c>
      <c r="H180" s="297">
        <v>16</v>
      </c>
      <c r="I180" s="133">
        <f t="shared" si="2"/>
        <v>0</v>
      </c>
      <c r="J180" s="298" t="s">
        <v>209</v>
      </c>
      <c r="K180" s="298" t="s">
        <v>79</v>
      </c>
      <c r="L180" s="298" t="s">
        <v>1210</v>
      </c>
      <c r="M180" s="297">
        <v>16</v>
      </c>
      <c r="N180" s="298" t="s">
        <v>195</v>
      </c>
      <c r="O180" s="297">
        <v>16</v>
      </c>
      <c r="P180" s="298" t="s">
        <v>210</v>
      </c>
      <c r="Q180" s="298" t="s">
        <v>211</v>
      </c>
      <c r="R180" s="298"/>
      <c r="S180" s="298" t="s">
        <v>593</v>
      </c>
      <c r="T180" s="298" t="s">
        <v>1167</v>
      </c>
      <c r="U180" s="298"/>
    </row>
    <row r="181" spans="5:21" ht="15.75" customHeight="1" x14ac:dyDescent="0.3">
      <c r="E181" s="300">
        <v>2</v>
      </c>
      <c r="G181" s="296">
        <v>16</v>
      </c>
      <c r="H181" s="297">
        <v>16</v>
      </c>
      <c r="I181" s="133">
        <f t="shared" si="2"/>
        <v>0</v>
      </c>
      <c r="J181" s="298" t="s">
        <v>209</v>
      </c>
      <c r="K181" s="298" t="s">
        <v>100</v>
      </c>
      <c r="L181" s="298" t="s">
        <v>1210</v>
      </c>
      <c r="M181" s="297">
        <v>16</v>
      </c>
      <c r="N181" s="298" t="s">
        <v>195</v>
      </c>
      <c r="O181" s="297">
        <v>8</v>
      </c>
      <c r="P181" s="298" t="s">
        <v>210</v>
      </c>
      <c r="Q181" s="298" t="s">
        <v>211</v>
      </c>
      <c r="R181" s="298"/>
      <c r="S181" s="298" t="s">
        <v>593</v>
      </c>
      <c r="T181" s="298" t="s">
        <v>1167</v>
      </c>
      <c r="U181" s="298"/>
    </row>
    <row r="182" spans="5:21" ht="15.75" customHeight="1" x14ac:dyDescent="0.3">
      <c r="E182" s="300">
        <v>3</v>
      </c>
      <c r="G182" s="296">
        <v>4</v>
      </c>
      <c r="H182" s="297">
        <v>4</v>
      </c>
      <c r="I182" s="133">
        <f t="shared" si="2"/>
        <v>0</v>
      </c>
      <c r="J182" s="298" t="s">
        <v>209</v>
      </c>
      <c r="K182" s="298" t="s">
        <v>142</v>
      </c>
      <c r="L182" s="298" t="s">
        <v>1210</v>
      </c>
      <c r="M182" s="297">
        <v>4</v>
      </c>
      <c r="N182" s="298" t="s">
        <v>195</v>
      </c>
      <c r="O182" s="299"/>
      <c r="P182" s="298" t="s">
        <v>210</v>
      </c>
      <c r="Q182" s="298" t="s">
        <v>211</v>
      </c>
      <c r="R182" s="298"/>
      <c r="S182" s="298" t="s">
        <v>593</v>
      </c>
      <c r="T182" s="298" t="s">
        <v>1167</v>
      </c>
      <c r="U182" s="298"/>
    </row>
    <row r="183" spans="5:21" ht="15.75" customHeight="1" x14ac:dyDescent="0.3">
      <c r="E183" s="300">
        <v>1</v>
      </c>
      <c r="G183" s="296">
        <v>2</v>
      </c>
      <c r="H183" s="297">
        <v>2</v>
      </c>
      <c r="I183" s="133">
        <f t="shared" si="2"/>
        <v>0</v>
      </c>
      <c r="J183" s="298" t="s">
        <v>209</v>
      </c>
      <c r="K183" s="298" t="s">
        <v>142</v>
      </c>
      <c r="L183" s="298" t="s">
        <v>1210</v>
      </c>
      <c r="M183" s="297">
        <v>2</v>
      </c>
      <c r="N183" s="298" t="s">
        <v>195</v>
      </c>
      <c r="O183" s="299"/>
      <c r="P183" s="298" t="s">
        <v>250</v>
      </c>
      <c r="Q183" s="298" t="s">
        <v>251</v>
      </c>
      <c r="R183" s="298" t="s">
        <v>8</v>
      </c>
      <c r="S183" s="298" t="s">
        <v>565</v>
      </c>
      <c r="T183" s="298" t="s">
        <v>1167</v>
      </c>
      <c r="U183" s="298"/>
    </row>
    <row r="184" spans="5:21" ht="15.75" customHeight="1" x14ac:dyDescent="0.3">
      <c r="E184" s="300">
        <v>18</v>
      </c>
      <c r="G184" s="296">
        <v>1</v>
      </c>
      <c r="H184" s="297">
        <v>1</v>
      </c>
      <c r="I184" s="133">
        <f t="shared" si="2"/>
        <v>0</v>
      </c>
      <c r="J184" s="298" t="s">
        <v>209</v>
      </c>
      <c r="K184" s="298" t="s">
        <v>80</v>
      </c>
      <c r="L184" s="298" t="s">
        <v>1210</v>
      </c>
      <c r="M184" s="297">
        <v>1</v>
      </c>
      <c r="N184" s="298" t="s">
        <v>195</v>
      </c>
      <c r="O184" s="299"/>
      <c r="P184" s="298" t="s">
        <v>210</v>
      </c>
      <c r="Q184" s="298" t="s">
        <v>211</v>
      </c>
      <c r="R184" s="298"/>
      <c r="S184" s="298" t="s">
        <v>593</v>
      </c>
      <c r="T184" s="298" t="s">
        <v>1167</v>
      </c>
      <c r="U184" s="298"/>
    </row>
    <row r="185" spans="5:21" ht="15.75" customHeight="1" x14ac:dyDescent="0.3">
      <c r="E185" s="300">
        <v>4</v>
      </c>
      <c r="G185" s="296">
        <v>16</v>
      </c>
      <c r="H185" s="297">
        <v>16</v>
      </c>
      <c r="I185" s="133">
        <f t="shared" si="2"/>
        <v>0</v>
      </c>
      <c r="J185" s="298" t="s">
        <v>212</v>
      </c>
      <c r="K185" s="298" t="s">
        <v>73</v>
      </c>
      <c r="L185" s="298" t="s">
        <v>1210</v>
      </c>
      <c r="M185" s="297">
        <v>16</v>
      </c>
      <c r="N185" s="298" t="s">
        <v>195</v>
      </c>
      <c r="O185" s="297">
        <v>16</v>
      </c>
      <c r="P185" s="298" t="s">
        <v>210</v>
      </c>
      <c r="Q185" s="298" t="s">
        <v>211</v>
      </c>
      <c r="R185" s="298"/>
      <c r="S185" s="298" t="s">
        <v>593</v>
      </c>
      <c r="T185" s="298" t="s">
        <v>1167</v>
      </c>
      <c r="U185" s="298" t="s">
        <v>191</v>
      </c>
    </row>
    <row r="186" spans="5:21" ht="15.75" customHeight="1" x14ac:dyDescent="0.3">
      <c r="E186" s="300">
        <v>1</v>
      </c>
      <c r="G186" s="296">
        <v>4</v>
      </c>
      <c r="H186" s="297">
        <v>4</v>
      </c>
      <c r="I186" s="133">
        <f t="shared" si="2"/>
        <v>0</v>
      </c>
      <c r="J186" s="298" t="s">
        <v>212</v>
      </c>
      <c r="K186" s="298" t="s">
        <v>87</v>
      </c>
      <c r="L186" s="298" t="s">
        <v>1210</v>
      </c>
      <c r="M186" s="297">
        <v>4</v>
      </c>
      <c r="N186" s="298" t="s">
        <v>195</v>
      </c>
      <c r="O186" s="299"/>
      <c r="P186" s="298" t="s">
        <v>210</v>
      </c>
      <c r="Q186" s="298" t="s">
        <v>211</v>
      </c>
      <c r="R186" s="298"/>
      <c r="S186" s="298" t="s">
        <v>593</v>
      </c>
      <c r="T186" s="298" t="s">
        <v>1167</v>
      </c>
      <c r="U186" s="298" t="s">
        <v>191</v>
      </c>
    </row>
    <row r="187" spans="5:21" ht="15.75" customHeight="1" x14ac:dyDescent="0.3">
      <c r="E187" s="300">
        <v>18</v>
      </c>
      <c r="G187" s="296">
        <v>2</v>
      </c>
      <c r="H187" s="297">
        <v>2</v>
      </c>
      <c r="I187" s="133">
        <f t="shared" si="2"/>
        <v>0</v>
      </c>
      <c r="J187" s="298" t="s">
        <v>212</v>
      </c>
      <c r="K187" s="298" t="s">
        <v>87</v>
      </c>
      <c r="L187" s="298" t="s">
        <v>1210</v>
      </c>
      <c r="M187" s="297">
        <v>2</v>
      </c>
      <c r="N187" s="298" t="s">
        <v>195</v>
      </c>
      <c r="O187" s="299"/>
      <c r="P187" s="298" t="s">
        <v>250</v>
      </c>
      <c r="Q187" s="298" t="s">
        <v>251</v>
      </c>
      <c r="R187" s="298" t="s">
        <v>8</v>
      </c>
      <c r="S187" s="298" t="s">
        <v>565</v>
      </c>
      <c r="T187" s="298"/>
      <c r="U187" s="298"/>
    </row>
    <row r="188" spans="5:21" ht="15.75" customHeight="1" x14ac:dyDescent="0.3">
      <c r="E188" s="300">
        <v>1</v>
      </c>
      <c r="G188" s="296">
        <v>32</v>
      </c>
      <c r="H188" s="297">
        <v>32</v>
      </c>
      <c r="I188" s="133">
        <f t="shared" si="2"/>
        <v>0</v>
      </c>
      <c r="J188" s="298" t="s">
        <v>212</v>
      </c>
      <c r="K188" s="298" t="s">
        <v>79</v>
      </c>
      <c r="L188" s="298" t="s">
        <v>1210</v>
      </c>
      <c r="M188" s="297">
        <v>32</v>
      </c>
      <c r="N188" s="298" t="s">
        <v>195</v>
      </c>
      <c r="O188" s="297">
        <v>32</v>
      </c>
      <c r="P188" s="298" t="s">
        <v>210</v>
      </c>
      <c r="Q188" s="298" t="s">
        <v>211</v>
      </c>
      <c r="R188" s="298"/>
      <c r="S188" s="298" t="s">
        <v>593</v>
      </c>
      <c r="T188" s="298" t="s">
        <v>1167</v>
      </c>
      <c r="U188" s="298" t="s">
        <v>191</v>
      </c>
    </row>
    <row r="189" spans="5:21" ht="15.75" customHeight="1" x14ac:dyDescent="0.3">
      <c r="E189" s="300">
        <v>16</v>
      </c>
      <c r="G189" s="296">
        <v>16</v>
      </c>
      <c r="H189" s="297">
        <v>16</v>
      </c>
      <c r="I189" s="133">
        <f t="shared" si="2"/>
        <v>0</v>
      </c>
      <c r="J189" s="298" t="s">
        <v>212</v>
      </c>
      <c r="K189" s="298" t="s">
        <v>100</v>
      </c>
      <c r="L189" s="298" t="s">
        <v>1210</v>
      </c>
      <c r="M189" s="297">
        <v>16</v>
      </c>
      <c r="N189" s="298" t="s">
        <v>195</v>
      </c>
      <c r="O189" s="297">
        <v>8</v>
      </c>
      <c r="P189" s="298" t="s">
        <v>210</v>
      </c>
      <c r="Q189" s="298" t="s">
        <v>211</v>
      </c>
      <c r="R189" s="298"/>
      <c r="S189" s="298" t="s">
        <v>593</v>
      </c>
      <c r="T189" s="298" t="s">
        <v>1167</v>
      </c>
      <c r="U189" s="298" t="s">
        <v>191</v>
      </c>
    </row>
    <row r="190" spans="5:21" ht="15.75" customHeight="1" x14ac:dyDescent="0.3">
      <c r="E190" s="300">
        <v>16</v>
      </c>
      <c r="G190" s="296">
        <v>1</v>
      </c>
      <c r="H190" s="297">
        <v>1</v>
      </c>
      <c r="I190" s="133">
        <f t="shared" si="2"/>
        <v>0</v>
      </c>
      <c r="J190" s="298" t="s">
        <v>212</v>
      </c>
      <c r="K190" s="298" t="s">
        <v>80</v>
      </c>
      <c r="L190" s="298" t="s">
        <v>1210</v>
      </c>
      <c r="M190" s="297">
        <v>1</v>
      </c>
      <c r="N190" s="298" t="s">
        <v>195</v>
      </c>
      <c r="O190" s="299"/>
      <c r="P190" s="298" t="s">
        <v>210</v>
      </c>
      <c r="Q190" s="298" t="s">
        <v>211</v>
      </c>
      <c r="R190" s="298"/>
      <c r="S190" s="298" t="s">
        <v>593</v>
      </c>
      <c r="T190" s="298" t="s">
        <v>1167</v>
      </c>
      <c r="U190" s="298" t="s">
        <v>191</v>
      </c>
    </row>
    <row r="191" spans="5:21" ht="15.75" customHeight="1" x14ac:dyDescent="0.3">
      <c r="E191" s="300">
        <v>16</v>
      </c>
      <c r="G191" s="296">
        <v>24</v>
      </c>
      <c r="H191" s="297">
        <v>24</v>
      </c>
      <c r="I191" s="133">
        <f t="shared" si="2"/>
        <v>0</v>
      </c>
      <c r="J191" s="298" t="s">
        <v>213</v>
      </c>
      <c r="K191" s="298" t="s">
        <v>73</v>
      </c>
      <c r="L191" s="298" t="s">
        <v>1210</v>
      </c>
      <c r="M191" s="297">
        <v>24</v>
      </c>
      <c r="N191" s="298" t="s">
        <v>195</v>
      </c>
      <c r="O191" s="297">
        <v>24</v>
      </c>
      <c r="P191" s="298" t="s">
        <v>91</v>
      </c>
      <c r="Q191" s="298" t="s">
        <v>92</v>
      </c>
      <c r="R191" s="298"/>
      <c r="S191" s="298" t="s">
        <v>593</v>
      </c>
      <c r="T191" s="298" t="s">
        <v>205</v>
      </c>
      <c r="U191" s="298" t="s">
        <v>1169</v>
      </c>
    </row>
    <row r="192" spans="5:21" ht="15.75" customHeight="1" x14ac:dyDescent="0.3">
      <c r="E192" s="300">
        <v>4</v>
      </c>
      <c r="G192" s="296">
        <v>4</v>
      </c>
      <c r="H192" s="297">
        <v>4</v>
      </c>
      <c r="I192" s="133">
        <f t="shared" si="2"/>
        <v>0</v>
      </c>
      <c r="J192" s="298" t="s">
        <v>213</v>
      </c>
      <c r="K192" s="298" t="s">
        <v>87</v>
      </c>
      <c r="L192" s="298" t="s">
        <v>1210</v>
      </c>
      <c r="M192" s="297">
        <v>4</v>
      </c>
      <c r="N192" s="298" t="s">
        <v>195</v>
      </c>
      <c r="O192" s="299"/>
      <c r="P192" s="298" t="s">
        <v>91</v>
      </c>
      <c r="Q192" s="298" t="s">
        <v>92</v>
      </c>
      <c r="R192" s="298"/>
      <c r="S192" s="298" t="s">
        <v>593</v>
      </c>
      <c r="T192" s="298"/>
      <c r="U192" s="298" t="s">
        <v>1169</v>
      </c>
    </row>
    <row r="193" spans="5:21" ht="15.75" customHeight="1" x14ac:dyDescent="0.3">
      <c r="E193" s="300">
        <v>2</v>
      </c>
      <c r="G193" s="296">
        <v>2</v>
      </c>
      <c r="H193" s="297">
        <v>2</v>
      </c>
      <c r="I193" s="133">
        <f t="shared" si="2"/>
        <v>0</v>
      </c>
      <c r="J193" s="298" t="s">
        <v>213</v>
      </c>
      <c r="K193" s="298" t="s">
        <v>87</v>
      </c>
      <c r="L193" s="298" t="s">
        <v>1210</v>
      </c>
      <c r="M193" s="297">
        <v>2</v>
      </c>
      <c r="N193" s="298" t="s">
        <v>195</v>
      </c>
      <c r="O193" s="299"/>
      <c r="P193" s="298" t="s">
        <v>250</v>
      </c>
      <c r="Q193" s="298" t="s">
        <v>251</v>
      </c>
      <c r="R193" s="298" t="s">
        <v>8</v>
      </c>
      <c r="S193" s="298" t="s">
        <v>565</v>
      </c>
      <c r="T193" s="298"/>
      <c r="U193" s="298" t="s">
        <v>197</v>
      </c>
    </row>
    <row r="194" spans="5:21" ht="15.75" customHeight="1" x14ac:dyDescent="0.3">
      <c r="E194" s="300">
        <v>1</v>
      </c>
      <c r="G194" s="296">
        <v>40</v>
      </c>
      <c r="H194" s="297">
        <v>40</v>
      </c>
      <c r="I194" s="133">
        <f t="shared" ref="I194:I257" si="3">G194-H194</f>
        <v>0</v>
      </c>
      <c r="J194" s="298" t="s">
        <v>213</v>
      </c>
      <c r="K194" s="298" t="s">
        <v>79</v>
      </c>
      <c r="L194" s="298" t="s">
        <v>1210</v>
      </c>
      <c r="M194" s="297">
        <v>40</v>
      </c>
      <c r="N194" s="298" t="s">
        <v>195</v>
      </c>
      <c r="O194" s="297">
        <v>40</v>
      </c>
      <c r="P194" s="298" t="s">
        <v>91</v>
      </c>
      <c r="Q194" s="298" t="s">
        <v>92</v>
      </c>
      <c r="R194" s="298"/>
      <c r="S194" s="298" t="s">
        <v>593</v>
      </c>
      <c r="T194" s="298" t="s">
        <v>206</v>
      </c>
      <c r="U194" s="298" t="s">
        <v>1169</v>
      </c>
    </row>
    <row r="195" spans="5:21" ht="15.75" customHeight="1" x14ac:dyDescent="0.3">
      <c r="E195" s="300">
        <v>16</v>
      </c>
      <c r="G195" s="296">
        <v>1</v>
      </c>
      <c r="H195" s="297">
        <v>1</v>
      </c>
      <c r="I195" s="133">
        <f t="shared" si="3"/>
        <v>0</v>
      </c>
      <c r="J195" s="298" t="s">
        <v>213</v>
      </c>
      <c r="K195" s="298" t="s">
        <v>80</v>
      </c>
      <c r="L195" s="298" t="s">
        <v>1210</v>
      </c>
      <c r="M195" s="297">
        <v>1</v>
      </c>
      <c r="N195" s="298" t="s">
        <v>195</v>
      </c>
      <c r="O195" s="299"/>
      <c r="P195" s="298" t="s">
        <v>91</v>
      </c>
      <c r="Q195" s="298" t="s">
        <v>92</v>
      </c>
      <c r="R195" s="298"/>
      <c r="S195" s="298" t="s">
        <v>593</v>
      </c>
      <c r="T195" s="298"/>
      <c r="U195" s="298" t="s">
        <v>1169</v>
      </c>
    </row>
    <row r="196" spans="5:21" ht="15.75" customHeight="1" x14ac:dyDescent="0.3">
      <c r="E196" s="300">
        <v>4</v>
      </c>
      <c r="G196" s="296">
        <v>32</v>
      </c>
      <c r="H196" s="297">
        <v>32</v>
      </c>
      <c r="I196" s="133">
        <f t="shared" si="3"/>
        <v>0</v>
      </c>
      <c r="J196" s="298" t="s">
        <v>216</v>
      </c>
      <c r="K196" s="298" t="s">
        <v>73</v>
      </c>
      <c r="L196" s="298" t="s">
        <v>1210</v>
      </c>
      <c r="M196" s="297">
        <v>32</v>
      </c>
      <c r="N196" s="298" t="s">
        <v>195</v>
      </c>
      <c r="O196" s="297">
        <v>32</v>
      </c>
      <c r="P196" s="298" t="s">
        <v>179</v>
      </c>
      <c r="Q196" s="298" t="s">
        <v>180</v>
      </c>
      <c r="R196" s="298"/>
      <c r="S196" s="298" t="s">
        <v>593</v>
      </c>
      <c r="T196" s="298" t="s">
        <v>205</v>
      </c>
      <c r="U196" s="298" t="s">
        <v>1212</v>
      </c>
    </row>
    <row r="197" spans="5:21" ht="15.75" customHeight="1" x14ac:dyDescent="0.3">
      <c r="E197" s="300">
        <v>2</v>
      </c>
      <c r="G197" s="296">
        <v>32</v>
      </c>
      <c r="H197" s="297">
        <v>32</v>
      </c>
      <c r="I197" s="133">
        <f t="shared" si="3"/>
        <v>0</v>
      </c>
      <c r="J197" s="298" t="s">
        <v>216</v>
      </c>
      <c r="K197" s="298" t="s">
        <v>79</v>
      </c>
      <c r="L197" s="298" t="s">
        <v>1210</v>
      </c>
      <c r="M197" s="297">
        <v>32</v>
      </c>
      <c r="N197" s="298" t="s">
        <v>195</v>
      </c>
      <c r="O197" s="297">
        <v>32</v>
      </c>
      <c r="P197" s="298" t="s">
        <v>179</v>
      </c>
      <c r="Q197" s="298" t="s">
        <v>180</v>
      </c>
      <c r="R197" s="298"/>
      <c r="S197" s="298" t="s">
        <v>593</v>
      </c>
      <c r="T197" s="298" t="s">
        <v>206</v>
      </c>
      <c r="U197" s="298" t="s">
        <v>1212</v>
      </c>
    </row>
    <row r="198" spans="5:21" ht="15.75" customHeight="1" x14ac:dyDescent="0.3">
      <c r="E198" s="300">
        <v>32</v>
      </c>
      <c r="G198" s="296">
        <v>6</v>
      </c>
      <c r="H198" s="297">
        <v>6</v>
      </c>
      <c r="I198" s="133">
        <f t="shared" si="3"/>
        <v>0</v>
      </c>
      <c r="J198" s="298" t="s">
        <v>216</v>
      </c>
      <c r="K198" s="298" t="s">
        <v>111</v>
      </c>
      <c r="L198" s="298" t="s">
        <v>1210</v>
      </c>
      <c r="M198" s="297">
        <v>6</v>
      </c>
      <c r="N198" s="298" t="s">
        <v>195</v>
      </c>
      <c r="O198" s="299"/>
      <c r="P198" s="298" t="s">
        <v>179</v>
      </c>
      <c r="Q198" s="298" t="s">
        <v>180</v>
      </c>
      <c r="R198" s="298"/>
      <c r="S198" s="298" t="s">
        <v>593</v>
      </c>
      <c r="T198" s="298"/>
      <c r="U198" s="298"/>
    </row>
    <row r="199" spans="5:21" ht="15.75" customHeight="1" x14ac:dyDescent="0.3">
      <c r="E199" s="300">
        <v>16</v>
      </c>
      <c r="G199" s="296">
        <v>3</v>
      </c>
      <c r="H199" s="297">
        <v>3</v>
      </c>
      <c r="I199" s="133">
        <f t="shared" si="3"/>
        <v>0</v>
      </c>
      <c r="J199" s="298" t="s">
        <v>216</v>
      </c>
      <c r="K199" s="298" t="s">
        <v>111</v>
      </c>
      <c r="L199" s="298" t="s">
        <v>1210</v>
      </c>
      <c r="M199" s="297">
        <v>3</v>
      </c>
      <c r="N199" s="298" t="s">
        <v>195</v>
      </c>
      <c r="O199" s="299"/>
      <c r="P199" s="298" t="s">
        <v>250</v>
      </c>
      <c r="Q199" s="298" t="s">
        <v>251</v>
      </c>
      <c r="R199" s="298" t="s">
        <v>8</v>
      </c>
      <c r="S199" s="298" t="s">
        <v>565</v>
      </c>
      <c r="T199" s="298"/>
      <c r="U199" s="298" t="s">
        <v>181</v>
      </c>
    </row>
    <row r="200" spans="5:21" ht="15.75" customHeight="1" x14ac:dyDescent="0.3">
      <c r="E200" s="300">
        <v>1</v>
      </c>
      <c r="G200" s="296">
        <v>4</v>
      </c>
      <c r="H200" s="297">
        <v>4</v>
      </c>
      <c r="I200" s="133">
        <f t="shared" si="3"/>
        <v>0</v>
      </c>
      <c r="J200" s="298" t="s">
        <v>216</v>
      </c>
      <c r="K200" s="298" t="s">
        <v>80</v>
      </c>
      <c r="L200" s="298" t="s">
        <v>1210</v>
      </c>
      <c r="M200" s="297">
        <v>4</v>
      </c>
      <c r="N200" s="298" t="s">
        <v>195</v>
      </c>
      <c r="O200" s="299"/>
      <c r="P200" s="298" t="s">
        <v>179</v>
      </c>
      <c r="Q200" s="298" t="s">
        <v>180</v>
      </c>
      <c r="R200" s="298"/>
      <c r="S200" s="298" t="s">
        <v>593</v>
      </c>
      <c r="T200" s="298"/>
      <c r="U200" s="298"/>
    </row>
    <row r="201" spans="5:21" ht="15.75" customHeight="1" x14ac:dyDescent="0.3">
      <c r="E201" s="300">
        <v>24</v>
      </c>
      <c r="G201" s="296">
        <v>24</v>
      </c>
      <c r="H201" s="297">
        <v>24</v>
      </c>
      <c r="I201" s="133">
        <f t="shared" si="3"/>
        <v>0</v>
      </c>
      <c r="J201" s="298" t="s">
        <v>217</v>
      </c>
      <c r="K201" s="298" t="s">
        <v>73</v>
      </c>
      <c r="L201" s="298" t="s">
        <v>1210</v>
      </c>
      <c r="M201" s="297">
        <v>24</v>
      </c>
      <c r="N201" s="298" t="s">
        <v>195</v>
      </c>
      <c r="O201" s="297">
        <v>24</v>
      </c>
      <c r="P201" s="298" t="s">
        <v>128</v>
      </c>
      <c r="Q201" s="298" t="s">
        <v>129</v>
      </c>
      <c r="R201" s="298"/>
      <c r="S201" s="298" t="s">
        <v>593</v>
      </c>
      <c r="T201" s="298" t="s">
        <v>1167</v>
      </c>
      <c r="U201" s="298" t="s">
        <v>1186</v>
      </c>
    </row>
    <row r="202" spans="5:21" ht="15.75" customHeight="1" x14ac:dyDescent="0.3">
      <c r="E202" s="300">
        <v>4</v>
      </c>
      <c r="G202" s="296">
        <v>40</v>
      </c>
      <c r="H202" s="297">
        <v>40</v>
      </c>
      <c r="I202" s="133">
        <f t="shared" si="3"/>
        <v>0</v>
      </c>
      <c r="J202" s="298" t="s">
        <v>217</v>
      </c>
      <c r="K202" s="298" t="s">
        <v>79</v>
      </c>
      <c r="L202" s="298" t="s">
        <v>1210</v>
      </c>
      <c r="M202" s="297">
        <v>40</v>
      </c>
      <c r="N202" s="298" t="s">
        <v>195</v>
      </c>
      <c r="O202" s="297">
        <v>40</v>
      </c>
      <c r="P202" s="298" t="s">
        <v>128</v>
      </c>
      <c r="Q202" s="298" t="s">
        <v>129</v>
      </c>
      <c r="R202" s="298"/>
      <c r="S202" s="298" t="s">
        <v>593</v>
      </c>
      <c r="T202" s="298" t="s">
        <v>1167</v>
      </c>
      <c r="U202" s="298" t="s">
        <v>1186</v>
      </c>
    </row>
    <row r="203" spans="5:21" ht="15.75" customHeight="1" x14ac:dyDescent="0.3">
      <c r="E203" s="300">
        <v>2</v>
      </c>
      <c r="G203" s="296">
        <v>16</v>
      </c>
      <c r="H203" s="297">
        <v>16</v>
      </c>
      <c r="I203" s="133">
        <f t="shared" si="3"/>
        <v>0</v>
      </c>
      <c r="J203" s="298" t="s">
        <v>217</v>
      </c>
      <c r="K203" s="298" t="s">
        <v>100</v>
      </c>
      <c r="L203" s="298" t="s">
        <v>1210</v>
      </c>
      <c r="M203" s="297">
        <v>16</v>
      </c>
      <c r="N203" s="298" t="s">
        <v>195</v>
      </c>
      <c r="O203" s="297">
        <v>8</v>
      </c>
      <c r="P203" s="298" t="s">
        <v>128</v>
      </c>
      <c r="Q203" s="298" t="s">
        <v>129</v>
      </c>
      <c r="R203" s="298"/>
      <c r="S203" s="298" t="s">
        <v>593</v>
      </c>
      <c r="T203" s="298" t="s">
        <v>1167</v>
      </c>
      <c r="U203" s="298" t="s">
        <v>1186</v>
      </c>
    </row>
    <row r="204" spans="5:21" ht="15.75" customHeight="1" x14ac:dyDescent="0.3">
      <c r="E204" s="300">
        <v>40</v>
      </c>
      <c r="G204" s="296">
        <v>6</v>
      </c>
      <c r="H204" s="297">
        <v>6</v>
      </c>
      <c r="I204" s="133">
        <f t="shared" si="3"/>
        <v>0</v>
      </c>
      <c r="J204" s="298" t="s">
        <v>217</v>
      </c>
      <c r="K204" s="298" t="s">
        <v>111</v>
      </c>
      <c r="L204" s="298" t="s">
        <v>1210</v>
      </c>
      <c r="M204" s="297">
        <v>6</v>
      </c>
      <c r="N204" s="298" t="s">
        <v>195</v>
      </c>
      <c r="O204" s="299"/>
      <c r="P204" s="298" t="s">
        <v>128</v>
      </c>
      <c r="Q204" s="298" t="s">
        <v>129</v>
      </c>
      <c r="R204" s="298"/>
      <c r="S204" s="298" t="s">
        <v>593</v>
      </c>
      <c r="T204" s="298"/>
      <c r="U204" s="298"/>
    </row>
    <row r="205" spans="5:21" ht="15.75" customHeight="1" x14ac:dyDescent="0.3">
      <c r="E205" s="300">
        <v>1</v>
      </c>
      <c r="G205" s="296">
        <v>3</v>
      </c>
      <c r="H205" s="297">
        <v>3</v>
      </c>
      <c r="I205" s="133">
        <f t="shared" si="3"/>
        <v>0</v>
      </c>
      <c r="J205" s="298" t="s">
        <v>217</v>
      </c>
      <c r="K205" s="298" t="s">
        <v>111</v>
      </c>
      <c r="L205" s="298" t="s">
        <v>1210</v>
      </c>
      <c r="M205" s="297">
        <v>3</v>
      </c>
      <c r="N205" s="298" t="s">
        <v>195</v>
      </c>
      <c r="O205" s="299"/>
      <c r="P205" s="298" t="s">
        <v>250</v>
      </c>
      <c r="Q205" s="298" t="s">
        <v>251</v>
      </c>
      <c r="R205" s="298" t="s">
        <v>8</v>
      </c>
      <c r="S205" s="298" t="s">
        <v>565</v>
      </c>
      <c r="T205" s="298" t="s">
        <v>1167</v>
      </c>
      <c r="U205" s="298" t="s">
        <v>431</v>
      </c>
    </row>
    <row r="206" spans="5:21" ht="15.75" customHeight="1" x14ac:dyDescent="0.3">
      <c r="E206" s="300">
        <v>32</v>
      </c>
      <c r="G206" s="296">
        <v>3</v>
      </c>
      <c r="H206" s="297">
        <v>3</v>
      </c>
      <c r="I206" s="133">
        <f t="shared" si="3"/>
        <v>0</v>
      </c>
      <c r="J206" s="298" t="s">
        <v>217</v>
      </c>
      <c r="K206" s="298" t="s">
        <v>80</v>
      </c>
      <c r="L206" s="298" t="s">
        <v>1210</v>
      </c>
      <c r="M206" s="297">
        <v>3</v>
      </c>
      <c r="N206" s="298" t="s">
        <v>195</v>
      </c>
      <c r="O206" s="299"/>
      <c r="P206" s="298" t="s">
        <v>128</v>
      </c>
      <c r="Q206" s="298" t="s">
        <v>129</v>
      </c>
      <c r="R206" s="298"/>
      <c r="S206" s="298" t="s">
        <v>593</v>
      </c>
      <c r="T206" s="298"/>
      <c r="U206" s="298"/>
    </row>
    <row r="207" spans="5:21" ht="15.75" customHeight="1" x14ac:dyDescent="0.3">
      <c r="E207" s="300">
        <v>32</v>
      </c>
      <c r="G207" s="296">
        <v>18</v>
      </c>
      <c r="H207" s="297">
        <v>18</v>
      </c>
      <c r="I207" s="133">
        <f t="shared" si="3"/>
        <v>0</v>
      </c>
      <c r="J207" s="298" t="s">
        <v>218</v>
      </c>
      <c r="K207" s="298" t="s">
        <v>73</v>
      </c>
      <c r="L207" s="298" t="s">
        <v>1175</v>
      </c>
      <c r="M207" s="297">
        <v>18</v>
      </c>
      <c r="N207" s="298" t="s">
        <v>1176</v>
      </c>
      <c r="O207" s="297">
        <v>18</v>
      </c>
      <c r="P207" s="298" t="s">
        <v>200</v>
      </c>
      <c r="Q207" s="298" t="s">
        <v>201</v>
      </c>
      <c r="R207" s="298"/>
      <c r="S207" s="298" t="s">
        <v>593</v>
      </c>
      <c r="T207" s="298" t="s">
        <v>1167</v>
      </c>
      <c r="U207" s="298" t="s">
        <v>1211</v>
      </c>
    </row>
    <row r="208" spans="5:21" ht="15.75" customHeight="1" x14ac:dyDescent="0.3">
      <c r="E208" s="300">
        <v>6</v>
      </c>
      <c r="G208" s="296">
        <v>32</v>
      </c>
      <c r="H208" s="297">
        <v>32</v>
      </c>
      <c r="I208" s="133">
        <f t="shared" si="3"/>
        <v>0</v>
      </c>
      <c r="J208" s="298" t="s">
        <v>218</v>
      </c>
      <c r="K208" s="298" t="s">
        <v>100</v>
      </c>
      <c r="L208" s="298" t="s">
        <v>1175</v>
      </c>
      <c r="M208" s="297">
        <v>32</v>
      </c>
      <c r="N208" s="298" t="s">
        <v>1176</v>
      </c>
      <c r="O208" s="297">
        <v>32</v>
      </c>
      <c r="P208" s="298" t="s">
        <v>200</v>
      </c>
      <c r="Q208" s="298" t="s">
        <v>201</v>
      </c>
      <c r="R208" s="298"/>
      <c r="S208" s="298" t="s">
        <v>593</v>
      </c>
      <c r="T208" s="298" t="s">
        <v>1167</v>
      </c>
      <c r="U208" s="298" t="s">
        <v>1211</v>
      </c>
    </row>
    <row r="209" spans="5:21" ht="15.75" customHeight="1" x14ac:dyDescent="0.3">
      <c r="E209" s="300">
        <v>3</v>
      </c>
      <c r="G209" s="296">
        <v>4</v>
      </c>
      <c r="H209" s="297">
        <v>4</v>
      </c>
      <c r="I209" s="133">
        <f t="shared" si="3"/>
        <v>0</v>
      </c>
      <c r="J209" s="298" t="s">
        <v>218</v>
      </c>
      <c r="K209" s="298" t="s">
        <v>142</v>
      </c>
      <c r="L209" s="298" t="s">
        <v>1175</v>
      </c>
      <c r="M209" s="297">
        <v>4</v>
      </c>
      <c r="N209" s="298" t="s">
        <v>1176</v>
      </c>
      <c r="O209" s="299"/>
      <c r="P209" s="298" t="s">
        <v>200</v>
      </c>
      <c r="Q209" s="298" t="s">
        <v>201</v>
      </c>
      <c r="R209" s="298"/>
      <c r="S209" s="298" t="s">
        <v>593</v>
      </c>
      <c r="T209" s="298"/>
      <c r="U209" s="298"/>
    </row>
    <row r="210" spans="5:21" ht="15.75" customHeight="1" x14ac:dyDescent="0.3">
      <c r="E210" s="300">
        <v>4</v>
      </c>
      <c r="G210" s="296">
        <v>1</v>
      </c>
      <c r="H210" s="297">
        <v>1</v>
      </c>
      <c r="I210" s="133">
        <f t="shared" si="3"/>
        <v>0</v>
      </c>
      <c r="J210" s="298" t="s">
        <v>218</v>
      </c>
      <c r="K210" s="298" t="s">
        <v>142</v>
      </c>
      <c r="L210" s="298" t="s">
        <v>1175</v>
      </c>
      <c r="M210" s="297">
        <v>1</v>
      </c>
      <c r="N210" s="298" t="s">
        <v>1176</v>
      </c>
      <c r="O210" s="299"/>
      <c r="P210" s="298" t="s">
        <v>250</v>
      </c>
      <c r="Q210" s="298" t="s">
        <v>251</v>
      </c>
      <c r="R210" s="298" t="s">
        <v>8</v>
      </c>
      <c r="S210" s="298" t="s">
        <v>565</v>
      </c>
      <c r="T210" s="298"/>
      <c r="U210" s="298"/>
    </row>
    <row r="211" spans="5:21" ht="15.75" customHeight="1" x14ac:dyDescent="0.3">
      <c r="E211" s="300">
        <v>24</v>
      </c>
      <c r="G211" s="296">
        <v>1</v>
      </c>
      <c r="H211" s="297">
        <v>1</v>
      </c>
      <c r="I211" s="133">
        <f t="shared" si="3"/>
        <v>0</v>
      </c>
      <c r="J211" s="298" t="s">
        <v>218</v>
      </c>
      <c r="K211" s="298" t="s">
        <v>80</v>
      </c>
      <c r="L211" s="298" t="s">
        <v>1175</v>
      </c>
      <c r="M211" s="297">
        <v>1</v>
      </c>
      <c r="N211" s="298" t="s">
        <v>1176</v>
      </c>
      <c r="O211" s="299"/>
      <c r="P211" s="298" t="s">
        <v>200</v>
      </c>
      <c r="Q211" s="298" t="s">
        <v>201</v>
      </c>
      <c r="R211" s="298"/>
      <c r="S211" s="298" t="s">
        <v>593</v>
      </c>
      <c r="T211" s="298"/>
      <c r="U211" s="298"/>
    </row>
    <row r="212" spans="5:21" ht="15.75" customHeight="1" x14ac:dyDescent="0.3">
      <c r="E212" s="300">
        <v>40</v>
      </c>
      <c r="G212" s="296">
        <v>18</v>
      </c>
      <c r="H212" s="297">
        <v>18</v>
      </c>
      <c r="I212" s="133">
        <f t="shared" si="3"/>
        <v>0</v>
      </c>
      <c r="J212" s="298" t="s">
        <v>383</v>
      </c>
      <c r="K212" s="298" t="s">
        <v>73</v>
      </c>
      <c r="L212" s="298" t="s">
        <v>1165</v>
      </c>
      <c r="M212" s="297">
        <v>18</v>
      </c>
      <c r="N212" s="298" t="s">
        <v>221</v>
      </c>
      <c r="O212" s="297">
        <v>18</v>
      </c>
      <c r="P212" s="298" t="s">
        <v>167</v>
      </c>
      <c r="Q212" s="298" t="s">
        <v>168</v>
      </c>
      <c r="R212" s="298"/>
      <c r="S212" s="298" t="s">
        <v>593</v>
      </c>
      <c r="T212" s="298" t="s">
        <v>205</v>
      </c>
      <c r="U212" s="298" t="s">
        <v>1201</v>
      </c>
    </row>
    <row r="213" spans="5:21" ht="15.75" customHeight="1" x14ac:dyDescent="0.3">
      <c r="E213" s="300">
        <v>16</v>
      </c>
      <c r="G213" s="296">
        <v>3</v>
      </c>
      <c r="H213" s="297">
        <v>3</v>
      </c>
      <c r="I213" s="133">
        <f t="shared" si="3"/>
        <v>0</v>
      </c>
      <c r="J213" s="298" t="s">
        <v>383</v>
      </c>
      <c r="K213" s="298" t="s">
        <v>87</v>
      </c>
      <c r="L213" s="298" t="s">
        <v>1165</v>
      </c>
      <c r="M213" s="297">
        <v>3</v>
      </c>
      <c r="N213" s="298" t="s">
        <v>221</v>
      </c>
      <c r="O213" s="299"/>
      <c r="P213" s="298" t="s">
        <v>167</v>
      </c>
      <c r="Q213" s="298" t="s">
        <v>168</v>
      </c>
      <c r="R213" s="298"/>
      <c r="S213" s="298" t="s">
        <v>593</v>
      </c>
      <c r="T213" s="298"/>
      <c r="U213" s="298"/>
    </row>
    <row r="214" spans="5:21" ht="15.75" customHeight="1" x14ac:dyDescent="0.3">
      <c r="E214" s="300">
        <v>6</v>
      </c>
      <c r="G214" s="296">
        <v>1</v>
      </c>
      <c r="H214" s="297">
        <v>1</v>
      </c>
      <c r="I214" s="133">
        <f t="shared" si="3"/>
        <v>0</v>
      </c>
      <c r="J214" s="298" t="s">
        <v>383</v>
      </c>
      <c r="K214" s="298" t="s">
        <v>87</v>
      </c>
      <c r="L214" s="298" t="s">
        <v>1165</v>
      </c>
      <c r="M214" s="297">
        <v>1</v>
      </c>
      <c r="N214" s="298" t="s">
        <v>221</v>
      </c>
      <c r="O214" s="299"/>
      <c r="P214" s="298" t="s">
        <v>250</v>
      </c>
      <c r="Q214" s="298" t="s">
        <v>251</v>
      </c>
      <c r="R214" s="298" t="s">
        <v>8</v>
      </c>
      <c r="S214" s="298" t="s">
        <v>565</v>
      </c>
      <c r="T214" s="298"/>
      <c r="U214" s="298"/>
    </row>
    <row r="215" spans="5:21" ht="15.75" customHeight="1" x14ac:dyDescent="0.3">
      <c r="E215" s="300">
        <v>3</v>
      </c>
      <c r="G215" s="296">
        <v>26</v>
      </c>
      <c r="H215" s="297">
        <v>26</v>
      </c>
      <c r="I215" s="133">
        <f t="shared" si="3"/>
        <v>0</v>
      </c>
      <c r="J215" s="298" t="s">
        <v>383</v>
      </c>
      <c r="K215" s="298" t="s">
        <v>79</v>
      </c>
      <c r="L215" s="298" t="s">
        <v>1165</v>
      </c>
      <c r="M215" s="297">
        <v>26</v>
      </c>
      <c r="N215" s="298" t="s">
        <v>221</v>
      </c>
      <c r="O215" s="297">
        <v>26</v>
      </c>
      <c r="P215" s="298" t="s">
        <v>167</v>
      </c>
      <c r="Q215" s="298" t="s">
        <v>168</v>
      </c>
      <c r="R215" s="298"/>
      <c r="S215" s="298" t="s">
        <v>593</v>
      </c>
      <c r="T215" s="298" t="s">
        <v>1167</v>
      </c>
      <c r="U215" s="298" t="s">
        <v>1201</v>
      </c>
    </row>
    <row r="216" spans="5:21" ht="15.75" customHeight="1" x14ac:dyDescent="0.3">
      <c r="E216" s="300">
        <v>3</v>
      </c>
      <c r="G216" s="296">
        <v>2</v>
      </c>
      <c r="H216" s="297">
        <v>2</v>
      </c>
      <c r="I216" s="133">
        <f t="shared" si="3"/>
        <v>0</v>
      </c>
      <c r="J216" s="298" t="s">
        <v>383</v>
      </c>
      <c r="K216" s="298" t="s">
        <v>80</v>
      </c>
      <c r="L216" s="298" t="s">
        <v>1165</v>
      </c>
      <c r="M216" s="297">
        <v>2</v>
      </c>
      <c r="N216" s="298" t="s">
        <v>221</v>
      </c>
      <c r="O216" s="299"/>
      <c r="P216" s="298" t="s">
        <v>167</v>
      </c>
      <c r="Q216" s="298" t="s">
        <v>168</v>
      </c>
      <c r="R216" s="298"/>
      <c r="S216" s="298" t="s">
        <v>593</v>
      </c>
      <c r="T216" s="298"/>
      <c r="U216" s="298"/>
    </row>
    <row r="217" spans="5:21" ht="15.75" customHeight="1" x14ac:dyDescent="0.3">
      <c r="E217" s="300">
        <v>18</v>
      </c>
      <c r="G217" s="296">
        <v>20</v>
      </c>
      <c r="H217" s="297">
        <v>20</v>
      </c>
      <c r="I217" s="133">
        <f t="shared" si="3"/>
        <v>0</v>
      </c>
      <c r="J217" s="298" t="s">
        <v>224</v>
      </c>
      <c r="K217" s="298" t="s">
        <v>73</v>
      </c>
      <c r="L217" s="298" t="s">
        <v>1175</v>
      </c>
      <c r="M217" s="297">
        <v>20</v>
      </c>
      <c r="N217" s="298" t="s">
        <v>1176</v>
      </c>
      <c r="O217" s="297">
        <v>20</v>
      </c>
      <c r="P217" s="298" t="s">
        <v>91</v>
      </c>
      <c r="Q217" s="298" t="s">
        <v>92</v>
      </c>
      <c r="R217" s="298"/>
      <c r="S217" s="298" t="s">
        <v>593</v>
      </c>
      <c r="T217" s="298" t="s">
        <v>205</v>
      </c>
      <c r="U217" s="298" t="s">
        <v>1169</v>
      </c>
    </row>
    <row r="218" spans="5:21" ht="15.75" customHeight="1" x14ac:dyDescent="0.3">
      <c r="E218" s="300">
        <v>32</v>
      </c>
      <c r="G218" s="296">
        <v>22</v>
      </c>
      <c r="H218" s="297">
        <v>22</v>
      </c>
      <c r="I218" s="133">
        <f t="shared" si="3"/>
        <v>0</v>
      </c>
      <c r="J218" s="298" t="s">
        <v>224</v>
      </c>
      <c r="K218" s="298" t="s">
        <v>73</v>
      </c>
      <c r="L218" s="298" t="s">
        <v>1165</v>
      </c>
      <c r="M218" s="297">
        <v>22</v>
      </c>
      <c r="N218" s="298" t="s">
        <v>221</v>
      </c>
      <c r="O218" s="297">
        <v>22</v>
      </c>
      <c r="P218" s="298" t="s">
        <v>91</v>
      </c>
      <c r="Q218" s="298" t="s">
        <v>92</v>
      </c>
      <c r="R218" s="298"/>
      <c r="S218" s="298" t="s">
        <v>593</v>
      </c>
      <c r="T218" s="298" t="s">
        <v>205</v>
      </c>
      <c r="U218" s="298" t="s">
        <v>1169</v>
      </c>
    </row>
    <row r="219" spans="5:21" ht="15.75" customHeight="1" x14ac:dyDescent="0.3">
      <c r="E219" s="300">
        <v>4</v>
      </c>
      <c r="G219" s="296">
        <v>30</v>
      </c>
      <c r="H219" s="297">
        <v>30</v>
      </c>
      <c r="I219" s="133">
        <f t="shared" si="3"/>
        <v>0</v>
      </c>
      <c r="J219" s="298" t="s">
        <v>224</v>
      </c>
      <c r="K219" s="298" t="s">
        <v>79</v>
      </c>
      <c r="L219" s="298" t="s">
        <v>1175</v>
      </c>
      <c r="M219" s="297">
        <v>30</v>
      </c>
      <c r="N219" s="298" t="s">
        <v>1176</v>
      </c>
      <c r="O219" s="297">
        <v>30</v>
      </c>
      <c r="P219" s="298" t="s">
        <v>91</v>
      </c>
      <c r="Q219" s="298" t="s">
        <v>92</v>
      </c>
      <c r="R219" s="298"/>
      <c r="S219" s="298" t="s">
        <v>593</v>
      </c>
      <c r="T219" s="298" t="s">
        <v>206</v>
      </c>
      <c r="U219" s="298" t="s">
        <v>1169</v>
      </c>
    </row>
    <row r="220" spans="5:21" ht="15.75" customHeight="1" x14ac:dyDescent="0.3">
      <c r="E220" s="300">
        <v>1</v>
      </c>
      <c r="G220" s="296">
        <v>32</v>
      </c>
      <c r="H220" s="297">
        <v>32</v>
      </c>
      <c r="I220" s="133">
        <f t="shared" si="3"/>
        <v>0</v>
      </c>
      <c r="J220" s="298" t="s">
        <v>224</v>
      </c>
      <c r="K220" s="298" t="s">
        <v>79</v>
      </c>
      <c r="L220" s="298" t="s">
        <v>1165</v>
      </c>
      <c r="M220" s="297">
        <v>32</v>
      </c>
      <c r="N220" s="298" t="s">
        <v>221</v>
      </c>
      <c r="O220" s="297">
        <v>32</v>
      </c>
      <c r="P220" s="298" t="s">
        <v>91</v>
      </c>
      <c r="Q220" s="298" t="s">
        <v>92</v>
      </c>
      <c r="R220" s="298"/>
      <c r="S220" s="298" t="s">
        <v>593</v>
      </c>
      <c r="T220" s="298" t="s">
        <v>206</v>
      </c>
      <c r="U220" s="298" t="s">
        <v>1169</v>
      </c>
    </row>
    <row r="221" spans="5:21" ht="15.75" customHeight="1" x14ac:dyDescent="0.3">
      <c r="E221" s="300">
        <v>1</v>
      </c>
      <c r="G221" s="296">
        <v>3.33</v>
      </c>
      <c r="H221" s="297">
        <v>3.33</v>
      </c>
      <c r="I221" s="133">
        <f t="shared" si="3"/>
        <v>0</v>
      </c>
      <c r="J221" s="298" t="s">
        <v>224</v>
      </c>
      <c r="K221" s="298" t="s">
        <v>111</v>
      </c>
      <c r="L221" s="298" t="s">
        <v>1165</v>
      </c>
      <c r="M221" s="297">
        <v>3.33</v>
      </c>
      <c r="N221" s="298" t="s">
        <v>221</v>
      </c>
      <c r="O221" s="299"/>
      <c r="P221" s="298" t="s">
        <v>91</v>
      </c>
      <c r="Q221" s="298" t="s">
        <v>92</v>
      </c>
      <c r="R221" s="298"/>
      <c r="S221" s="298" t="s">
        <v>593</v>
      </c>
      <c r="T221" s="298"/>
      <c r="U221" s="298"/>
    </row>
    <row r="222" spans="5:21" ht="15.75" customHeight="1" x14ac:dyDescent="0.3">
      <c r="E222" s="302">
        <v>18</v>
      </c>
      <c r="G222" s="296">
        <v>1.67</v>
      </c>
      <c r="H222" s="297">
        <v>1.67</v>
      </c>
      <c r="I222" s="133">
        <f t="shared" si="3"/>
        <v>0</v>
      </c>
      <c r="J222" s="298" t="s">
        <v>224</v>
      </c>
      <c r="K222" s="298" t="s">
        <v>111</v>
      </c>
      <c r="L222" s="298" t="s">
        <v>1165</v>
      </c>
      <c r="M222" s="297">
        <v>1.67</v>
      </c>
      <c r="N222" s="298" t="s">
        <v>221</v>
      </c>
      <c r="O222" s="299"/>
      <c r="P222" s="298" t="s">
        <v>250</v>
      </c>
      <c r="Q222" s="298" t="s">
        <v>251</v>
      </c>
      <c r="R222" s="298" t="s">
        <v>8</v>
      </c>
      <c r="S222" s="298" t="s">
        <v>565</v>
      </c>
      <c r="T222" s="298"/>
      <c r="U222" s="298"/>
    </row>
    <row r="223" spans="5:21" ht="15.75" customHeight="1" x14ac:dyDescent="0.3">
      <c r="E223" s="302">
        <v>3</v>
      </c>
      <c r="G223" s="296">
        <v>4</v>
      </c>
      <c r="H223" s="297">
        <v>4</v>
      </c>
      <c r="I223" s="133">
        <f t="shared" si="3"/>
        <v>0</v>
      </c>
      <c r="J223" s="298" t="s">
        <v>224</v>
      </c>
      <c r="K223" s="298" t="s">
        <v>142</v>
      </c>
      <c r="L223" s="298" t="s">
        <v>1175</v>
      </c>
      <c r="M223" s="297">
        <v>4</v>
      </c>
      <c r="N223" s="298" t="s">
        <v>1176</v>
      </c>
      <c r="O223" s="299"/>
      <c r="P223" s="298" t="s">
        <v>91</v>
      </c>
      <c r="Q223" s="298" t="s">
        <v>92</v>
      </c>
      <c r="R223" s="298"/>
      <c r="S223" s="298" t="s">
        <v>593</v>
      </c>
      <c r="T223" s="298"/>
      <c r="U223" s="298"/>
    </row>
    <row r="224" spans="5:21" ht="15.75" customHeight="1" x14ac:dyDescent="0.3">
      <c r="E224" s="302">
        <v>1</v>
      </c>
      <c r="G224" s="296">
        <v>1</v>
      </c>
      <c r="H224" s="297">
        <v>1</v>
      </c>
      <c r="I224" s="133">
        <f t="shared" si="3"/>
        <v>0</v>
      </c>
      <c r="J224" s="298" t="s">
        <v>224</v>
      </c>
      <c r="K224" s="298" t="s">
        <v>142</v>
      </c>
      <c r="L224" s="298" t="s">
        <v>1175</v>
      </c>
      <c r="M224" s="297">
        <v>1</v>
      </c>
      <c r="N224" s="298" t="s">
        <v>1176</v>
      </c>
      <c r="O224" s="299"/>
      <c r="P224" s="298" t="s">
        <v>250</v>
      </c>
      <c r="Q224" s="298" t="s">
        <v>251</v>
      </c>
      <c r="R224" s="298" t="s">
        <v>8</v>
      </c>
      <c r="S224" s="298" t="s">
        <v>565</v>
      </c>
      <c r="T224" s="298"/>
      <c r="U224" s="298"/>
    </row>
    <row r="225" spans="5:21" ht="15.75" customHeight="1" x14ac:dyDescent="0.3">
      <c r="E225" s="302">
        <v>26</v>
      </c>
      <c r="G225" s="296">
        <v>1</v>
      </c>
      <c r="H225" s="297">
        <v>1</v>
      </c>
      <c r="I225" s="133">
        <f t="shared" si="3"/>
        <v>0</v>
      </c>
      <c r="J225" s="298" t="s">
        <v>224</v>
      </c>
      <c r="K225" s="298" t="s">
        <v>80</v>
      </c>
      <c r="L225" s="298" t="s">
        <v>1175</v>
      </c>
      <c r="M225" s="297">
        <v>1</v>
      </c>
      <c r="N225" s="298" t="s">
        <v>1176</v>
      </c>
      <c r="O225" s="299"/>
      <c r="P225" s="298" t="s">
        <v>91</v>
      </c>
      <c r="Q225" s="298" t="s">
        <v>92</v>
      </c>
      <c r="R225" s="298"/>
      <c r="S225" s="298" t="s">
        <v>593</v>
      </c>
      <c r="T225" s="298"/>
      <c r="U225" s="298"/>
    </row>
    <row r="226" spans="5:21" ht="15.75" customHeight="1" x14ac:dyDescent="0.3">
      <c r="E226" s="302">
        <v>2</v>
      </c>
      <c r="G226" s="296">
        <v>3</v>
      </c>
      <c r="H226" s="297">
        <v>3</v>
      </c>
      <c r="I226" s="133">
        <f t="shared" si="3"/>
        <v>0</v>
      </c>
      <c r="J226" s="298" t="s">
        <v>224</v>
      </c>
      <c r="K226" s="298" t="s">
        <v>80</v>
      </c>
      <c r="L226" s="298" t="s">
        <v>1165</v>
      </c>
      <c r="M226" s="297">
        <v>3</v>
      </c>
      <c r="N226" s="298" t="s">
        <v>221</v>
      </c>
      <c r="O226" s="299"/>
      <c r="P226" s="298" t="s">
        <v>91</v>
      </c>
      <c r="Q226" s="298" t="s">
        <v>92</v>
      </c>
      <c r="R226" s="298"/>
      <c r="S226" s="298" t="s">
        <v>593</v>
      </c>
      <c r="T226" s="298"/>
      <c r="U226" s="298"/>
    </row>
    <row r="227" spans="5:21" ht="15.75" customHeight="1" x14ac:dyDescent="0.3">
      <c r="E227" s="300">
        <v>20</v>
      </c>
      <c r="G227" s="296">
        <v>1</v>
      </c>
      <c r="H227" s="297">
        <v>1</v>
      </c>
      <c r="I227" s="133">
        <f t="shared" si="3"/>
        <v>0</v>
      </c>
      <c r="J227" s="298" t="s">
        <v>224</v>
      </c>
      <c r="K227" s="298" t="s">
        <v>80</v>
      </c>
      <c r="L227" s="298" t="s">
        <v>1165</v>
      </c>
      <c r="M227" s="297">
        <v>1</v>
      </c>
      <c r="N227" s="298" t="s">
        <v>221</v>
      </c>
      <c r="O227" s="299"/>
      <c r="P227" s="298" t="s">
        <v>250</v>
      </c>
      <c r="Q227" s="298" t="s">
        <v>251</v>
      </c>
      <c r="R227" s="298" t="s">
        <v>8</v>
      </c>
      <c r="S227" s="298" t="s">
        <v>565</v>
      </c>
      <c r="T227" s="298"/>
      <c r="U227" s="298"/>
    </row>
    <row r="228" spans="5:21" ht="15.75" customHeight="1" x14ac:dyDescent="0.3">
      <c r="E228" s="300">
        <v>22</v>
      </c>
      <c r="G228" s="296">
        <v>12</v>
      </c>
      <c r="H228" s="297">
        <v>12</v>
      </c>
      <c r="I228" s="133">
        <f t="shared" si="3"/>
        <v>0</v>
      </c>
      <c r="J228" s="298" t="s">
        <v>228</v>
      </c>
      <c r="K228" s="298" t="s">
        <v>73</v>
      </c>
      <c r="L228" s="298" t="s">
        <v>1188</v>
      </c>
      <c r="M228" s="297">
        <v>12</v>
      </c>
      <c r="N228" s="298" t="s">
        <v>166</v>
      </c>
      <c r="O228" s="297">
        <v>12</v>
      </c>
      <c r="P228" s="298" t="s">
        <v>128</v>
      </c>
      <c r="Q228" s="298" t="s">
        <v>129</v>
      </c>
      <c r="R228" s="298"/>
      <c r="S228" s="298" t="s">
        <v>593</v>
      </c>
      <c r="T228" s="298" t="s">
        <v>1167</v>
      </c>
      <c r="U228" s="298" t="s">
        <v>1186</v>
      </c>
    </row>
    <row r="229" spans="5:21" ht="15.75" customHeight="1" x14ac:dyDescent="0.3">
      <c r="E229" s="300">
        <v>30</v>
      </c>
      <c r="G229" s="296">
        <v>24</v>
      </c>
      <c r="H229" s="297">
        <v>24</v>
      </c>
      <c r="I229" s="133">
        <f t="shared" si="3"/>
        <v>0</v>
      </c>
      <c r="J229" s="298" t="s">
        <v>228</v>
      </c>
      <c r="K229" s="298" t="s">
        <v>79</v>
      </c>
      <c r="L229" s="298" t="s">
        <v>1188</v>
      </c>
      <c r="M229" s="297">
        <v>24</v>
      </c>
      <c r="N229" s="298" t="s">
        <v>166</v>
      </c>
      <c r="O229" s="297">
        <v>24</v>
      </c>
      <c r="P229" s="298" t="s">
        <v>128</v>
      </c>
      <c r="Q229" s="298" t="s">
        <v>129</v>
      </c>
      <c r="R229" s="298"/>
      <c r="S229" s="298" t="s">
        <v>593</v>
      </c>
      <c r="T229" s="298" t="s">
        <v>1167</v>
      </c>
      <c r="U229" s="298" t="s">
        <v>1186</v>
      </c>
    </row>
    <row r="230" spans="5:21" ht="15.75" customHeight="1" x14ac:dyDescent="0.3">
      <c r="E230" s="300">
        <v>32</v>
      </c>
      <c r="G230" s="296">
        <v>2</v>
      </c>
      <c r="H230" s="297">
        <v>2</v>
      </c>
      <c r="I230" s="133">
        <f t="shared" si="3"/>
        <v>0</v>
      </c>
      <c r="J230" s="298" t="s">
        <v>228</v>
      </c>
      <c r="K230" s="298" t="s">
        <v>142</v>
      </c>
      <c r="L230" s="298" t="s">
        <v>1188</v>
      </c>
      <c r="M230" s="297">
        <v>2</v>
      </c>
      <c r="N230" s="298" t="s">
        <v>166</v>
      </c>
      <c r="O230" s="299"/>
      <c r="P230" s="298" t="s">
        <v>128</v>
      </c>
      <c r="Q230" s="298" t="s">
        <v>129</v>
      </c>
      <c r="R230" s="298"/>
      <c r="S230" s="298" t="s">
        <v>593</v>
      </c>
      <c r="T230" s="298"/>
      <c r="U230" s="298"/>
    </row>
    <row r="231" spans="5:21" ht="15.75" customHeight="1" x14ac:dyDescent="0.3">
      <c r="E231" s="295">
        <v>3</v>
      </c>
      <c r="G231" s="296">
        <v>1</v>
      </c>
      <c r="H231" s="297">
        <v>1</v>
      </c>
      <c r="I231" s="133">
        <f t="shared" si="3"/>
        <v>0</v>
      </c>
      <c r="J231" s="298" t="s">
        <v>228</v>
      </c>
      <c r="K231" s="298" t="s">
        <v>80</v>
      </c>
      <c r="L231" s="298" t="s">
        <v>1188</v>
      </c>
      <c r="M231" s="297">
        <v>1</v>
      </c>
      <c r="N231" s="298" t="s">
        <v>166</v>
      </c>
      <c r="O231" s="299"/>
      <c r="P231" s="298" t="s">
        <v>128</v>
      </c>
      <c r="Q231" s="298" t="s">
        <v>129</v>
      </c>
      <c r="R231" s="298"/>
      <c r="S231" s="298" t="s">
        <v>593</v>
      </c>
      <c r="T231" s="298"/>
      <c r="U231" s="298"/>
    </row>
    <row r="232" spans="5:21" ht="15.75" customHeight="1" x14ac:dyDescent="0.3">
      <c r="E232" s="300">
        <v>2</v>
      </c>
      <c r="G232" s="296">
        <v>20</v>
      </c>
      <c r="H232" s="297">
        <v>20</v>
      </c>
      <c r="I232" s="133">
        <f t="shared" si="3"/>
        <v>0</v>
      </c>
      <c r="J232" s="298" t="s">
        <v>229</v>
      </c>
      <c r="K232" s="298" t="s">
        <v>102</v>
      </c>
      <c r="L232" s="298" t="s">
        <v>1188</v>
      </c>
      <c r="M232" s="297">
        <v>20</v>
      </c>
      <c r="N232" s="298" t="s">
        <v>166</v>
      </c>
      <c r="O232" s="299"/>
      <c r="P232" s="298" t="s">
        <v>230</v>
      </c>
      <c r="Q232" s="298" t="s">
        <v>231</v>
      </c>
      <c r="R232" s="298"/>
      <c r="S232" s="298" t="s">
        <v>593</v>
      </c>
      <c r="T232" s="298"/>
      <c r="U232" s="298"/>
    </row>
    <row r="233" spans="5:21" ht="15.75" customHeight="1" x14ac:dyDescent="0.3">
      <c r="E233" s="300">
        <v>4</v>
      </c>
      <c r="G233" s="296">
        <v>16</v>
      </c>
      <c r="H233" s="297">
        <v>16</v>
      </c>
      <c r="I233" s="133">
        <f t="shared" si="3"/>
        <v>0</v>
      </c>
      <c r="J233" s="298" t="s">
        <v>229</v>
      </c>
      <c r="K233" s="298" t="s">
        <v>73</v>
      </c>
      <c r="L233" s="298" t="s">
        <v>1188</v>
      </c>
      <c r="M233" s="297">
        <v>16</v>
      </c>
      <c r="N233" s="298" t="s">
        <v>166</v>
      </c>
      <c r="O233" s="297">
        <v>16</v>
      </c>
      <c r="P233" s="298" t="s">
        <v>230</v>
      </c>
      <c r="Q233" s="298" t="s">
        <v>231</v>
      </c>
      <c r="R233" s="298"/>
      <c r="S233" s="298" t="s">
        <v>593</v>
      </c>
      <c r="T233" s="298" t="s">
        <v>205</v>
      </c>
      <c r="U233" s="298" t="s">
        <v>252</v>
      </c>
    </row>
    <row r="234" spans="5:21" ht="15.75" customHeight="1" x14ac:dyDescent="0.3">
      <c r="E234" s="300">
        <v>1</v>
      </c>
      <c r="G234" s="296">
        <v>2</v>
      </c>
      <c r="H234" s="297">
        <v>2</v>
      </c>
      <c r="I234" s="133">
        <f t="shared" si="3"/>
        <v>0</v>
      </c>
      <c r="J234" s="298" t="s">
        <v>229</v>
      </c>
      <c r="K234" s="298" t="s">
        <v>87</v>
      </c>
      <c r="L234" s="298" t="s">
        <v>1188</v>
      </c>
      <c r="M234" s="297">
        <v>2</v>
      </c>
      <c r="N234" s="298" t="s">
        <v>166</v>
      </c>
      <c r="O234" s="299"/>
      <c r="P234" s="298" t="s">
        <v>230</v>
      </c>
      <c r="Q234" s="298" t="s">
        <v>231</v>
      </c>
      <c r="R234" s="298"/>
      <c r="S234" s="298" t="s">
        <v>593</v>
      </c>
      <c r="T234" s="298"/>
      <c r="U234" s="298"/>
    </row>
    <row r="235" spans="5:21" ht="15.75" customHeight="1" x14ac:dyDescent="0.3">
      <c r="E235" s="300">
        <v>1</v>
      </c>
      <c r="G235" s="296">
        <v>28</v>
      </c>
      <c r="H235" s="297">
        <v>28</v>
      </c>
      <c r="I235" s="133">
        <f t="shared" si="3"/>
        <v>0</v>
      </c>
      <c r="J235" s="298" t="s">
        <v>229</v>
      </c>
      <c r="K235" s="298" t="s">
        <v>79</v>
      </c>
      <c r="L235" s="298" t="s">
        <v>1188</v>
      </c>
      <c r="M235" s="297">
        <v>28</v>
      </c>
      <c r="N235" s="298" t="s">
        <v>166</v>
      </c>
      <c r="O235" s="297">
        <v>28</v>
      </c>
      <c r="P235" s="298" t="s">
        <v>230</v>
      </c>
      <c r="Q235" s="298" t="s">
        <v>231</v>
      </c>
      <c r="R235" s="298"/>
      <c r="S235" s="298" t="s">
        <v>593</v>
      </c>
      <c r="T235" s="298" t="s">
        <v>205</v>
      </c>
      <c r="U235" s="298" t="s">
        <v>252</v>
      </c>
    </row>
    <row r="236" spans="5:21" ht="15.75" customHeight="1" x14ac:dyDescent="0.3">
      <c r="E236" s="300">
        <v>3</v>
      </c>
      <c r="G236" s="296">
        <v>1</v>
      </c>
      <c r="H236" s="297">
        <v>1</v>
      </c>
      <c r="I236" s="133">
        <f t="shared" si="3"/>
        <v>0</v>
      </c>
      <c r="J236" s="298" t="s">
        <v>229</v>
      </c>
      <c r="K236" s="298" t="s">
        <v>80</v>
      </c>
      <c r="L236" s="298" t="s">
        <v>1188</v>
      </c>
      <c r="M236" s="297">
        <v>1</v>
      </c>
      <c r="N236" s="298" t="s">
        <v>166</v>
      </c>
      <c r="O236" s="299"/>
      <c r="P236" s="298" t="s">
        <v>230</v>
      </c>
      <c r="Q236" s="298" t="s">
        <v>231</v>
      </c>
      <c r="R236" s="298"/>
      <c r="S236" s="298" t="s">
        <v>593</v>
      </c>
      <c r="T236" s="298"/>
      <c r="U236" s="298"/>
    </row>
    <row r="237" spans="5:21" ht="15.75" customHeight="1" x14ac:dyDescent="0.3">
      <c r="E237" s="300">
        <v>1</v>
      </c>
      <c r="G237" s="296">
        <v>14</v>
      </c>
      <c r="H237" s="297">
        <v>14</v>
      </c>
      <c r="I237" s="133">
        <f t="shared" si="3"/>
        <v>0</v>
      </c>
      <c r="J237" s="298" t="s">
        <v>233</v>
      </c>
      <c r="K237" s="298" t="s">
        <v>73</v>
      </c>
      <c r="L237" s="298" t="s">
        <v>1213</v>
      </c>
      <c r="M237" s="297">
        <v>14</v>
      </c>
      <c r="N237" s="298" t="s">
        <v>235</v>
      </c>
      <c r="O237" s="297">
        <v>14</v>
      </c>
      <c r="P237" s="298" t="s">
        <v>115</v>
      </c>
      <c r="Q237" s="298" t="s">
        <v>116</v>
      </c>
      <c r="R237" s="298"/>
      <c r="S237" s="298" t="s">
        <v>593</v>
      </c>
      <c r="T237" s="298" t="s">
        <v>1182</v>
      </c>
      <c r="U237" s="298" t="s">
        <v>1183</v>
      </c>
    </row>
    <row r="238" spans="5:21" ht="15.75" customHeight="1" x14ac:dyDescent="0.3">
      <c r="E238" s="300">
        <v>12</v>
      </c>
      <c r="G238" s="296">
        <v>2</v>
      </c>
      <c r="H238" s="297">
        <v>2</v>
      </c>
      <c r="I238" s="133">
        <f t="shared" si="3"/>
        <v>0</v>
      </c>
      <c r="J238" s="298" t="s">
        <v>233</v>
      </c>
      <c r="K238" s="298" t="s">
        <v>87</v>
      </c>
      <c r="L238" s="298" t="s">
        <v>1190</v>
      </c>
      <c r="M238" s="297">
        <v>2</v>
      </c>
      <c r="N238" s="298" t="s">
        <v>235</v>
      </c>
      <c r="O238" s="299"/>
      <c r="P238" s="298" t="s">
        <v>115</v>
      </c>
      <c r="Q238" s="298" t="s">
        <v>116</v>
      </c>
      <c r="R238" s="298"/>
      <c r="S238" s="298" t="s">
        <v>593</v>
      </c>
      <c r="T238" s="298"/>
      <c r="U238" s="298"/>
    </row>
    <row r="239" spans="5:21" ht="15.75" customHeight="1" x14ac:dyDescent="0.3">
      <c r="E239" s="300">
        <v>24</v>
      </c>
      <c r="G239" s="296">
        <v>36</v>
      </c>
      <c r="H239" s="297">
        <v>36</v>
      </c>
      <c r="I239" s="133">
        <f t="shared" si="3"/>
        <v>0</v>
      </c>
      <c r="J239" s="298" t="s">
        <v>233</v>
      </c>
      <c r="K239" s="298" t="s">
        <v>79</v>
      </c>
      <c r="L239" s="298" t="s">
        <v>1189</v>
      </c>
      <c r="M239" s="297">
        <v>36</v>
      </c>
      <c r="N239" s="298" t="s">
        <v>235</v>
      </c>
      <c r="O239" s="297">
        <v>36</v>
      </c>
      <c r="P239" s="298" t="s">
        <v>115</v>
      </c>
      <c r="Q239" s="298" t="s">
        <v>116</v>
      </c>
      <c r="R239" s="298"/>
      <c r="S239" s="298" t="s">
        <v>593</v>
      </c>
      <c r="T239" s="298" t="s">
        <v>1182</v>
      </c>
      <c r="U239" s="298" t="s">
        <v>1183</v>
      </c>
    </row>
    <row r="240" spans="5:21" ht="15.75" customHeight="1" x14ac:dyDescent="0.3">
      <c r="E240" s="300">
        <v>2</v>
      </c>
      <c r="G240" s="296">
        <v>36</v>
      </c>
      <c r="H240" s="297">
        <v>36</v>
      </c>
      <c r="I240" s="133">
        <f t="shared" si="3"/>
        <v>0</v>
      </c>
      <c r="J240" s="298" t="s">
        <v>233</v>
      </c>
      <c r="K240" s="298" t="s">
        <v>79</v>
      </c>
      <c r="L240" s="298" t="s">
        <v>1190</v>
      </c>
      <c r="M240" s="297">
        <v>36</v>
      </c>
      <c r="N240" s="298" t="s">
        <v>235</v>
      </c>
      <c r="O240" s="297">
        <v>36</v>
      </c>
      <c r="P240" s="298" t="s">
        <v>115</v>
      </c>
      <c r="Q240" s="298" t="s">
        <v>116</v>
      </c>
      <c r="R240" s="298"/>
      <c r="S240" s="298" t="s">
        <v>593</v>
      </c>
      <c r="T240" s="298" t="s">
        <v>1182</v>
      </c>
      <c r="U240" s="298" t="s">
        <v>1183</v>
      </c>
    </row>
    <row r="241" spans="5:21" ht="15.75" customHeight="1" x14ac:dyDescent="0.3">
      <c r="E241" s="300">
        <v>1</v>
      </c>
      <c r="G241" s="296">
        <v>3</v>
      </c>
      <c r="H241" s="297">
        <v>3</v>
      </c>
      <c r="I241" s="133">
        <f t="shared" si="3"/>
        <v>0</v>
      </c>
      <c r="J241" s="298" t="s">
        <v>233</v>
      </c>
      <c r="K241" s="298" t="s">
        <v>111</v>
      </c>
      <c r="L241" s="298" t="s">
        <v>1189</v>
      </c>
      <c r="M241" s="297">
        <v>3</v>
      </c>
      <c r="N241" s="298" t="s">
        <v>235</v>
      </c>
      <c r="O241" s="299"/>
      <c r="P241" s="298" t="s">
        <v>115</v>
      </c>
      <c r="Q241" s="298" t="s">
        <v>116</v>
      </c>
      <c r="R241" s="298"/>
      <c r="S241" s="298" t="s">
        <v>593</v>
      </c>
      <c r="T241" s="298"/>
      <c r="U241" s="298" t="s">
        <v>1183</v>
      </c>
    </row>
    <row r="242" spans="5:21" ht="15.75" customHeight="1" x14ac:dyDescent="0.3">
      <c r="E242" s="300">
        <v>20</v>
      </c>
      <c r="G242" s="296">
        <v>3</v>
      </c>
      <c r="H242" s="297">
        <v>3</v>
      </c>
      <c r="I242" s="133">
        <f t="shared" si="3"/>
        <v>0</v>
      </c>
      <c r="J242" s="298" t="s">
        <v>233</v>
      </c>
      <c r="K242" s="298" t="s">
        <v>80</v>
      </c>
      <c r="L242" s="298" t="s">
        <v>1189</v>
      </c>
      <c r="M242" s="297">
        <v>3</v>
      </c>
      <c r="N242" s="298" t="s">
        <v>235</v>
      </c>
      <c r="O242" s="299"/>
      <c r="P242" s="298" t="s">
        <v>115</v>
      </c>
      <c r="Q242" s="298" t="s">
        <v>116</v>
      </c>
      <c r="R242" s="298"/>
      <c r="S242" s="298" t="s">
        <v>593</v>
      </c>
      <c r="T242" s="298"/>
      <c r="U242" s="298" t="s">
        <v>1183</v>
      </c>
    </row>
    <row r="243" spans="5:21" ht="15.75" customHeight="1" x14ac:dyDescent="0.3">
      <c r="E243" s="300">
        <v>16</v>
      </c>
      <c r="G243" s="296">
        <v>1</v>
      </c>
      <c r="H243" s="297">
        <v>1</v>
      </c>
      <c r="I243" s="133">
        <f t="shared" si="3"/>
        <v>0</v>
      </c>
      <c r="J243" s="298" t="s">
        <v>233</v>
      </c>
      <c r="K243" s="298" t="s">
        <v>80</v>
      </c>
      <c r="L243" s="298" t="s">
        <v>1190</v>
      </c>
      <c r="M243" s="297">
        <v>1</v>
      </c>
      <c r="N243" s="298" t="s">
        <v>235</v>
      </c>
      <c r="O243" s="299"/>
      <c r="P243" s="298" t="s">
        <v>115</v>
      </c>
      <c r="Q243" s="298" t="s">
        <v>116</v>
      </c>
      <c r="R243" s="298"/>
      <c r="S243" s="298" t="s">
        <v>593</v>
      </c>
      <c r="T243" s="298"/>
      <c r="U243" s="298" t="s">
        <v>1183</v>
      </c>
    </row>
    <row r="244" spans="5:21" ht="15.75" customHeight="1" x14ac:dyDescent="0.3">
      <c r="E244" s="300">
        <v>2</v>
      </c>
      <c r="G244" s="296">
        <v>20</v>
      </c>
      <c r="H244" s="297">
        <v>20</v>
      </c>
      <c r="I244" s="133">
        <f t="shared" si="3"/>
        <v>0</v>
      </c>
      <c r="J244" s="298" t="s">
        <v>236</v>
      </c>
      <c r="K244" s="298" t="s">
        <v>73</v>
      </c>
      <c r="L244" s="298" t="s">
        <v>1214</v>
      </c>
      <c r="M244" s="297">
        <v>20</v>
      </c>
      <c r="N244" s="298" t="s">
        <v>238</v>
      </c>
      <c r="O244" s="297">
        <v>20</v>
      </c>
      <c r="P244" s="298" t="s">
        <v>70</v>
      </c>
      <c r="Q244" s="298" t="s">
        <v>71</v>
      </c>
      <c r="R244" s="298"/>
      <c r="S244" s="298" t="s">
        <v>565</v>
      </c>
      <c r="T244" s="298"/>
      <c r="U244" s="298"/>
    </row>
    <row r="245" spans="5:21" ht="15.75" customHeight="1" x14ac:dyDescent="0.3">
      <c r="E245" s="300">
        <v>28</v>
      </c>
      <c r="G245" s="296">
        <v>15</v>
      </c>
      <c r="H245" s="297">
        <v>15</v>
      </c>
      <c r="I245" s="133">
        <f t="shared" si="3"/>
        <v>0</v>
      </c>
      <c r="J245" s="298" t="s">
        <v>236</v>
      </c>
      <c r="K245" s="298" t="s">
        <v>123</v>
      </c>
      <c r="L245" s="298" t="s">
        <v>1214</v>
      </c>
      <c r="M245" s="297">
        <v>15</v>
      </c>
      <c r="N245" s="298" t="s">
        <v>238</v>
      </c>
      <c r="O245" s="299"/>
      <c r="P245" s="298" t="s">
        <v>70</v>
      </c>
      <c r="Q245" s="298" t="s">
        <v>71</v>
      </c>
      <c r="R245" s="298"/>
      <c r="S245" s="298" t="s">
        <v>565</v>
      </c>
      <c r="T245" s="298"/>
      <c r="U245" s="298"/>
    </row>
    <row r="246" spans="5:21" ht="15.75" customHeight="1" x14ac:dyDescent="0.3">
      <c r="E246" s="300">
        <v>1</v>
      </c>
      <c r="G246" s="296">
        <v>2</v>
      </c>
      <c r="H246" s="297">
        <v>2</v>
      </c>
      <c r="I246" s="133">
        <f t="shared" si="3"/>
        <v>0</v>
      </c>
      <c r="J246" s="298" t="s">
        <v>236</v>
      </c>
      <c r="K246" s="298" t="s">
        <v>87</v>
      </c>
      <c r="L246" s="298" t="s">
        <v>1214</v>
      </c>
      <c r="M246" s="297">
        <v>2</v>
      </c>
      <c r="N246" s="298" t="s">
        <v>238</v>
      </c>
      <c r="O246" s="299"/>
      <c r="P246" s="298" t="s">
        <v>70</v>
      </c>
      <c r="Q246" s="298" t="s">
        <v>71</v>
      </c>
      <c r="R246" s="298"/>
      <c r="S246" s="298" t="s">
        <v>565</v>
      </c>
      <c r="T246" s="298"/>
      <c r="U246" s="298"/>
    </row>
    <row r="247" spans="5:21" ht="15.75" customHeight="1" x14ac:dyDescent="0.3">
      <c r="E247" s="300">
        <v>14</v>
      </c>
      <c r="G247" s="296">
        <v>12</v>
      </c>
      <c r="H247" s="297">
        <v>12</v>
      </c>
      <c r="I247" s="133">
        <f t="shared" si="3"/>
        <v>0</v>
      </c>
      <c r="J247" s="298" t="s">
        <v>236</v>
      </c>
      <c r="K247" s="298" t="s">
        <v>79</v>
      </c>
      <c r="L247" s="298" t="s">
        <v>1214</v>
      </c>
      <c r="M247" s="297">
        <v>12</v>
      </c>
      <c r="N247" s="298" t="s">
        <v>238</v>
      </c>
      <c r="O247" s="297">
        <v>12</v>
      </c>
      <c r="P247" s="298" t="s">
        <v>70</v>
      </c>
      <c r="Q247" s="298" t="s">
        <v>71</v>
      </c>
      <c r="R247" s="298"/>
      <c r="S247" s="298" t="s">
        <v>565</v>
      </c>
      <c r="T247" s="298"/>
      <c r="U247" s="298"/>
    </row>
    <row r="248" spans="5:21" ht="15.75" customHeight="1" x14ac:dyDescent="0.3">
      <c r="E248" s="300">
        <v>2</v>
      </c>
      <c r="G248" s="296">
        <v>24</v>
      </c>
      <c r="H248" s="297">
        <v>24</v>
      </c>
      <c r="I248" s="133">
        <f t="shared" si="3"/>
        <v>0</v>
      </c>
      <c r="J248" s="298" t="s">
        <v>236</v>
      </c>
      <c r="K248" s="298" t="s">
        <v>100</v>
      </c>
      <c r="L248" s="298" t="s">
        <v>1214</v>
      </c>
      <c r="M248" s="297">
        <v>24</v>
      </c>
      <c r="N248" s="298" t="s">
        <v>238</v>
      </c>
      <c r="O248" s="297">
        <v>24</v>
      </c>
      <c r="P248" s="298" t="s">
        <v>70</v>
      </c>
      <c r="Q248" s="298" t="s">
        <v>71</v>
      </c>
      <c r="R248" s="298"/>
      <c r="S248" s="298" t="s">
        <v>565</v>
      </c>
      <c r="T248" s="298"/>
      <c r="U248" s="298"/>
    </row>
    <row r="249" spans="5:21" ht="15.75" customHeight="1" x14ac:dyDescent="0.3">
      <c r="E249" s="300">
        <v>36</v>
      </c>
      <c r="G249" s="296">
        <v>1</v>
      </c>
      <c r="H249" s="297">
        <v>1</v>
      </c>
      <c r="I249" s="133">
        <f t="shared" si="3"/>
        <v>0</v>
      </c>
      <c r="J249" s="298" t="s">
        <v>236</v>
      </c>
      <c r="K249" s="298" t="s">
        <v>80</v>
      </c>
      <c r="L249" s="298" t="s">
        <v>1214</v>
      </c>
      <c r="M249" s="297">
        <v>1</v>
      </c>
      <c r="N249" s="298" t="s">
        <v>238</v>
      </c>
      <c r="O249" s="299"/>
      <c r="P249" s="298" t="s">
        <v>70</v>
      </c>
      <c r="Q249" s="298" t="s">
        <v>71</v>
      </c>
      <c r="R249" s="298"/>
      <c r="S249" s="298" t="s">
        <v>565</v>
      </c>
      <c r="T249" s="298"/>
      <c r="U249" s="298"/>
    </row>
    <row r="250" spans="5:21" ht="15.75" customHeight="1" x14ac:dyDescent="0.3">
      <c r="E250" s="300">
        <v>36</v>
      </c>
      <c r="G250" s="296">
        <v>10</v>
      </c>
      <c r="H250" s="297">
        <v>10</v>
      </c>
      <c r="I250" s="133">
        <f t="shared" si="3"/>
        <v>0</v>
      </c>
      <c r="J250" s="298" t="s">
        <v>239</v>
      </c>
      <c r="K250" s="298" t="s">
        <v>73</v>
      </c>
      <c r="L250" s="298" t="s">
        <v>1189</v>
      </c>
      <c r="M250" s="297">
        <v>10</v>
      </c>
      <c r="N250" s="298" t="s">
        <v>238</v>
      </c>
      <c r="O250" s="297">
        <v>10</v>
      </c>
      <c r="P250" s="298" t="s">
        <v>70</v>
      </c>
      <c r="Q250" s="298" t="s">
        <v>71</v>
      </c>
      <c r="R250" s="298"/>
      <c r="S250" s="298" t="s">
        <v>565</v>
      </c>
      <c r="T250" s="298"/>
      <c r="U250" s="298"/>
    </row>
    <row r="251" spans="5:21" ht="15.75" customHeight="1" x14ac:dyDescent="0.3">
      <c r="E251" s="300">
        <v>3</v>
      </c>
      <c r="G251" s="296">
        <v>18</v>
      </c>
      <c r="H251" s="297">
        <v>18</v>
      </c>
      <c r="I251" s="133">
        <f t="shared" si="3"/>
        <v>0</v>
      </c>
      <c r="J251" s="298" t="s">
        <v>239</v>
      </c>
      <c r="K251" s="298" t="s">
        <v>123</v>
      </c>
      <c r="L251" s="298" t="s">
        <v>1189</v>
      </c>
      <c r="M251" s="297">
        <v>18</v>
      </c>
      <c r="N251" s="298" t="s">
        <v>238</v>
      </c>
      <c r="O251" s="299"/>
      <c r="P251" s="298" t="s">
        <v>70</v>
      </c>
      <c r="Q251" s="298" t="s">
        <v>71</v>
      </c>
      <c r="R251" s="298"/>
      <c r="S251" s="298" t="s">
        <v>565</v>
      </c>
      <c r="T251" s="298"/>
      <c r="U251" s="298"/>
    </row>
    <row r="252" spans="5:21" ht="15.75" customHeight="1" x14ac:dyDescent="0.3">
      <c r="E252" s="300">
        <v>3</v>
      </c>
      <c r="G252" s="296">
        <v>2</v>
      </c>
      <c r="H252" s="297">
        <v>2</v>
      </c>
      <c r="I252" s="133">
        <f t="shared" si="3"/>
        <v>0</v>
      </c>
      <c r="J252" s="298" t="s">
        <v>239</v>
      </c>
      <c r="K252" s="298" t="s">
        <v>87</v>
      </c>
      <c r="L252" s="298" t="s">
        <v>1189</v>
      </c>
      <c r="M252" s="297">
        <v>2</v>
      </c>
      <c r="N252" s="298" t="s">
        <v>238</v>
      </c>
      <c r="O252" s="299"/>
      <c r="P252" s="298" t="s">
        <v>70</v>
      </c>
      <c r="Q252" s="298" t="s">
        <v>71</v>
      </c>
      <c r="R252" s="298"/>
      <c r="S252" s="298" t="s">
        <v>565</v>
      </c>
      <c r="T252" s="298"/>
      <c r="U252" s="298"/>
    </row>
    <row r="253" spans="5:21" ht="15.75" customHeight="1" x14ac:dyDescent="0.3">
      <c r="E253" s="300">
        <v>1</v>
      </c>
      <c r="G253" s="296">
        <v>26</v>
      </c>
      <c r="H253" s="297">
        <v>26</v>
      </c>
      <c r="I253" s="133">
        <f t="shared" si="3"/>
        <v>0</v>
      </c>
      <c r="J253" s="298" t="s">
        <v>239</v>
      </c>
      <c r="K253" s="298" t="s">
        <v>79</v>
      </c>
      <c r="L253" s="298" t="s">
        <v>1189</v>
      </c>
      <c r="M253" s="297">
        <v>26</v>
      </c>
      <c r="N253" s="298" t="s">
        <v>238</v>
      </c>
      <c r="O253" s="297">
        <v>26</v>
      </c>
      <c r="P253" s="298" t="s">
        <v>70</v>
      </c>
      <c r="Q253" s="298" t="s">
        <v>71</v>
      </c>
      <c r="R253" s="298"/>
      <c r="S253" s="298" t="s">
        <v>565</v>
      </c>
      <c r="T253" s="298"/>
      <c r="U253" s="298"/>
    </row>
    <row r="254" spans="5:21" ht="15.75" customHeight="1" x14ac:dyDescent="0.3">
      <c r="E254" s="300">
        <v>20</v>
      </c>
      <c r="G254" s="296">
        <v>1</v>
      </c>
      <c r="H254" s="297">
        <v>1</v>
      </c>
      <c r="I254" s="133">
        <f t="shared" si="3"/>
        <v>0</v>
      </c>
      <c r="J254" s="298" t="s">
        <v>239</v>
      </c>
      <c r="K254" s="298" t="s">
        <v>80</v>
      </c>
      <c r="L254" s="298" t="s">
        <v>1189</v>
      </c>
      <c r="M254" s="297">
        <v>1</v>
      </c>
      <c r="N254" s="298" t="s">
        <v>238</v>
      </c>
      <c r="O254" s="299"/>
      <c r="P254" s="298" t="s">
        <v>70</v>
      </c>
      <c r="Q254" s="298" t="s">
        <v>71</v>
      </c>
      <c r="R254" s="298"/>
      <c r="S254" s="298" t="s">
        <v>565</v>
      </c>
      <c r="T254" s="298"/>
      <c r="U254" s="298"/>
    </row>
    <row r="255" spans="5:21" ht="15.75" customHeight="1" x14ac:dyDescent="0.3">
      <c r="E255" s="300">
        <v>15</v>
      </c>
      <c r="G255" s="296">
        <v>14</v>
      </c>
      <c r="H255" s="297">
        <v>14</v>
      </c>
      <c r="I255" s="133">
        <f t="shared" si="3"/>
        <v>0</v>
      </c>
      <c r="J255" s="298" t="s">
        <v>240</v>
      </c>
      <c r="K255" s="298" t="s">
        <v>73</v>
      </c>
      <c r="L255" s="298" t="s">
        <v>1214</v>
      </c>
      <c r="M255" s="297">
        <v>14</v>
      </c>
      <c r="N255" s="298" t="s">
        <v>238</v>
      </c>
      <c r="O255" s="297">
        <v>14</v>
      </c>
      <c r="P255" s="298" t="s">
        <v>70</v>
      </c>
      <c r="Q255" s="298" t="s">
        <v>71</v>
      </c>
      <c r="R255" s="298"/>
      <c r="S255" s="298" t="s">
        <v>565</v>
      </c>
      <c r="T255" s="298"/>
      <c r="U255" s="298"/>
    </row>
    <row r="256" spans="5:21" ht="15.75" customHeight="1" x14ac:dyDescent="0.3">
      <c r="E256" s="300">
        <v>2</v>
      </c>
      <c r="G256" s="296">
        <v>15</v>
      </c>
      <c r="H256" s="297">
        <v>15</v>
      </c>
      <c r="I256" s="133">
        <f t="shared" si="3"/>
        <v>0</v>
      </c>
      <c r="J256" s="298" t="s">
        <v>240</v>
      </c>
      <c r="K256" s="298" t="s">
        <v>123</v>
      </c>
      <c r="L256" s="298" t="s">
        <v>1214</v>
      </c>
      <c r="M256" s="297">
        <v>15</v>
      </c>
      <c r="N256" s="298" t="s">
        <v>238</v>
      </c>
      <c r="O256" s="299"/>
      <c r="P256" s="298" t="s">
        <v>70</v>
      </c>
      <c r="Q256" s="298" t="s">
        <v>71</v>
      </c>
      <c r="R256" s="298"/>
      <c r="S256" s="298" t="s">
        <v>565</v>
      </c>
      <c r="T256" s="298"/>
      <c r="U256" s="298"/>
    </row>
    <row r="257" spans="5:21" ht="15.75" customHeight="1" x14ac:dyDescent="0.3">
      <c r="E257" s="300">
        <v>12</v>
      </c>
      <c r="G257" s="296">
        <v>40</v>
      </c>
      <c r="H257" s="297">
        <v>40</v>
      </c>
      <c r="I257" s="133">
        <f t="shared" si="3"/>
        <v>0</v>
      </c>
      <c r="J257" s="298" t="s">
        <v>240</v>
      </c>
      <c r="K257" s="298" t="s">
        <v>79</v>
      </c>
      <c r="L257" s="298" t="s">
        <v>1214</v>
      </c>
      <c r="M257" s="297">
        <v>40</v>
      </c>
      <c r="N257" s="298" t="s">
        <v>238</v>
      </c>
      <c r="O257" s="297">
        <v>40</v>
      </c>
      <c r="P257" s="298" t="s">
        <v>70</v>
      </c>
      <c r="Q257" s="298" t="s">
        <v>71</v>
      </c>
      <c r="R257" s="298"/>
      <c r="S257" s="298" t="s">
        <v>565</v>
      </c>
      <c r="T257" s="298"/>
      <c r="U257" s="298"/>
    </row>
    <row r="258" spans="5:21" ht="15.75" customHeight="1" x14ac:dyDescent="0.3">
      <c r="E258" s="300">
        <v>24</v>
      </c>
      <c r="G258" s="296">
        <v>3</v>
      </c>
      <c r="H258" s="297">
        <v>3</v>
      </c>
      <c r="I258" s="133">
        <f t="shared" ref="I258:I321" si="4">G258-H258</f>
        <v>0</v>
      </c>
      <c r="J258" s="298" t="s">
        <v>240</v>
      </c>
      <c r="K258" s="298" t="s">
        <v>111</v>
      </c>
      <c r="L258" s="298" t="s">
        <v>1214</v>
      </c>
      <c r="M258" s="297">
        <v>3</v>
      </c>
      <c r="N258" s="298" t="s">
        <v>238</v>
      </c>
      <c r="O258" s="299"/>
      <c r="P258" s="298" t="s">
        <v>70</v>
      </c>
      <c r="Q258" s="298" t="s">
        <v>71</v>
      </c>
      <c r="R258" s="298"/>
      <c r="S258" s="298" t="s">
        <v>565</v>
      </c>
      <c r="T258" s="298"/>
      <c r="U258" s="298"/>
    </row>
    <row r="259" spans="5:21" ht="15.75" customHeight="1" x14ac:dyDescent="0.3">
      <c r="E259" s="300">
        <v>1</v>
      </c>
      <c r="G259" s="296">
        <v>3</v>
      </c>
      <c r="H259" s="297">
        <v>3</v>
      </c>
      <c r="I259" s="133">
        <f t="shared" si="4"/>
        <v>0</v>
      </c>
      <c r="J259" s="298" t="s">
        <v>240</v>
      </c>
      <c r="K259" s="298" t="s">
        <v>80</v>
      </c>
      <c r="L259" s="298" t="s">
        <v>1214</v>
      </c>
      <c r="M259" s="297">
        <v>3</v>
      </c>
      <c r="N259" s="298" t="s">
        <v>238</v>
      </c>
      <c r="O259" s="299"/>
      <c r="P259" s="298" t="s">
        <v>70</v>
      </c>
      <c r="Q259" s="298" t="s">
        <v>71</v>
      </c>
      <c r="R259" s="298"/>
      <c r="S259" s="298" t="s">
        <v>565</v>
      </c>
      <c r="T259" s="298"/>
      <c r="U259" s="298"/>
    </row>
    <row r="260" spans="5:21" ht="15.75" customHeight="1" x14ac:dyDescent="0.3">
      <c r="E260" s="300">
        <v>10</v>
      </c>
      <c r="G260" s="296">
        <v>24</v>
      </c>
      <c r="H260" s="297">
        <v>24</v>
      </c>
      <c r="I260" s="133">
        <f t="shared" si="4"/>
        <v>0</v>
      </c>
      <c r="J260" s="298" t="s">
        <v>241</v>
      </c>
      <c r="K260" s="298" t="s">
        <v>102</v>
      </c>
      <c r="L260" s="298" t="s">
        <v>1189</v>
      </c>
      <c r="M260" s="297">
        <v>24</v>
      </c>
      <c r="N260" s="298" t="s">
        <v>238</v>
      </c>
      <c r="O260" s="299"/>
      <c r="P260" s="298" t="s">
        <v>65</v>
      </c>
      <c r="Q260" s="298" t="s">
        <v>66</v>
      </c>
      <c r="R260" s="298"/>
      <c r="S260" s="298" t="s">
        <v>593</v>
      </c>
      <c r="T260" s="298" t="s">
        <v>1172</v>
      </c>
      <c r="U260" s="298"/>
    </row>
    <row r="261" spans="5:21" ht="15.75" customHeight="1" x14ac:dyDescent="0.3">
      <c r="E261" s="300">
        <v>18</v>
      </c>
      <c r="G261" s="296">
        <v>30</v>
      </c>
      <c r="H261" s="297">
        <v>30</v>
      </c>
      <c r="I261" s="133">
        <f t="shared" si="4"/>
        <v>0</v>
      </c>
      <c r="J261" s="298" t="s">
        <v>241</v>
      </c>
      <c r="K261" s="298" t="s">
        <v>73</v>
      </c>
      <c r="L261" s="298" t="s">
        <v>1189</v>
      </c>
      <c r="M261" s="297">
        <v>30</v>
      </c>
      <c r="N261" s="298" t="s">
        <v>238</v>
      </c>
      <c r="O261" s="297">
        <v>30</v>
      </c>
      <c r="P261" s="298" t="s">
        <v>65</v>
      </c>
      <c r="Q261" s="298" t="s">
        <v>66</v>
      </c>
      <c r="R261" s="298"/>
      <c r="S261" s="298" t="s">
        <v>593</v>
      </c>
      <c r="T261" s="298" t="s">
        <v>1172</v>
      </c>
      <c r="U261" s="298" t="s">
        <v>1215</v>
      </c>
    </row>
    <row r="262" spans="5:21" ht="15.75" customHeight="1" x14ac:dyDescent="0.3">
      <c r="E262" s="300">
        <v>2</v>
      </c>
      <c r="G262" s="296">
        <v>34</v>
      </c>
      <c r="H262" s="297">
        <v>34</v>
      </c>
      <c r="I262" s="133">
        <f t="shared" si="4"/>
        <v>0</v>
      </c>
      <c r="J262" s="298" t="s">
        <v>241</v>
      </c>
      <c r="K262" s="298" t="s">
        <v>79</v>
      </c>
      <c r="L262" s="298" t="s">
        <v>1189</v>
      </c>
      <c r="M262" s="297">
        <v>34</v>
      </c>
      <c r="N262" s="298" t="s">
        <v>238</v>
      </c>
      <c r="O262" s="297">
        <v>34</v>
      </c>
      <c r="P262" s="298" t="s">
        <v>65</v>
      </c>
      <c r="Q262" s="298" t="s">
        <v>66</v>
      </c>
      <c r="R262" s="298"/>
      <c r="S262" s="298" t="s">
        <v>593</v>
      </c>
      <c r="T262" s="298" t="s">
        <v>1172</v>
      </c>
      <c r="U262" s="298" t="s">
        <v>1215</v>
      </c>
    </row>
    <row r="263" spans="5:21" ht="15.75" customHeight="1" x14ac:dyDescent="0.3">
      <c r="E263" s="300">
        <v>26</v>
      </c>
      <c r="G263" s="296">
        <v>16</v>
      </c>
      <c r="H263" s="297">
        <v>16</v>
      </c>
      <c r="I263" s="133">
        <f t="shared" si="4"/>
        <v>0</v>
      </c>
      <c r="J263" s="298" t="s">
        <v>241</v>
      </c>
      <c r="K263" s="298" t="s">
        <v>100</v>
      </c>
      <c r="L263" s="298" t="s">
        <v>1189</v>
      </c>
      <c r="M263" s="297">
        <v>16</v>
      </c>
      <c r="N263" s="298" t="s">
        <v>238</v>
      </c>
      <c r="O263" s="297">
        <v>16</v>
      </c>
      <c r="P263" s="298" t="s">
        <v>65</v>
      </c>
      <c r="Q263" s="298" t="s">
        <v>66</v>
      </c>
      <c r="R263" s="298"/>
      <c r="S263" s="298" t="s">
        <v>593</v>
      </c>
      <c r="T263" s="298" t="s">
        <v>1172</v>
      </c>
      <c r="U263" s="298" t="s">
        <v>1215</v>
      </c>
    </row>
    <row r="264" spans="5:21" ht="15.75" customHeight="1" x14ac:dyDescent="0.3">
      <c r="E264" s="300">
        <v>1</v>
      </c>
      <c r="G264" s="296">
        <v>3</v>
      </c>
      <c r="H264" s="297">
        <v>3</v>
      </c>
      <c r="I264" s="133">
        <f t="shared" si="4"/>
        <v>0</v>
      </c>
      <c r="J264" s="298" t="s">
        <v>241</v>
      </c>
      <c r="K264" s="298" t="s">
        <v>111</v>
      </c>
      <c r="L264" s="298" t="s">
        <v>1189</v>
      </c>
      <c r="M264" s="297">
        <v>3</v>
      </c>
      <c r="N264" s="298" t="s">
        <v>238</v>
      </c>
      <c r="O264" s="299"/>
      <c r="P264" s="298" t="s">
        <v>65</v>
      </c>
      <c r="Q264" s="298" t="s">
        <v>66</v>
      </c>
      <c r="R264" s="298"/>
      <c r="S264" s="298" t="s">
        <v>593</v>
      </c>
      <c r="T264" s="298"/>
      <c r="U264" s="298"/>
    </row>
    <row r="265" spans="5:21" ht="15.75" customHeight="1" x14ac:dyDescent="0.3">
      <c r="E265" s="300">
        <v>14</v>
      </c>
      <c r="G265" s="296">
        <v>3</v>
      </c>
      <c r="H265" s="297">
        <v>3</v>
      </c>
      <c r="I265" s="133">
        <f t="shared" si="4"/>
        <v>0</v>
      </c>
      <c r="J265" s="298" t="s">
        <v>241</v>
      </c>
      <c r="K265" s="298" t="s">
        <v>80</v>
      </c>
      <c r="L265" s="298" t="s">
        <v>1189</v>
      </c>
      <c r="M265" s="297">
        <v>3</v>
      </c>
      <c r="N265" s="298" t="s">
        <v>238</v>
      </c>
      <c r="O265" s="299"/>
      <c r="P265" s="298" t="s">
        <v>65</v>
      </c>
      <c r="Q265" s="298" t="s">
        <v>66</v>
      </c>
      <c r="R265" s="298"/>
      <c r="S265" s="298" t="s">
        <v>593</v>
      </c>
      <c r="T265" s="298"/>
      <c r="U265" s="298"/>
    </row>
    <row r="266" spans="5:21" ht="15.75" customHeight="1" x14ac:dyDescent="0.3">
      <c r="E266" s="300">
        <v>15</v>
      </c>
      <c r="G266" s="296">
        <v>1</v>
      </c>
      <c r="H266" s="297">
        <v>1</v>
      </c>
      <c r="I266" s="133">
        <f t="shared" si="4"/>
        <v>0</v>
      </c>
      <c r="J266" s="298" t="s">
        <v>241</v>
      </c>
      <c r="K266" s="298" t="s">
        <v>80</v>
      </c>
      <c r="L266" s="298" t="s">
        <v>1189</v>
      </c>
      <c r="M266" s="297">
        <v>1</v>
      </c>
      <c r="N266" s="298" t="s">
        <v>238</v>
      </c>
      <c r="O266" s="299"/>
      <c r="P266" s="298" t="s">
        <v>250</v>
      </c>
      <c r="Q266" s="298" t="s">
        <v>251</v>
      </c>
      <c r="R266" s="298" t="s">
        <v>8</v>
      </c>
      <c r="S266" s="298" t="s">
        <v>565</v>
      </c>
      <c r="T266" s="298"/>
      <c r="U266" s="298"/>
    </row>
    <row r="267" spans="5:21" ht="15.75" customHeight="1" x14ac:dyDescent="0.3">
      <c r="E267" s="300">
        <v>40</v>
      </c>
      <c r="G267" s="296">
        <v>18</v>
      </c>
      <c r="H267" s="297">
        <v>18</v>
      </c>
      <c r="I267" s="133">
        <f t="shared" si="4"/>
        <v>0</v>
      </c>
      <c r="J267" s="298" t="s">
        <v>242</v>
      </c>
      <c r="K267" s="298" t="s">
        <v>73</v>
      </c>
      <c r="L267" s="298" t="s">
        <v>1193</v>
      </c>
      <c r="M267" s="297">
        <v>18</v>
      </c>
      <c r="N267" s="298" t="s">
        <v>145</v>
      </c>
      <c r="O267" s="297">
        <v>18</v>
      </c>
      <c r="P267" s="298" t="s">
        <v>146</v>
      </c>
      <c r="Q267" s="298" t="s">
        <v>147</v>
      </c>
      <c r="R267" s="298"/>
      <c r="S267" s="298" t="s">
        <v>565</v>
      </c>
      <c r="T267" s="298" t="s">
        <v>1177</v>
      </c>
      <c r="U267" s="298" t="s">
        <v>1216</v>
      </c>
    </row>
    <row r="268" spans="5:21" ht="15.75" customHeight="1" x14ac:dyDescent="0.3">
      <c r="E268" s="300">
        <v>3</v>
      </c>
      <c r="G268" s="296">
        <v>18</v>
      </c>
      <c r="H268" s="297">
        <v>18</v>
      </c>
      <c r="I268" s="133">
        <f t="shared" si="4"/>
        <v>0</v>
      </c>
      <c r="J268" s="298" t="s">
        <v>242</v>
      </c>
      <c r="K268" s="298" t="s">
        <v>123</v>
      </c>
      <c r="L268" s="298" t="s">
        <v>1193</v>
      </c>
      <c r="M268" s="297">
        <v>18</v>
      </c>
      <c r="N268" s="298" t="s">
        <v>145</v>
      </c>
      <c r="O268" s="299"/>
      <c r="P268" s="298" t="s">
        <v>146</v>
      </c>
      <c r="Q268" s="298" t="s">
        <v>147</v>
      </c>
      <c r="R268" s="298"/>
      <c r="S268" s="298" t="s">
        <v>565</v>
      </c>
      <c r="T268" s="298" t="s">
        <v>1177</v>
      </c>
      <c r="U268" s="298" t="s">
        <v>1216</v>
      </c>
    </row>
    <row r="269" spans="5:21" ht="15.75" customHeight="1" x14ac:dyDescent="0.3">
      <c r="E269" s="300">
        <v>3</v>
      </c>
      <c r="G269" s="296">
        <v>2</v>
      </c>
      <c r="H269" s="297">
        <v>2</v>
      </c>
      <c r="I269" s="133">
        <f t="shared" si="4"/>
        <v>0</v>
      </c>
      <c r="J269" s="298" t="s">
        <v>242</v>
      </c>
      <c r="K269" s="298" t="s">
        <v>87</v>
      </c>
      <c r="L269" s="298" t="s">
        <v>1193</v>
      </c>
      <c r="M269" s="297">
        <v>2</v>
      </c>
      <c r="N269" s="298" t="s">
        <v>145</v>
      </c>
      <c r="O269" s="299"/>
      <c r="P269" s="298" t="s">
        <v>146</v>
      </c>
      <c r="Q269" s="298" t="s">
        <v>147</v>
      </c>
      <c r="R269" s="298"/>
      <c r="S269" s="298" t="s">
        <v>565</v>
      </c>
      <c r="T269" s="298" t="s">
        <v>1177</v>
      </c>
      <c r="U269" s="298" t="s">
        <v>1216</v>
      </c>
    </row>
    <row r="270" spans="5:21" ht="15.75" customHeight="1" x14ac:dyDescent="0.3">
      <c r="E270" s="300">
        <v>24</v>
      </c>
      <c r="G270" s="296">
        <v>58</v>
      </c>
      <c r="H270" s="297">
        <v>58</v>
      </c>
      <c r="I270" s="133">
        <f t="shared" si="4"/>
        <v>0</v>
      </c>
      <c r="J270" s="298" t="s">
        <v>242</v>
      </c>
      <c r="K270" s="298" t="s">
        <v>79</v>
      </c>
      <c r="L270" s="298" t="s">
        <v>1193</v>
      </c>
      <c r="M270" s="297">
        <v>58</v>
      </c>
      <c r="N270" s="298" t="s">
        <v>145</v>
      </c>
      <c r="O270" s="297">
        <v>58</v>
      </c>
      <c r="P270" s="298" t="s">
        <v>146</v>
      </c>
      <c r="Q270" s="298" t="s">
        <v>147</v>
      </c>
      <c r="R270" s="298"/>
      <c r="S270" s="298" t="s">
        <v>565</v>
      </c>
      <c r="T270" s="298" t="s">
        <v>1177</v>
      </c>
      <c r="U270" s="298" t="s">
        <v>1216</v>
      </c>
    </row>
    <row r="271" spans="5:21" ht="15.75" customHeight="1" x14ac:dyDescent="0.3">
      <c r="E271" s="300">
        <v>30</v>
      </c>
      <c r="G271" s="296">
        <v>1</v>
      </c>
      <c r="H271" s="297">
        <v>1</v>
      </c>
      <c r="I271" s="133">
        <f t="shared" si="4"/>
        <v>0</v>
      </c>
      <c r="J271" s="298" t="s">
        <v>242</v>
      </c>
      <c r="K271" s="298" t="s">
        <v>80</v>
      </c>
      <c r="L271" s="298" t="s">
        <v>1193</v>
      </c>
      <c r="M271" s="297">
        <v>1</v>
      </c>
      <c r="N271" s="298" t="s">
        <v>145</v>
      </c>
      <c r="O271" s="299"/>
      <c r="P271" s="298" t="s">
        <v>146</v>
      </c>
      <c r="Q271" s="298" t="s">
        <v>147</v>
      </c>
      <c r="R271" s="298"/>
      <c r="S271" s="298" t="s">
        <v>565</v>
      </c>
      <c r="T271" s="298" t="s">
        <v>1177</v>
      </c>
      <c r="U271" s="298" t="s">
        <v>1216</v>
      </c>
    </row>
    <row r="272" spans="5:21" ht="15.75" customHeight="1" x14ac:dyDescent="0.3">
      <c r="E272" s="300">
        <v>34</v>
      </c>
      <c r="G272" s="296">
        <v>8</v>
      </c>
      <c r="H272" s="297">
        <v>8</v>
      </c>
      <c r="I272" s="133">
        <f t="shared" si="4"/>
        <v>0</v>
      </c>
      <c r="J272" s="298" t="s">
        <v>244</v>
      </c>
      <c r="K272" s="298" t="s">
        <v>73</v>
      </c>
      <c r="L272" s="298" t="s">
        <v>1191</v>
      </c>
      <c r="M272" s="297">
        <v>8</v>
      </c>
      <c r="N272" s="298" t="s">
        <v>145</v>
      </c>
      <c r="O272" s="297">
        <v>8</v>
      </c>
      <c r="P272" s="298" t="s">
        <v>245</v>
      </c>
      <c r="Q272" s="298" t="s">
        <v>246</v>
      </c>
      <c r="R272" s="298"/>
      <c r="S272" s="298" t="s">
        <v>565</v>
      </c>
      <c r="T272" s="298" t="s">
        <v>1177</v>
      </c>
      <c r="U272" s="298" t="s">
        <v>247</v>
      </c>
    </row>
    <row r="273" spans="5:21" ht="15.75" customHeight="1" x14ac:dyDescent="0.3">
      <c r="E273" s="300">
        <v>16</v>
      </c>
      <c r="G273" s="296">
        <v>28</v>
      </c>
      <c r="H273" s="297">
        <v>28</v>
      </c>
      <c r="I273" s="133">
        <f t="shared" si="4"/>
        <v>0</v>
      </c>
      <c r="J273" s="298" t="s">
        <v>244</v>
      </c>
      <c r="K273" s="298" t="s">
        <v>79</v>
      </c>
      <c r="L273" s="298" t="s">
        <v>1191</v>
      </c>
      <c r="M273" s="297">
        <v>28</v>
      </c>
      <c r="N273" s="298" t="s">
        <v>145</v>
      </c>
      <c r="O273" s="297">
        <v>28</v>
      </c>
      <c r="P273" s="298" t="s">
        <v>245</v>
      </c>
      <c r="Q273" s="298" t="s">
        <v>246</v>
      </c>
      <c r="R273" s="298"/>
      <c r="S273" s="298" t="s">
        <v>565</v>
      </c>
      <c r="T273" s="298" t="s">
        <v>1177</v>
      </c>
      <c r="U273" s="298" t="s">
        <v>247</v>
      </c>
    </row>
    <row r="274" spans="5:21" ht="15.75" customHeight="1" x14ac:dyDescent="0.3">
      <c r="E274" s="300">
        <v>3</v>
      </c>
      <c r="G274" s="296">
        <v>3</v>
      </c>
      <c r="H274" s="297">
        <v>3</v>
      </c>
      <c r="I274" s="133">
        <f t="shared" si="4"/>
        <v>0</v>
      </c>
      <c r="J274" s="298" t="s">
        <v>244</v>
      </c>
      <c r="K274" s="298" t="s">
        <v>111</v>
      </c>
      <c r="L274" s="298" t="s">
        <v>1191</v>
      </c>
      <c r="M274" s="297">
        <v>3</v>
      </c>
      <c r="N274" s="298" t="s">
        <v>145</v>
      </c>
      <c r="O274" s="299"/>
      <c r="P274" s="298" t="s">
        <v>245</v>
      </c>
      <c r="Q274" s="298" t="s">
        <v>246</v>
      </c>
      <c r="R274" s="298"/>
      <c r="S274" s="298" t="s">
        <v>565</v>
      </c>
      <c r="T274" s="298"/>
      <c r="U274" s="298"/>
    </row>
    <row r="275" spans="5:21" ht="15.75" customHeight="1" x14ac:dyDescent="0.3">
      <c r="E275" s="300">
        <v>3</v>
      </c>
      <c r="G275" s="296">
        <v>2</v>
      </c>
      <c r="H275" s="297">
        <v>2</v>
      </c>
      <c r="I275" s="133">
        <f t="shared" si="4"/>
        <v>0</v>
      </c>
      <c r="J275" s="298" t="s">
        <v>244</v>
      </c>
      <c r="K275" s="298" t="s">
        <v>80</v>
      </c>
      <c r="L275" s="298" t="s">
        <v>1191</v>
      </c>
      <c r="M275" s="297">
        <v>2</v>
      </c>
      <c r="N275" s="298" t="s">
        <v>145</v>
      </c>
      <c r="O275" s="299"/>
      <c r="P275" s="298" t="s">
        <v>245</v>
      </c>
      <c r="Q275" s="298" t="s">
        <v>246</v>
      </c>
      <c r="R275" s="298"/>
      <c r="S275" s="298" t="s">
        <v>565</v>
      </c>
      <c r="T275" s="298"/>
      <c r="U275" s="298"/>
    </row>
    <row r="276" spans="5:21" ht="15.75" customHeight="1" x14ac:dyDescent="0.3">
      <c r="E276" s="300">
        <v>1</v>
      </c>
      <c r="G276" s="296">
        <v>12</v>
      </c>
      <c r="H276" s="297">
        <v>12</v>
      </c>
      <c r="I276" s="133">
        <f t="shared" si="4"/>
        <v>0</v>
      </c>
      <c r="J276" s="298" t="s">
        <v>248</v>
      </c>
      <c r="K276" s="298" t="s">
        <v>73</v>
      </c>
      <c r="L276" s="298" t="s">
        <v>1191</v>
      </c>
      <c r="M276" s="297">
        <v>12</v>
      </c>
      <c r="N276" s="298" t="s">
        <v>145</v>
      </c>
      <c r="O276" s="297">
        <v>12</v>
      </c>
      <c r="P276" s="298" t="s">
        <v>94</v>
      </c>
      <c r="Q276" s="298" t="s">
        <v>95</v>
      </c>
      <c r="R276" s="298"/>
      <c r="S276" s="298" t="s">
        <v>565</v>
      </c>
      <c r="T276" s="298" t="s">
        <v>1170</v>
      </c>
      <c r="U276" s="298" t="s">
        <v>1171</v>
      </c>
    </row>
    <row r="277" spans="5:21" ht="15.75" customHeight="1" x14ac:dyDescent="0.3">
      <c r="E277" s="300">
        <v>18</v>
      </c>
      <c r="G277" s="296">
        <v>44</v>
      </c>
      <c r="H277" s="297">
        <v>44</v>
      </c>
      <c r="I277" s="133">
        <f t="shared" si="4"/>
        <v>0</v>
      </c>
      <c r="J277" s="298" t="s">
        <v>248</v>
      </c>
      <c r="K277" s="298" t="s">
        <v>79</v>
      </c>
      <c r="L277" s="298" t="s">
        <v>1191</v>
      </c>
      <c r="M277" s="297">
        <v>44</v>
      </c>
      <c r="N277" s="298" t="s">
        <v>145</v>
      </c>
      <c r="O277" s="297">
        <v>44</v>
      </c>
      <c r="P277" s="298" t="s">
        <v>94</v>
      </c>
      <c r="Q277" s="298" t="s">
        <v>95</v>
      </c>
      <c r="R277" s="298"/>
      <c r="S277" s="298" t="s">
        <v>565</v>
      </c>
      <c r="T277" s="298" t="s">
        <v>1170</v>
      </c>
      <c r="U277" s="298" t="s">
        <v>1171</v>
      </c>
    </row>
    <row r="278" spans="5:21" ht="15.75" customHeight="1" x14ac:dyDescent="0.3">
      <c r="E278" s="300">
        <v>18</v>
      </c>
      <c r="G278" s="296">
        <v>3</v>
      </c>
      <c r="H278" s="297">
        <v>3</v>
      </c>
      <c r="I278" s="133">
        <f t="shared" si="4"/>
        <v>0</v>
      </c>
      <c r="J278" s="298" t="s">
        <v>248</v>
      </c>
      <c r="K278" s="298" t="s">
        <v>111</v>
      </c>
      <c r="L278" s="298" t="s">
        <v>1191</v>
      </c>
      <c r="M278" s="297">
        <v>3</v>
      </c>
      <c r="N278" s="298" t="s">
        <v>145</v>
      </c>
      <c r="O278" s="299"/>
      <c r="P278" s="298" t="s">
        <v>94</v>
      </c>
      <c r="Q278" s="298" t="s">
        <v>95</v>
      </c>
      <c r="R278" s="298"/>
      <c r="S278" s="298" t="s">
        <v>565</v>
      </c>
      <c r="T278" s="298"/>
      <c r="U278" s="298" t="s">
        <v>1171</v>
      </c>
    </row>
    <row r="279" spans="5:21" ht="15.75" customHeight="1" x14ac:dyDescent="0.3">
      <c r="E279" s="300">
        <v>2</v>
      </c>
      <c r="G279" s="296">
        <v>3</v>
      </c>
      <c r="H279" s="297">
        <v>3</v>
      </c>
      <c r="I279" s="133">
        <f t="shared" si="4"/>
        <v>0</v>
      </c>
      <c r="J279" s="298" t="s">
        <v>248</v>
      </c>
      <c r="K279" s="298" t="s">
        <v>80</v>
      </c>
      <c r="L279" s="298" t="s">
        <v>1191</v>
      </c>
      <c r="M279" s="297">
        <v>3</v>
      </c>
      <c r="N279" s="298" t="s">
        <v>145</v>
      </c>
      <c r="O279" s="299"/>
      <c r="P279" s="298" t="s">
        <v>94</v>
      </c>
      <c r="Q279" s="298" t="s">
        <v>95</v>
      </c>
      <c r="R279" s="298"/>
      <c r="S279" s="298" t="s">
        <v>565</v>
      </c>
      <c r="T279" s="298"/>
      <c r="U279" s="298"/>
    </row>
    <row r="280" spans="5:21" ht="15.75" customHeight="1" x14ac:dyDescent="0.3">
      <c r="E280" s="300">
        <v>58</v>
      </c>
      <c r="G280" s="303">
        <v>18</v>
      </c>
      <c r="H280" s="297">
        <v>18</v>
      </c>
      <c r="I280" s="133">
        <f t="shared" si="4"/>
        <v>0</v>
      </c>
      <c r="J280" s="298" t="s">
        <v>249</v>
      </c>
      <c r="K280" s="298" t="s">
        <v>73</v>
      </c>
      <c r="L280" s="298" t="s">
        <v>1190</v>
      </c>
      <c r="M280" s="297">
        <v>18</v>
      </c>
      <c r="N280" s="298" t="s">
        <v>153</v>
      </c>
      <c r="O280" s="297">
        <v>18</v>
      </c>
      <c r="P280" s="298" t="s">
        <v>67</v>
      </c>
      <c r="Q280" s="298" t="s">
        <v>68</v>
      </c>
      <c r="R280" s="298"/>
      <c r="S280" s="298" t="s">
        <v>593</v>
      </c>
      <c r="T280" s="298" t="s">
        <v>1177</v>
      </c>
      <c r="U280" s="298" t="s">
        <v>1217</v>
      </c>
    </row>
    <row r="281" spans="5:21" ht="15.75" customHeight="1" x14ac:dyDescent="0.3">
      <c r="E281" s="300">
        <v>1</v>
      </c>
      <c r="G281" s="303">
        <v>32</v>
      </c>
      <c r="H281" s="297">
        <v>32</v>
      </c>
      <c r="I281" s="133">
        <f t="shared" si="4"/>
        <v>0</v>
      </c>
      <c r="J281" s="298" t="s">
        <v>249</v>
      </c>
      <c r="K281" s="298" t="s">
        <v>79</v>
      </c>
      <c r="L281" s="298" t="s">
        <v>1190</v>
      </c>
      <c r="M281" s="297">
        <v>32</v>
      </c>
      <c r="N281" s="298" t="s">
        <v>153</v>
      </c>
      <c r="O281" s="297">
        <v>32</v>
      </c>
      <c r="P281" s="298" t="s">
        <v>67</v>
      </c>
      <c r="Q281" s="298" t="s">
        <v>68</v>
      </c>
      <c r="R281" s="298"/>
      <c r="S281" s="298" t="s">
        <v>593</v>
      </c>
      <c r="T281" s="298" t="s">
        <v>1177</v>
      </c>
      <c r="U281" s="298" t="s">
        <v>1217</v>
      </c>
    </row>
    <row r="282" spans="5:21" ht="15.75" customHeight="1" x14ac:dyDescent="0.3">
      <c r="E282" s="300">
        <v>8</v>
      </c>
      <c r="G282" s="303">
        <v>2</v>
      </c>
      <c r="H282" s="297">
        <v>2</v>
      </c>
      <c r="I282" s="133">
        <f t="shared" si="4"/>
        <v>0</v>
      </c>
      <c r="J282" s="298" t="s">
        <v>249</v>
      </c>
      <c r="K282" s="298" t="s">
        <v>142</v>
      </c>
      <c r="L282" s="298" t="s">
        <v>1190</v>
      </c>
      <c r="M282" s="297">
        <v>2</v>
      </c>
      <c r="N282" s="298" t="s">
        <v>153</v>
      </c>
      <c r="O282" s="299"/>
      <c r="P282" s="298" t="s">
        <v>67</v>
      </c>
      <c r="Q282" s="298" t="s">
        <v>68</v>
      </c>
      <c r="R282" s="298"/>
      <c r="S282" s="298" t="s">
        <v>593</v>
      </c>
      <c r="T282" s="298"/>
      <c r="U282" s="298"/>
    </row>
    <row r="283" spans="5:21" ht="15.75" customHeight="1" x14ac:dyDescent="0.3">
      <c r="E283" s="300">
        <v>28</v>
      </c>
      <c r="G283" s="303">
        <v>1</v>
      </c>
      <c r="H283" s="297">
        <v>1</v>
      </c>
      <c r="I283" s="133">
        <f t="shared" si="4"/>
        <v>0</v>
      </c>
      <c r="J283" s="298" t="s">
        <v>249</v>
      </c>
      <c r="K283" s="298" t="s">
        <v>80</v>
      </c>
      <c r="L283" s="298" t="s">
        <v>1190</v>
      </c>
      <c r="M283" s="297">
        <v>1</v>
      </c>
      <c r="N283" s="298" t="s">
        <v>153</v>
      </c>
      <c r="O283" s="299"/>
      <c r="P283" s="298" t="s">
        <v>67</v>
      </c>
      <c r="Q283" s="298" t="s">
        <v>68</v>
      </c>
      <c r="R283" s="298"/>
      <c r="S283" s="298" t="s">
        <v>593</v>
      </c>
      <c r="T283" s="298"/>
      <c r="U283" s="298"/>
    </row>
    <row r="284" spans="5:21" ht="15.75" customHeight="1" x14ac:dyDescent="0.3">
      <c r="E284" s="300">
        <v>3</v>
      </c>
      <c r="G284" s="296">
        <v>16</v>
      </c>
      <c r="H284" s="297">
        <v>16</v>
      </c>
      <c r="I284" s="133">
        <f t="shared" si="4"/>
        <v>0</v>
      </c>
      <c r="J284" s="298" t="s">
        <v>253</v>
      </c>
      <c r="K284" s="298" t="s">
        <v>73</v>
      </c>
      <c r="L284" s="298" t="s">
        <v>1190</v>
      </c>
      <c r="M284" s="297">
        <v>16</v>
      </c>
      <c r="N284" s="298" t="s">
        <v>153</v>
      </c>
      <c r="O284" s="297">
        <v>16</v>
      </c>
      <c r="P284" s="298" t="s">
        <v>67</v>
      </c>
      <c r="Q284" s="298" t="s">
        <v>68</v>
      </c>
      <c r="R284" s="298"/>
      <c r="S284" s="298" t="s">
        <v>593</v>
      </c>
      <c r="T284" s="298" t="s">
        <v>1177</v>
      </c>
      <c r="U284" s="298" t="s">
        <v>1217</v>
      </c>
    </row>
    <row r="285" spans="5:21" ht="15.75" customHeight="1" x14ac:dyDescent="0.3">
      <c r="E285" s="300">
        <v>2</v>
      </c>
      <c r="G285" s="296">
        <v>18</v>
      </c>
      <c r="H285" s="297">
        <v>18</v>
      </c>
      <c r="I285" s="133">
        <f t="shared" si="4"/>
        <v>0</v>
      </c>
      <c r="J285" s="298" t="s">
        <v>253</v>
      </c>
      <c r="K285" s="298" t="s">
        <v>123</v>
      </c>
      <c r="L285" s="298" t="s">
        <v>1190</v>
      </c>
      <c r="M285" s="297">
        <v>18</v>
      </c>
      <c r="N285" s="298" t="s">
        <v>153</v>
      </c>
      <c r="O285" s="299"/>
      <c r="P285" s="298" t="s">
        <v>67</v>
      </c>
      <c r="Q285" s="298" t="s">
        <v>68</v>
      </c>
      <c r="R285" s="298"/>
      <c r="S285" s="298" t="s">
        <v>593</v>
      </c>
      <c r="T285" s="298"/>
      <c r="U285" s="298"/>
    </row>
    <row r="286" spans="5:21" ht="15.75" customHeight="1" x14ac:dyDescent="0.3">
      <c r="E286" s="300">
        <v>12</v>
      </c>
      <c r="G286" s="296">
        <v>2</v>
      </c>
      <c r="H286" s="297">
        <v>2</v>
      </c>
      <c r="I286" s="133">
        <f t="shared" si="4"/>
        <v>0</v>
      </c>
      <c r="J286" s="298" t="s">
        <v>253</v>
      </c>
      <c r="K286" s="298" t="s">
        <v>87</v>
      </c>
      <c r="L286" s="298" t="s">
        <v>1190</v>
      </c>
      <c r="M286" s="297">
        <v>2</v>
      </c>
      <c r="N286" s="298" t="s">
        <v>153</v>
      </c>
      <c r="O286" s="299"/>
      <c r="P286" s="298" t="s">
        <v>67</v>
      </c>
      <c r="Q286" s="298" t="s">
        <v>68</v>
      </c>
      <c r="R286" s="298"/>
      <c r="S286" s="298" t="s">
        <v>593</v>
      </c>
      <c r="T286" s="298"/>
      <c r="U286" s="298"/>
    </row>
    <row r="287" spans="5:21" ht="15.75" customHeight="1" x14ac:dyDescent="0.3">
      <c r="E287" s="300">
        <v>44</v>
      </c>
      <c r="G287" s="296">
        <v>50</v>
      </c>
      <c r="H287" s="297">
        <v>50</v>
      </c>
      <c r="I287" s="133">
        <f t="shared" si="4"/>
        <v>0</v>
      </c>
      <c r="J287" s="298" t="s">
        <v>253</v>
      </c>
      <c r="K287" s="298" t="s">
        <v>79</v>
      </c>
      <c r="L287" s="298" t="s">
        <v>1190</v>
      </c>
      <c r="M287" s="297">
        <v>50</v>
      </c>
      <c r="N287" s="298" t="s">
        <v>153</v>
      </c>
      <c r="O287" s="297">
        <v>50</v>
      </c>
      <c r="P287" s="298" t="s">
        <v>67</v>
      </c>
      <c r="Q287" s="298" t="s">
        <v>68</v>
      </c>
      <c r="R287" s="298"/>
      <c r="S287" s="298" t="s">
        <v>593</v>
      </c>
      <c r="T287" s="298" t="s">
        <v>1177</v>
      </c>
      <c r="U287" s="298"/>
    </row>
    <row r="288" spans="5:21" ht="15.75" customHeight="1" x14ac:dyDescent="0.3">
      <c r="E288" s="300">
        <v>3</v>
      </c>
      <c r="G288" s="296">
        <v>1</v>
      </c>
      <c r="H288" s="297">
        <v>1</v>
      </c>
      <c r="I288" s="133">
        <f t="shared" si="4"/>
        <v>0</v>
      </c>
      <c r="J288" s="298" t="s">
        <v>253</v>
      </c>
      <c r="K288" s="298" t="s">
        <v>80</v>
      </c>
      <c r="L288" s="298" t="s">
        <v>1190</v>
      </c>
      <c r="M288" s="297">
        <v>1</v>
      </c>
      <c r="N288" s="298" t="s">
        <v>153</v>
      </c>
      <c r="O288" s="299"/>
      <c r="P288" s="298" t="s">
        <v>67</v>
      </c>
      <c r="Q288" s="298" t="s">
        <v>68</v>
      </c>
      <c r="R288" s="298"/>
      <c r="S288" s="298" t="s">
        <v>593</v>
      </c>
      <c r="T288" s="298"/>
      <c r="U288" s="298"/>
    </row>
    <row r="289" spans="5:21" ht="15.75" customHeight="1" x14ac:dyDescent="0.3">
      <c r="E289" s="300">
        <v>3</v>
      </c>
      <c r="G289" s="296">
        <v>18</v>
      </c>
      <c r="H289" s="297">
        <v>18</v>
      </c>
      <c r="I289" s="133">
        <f t="shared" si="4"/>
        <v>0</v>
      </c>
      <c r="J289" s="298" t="s">
        <v>255</v>
      </c>
      <c r="K289" s="298" t="s">
        <v>73</v>
      </c>
      <c r="L289" s="298" t="s">
        <v>1194</v>
      </c>
      <c r="M289" s="297">
        <v>18</v>
      </c>
      <c r="N289" s="298" t="s">
        <v>153</v>
      </c>
      <c r="O289" s="297">
        <v>18</v>
      </c>
      <c r="P289" s="298" t="s">
        <v>96</v>
      </c>
      <c r="Q289" s="298" t="s">
        <v>97</v>
      </c>
      <c r="R289" s="298"/>
      <c r="S289" s="298" t="s">
        <v>565</v>
      </c>
      <c r="T289" s="298"/>
      <c r="U289" s="298"/>
    </row>
    <row r="290" spans="5:21" ht="15.75" customHeight="1" x14ac:dyDescent="0.3">
      <c r="E290" s="300">
        <v>18</v>
      </c>
      <c r="G290" s="296">
        <v>15</v>
      </c>
      <c r="H290" s="297">
        <v>15</v>
      </c>
      <c r="I290" s="133">
        <f t="shared" si="4"/>
        <v>0</v>
      </c>
      <c r="J290" s="298" t="s">
        <v>255</v>
      </c>
      <c r="K290" s="298" t="s">
        <v>123</v>
      </c>
      <c r="L290" s="298" t="s">
        <v>1194</v>
      </c>
      <c r="M290" s="297">
        <v>15</v>
      </c>
      <c r="N290" s="298" t="s">
        <v>153</v>
      </c>
      <c r="O290" s="299"/>
      <c r="P290" s="298" t="s">
        <v>96</v>
      </c>
      <c r="Q290" s="298" t="s">
        <v>97</v>
      </c>
      <c r="R290" s="298"/>
      <c r="S290" s="298" t="s">
        <v>565</v>
      </c>
      <c r="T290" s="298"/>
      <c r="U290" s="298"/>
    </row>
    <row r="291" spans="5:21" ht="15.75" customHeight="1" x14ac:dyDescent="0.3">
      <c r="E291" s="300">
        <v>32</v>
      </c>
      <c r="G291" s="296">
        <v>44</v>
      </c>
      <c r="H291" s="297">
        <v>44</v>
      </c>
      <c r="I291" s="133">
        <f t="shared" si="4"/>
        <v>0</v>
      </c>
      <c r="J291" s="298" t="s">
        <v>255</v>
      </c>
      <c r="K291" s="298" t="s">
        <v>79</v>
      </c>
      <c r="L291" s="298" t="s">
        <v>1194</v>
      </c>
      <c r="M291" s="297">
        <v>44</v>
      </c>
      <c r="N291" s="298" t="s">
        <v>153</v>
      </c>
      <c r="O291" s="297">
        <v>44</v>
      </c>
      <c r="P291" s="298" t="s">
        <v>96</v>
      </c>
      <c r="Q291" s="298" t="s">
        <v>97</v>
      </c>
      <c r="R291" s="298"/>
      <c r="S291" s="298" t="s">
        <v>565</v>
      </c>
      <c r="T291" s="298"/>
      <c r="U291" s="298"/>
    </row>
    <row r="292" spans="5:21" ht="15.75" customHeight="1" x14ac:dyDescent="0.3">
      <c r="E292" s="300">
        <v>2</v>
      </c>
      <c r="G292" s="296">
        <v>4</v>
      </c>
      <c r="H292" s="297">
        <v>4</v>
      </c>
      <c r="I292" s="133">
        <f t="shared" si="4"/>
        <v>0</v>
      </c>
      <c r="J292" s="298" t="s">
        <v>255</v>
      </c>
      <c r="K292" s="298" t="s">
        <v>100</v>
      </c>
      <c r="L292" s="298" t="s">
        <v>1194</v>
      </c>
      <c r="M292" s="297">
        <v>4</v>
      </c>
      <c r="N292" s="298" t="s">
        <v>153</v>
      </c>
      <c r="O292" s="297">
        <v>4</v>
      </c>
      <c r="P292" s="298" t="s">
        <v>96</v>
      </c>
      <c r="Q292" s="298" t="s">
        <v>97</v>
      </c>
      <c r="R292" s="298"/>
      <c r="S292" s="298" t="s">
        <v>565</v>
      </c>
      <c r="T292" s="298"/>
      <c r="U292" s="298"/>
    </row>
    <row r="293" spans="5:21" ht="15.75" customHeight="1" x14ac:dyDescent="0.3">
      <c r="E293" s="300">
        <v>1</v>
      </c>
      <c r="G293" s="296">
        <v>3</v>
      </c>
      <c r="H293" s="297">
        <v>3</v>
      </c>
      <c r="I293" s="133">
        <f t="shared" si="4"/>
        <v>0</v>
      </c>
      <c r="J293" s="298" t="s">
        <v>255</v>
      </c>
      <c r="K293" s="298" t="s">
        <v>111</v>
      </c>
      <c r="L293" s="298" t="s">
        <v>1194</v>
      </c>
      <c r="M293" s="297">
        <v>3</v>
      </c>
      <c r="N293" s="298" t="s">
        <v>153</v>
      </c>
      <c r="O293" s="299"/>
      <c r="P293" s="298" t="s">
        <v>96</v>
      </c>
      <c r="Q293" s="298" t="s">
        <v>97</v>
      </c>
      <c r="R293" s="298"/>
      <c r="S293" s="298" t="s">
        <v>565</v>
      </c>
      <c r="T293" s="298"/>
      <c r="U293" s="298"/>
    </row>
    <row r="294" spans="5:21" ht="15.75" customHeight="1" x14ac:dyDescent="0.3">
      <c r="E294" s="300">
        <v>16</v>
      </c>
      <c r="G294" s="296">
        <v>3</v>
      </c>
      <c r="H294" s="297">
        <v>3</v>
      </c>
      <c r="I294" s="133">
        <f t="shared" si="4"/>
        <v>0</v>
      </c>
      <c r="J294" s="298" t="s">
        <v>255</v>
      </c>
      <c r="K294" s="298" t="s">
        <v>80</v>
      </c>
      <c r="L294" s="298" t="s">
        <v>1194</v>
      </c>
      <c r="M294" s="297">
        <v>3</v>
      </c>
      <c r="N294" s="298" t="s">
        <v>153</v>
      </c>
      <c r="O294" s="299"/>
      <c r="P294" s="298" t="s">
        <v>96</v>
      </c>
      <c r="Q294" s="298" t="s">
        <v>97</v>
      </c>
      <c r="R294" s="298"/>
      <c r="S294" s="298" t="s">
        <v>565</v>
      </c>
      <c r="T294" s="298"/>
      <c r="U294" s="298"/>
    </row>
    <row r="295" spans="5:21" ht="15.75" customHeight="1" x14ac:dyDescent="0.3">
      <c r="E295" s="300">
        <v>18</v>
      </c>
      <c r="G295" s="296">
        <v>18</v>
      </c>
      <c r="H295" s="297">
        <v>18</v>
      </c>
      <c r="I295" s="133">
        <f t="shared" si="4"/>
        <v>0</v>
      </c>
      <c r="J295" s="298" t="s">
        <v>256</v>
      </c>
      <c r="K295" s="298" t="s">
        <v>73</v>
      </c>
      <c r="L295" s="298" t="s">
        <v>1194</v>
      </c>
      <c r="M295" s="297">
        <v>18</v>
      </c>
      <c r="N295" s="298" t="s">
        <v>153</v>
      </c>
      <c r="O295" s="297">
        <v>18</v>
      </c>
      <c r="P295" s="298" t="s">
        <v>257</v>
      </c>
      <c r="Q295" s="298" t="s">
        <v>258</v>
      </c>
      <c r="R295" s="298"/>
      <c r="S295" s="298" t="s">
        <v>565</v>
      </c>
      <c r="T295" s="298" t="s">
        <v>1218</v>
      </c>
      <c r="U295" s="298" t="s">
        <v>1219</v>
      </c>
    </row>
    <row r="296" spans="5:21" ht="15.75" customHeight="1" x14ac:dyDescent="0.3">
      <c r="E296" s="300">
        <v>2</v>
      </c>
      <c r="G296" s="296">
        <v>15</v>
      </c>
      <c r="H296" s="297">
        <v>15</v>
      </c>
      <c r="I296" s="133">
        <f t="shared" si="4"/>
        <v>0</v>
      </c>
      <c r="J296" s="298" t="s">
        <v>256</v>
      </c>
      <c r="K296" s="298" t="s">
        <v>123</v>
      </c>
      <c r="L296" s="298" t="s">
        <v>1194</v>
      </c>
      <c r="M296" s="297">
        <v>15</v>
      </c>
      <c r="N296" s="298" t="s">
        <v>153</v>
      </c>
      <c r="O296" s="299"/>
      <c r="P296" s="298" t="s">
        <v>257</v>
      </c>
      <c r="Q296" s="298" t="s">
        <v>258</v>
      </c>
      <c r="R296" s="298"/>
      <c r="S296" s="298" t="s">
        <v>565</v>
      </c>
      <c r="T296" s="298" t="s">
        <v>1218</v>
      </c>
      <c r="U296" s="298" t="s">
        <v>1219</v>
      </c>
    </row>
    <row r="297" spans="5:21" ht="15.75" customHeight="1" x14ac:dyDescent="0.3">
      <c r="E297" s="300">
        <v>50</v>
      </c>
      <c r="G297" s="296">
        <v>32</v>
      </c>
      <c r="H297" s="297">
        <v>32</v>
      </c>
      <c r="I297" s="133">
        <f t="shared" si="4"/>
        <v>0</v>
      </c>
      <c r="J297" s="298" t="s">
        <v>256</v>
      </c>
      <c r="K297" s="298" t="s">
        <v>79</v>
      </c>
      <c r="L297" s="298" t="s">
        <v>1194</v>
      </c>
      <c r="M297" s="297">
        <v>32</v>
      </c>
      <c r="N297" s="298" t="s">
        <v>153</v>
      </c>
      <c r="O297" s="297">
        <v>32</v>
      </c>
      <c r="P297" s="298" t="s">
        <v>257</v>
      </c>
      <c r="Q297" s="298" t="s">
        <v>258</v>
      </c>
      <c r="R297" s="298"/>
      <c r="S297" s="298" t="s">
        <v>565</v>
      </c>
      <c r="T297" s="298" t="s">
        <v>1218</v>
      </c>
      <c r="U297" s="298" t="s">
        <v>1219</v>
      </c>
    </row>
    <row r="298" spans="5:21" ht="15.75" customHeight="1" x14ac:dyDescent="0.3">
      <c r="E298" s="300">
        <v>1</v>
      </c>
      <c r="G298" s="296">
        <v>16</v>
      </c>
      <c r="H298" s="297">
        <v>16</v>
      </c>
      <c r="I298" s="133">
        <f t="shared" si="4"/>
        <v>0</v>
      </c>
      <c r="J298" s="298" t="s">
        <v>256</v>
      </c>
      <c r="K298" s="298" t="s">
        <v>100</v>
      </c>
      <c r="L298" s="298" t="s">
        <v>1194</v>
      </c>
      <c r="M298" s="297">
        <v>16</v>
      </c>
      <c r="N298" s="298" t="s">
        <v>153</v>
      </c>
      <c r="O298" s="297">
        <v>16</v>
      </c>
      <c r="P298" s="298" t="s">
        <v>257</v>
      </c>
      <c r="Q298" s="298" t="s">
        <v>258</v>
      </c>
      <c r="R298" s="298"/>
      <c r="S298" s="298" t="s">
        <v>565</v>
      </c>
      <c r="T298" s="298" t="s">
        <v>1218</v>
      </c>
      <c r="U298" s="298" t="s">
        <v>1219</v>
      </c>
    </row>
    <row r="299" spans="5:21" ht="15.75" customHeight="1" x14ac:dyDescent="0.3">
      <c r="E299" s="300">
        <v>18</v>
      </c>
      <c r="G299" s="296">
        <v>3</v>
      </c>
      <c r="H299" s="297">
        <v>3</v>
      </c>
      <c r="I299" s="133">
        <f t="shared" si="4"/>
        <v>0</v>
      </c>
      <c r="J299" s="298" t="s">
        <v>256</v>
      </c>
      <c r="K299" s="298" t="s">
        <v>111</v>
      </c>
      <c r="L299" s="298" t="s">
        <v>1194</v>
      </c>
      <c r="M299" s="297">
        <v>3</v>
      </c>
      <c r="N299" s="298" t="s">
        <v>153</v>
      </c>
      <c r="O299" s="299"/>
      <c r="P299" s="298" t="s">
        <v>257</v>
      </c>
      <c r="Q299" s="298" t="s">
        <v>258</v>
      </c>
      <c r="R299" s="298"/>
      <c r="S299" s="298" t="s">
        <v>565</v>
      </c>
      <c r="T299" s="298" t="s">
        <v>1218</v>
      </c>
      <c r="U299" s="298" t="s">
        <v>1219</v>
      </c>
    </row>
    <row r="300" spans="5:21" ht="15.75" customHeight="1" x14ac:dyDescent="0.3">
      <c r="E300" s="300">
        <v>15</v>
      </c>
      <c r="G300" s="296">
        <v>3</v>
      </c>
      <c r="H300" s="297">
        <v>3</v>
      </c>
      <c r="I300" s="133">
        <f t="shared" si="4"/>
        <v>0</v>
      </c>
      <c r="J300" s="298" t="s">
        <v>256</v>
      </c>
      <c r="K300" s="298" t="s">
        <v>80</v>
      </c>
      <c r="L300" s="298" t="s">
        <v>1194</v>
      </c>
      <c r="M300" s="297">
        <v>3</v>
      </c>
      <c r="N300" s="298" t="s">
        <v>153</v>
      </c>
      <c r="O300" s="299"/>
      <c r="P300" s="298" t="s">
        <v>257</v>
      </c>
      <c r="Q300" s="298" t="s">
        <v>258</v>
      </c>
      <c r="R300" s="298"/>
      <c r="S300" s="298" t="s">
        <v>565</v>
      </c>
      <c r="T300" s="298" t="s">
        <v>1218</v>
      </c>
      <c r="U300" s="298" t="s">
        <v>1219</v>
      </c>
    </row>
    <row r="301" spans="5:21" ht="15.75" customHeight="1" x14ac:dyDescent="0.3">
      <c r="E301" s="300">
        <v>44</v>
      </c>
      <c r="G301" s="296">
        <v>12</v>
      </c>
      <c r="H301" s="297">
        <v>12</v>
      </c>
      <c r="I301" s="133">
        <f t="shared" si="4"/>
        <v>0</v>
      </c>
      <c r="J301" s="298" t="s">
        <v>261</v>
      </c>
      <c r="K301" s="298" t="s">
        <v>73</v>
      </c>
      <c r="L301" s="298" t="s">
        <v>1220</v>
      </c>
      <c r="M301" s="297">
        <v>12</v>
      </c>
      <c r="N301" s="298" t="s">
        <v>263</v>
      </c>
      <c r="O301" s="297">
        <v>12</v>
      </c>
      <c r="P301" s="298" t="s">
        <v>65</v>
      </c>
      <c r="Q301" s="298" t="s">
        <v>66</v>
      </c>
      <c r="R301" s="298"/>
      <c r="S301" s="298" t="s">
        <v>593</v>
      </c>
      <c r="T301" s="298" t="s">
        <v>1172</v>
      </c>
      <c r="U301" s="298" t="s">
        <v>1215</v>
      </c>
    </row>
    <row r="302" spans="5:21" ht="15.75" customHeight="1" x14ac:dyDescent="0.3">
      <c r="E302" s="300">
        <v>4</v>
      </c>
      <c r="G302" s="296">
        <v>2</v>
      </c>
      <c r="H302" s="297">
        <v>2</v>
      </c>
      <c r="I302" s="133">
        <f t="shared" si="4"/>
        <v>0</v>
      </c>
      <c r="J302" s="298" t="s">
        <v>261</v>
      </c>
      <c r="K302" s="298" t="s">
        <v>87</v>
      </c>
      <c r="L302" s="298" t="s">
        <v>1188</v>
      </c>
      <c r="M302" s="297">
        <v>2</v>
      </c>
      <c r="N302" s="298" t="s">
        <v>263</v>
      </c>
      <c r="O302" s="299"/>
      <c r="P302" s="298" t="s">
        <v>65</v>
      </c>
      <c r="Q302" s="298" t="s">
        <v>66</v>
      </c>
      <c r="R302" s="298"/>
      <c r="S302" s="298" t="s">
        <v>593</v>
      </c>
      <c r="T302" s="298"/>
      <c r="U302" s="298"/>
    </row>
    <row r="303" spans="5:21" ht="15.75" customHeight="1" x14ac:dyDescent="0.3">
      <c r="E303" s="300">
        <v>3</v>
      </c>
      <c r="G303" s="296">
        <v>2</v>
      </c>
      <c r="H303" s="297">
        <v>2</v>
      </c>
      <c r="I303" s="133">
        <f t="shared" si="4"/>
        <v>0</v>
      </c>
      <c r="J303" s="298" t="s">
        <v>261</v>
      </c>
      <c r="K303" s="298" t="s">
        <v>87</v>
      </c>
      <c r="L303" s="298" t="s">
        <v>1189</v>
      </c>
      <c r="M303" s="297">
        <v>2</v>
      </c>
      <c r="N303" s="298" t="s">
        <v>263</v>
      </c>
      <c r="O303" s="299"/>
      <c r="P303" s="298" t="s">
        <v>65</v>
      </c>
      <c r="Q303" s="298" t="s">
        <v>66</v>
      </c>
      <c r="R303" s="298"/>
      <c r="S303" s="298" t="s">
        <v>593</v>
      </c>
      <c r="T303" s="298"/>
      <c r="U303" s="298"/>
    </row>
    <row r="304" spans="5:21" ht="15.75" customHeight="1" x14ac:dyDescent="0.3">
      <c r="E304" s="300">
        <v>3</v>
      </c>
      <c r="G304" s="296">
        <v>2</v>
      </c>
      <c r="H304" s="297">
        <v>2</v>
      </c>
      <c r="I304" s="133">
        <f t="shared" si="4"/>
        <v>0</v>
      </c>
      <c r="J304" s="298" t="s">
        <v>261</v>
      </c>
      <c r="K304" s="298" t="s">
        <v>87</v>
      </c>
      <c r="L304" s="298" t="s">
        <v>1190</v>
      </c>
      <c r="M304" s="297">
        <v>2</v>
      </c>
      <c r="N304" s="298" t="s">
        <v>263</v>
      </c>
      <c r="O304" s="299"/>
      <c r="P304" s="298" t="s">
        <v>65</v>
      </c>
      <c r="Q304" s="298" t="s">
        <v>66</v>
      </c>
      <c r="R304" s="298"/>
      <c r="S304" s="298" t="s">
        <v>593</v>
      </c>
      <c r="T304" s="298"/>
      <c r="U304" s="298"/>
    </row>
    <row r="305" spans="5:21" ht="15.75" customHeight="1" x14ac:dyDescent="0.3">
      <c r="E305" s="300">
        <v>18</v>
      </c>
      <c r="G305" s="296">
        <v>2</v>
      </c>
      <c r="H305" s="297">
        <v>2</v>
      </c>
      <c r="I305" s="133">
        <f t="shared" si="4"/>
        <v>0</v>
      </c>
      <c r="J305" s="298" t="s">
        <v>261</v>
      </c>
      <c r="K305" s="298" t="s">
        <v>87</v>
      </c>
      <c r="L305" s="298" t="s">
        <v>1191</v>
      </c>
      <c r="M305" s="297">
        <v>2</v>
      </c>
      <c r="N305" s="298" t="s">
        <v>263</v>
      </c>
      <c r="O305" s="299"/>
      <c r="P305" s="298" t="s">
        <v>65</v>
      </c>
      <c r="Q305" s="298" t="s">
        <v>66</v>
      </c>
      <c r="R305" s="298"/>
      <c r="S305" s="298" t="s">
        <v>593</v>
      </c>
      <c r="T305" s="298"/>
      <c r="U305" s="298"/>
    </row>
    <row r="306" spans="5:21" ht="15.75" customHeight="1" x14ac:dyDescent="0.3">
      <c r="E306" s="300">
        <v>15</v>
      </c>
      <c r="G306" s="296">
        <v>40</v>
      </c>
      <c r="H306" s="297">
        <v>40</v>
      </c>
      <c r="I306" s="133">
        <f t="shared" si="4"/>
        <v>0</v>
      </c>
      <c r="J306" s="298" t="s">
        <v>261</v>
      </c>
      <c r="K306" s="298" t="s">
        <v>79</v>
      </c>
      <c r="L306" s="298" t="s">
        <v>1188</v>
      </c>
      <c r="M306" s="297">
        <v>40</v>
      </c>
      <c r="N306" s="298" t="s">
        <v>263</v>
      </c>
      <c r="O306" s="297">
        <v>40</v>
      </c>
      <c r="P306" s="298" t="s">
        <v>98</v>
      </c>
      <c r="Q306" s="298" t="s">
        <v>99</v>
      </c>
      <c r="R306" s="298"/>
      <c r="S306" s="298" t="s">
        <v>593</v>
      </c>
      <c r="T306" s="298" t="s">
        <v>1172</v>
      </c>
      <c r="U306" s="298" t="s">
        <v>1173</v>
      </c>
    </row>
    <row r="307" spans="5:21" ht="15.75" customHeight="1" x14ac:dyDescent="0.3">
      <c r="E307" s="300">
        <v>32</v>
      </c>
      <c r="G307" s="296">
        <v>40</v>
      </c>
      <c r="H307" s="297">
        <v>40</v>
      </c>
      <c r="I307" s="133">
        <f t="shared" si="4"/>
        <v>0</v>
      </c>
      <c r="J307" s="298" t="s">
        <v>261</v>
      </c>
      <c r="K307" s="298" t="s">
        <v>79</v>
      </c>
      <c r="L307" s="298" t="s">
        <v>1189</v>
      </c>
      <c r="M307" s="297">
        <v>40</v>
      </c>
      <c r="N307" s="298" t="s">
        <v>263</v>
      </c>
      <c r="O307" s="297">
        <v>40</v>
      </c>
      <c r="P307" s="298" t="s">
        <v>98</v>
      </c>
      <c r="Q307" s="298" t="s">
        <v>99</v>
      </c>
      <c r="R307" s="298"/>
      <c r="S307" s="298" t="s">
        <v>593</v>
      </c>
      <c r="T307" s="298" t="s">
        <v>1172</v>
      </c>
      <c r="U307" s="298" t="s">
        <v>1221</v>
      </c>
    </row>
    <row r="308" spans="5:21" ht="15.75" customHeight="1" x14ac:dyDescent="0.3">
      <c r="E308" s="300">
        <v>16</v>
      </c>
      <c r="G308" s="296">
        <v>40</v>
      </c>
      <c r="H308" s="297">
        <v>40</v>
      </c>
      <c r="I308" s="133">
        <f t="shared" si="4"/>
        <v>0</v>
      </c>
      <c r="J308" s="298" t="s">
        <v>261</v>
      </c>
      <c r="K308" s="298" t="s">
        <v>79</v>
      </c>
      <c r="L308" s="298" t="s">
        <v>1190</v>
      </c>
      <c r="M308" s="297">
        <v>40</v>
      </c>
      <c r="N308" s="298" t="s">
        <v>263</v>
      </c>
      <c r="O308" s="297">
        <v>40</v>
      </c>
      <c r="P308" s="298" t="s">
        <v>98</v>
      </c>
      <c r="Q308" s="298" t="s">
        <v>99</v>
      </c>
      <c r="R308" s="298"/>
      <c r="S308" s="298" t="s">
        <v>593</v>
      </c>
      <c r="T308" s="298" t="s">
        <v>1172</v>
      </c>
      <c r="U308" s="298" t="s">
        <v>1221</v>
      </c>
    </row>
    <row r="309" spans="5:21" ht="15.75" customHeight="1" x14ac:dyDescent="0.3">
      <c r="E309" s="300">
        <v>3</v>
      </c>
      <c r="G309" s="296">
        <v>40</v>
      </c>
      <c r="H309" s="297">
        <v>40</v>
      </c>
      <c r="I309" s="133">
        <f t="shared" si="4"/>
        <v>0</v>
      </c>
      <c r="J309" s="298" t="s">
        <v>261</v>
      </c>
      <c r="K309" s="298" t="s">
        <v>79</v>
      </c>
      <c r="L309" s="298" t="s">
        <v>1191</v>
      </c>
      <c r="M309" s="297">
        <v>40</v>
      </c>
      <c r="N309" s="298" t="s">
        <v>263</v>
      </c>
      <c r="O309" s="297">
        <v>40</v>
      </c>
      <c r="P309" s="298" t="s">
        <v>98</v>
      </c>
      <c r="Q309" s="298" t="s">
        <v>99</v>
      </c>
      <c r="R309" s="298"/>
      <c r="S309" s="298" t="s">
        <v>593</v>
      </c>
      <c r="T309" s="298" t="s">
        <v>1172</v>
      </c>
      <c r="U309" s="298" t="s">
        <v>1221</v>
      </c>
    </row>
    <row r="310" spans="5:21" ht="15.75" customHeight="1" x14ac:dyDescent="0.3">
      <c r="E310" s="300">
        <v>3</v>
      </c>
      <c r="G310" s="296">
        <v>1</v>
      </c>
      <c r="H310" s="297">
        <v>1</v>
      </c>
      <c r="I310" s="133">
        <f t="shared" si="4"/>
        <v>0</v>
      </c>
      <c r="J310" s="298" t="s">
        <v>261</v>
      </c>
      <c r="K310" s="298" t="s">
        <v>80</v>
      </c>
      <c r="L310" s="298" t="s">
        <v>1188</v>
      </c>
      <c r="M310" s="297">
        <v>1</v>
      </c>
      <c r="N310" s="298" t="s">
        <v>263</v>
      </c>
      <c r="O310" s="299"/>
      <c r="P310" s="298" t="s">
        <v>65</v>
      </c>
      <c r="Q310" s="298" t="s">
        <v>66</v>
      </c>
      <c r="R310" s="298"/>
      <c r="S310" s="298" t="s">
        <v>593</v>
      </c>
      <c r="T310" s="298"/>
      <c r="U310" s="298"/>
    </row>
    <row r="311" spans="5:21" ht="15.75" customHeight="1" x14ac:dyDescent="0.3">
      <c r="E311" s="300">
        <v>12</v>
      </c>
      <c r="G311" s="296">
        <v>1</v>
      </c>
      <c r="H311" s="297">
        <v>1</v>
      </c>
      <c r="I311" s="133">
        <f t="shared" si="4"/>
        <v>0</v>
      </c>
      <c r="J311" s="298" t="s">
        <v>261</v>
      </c>
      <c r="K311" s="298" t="s">
        <v>80</v>
      </c>
      <c r="L311" s="298" t="s">
        <v>1189</v>
      </c>
      <c r="M311" s="297">
        <v>1</v>
      </c>
      <c r="N311" s="298" t="s">
        <v>263</v>
      </c>
      <c r="O311" s="299"/>
      <c r="P311" s="298" t="s">
        <v>65</v>
      </c>
      <c r="Q311" s="298" t="s">
        <v>66</v>
      </c>
      <c r="R311" s="298"/>
      <c r="S311" s="298" t="s">
        <v>593</v>
      </c>
      <c r="T311" s="298"/>
      <c r="U311" s="298"/>
    </row>
    <row r="312" spans="5:21" ht="15.75" customHeight="1" x14ac:dyDescent="0.3">
      <c r="E312" s="300">
        <v>2</v>
      </c>
      <c r="G312" s="296">
        <v>1</v>
      </c>
      <c r="H312" s="297">
        <v>1</v>
      </c>
      <c r="I312" s="133">
        <f t="shared" si="4"/>
        <v>0</v>
      </c>
      <c r="J312" s="298" t="s">
        <v>261</v>
      </c>
      <c r="K312" s="298" t="s">
        <v>80</v>
      </c>
      <c r="L312" s="298" t="s">
        <v>1190</v>
      </c>
      <c r="M312" s="297">
        <v>1</v>
      </c>
      <c r="N312" s="298" t="s">
        <v>263</v>
      </c>
      <c r="O312" s="299"/>
      <c r="P312" s="298" t="s">
        <v>65</v>
      </c>
      <c r="Q312" s="298" t="s">
        <v>66</v>
      </c>
      <c r="R312" s="298"/>
      <c r="S312" s="298" t="s">
        <v>593</v>
      </c>
      <c r="T312" s="298"/>
      <c r="U312" s="298"/>
    </row>
    <row r="313" spans="5:21" ht="15.75" customHeight="1" x14ac:dyDescent="0.3">
      <c r="E313" s="300">
        <v>2</v>
      </c>
      <c r="G313" s="296">
        <v>1</v>
      </c>
      <c r="H313" s="297">
        <v>1</v>
      </c>
      <c r="I313" s="133">
        <f t="shared" si="4"/>
        <v>0</v>
      </c>
      <c r="J313" s="298" t="s">
        <v>261</v>
      </c>
      <c r="K313" s="298" t="s">
        <v>80</v>
      </c>
      <c r="L313" s="298" t="s">
        <v>1191</v>
      </c>
      <c r="M313" s="297">
        <v>1</v>
      </c>
      <c r="N313" s="298" t="s">
        <v>263</v>
      </c>
      <c r="O313" s="299"/>
      <c r="P313" s="298" t="s">
        <v>65</v>
      </c>
      <c r="Q313" s="298" t="s">
        <v>66</v>
      </c>
      <c r="R313" s="298"/>
      <c r="S313" s="298" t="s">
        <v>593</v>
      </c>
      <c r="T313" s="298"/>
      <c r="U313" s="298"/>
    </row>
    <row r="314" spans="5:21" ht="15.75" customHeight="1" x14ac:dyDescent="0.3">
      <c r="E314" s="300">
        <v>2</v>
      </c>
      <c r="G314" s="296">
        <v>34</v>
      </c>
      <c r="H314" s="297">
        <v>34</v>
      </c>
      <c r="I314" s="133">
        <f t="shared" si="4"/>
        <v>0</v>
      </c>
      <c r="J314" s="298" t="s">
        <v>265</v>
      </c>
      <c r="K314" s="298" t="s">
        <v>73</v>
      </c>
      <c r="L314" s="298" t="s">
        <v>1175</v>
      </c>
      <c r="M314" s="297">
        <v>34</v>
      </c>
      <c r="N314" s="298" t="s">
        <v>1176</v>
      </c>
      <c r="O314" s="297">
        <v>34</v>
      </c>
      <c r="P314" s="298" t="s">
        <v>245</v>
      </c>
      <c r="Q314" s="298" t="s">
        <v>246</v>
      </c>
      <c r="R314" s="298"/>
      <c r="S314" s="298" t="s">
        <v>565</v>
      </c>
      <c r="T314" s="298"/>
      <c r="U314" s="298" t="s">
        <v>247</v>
      </c>
    </row>
    <row r="315" spans="5:21" ht="15.75" customHeight="1" x14ac:dyDescent="0.3">
      <c r="E315" s="300">
        <v>2</v>
      </c>
      <c r="G315" s="296">
        <v>4</v>
      </c>
      <c r="H315" s="297">
        <v>4</v>
      </c>
      <c r="I315" s="133">
        <f t="shared" si="4"/>
        <v>0</v>
      </c>
      <c r="J315" s="298" t="s">
        <v>265</v>
      </c>
      <c r="K315" s="298" t="s">
        <v>87</v>
      </c>
      <c r="L315" s="298" t="s">
        <v>1175</v>
      </c>
      <c r="M315" s="297">
        <v>4</v>
      </c>
      <c r="N315" s="298" t="s">
        <v>1176</v>
      </c>
      <c r="O315" s="299"/>
      <c r="P315" s="298" t="s">
        <v>245</v>
      </c>
      <c r="Q315" s="298" t="s">
        <v>246</v>
      </c>
      <c r="R315" s="298"/>
      <c r="S315" s="298" t="s">
        <v>565</v>
      </c>
      <c r="T315" s="298"/>
      <c r="U315" s="298"/>
    </row>
    <row r="316" spans="5:21" ht="15.75" customHeight="1" x14ac:dyDescent="0.3">
      <c r="E316" s="300">
        <v>40</v>
      </c>
      <c r="G316" s="296">
        <v>1</v>
      </c>
      <c r="H316" s="297">
        <v>1</v>
      </c>
      <c r="I316" s="133">
        <f t="shared" si="4"/>
        <v>0</v>
      </c>
      <c r="J316" s="298" t="s">
        <v>265</v>
      </c>
      <c r="K316" s="298" t="s">
        <v>87</v>
      </c>
      <c r="L316" s="298" t="s">
        <v>1175</v>
      </c>
      <c r="M316" s="297">
        <v>1</v>
      </c>
      <c r="N316" s="298" t="s">
        <v>1176</v>
      </c>
      <c r="O316" s="299"/>
      <c r="P316" s="298" t="s">
        <v>250</v>
      </c>
      <c r="Q316" s="298" t="s">
        <v>251</v>
      </c>
      <c r="R316" s="298" t="s">
        <v>8</v>
      </c>
      <c r="S316" s="298" t="s">
        <v>565</v>
      </c>
      <c r="T316" s="298"/>
      <c r="U316" s="298"/>
    </row>
    <row r="317" spans="5:21" ht="15.75" customHeight="1" x14ac:dyDescent="0.3">
      <c r="E317" s="300">
        <v>40</v>
      </c>
      <c r="G317" s="296">
        <v>40</v>
      </c>
      <c r="H317" s="297">
        <v>40</v>
      </c>
      <c r="I317" s="133">
        <f t="shared" si="4"/>
        <v>0</v>
      </c>
      <c r="J317" s="298" t="s">
        <v>265</v>
      </c>
      <c r="K317" s="298" t="s">
        <v>79</v>
      </c>
      <c r="L317" s="298" t="s">
        <v>1175</v>
      </c>
      <c r="M317" s="297">
        <v>40</v>
      </c>
      <c r="N317" s="298" t="s">
        <v>1176</v>
      </c>
      <c r="O317" s="297">
        <v>40</v>
      </c>
      <c r="P317" s="298" t="s">
        <v>245</v>
      </c>
      <c r="Q317" s="298" t="s">
        <v>246</v>
      </c>
      <c r="R317" s="298"/>
      <c r="S317" s="298" t="s">
        <v>565</v>
      </c>
      <c r="T317" s="298" t="s">
        <v>1177</v>
      </c>
      <c r="U317" s="298" t="s">
        <v>247</v>
      </c>
    </row>
    <row r="318" spans="5:21" ht="15.75" customHeight="1" x14ac:dyDescent="0.3">
      <c r="E318" s="300">
        <v>40</v>
      </c>
      <c r="G318" s="296">
        <v>16</v>
      </c>
      <c r="H318" s="297">
        <v>16</v>
      </c>
      <c r="I318" s="133">
        <f t="shared" si="4"/>
        <v>0</v>
      </c>
      <c r="J318" s="298" t="s">
        <v>265</v>
      </c>
      <c r="K318" s="298" t="s">
        <v>100</v>
      </c>
      <c r="L318" s="298" t="s">
        <v>1175</v>
      </c>
      <c r="M318" s="297">
        <v>16</v>
      </c>
      <c r="N318" s="298" t="s">
        <v>1176</v>
      </c>
      <c r="O318" s="297">
        <v>16</v>
      </c>
      <c r="P318" s="298" t="s">
        <v>245</v>
      </c>
      <c r="Q318" s="298" t="s">
        <v>246</v>
      </c>
      <c r="R318" s="298"/>
      <c r="S318" s="298" t="s">
        <v>565</v>
      </c>
      <c r="T318" s="298" t="s">
        <v>1177</v>
      </c>
      <c r="U318" s="298" t="s">
        <v>247</v>
      </c>
    </row>
    <row r="319" spans="5:21" ht="15.75" customHeight="1" x14ac:dyDescent="0.3">
      <c r="E319" s="300">
        <v>40</v>
      </c>
      <c r="G319" s="296">
        <v>2</v>
      </c>
      <c r="H319" s="297">
        <v>2</v>
      </c>
      <c r="I319" s="133">
        <f t="shared" si="4"/>
        <v>0</v>
      </c>
      <c r="J319" s="298" t="s">
        <v>265</v>
      </c>
      <c r="K319" s="298" t="s">
        <v>80</v>
      </c>
      <c r="L319" s="298" t="s">
        <v>1175</v>
      </c>
      <c r="M319" s="297">
        <v>2</v>
      </c>
      <c r="N319" s="298" t="s">
        <v>1176</v>
      </c>
      <c r="O319" s="299"/>
      <c r="P319" s="298" t="s">
        <v>245</v>
      </c>
      <c r="Q319" s="298" t="s">
        <v>246</v>
      </c>
      <c r="R319" s="298"/>
      <c r="S319" s="298" t="s">
        <v>565</v>
      </c>
      <c r="T319" s="298"/>
      <c r="U319" s="298"/>
    </row>
    <row r="320" spans="5:21" ht="15.75" customHeight="1" x14ac:dyDescent="0.3">
      <c r="E320" s="300">
        <v>1</v>
      </c>
      <c r="G320" s="296">
        <v>24</v>
      </c>
      <c r="H320" s="297">
        <v>24</v>
      </c>
      <c r="I320" s="133">
        <f t="shared" si="4"/>
        <v>0</v>
      </c>
      <c r="J320" s="298" t="s">
        <v>266</v>
      </c>
      <c r="K320" s="298" t="s">
        <v>73</v>
      </c>
      <c r="L320" s="298" t="s">
        <v>1165</v>
      </c>
      <c r="M320" s="297">
        <v>24</v>
      </c>
      <c r="N320" s="298" t="s">
        <v>221</v>
      </c>
      <c r="O320" s="297">
        <v>24</v>
      </c>
      <c r="P320" s="298" t="s">
        <v>84</v>
      </c>
      <c r="Q320" s="298" t="s">
        <v>85</v>
      </c>
      <c r="R320" s="298"/>
      <c r="S320" s="298" t="s">
        <v>593</v>
      </c>
      <c r="T320" s="298" t="s">
        <v>205</v>
      </c>
      <c r="U320" s="298" t="s">
        <v>1166</v>
      </c>
    </row>
    <row r="321" spans="5:21" ht="15.75" customHeight="1" x14ac:dyDescent="0.3">
      <c r="E321" s="300">
        <v>1</v>
      </c>
      <c r="G321" s="296">
        <v>30</v>
      </c>
      <c r="H321" s="297">
        <v>30</v>
      </c>
      <c r="I321" s="133">
        <f t="shared" si="4"/>
        <v>0</v>
      </c>
      <c r="J321" s="298" t="s">
        <v>266</v>
      </c>
      <c r="K321" s="298" t="s">
        <v>123</v>
      </c>
      <c r="L321" s="298" t="s">
        <v>1165</v>
      </c>
      <c r="M321" s="297">
        <v>30</v>
      </c>
      <c r="N321" s="298" t="s">
        <v>221</v>
      </c>
      <c r="O321" s="299"/>
      <c r="P321" s="298" t="s">
        <v>84</v>
      </c>
      <c r="Q321" s="298" t="s">
        <v>85</v>
      </c>
      <c r="R321" s="298"/>
      <c r="S321" s="298" t="s">
        <v>593</v>
      </c>
      <c r="T321" s="298"/>
      <c r="U321" s="298" t="s">
        <v>1166</v>
      </c>
    </row>
    <row r="322" spans="5:21" ht="15.75" customHeight="1" x14ac:dyDescent="0.3">
      <c r="E322" s="300">
        <v>1</v>
      </c>
      <c r="G322" s="296">
        <v>3</v>
      </c>
      <c r="H322" s="297">
        <v>3</v>
      </c>
      <c r="I322" s="133">
        <f t="shared" ref="I322:I385" si="5">G322-H322</f>
        <v>0</v>
      </c>
      <c r="J322" s="298" t="s">
        <v>266</v>
      </c>
      <c r="K322" s="298" t="s">
        <v>87</v>
      </c>
      <c r="L322" s="298" t="s">
        <v>1165</v>
      </c>
      <c r="M322" s="297">
        <v>3</v>
      </c>
      <c r="N322" s="298" t="s">
        <v>221</v>
      </c>
      <c r="O322" s="299"/>
      <c r="P322" s="298" t="s">
        <v>84</v>
      </c>
      <c r="Q322" s="298" t="s">
        <v>85</v>
      </c>
      <c r="R322" s="298"/>
      <c r="S322" s="298" t="s">
        <v>593</v>
      </c>
      <c r="T322" s="298"/>
      <c r="U322" s="298"/>
    </row>
    <row r="323" spans="5:21" ht="15.75" customHeight="1" x14ac:dyDescent="0.3">
      <c r="E323" s="300">
        <v>1</v>
      </c>
      <c r="G323" s="296">
        <v>1</v>
      </c>
      <c r="H323" s="297">
        <v>1</v>
      </c>
      <c r="I323" s="133">
        <f t="shared" si="5"/>
        <v>0</v>
      </c>
      <c r="J323" s="298" t="s">
        <v>266</v>
      </c>
      <c r="K323" s="298" t="s">
        <v>87</v>
      </c>
      <c r="L323" s="298" t="s">
        <v>1165</v>
      </c>
      <c r="M323" s="297">
        <v>1</v>
      </c>
      <c r="N323" s="298" t="s">
        <v>221</v>
      </c>
      <c r="O323" s="299"/>
      <c r="P323" s="298" t="s">
        <v>250</v>
      </c>
      <c r="Q323" s="298" t="s">
        <v>251</v>
      </c>
      <c r="R323" s="298" t="s">
        <v>8</v>
      </c>
      <c r="S323" s="298" t="s">
        <v>565</v>
      </c>
      <c r="T323" s="298"/>
      <c r="U323" s="298"/>
    </row>
    <row r="324" spans="5:21" ht="15.75" customHeight="1" x14ac:dyDescent="0.3">
      <c r="E324" s="300">
        <v>34</v>
      </c>
      <c r="G324" s="296">
        <v>30</v>
      </c>
      <c r="H324" s="297">
        <v>30</v>
      </c>
      <c r="I324" s="133">
        <f t="shared" si="5"/>
        <v>0</v>
      </c>
      <c r="J324" s="298" t="s">
        <v>266</v>
      </c>
      <c r="K324" s="298" t="s">
        <v>79</v>
      </c>
      <c r="L324" s="298" t="s">
        <v>1165</v>
      </c>
      <c r="M324" s="297">
        <v>30</v>
      </c>
      <c r="N324" s="298" t="s">
        <v>221</v>
      </c>
      <c r="O324" s="297">
        <v>30</v>
      </c>
      <c r="P324" s="298" t="s">
        <v>84</v>
      </c>
      <c r="Q324" s="298" t="s">
        <v>85</v>
      </c>
      <c r="R324" s="298"/>
      <c r="S324" s="298" t="s">
        <v>593</v>
      </c>
      <c r="T324" s="298" t="s">
        <v>1167</v>
      </c>
      <c r="U324" s="298" t="s">
        <v>1166</v>
      </c>
    </row>
    <row r="325" spans="5:21" ht="15.75" customHeight="1" x14ac:dyDescent="0.3">
      <c r="E325" s="300">
        <v>4</v>
      </c>
      <c r="G325" s="296">
        <v>2</v>
      </c>
      <c r="H325" s="297">
        <v>2</v>
      </c>
      <c r="I325" s="133">
        <f t="shared" si="5"/>
        <v>0</v>
      </c>
      <c r="J325" s="298" t="s">
        <v>266</v>
      </c>
      <c r="K325" s="298" t="s">
        <v>80</v>
      </c>
      <c r="L325" s="298" t="s">
        <v>1165</v>
      </c>
      <c r="M325" s="297">
        <v>2</v>
      </c>
      <c r="N325" s="298" t="s">
        <v>221</v>
      </c>
      <c r="O325" s="299"/>
      <c r="P325" s="298" t="s">
        <v>311</v>
      </c>
      <c r="Q325" s="298" t="s">
        <v>268</v>
      </c>
      <c r="R325" s="298"/>
      <c r="S325" s="298" t="s">
        <v>593</v>
      </c>
      <c r="T325" s="298"/>
      <c r="U325" s="298"/>
    </row>
    <row r="326" spans="5:21" ht="15.75" customHeight="1" x14ac:dyDescent="0.3">
      <c r="E326" s="300">
        <v>1</v>
      </c>
      <c r="G326" s="296">
        <v>24</v>
      </c>
      <c r="H326" s="297">
        <v>24</v>
      </c>
      <c r="I326" s="133">
        <f t="shared" si="5"/>
        <v>0</v>
      </c>
      <c r="J326" s="298" t="s">
        <v>269</v>
      </c>
      <c r="K326" s="298" t="s">
        <v>73</v>
      </c>
      <c r="L326" s="298" t="s">
        <v>1180</v>
      </c>
      <c r="M326" s="297">
        <v>24</v>
      </c>
      <c r="N326" s="298" t="s">
        <v>1181</v>
      </c>
      <c r="O326" s="297">
        <v>24</v>
      </c>
      <c r="P326" s="298" t="s">
        <v>154</v>
      </c>
      <c r="Q326" s="298" t="s">
        <v>155</v>
      </c>
      <c r="R326" s="298"/>
      <c r="S326" s="298" t="s">
        <v>565</v>
      </c>
      <c r="T326" s="298" t="s">
        <v>1195</v>
      </c>
      <c r="U326" s="298" t="s">
        <v>1196</v>
      </c>
    </row>
    <row r="327" spans="5:21" ht="15.75" customHeight="1" x14ac:dyDescent="0.3">
      <c r="E327" s="300">
        <v>40</v>
      </c>
      <c r="G327" s="296">
        <v>3</v>
      </c>
      <c r="H327" s="297">
        <v>3</v>
      </c>
      <c r="I327" s="133">
        <f t="shared" si="5"/>
        <v>0</v>
      </c>
      <c r="J327" s="298" t="s">
        <v>269</v>
      </c>
      <c r="K327" s="298" t="s">
        <v>87</v>
      </c>
      <c r="L327" s="298" t="s">
        <v>1180</v>
      </c>
      <c r="M327" s="297">
        <v>3</v>
      </c>
      <c r="N327" s="298" t="s">
        <v>1181</v>
      </c>
      <c r="O327" s="299"/>
      <c r="P327" s="298" t="s">
        <v>154</v>
      </c>
      <c r="Q327" s="298" t="s">
        <v>155</v>
      </c>
      <c r="R327" s="298"/>
      <c r="S327" s="298" t="s">
        <v>565</v>
      </c>
      <c r="T327" s="298"/>
      <c r="U327" s="298"/>
    </row>
    <row r="328" spans="5:21" ht="15.75" customHeight="1" x14ac:dyDescent="0.3">
      <c r="E328" s="300">
        <v>16</v>
      </c>
      <c r="G328" s="296">
        <v>1</v>
      </c>
      <c r="H328" s="297">
        <v>1</v>
      </c>
      <c r="I328" s="133">
        <f t="shared" si="5"/>
        <v>0</v>
      </c>
      <c r="J328" s="298" t="s">
        <v>269</v>
      </c>
      <c r="K328" s="298" t="s">
        <v>87</v>
      </c>
      <c r="L328" s="298" t="s">
        <v>1180</v>
      </c>
      <c r="M328" s="297">
        <v>1</v>
      </c>
      <c r="N328" s="298" t="s">
        <v>1181</v>
      </c>
      <c r="O328" s="299"/>
      <c r="P328" s="298" t="s">
        <v>250</v>
      </c>
      <c r="Q328" s="298" t="s">
        <v>251</v>
      </c>
      <c r="R328" s="298" t="s">
        <v>8</v>
      </c>
      <c r="S328" s="298" t="s">
        <v>565</v>
      </c>
      <c r="T328" s="298"/>
      <c r="U328" s="298"/>
    </row>
    <row r="329" spans="5:21" ht="15.75" customHeight="1" x14ac:dyDescent="0.3">
      <c r="E329" s="300">
        <v>2</v>
      </c>
      <c r="G329" s="296">
        <v>28</v>
      </c>
      <c r="H329" s="297">
        <v>28</v>
      </c>
      <c r="I329" s="133">
        <f t="shared" si="5"/>
        <v>0</v>
      </c>
      <c r="J329" s="298" t="s">
        <v>269</v>
      </c>
      <c r="K329" s="298" t="s">
        <v>79</v>
      </c>
      <c r="L329" s="298" t="s">
        <v>1180</v>
      </c>
      <c r="M329" s="297">
        <v>28</v>
      </c>
      <c r="N329" s="298" t="s">
        <v>1181</v>
      </c>
      <c r="O329" s="297">
        <v>28</v>
      </c>
      <c r="P329" s="298" t="s">
        <v>154</v>
      </c>
      <c r="Q329" s="298" t="s">
        <v>155</v>
      </c>
      <c r="R329" s="298"/>
      <c r="S329" s="298" t="s">
        <v>565</v>
      </c>
      <c r="T329" s="298" t="s">
        <v>1195</v>
      </c>
      <c r="U329" s="298" t="s">
        <v>1196</v>
      </c>
    </row>
    <row r="330" spans="5:21" ht="15.75" customHeight="1" x14ac:dyDescent="0.3">
      <c r="E330" s="300">
        <v>24</v>
      </c>
      <c r="G330" s="296">
        <v>8</v>
      </c>
      <c r="H330" s="297">
        <v>8</v>
      </c>
      <c r="I330" s="133">
        <f t="shared" si="5"/>
        <v>0</v>
      </c>
      <c r="J330" s="298" t="s">
        <v>269</v>
      </c>
      <c r="K330" s="298" t="s">
        <v>100</v>
      </c>
      <c r="L330" s="298" t="s">
        <v>1180</v>
      </c>
      <c r="M330" s="297">
        <v>8</v>
      </c>
      <c r="N330" s="298" t="s">
        <v>1181</v>
      </c>
      <c r="O330" s="297">
        <v>8</v>
      </c>
      <c r="P330" s="298" t="s">
        <v>154</v>
      </c>
      <c r="Q330" s="298" t="s">
        <v>155</v>
      </c>
      <c r="R330" s="298"/>
      <c r="S330" s="298" t="s">
        <v>565</v>
      </c>
      <c r="T330" s="298" t="s">
        <v>1195</v>
      </c>
      <c r="U330" s="298" t="s">
        <v>1196</v>
      </c>
    </row>
    <row r="331" spans="5:21" ht="15.75" customHeight="1" x14ac:dyDescent="0.3">
      <c r="E331" s="295">
        <v>30</v>
      </c>
      <c r="G331" s="296">
        <v>1</v>
      </c>
      <c r="H331" s="297">
        <v>1</v>
      </c>
      <c r="I331" s="133">
        <f t="shared" si="5"/>
        <v>0</v>
      </c>
      <c r="J331" s="298" t="s">
        <v>269</v>
      </c>
      <c r="K331" s="298" t="s">
        <v>80</v>
      </c>
      <c r="L331" s="298" t="s">
        <v>1180</v>
      </c>
      <c r="M331" s="297">
        <v>1</v>
      </c>
      <c r="N331" s="298" t="s">
        <v>1181</v>
      </c>
      <c r="O331" s="299"/>
      <c r="P331" s="298" t="s">
        <v>154</v>
      </c>
      <c r="Q331" s="298" t="s">
        <v>155</v>
      </c>
      <c r="R331" s="298"/>
      <c r="S331" s="298" t="s">
        <v>565</v>
      </c>
      <c r="T331" s="298"/>
      <c r="U331" s="298"/>
    </row>
    <row r="332" spans="5:21" ht="15.75" customHeight="1" x14ac:dyDescent="0.3">
      <c r="E332" s="300">
        <v>3</v>
      </c>
      <c r="G332" s="296">
        <v>24</v>
      </c>
      <c r="H332" s="297">
        <v>24</v>
      </c>
      <c r="I332" s="133">
        <f t="shared" si="5"/>
        <v>0</v>
      </c>
      <c r="J332" s="298" t="s">
        <v>271</v>
      </c>
      <c r="K332" s="298" t="s">
        <v>73</v>
      </c>
      <c r="L332" s="298" t="s">
        <v>1180</v>
      </c>
      <c r="M332" s="297">
        <v>24</v>
      </c>
      <c r="N332" s="298" t="s">
        <v>1181</v>
      </c>
      <c r="O332" s="297">
        <v>24</v>
      </c>
      <c r="P332" s="298" t="s">
        <v>272</v>
      </c>
      <c r="Q332" s="298" t="s">
        <v>273</v>
      </c>
      <c r="R332" s="298"/>
      <c r="S332" s="298" t="s">
        <v>593</v>
      </c>
      <c r="T332" s="298"/>
      <c r="U332" s="298"/>
    </row>
    <row r="333" spans="5:21" ht="15.75" customHeight="1" x14ac:dyDescent="0.3">
      <c r="E333" s="300">
        <v>1</v>
      </c>
      <c r="G333" s="296">
        <v>3</v>
      </c>
      <c r="H333" s="297">
        <v>3</v>
      </c>
      <c r="I333" s="133">
        <f t="shared" si="5"/>
        <v>0</v>
      </c>
      <c r="J333" s="298" t="s">
        <v>271</v>
      </c>
      <c r="K333" s="298" t="s">
        <v>87</v>
      </c>
      <c r="L333" s="298" t="s">
        <v>1180</v>
      </c>
      <c r="M333" s="297">
        <v>3</v>
      </c>
      <c r="N333" s="298" t="s">
        <v>1181</v>
      </c>
      <c r="O333" s="299"/>
      <c r="P333" s="298" t="s">
        <v>272</v>
      </c>
      <c r="Q333" s="298" t="s">
        <v>273</v>
      </c>
      <c r="R333" s="298"/>
      <c r="S333" s="298" t="s">
        <v>593</v>
      </c>
      <c r="T333" s="298"/>
      <c r="U333" s="298"/>
    </row>
    <row r="334" spans="5:21" ht="15.75" customHeight="1" x14ac:dyDescent="0.3">
      <c r="E334" s="300">
        <v>30</v>
      </c>
      <c r="G334" s="296">
        <v>1</v>
      </c>
      <c r="H334" s="297">
        <v>1</v>
      </c>
      <c r="I334" s="133">
        <f t="shared" si="5"/>
        <v>0</v>
      </c>
      <c r="J334" s="298" t="s">
        <v>271</v>
      </c>
      <c r="K334" s="298" t="s">
        <v>87</v>
      </c>
      <c r="L334" s="298" t="s">
        <v>1180</v>
      </c>
      <c r="M334" s="297">
        <v>1</v>
      </c>
      <c r="N334" s="298" t="s">
        <v>1181</v>
      </c>
      <c r="O334" s="299"/>
      <c r="P334" s="298" t="s">
        <v>250</v>
      </c>
      <c r="Q334" s="298" t="s">
        <v>251</v>
      </c>
      <c r="R334" s="298" t="s">
        <v>8</v>
      </c>
      <c r="S334" s="298" t="s">
        <v>565</v>
      </c>
      <c r="T334" s="298"/>
      <c r="U334" s="298"/>
    </row>
    <row r="335" spans="5:21" ht="15.75" customHeight="1" x14ac:dyDescent="0.3">
      <c r="E335" s="300">
        <v>2</v>
      </c>
      <c r="G335" s="296">
        <v>12</v>
      </c>
      <c r="H335" s="297">
        <v>12</v>
      </c>
      <c r="I335" s="133">
        <f t="shared" si="5"/>
        <v>0</v>
      </c>
      <c r="J335" s="298" t="s">
        <v>271</v>
      </c>
      <c r="K335" s="298" t="s">
        <v>79</v>
      </c>
      <c r="L335" s="298" t="s">
        <v>1180</v>
      </c>
      <c r="M335" s="297">
        <v>12</v>
      </c>
      <c r="N335" s="298" t="s">
        <v>1181</v>
      </c>
      <c r="O335" s="297">
        <v>12</v>
      </c>
      <c r="P335" s="298" t="s">
        <v>272</v>
      </c>
      <c r="Q335" s="298" t="s">
        <v>273</v>
      </c>
      <c r="R335" s="298"/>
      <c r="S335" s="298" t="s">
        <v>593</v>
      </c>
      <c r="T335" s="298"/>
      <c r="U335" s="298"/>
    </row>
    <row r="336" spans="5:21" ht="15.75" customHeight="1" x14ac:dyDescent="0.3">
      <c r="E336" s="300">
        <v>24</v>
      </c>
      <c r="G336" s="296">
        <v>24</v>
      </c>
      <c r="H336" s="297">
        <v>24</v>
      </c>
      <c r="I336" s="133">
        <f t="shared" si="5"/>
        <v>0</v>
      </c>
      <c r="J336" s="298" t="s">
        <v>271</v>
      </c>
      <c r="K336" s="298" t="s">
        <v>100</v>
      </c>
      <c r="L336" s="298" t="s">
        <v>1180</v>
      </c>
      <c r="M336" s="297">
        <v>24</v>
      </c>
      <c r="N336" s="298" t="s">
        <v>1181</v>
      </c>
      <c r="O336" s="297">
        <v>24</v>
      </c>
      <c r="P336" s="298" t="s">
        <v>272</v>
      </c>
      <c r="Q336" s="298" t="s">
        <v>273</v>
      </c>
      <c r="R336" s="298"/>
      <c r="S336" s="298" t="s">
        <v>593</v>
      </c>
      <c r="T336" s="298"/>
      <c r="U336" s="298"/>
    </row>
    <row r="337" spans="5:21" ht="15.75" customHeight="1" x14ac:dyDescent="0.3">
      <c r="E337" s="300">
        <v>3</v>
      </c>
      <c r="G337" s="296">
        <v>1</v>
      </c>
      <c r="H337" s="297">
        <v>1</v>
      </c>
      <c r="I337" s="133">
        <f t="shared" si="5"/>
        <v>0</v>
      </c>
      <c r="J337" s="298" t="s">
        <v>271</v>
      </c>
      <c r="K337" s="298" t="s">
        <v>80</v>
      </c>
      <c r="L337" s="298" t="s">
        <v>1180</v>
      </c>
      <c r="M337" s="297">
        <v>1</v>
      </c>
      <c r="N337" s="298" t="s">
        <v>1181</v>
      </c>
      <c r="O337" s="299"/>
      <c r="P337" s="298" t="s">
        <v>272</v>
      </c>
      <c r="Q337" s="298" t="s">
        <v>273</v>
      </c>
      <c r="R337" s="298"/>
      <c r="S337" s="298" t="s">
        <v>593</v>
      </c>
      <c r="T337" s="298"/>
      <c r="U337" s="298"/>
    </row>
    <row r="338" spans="5:21" ht="15.75" customHeight="1" x14ac:dyDescent="0.3">
      <c r="E338" s="300">
        <v>1</v>
      </c>
      <c r="G338" s="296">
        <v>28</v>
      </c>
      <c r="H338" s="297">
        <v>28</v>
      </c>
      <c r="I338" s="133">
        <f t="shared" si="5"/>
        <v>0</v>
      </c>
      <c r="J338" s="298" t="s">
        <v>274</v>
      </c>
      <c r="K338" s="298" t="s">
        <v>73</v>
      </c>
      <c r="L338" s="298" t="s">
        <v>1180</v>
      </c>
      <c r="M338" s="297">
        <v>28</v>
      </c>
      <c r="N338" s="298" t="s">
        <v>1181</v>
      </c>
      <c r="O338" s="297">
        <v>28</v>
      </c>
      <c r="P338" s="298" t="s">
        <v>65</v>
      </c>
      <c r="Q338" s="298" t="s">
        <v>66</v>
      </c>
      <c r="R338" s="298"/>
      <c r="S338" s="298" t="s">
        <v>593</v>
      </c>
      <c r="T338" s="298" t="s">
        <v>1172</v>
      </c>
      <c r="U338" s="298" t="s">
        <v>1215</v>
      </c>
    </row>
    <row r="339" spans="5:21" ht="15.75" customHeight="1" x14ac:dyDescent="0.3">
      <c r="E339" s="300">
        <v>28</v>
      </c>
      <c r="G339" s="296">
        <v>3</v>
      </c>
      <c r="H339" s="297">
        <v>3</v>
      </c>
      <c r="I339" s="133">
        <f t="shared" si="5"/>
        <v>0</v>
      </c>
      <c r="J339" s="298" t="s">
        <v>274</v>
      </c>
      <c r="K339" s="298" t="s">
        <v>87</v>
      </c>
      <c r="L339" s="298" t="s">
        <v>1180</v>
      </c>
      <c r="M339" s="297">
        <v>3</v>
      </c>
      <c r="N339" s="298" t="s">
        <v>1181</v>
      </c>
      <c r="O339" s="299"/>
      <c r="P339" s="298" t="s">
        <v>65</v>
      </c>
      <c r="Q339" s="298" t="s">
        <v>66</v>
      </c>
      <c r="R339" s="298"/>
      <c r="S339" s="298" t="s">
        <v>593</v>
      </c>
      <c r="T339" s="298"/>
      <c r="U339" s="298"/>
    </row>
    <row r="340" spans="5:21" ht="15.75" customHeight="1" x14ac:dyDescent="0.3">
      <c r="E340" s="300">
        <v>8</v>
      </c>
      <c r="G340" s="296">
        <v>1</v>
      </c>
      <c r="H340" s="297">
        <v>1</v>
      </c>
      <c r="I340" s="133">
        <f t="shared" si="5"/>
        <v>0</v>
      </c>
      <c r="J340" s="298" t="s">
        <v>274</v>
      </c>
      <c r="K340" s="298" t="s">
        <v>87</v>
      </c>
      <c r="L340" s="298" t="s">
        <v>1180</v>
      </c>
      <c r="M340" s="297">
        <v>1</v>
      </c>
      <c r="N340" s="298" t="s">
        <v>1181</v>
      </c>
      <c r="O340" s="299"/>
      <c r="P340" s="298" t="s">
        <v>250</v>
      </c>
      <c r="Q340" s="298" t="s">
        <v>251</v>
      </c>
      <c r="R340" s="298" t="s">
        <v>8</v>
      </c>
      <c r="S340" s="298" t="s">
        <v>565</v>
      </c>
      <c r="T340" s="298"/>
      <c r="U340" s="298"/>
    </row>
    <row r="341" spans="5:21" ht="15.75" customHeight="1" x14ac:dyDescent="0.3">
      <c r="E341" s="300">
        <v>1</v>
      </c>
      <c r="G341" s="296">
        <v>32</v>
      </c>
      <c r="H341" s="297">
        <v>32</v>
      </c>
      <c r="I341" s="133">
        <f t="shared" si="5"/>
        <v>0</v>
      </c>
      <c r="J341" s="298" t="s">
        <v>274</v>
      </c>
      <c r="K341" s="298" t="s">
        <v>79</v>
      </c>
      <c r="L341" s="298" t="s">
        <v>1180</v>
      </c>
      <c r="M341" s="297">
        <v>32</v>
      </c>
      <c r="N341" s="298" t="s">
        <v>1181</v>
      </c>
      <c r="O341" s="297">
        <v>32</v>
      </c>
      <c r="P341" s="298" t="s">
        <v>65</v>
      </c>
      <c r="Q341" s="298" t="s">
        <v>66</v>
      </c>
      <c r="R341" s="298"/>
      <c r="S341" s="298" t="s">
        <v>593</v>
      </c>
      <c r="T341" s="298" t="s">
        <v>1172</v>
      </c>
      <c r="U341" s="298" t="s">
        <v>1215</v>
      </c>
    </row>
    <row r="342" spans="5:21" ht="15.75" customHeight="1" x14ac:dyDescent="0.3">
      <c r="E342" s="300">
        <v>24</v>
      </c>
      <c r="G342" s="296">
        <v>1</v>
      </c>
      <c r="H342" s="297">
        <v>1</v>
      </c>
      <c r="I342" s="133">
        <f t="shared" si="5"/>
        <v>0</v>
      </c>
      <c r="J342" s="298" t="s">
        <v>274</v>
      </c>
      <c r="K342" s="298" t="s">
        <v>80</v>
      </c>
      <c r="L342" s="298" t="s">
        <v>1180</v>
      </c>
      <c r="M342" s="297">
        <v>1</v>
      </c>
      <c r="N342" s="298" t="s">
        <v>1181</v>
      </c>
      <c r="O342" s="299"/>
      <c r="P342" s="298" t="s">
        <v>65</v>
      </c>
      <c r="Q342" s="298" t="s">
        <v>66</v>
      </c>
      <c r="R342" s="298"/>
      <c r="S342" s="298" t="s">
        <v>593</v>
      </c>
      <c r="T342" s="298"/>
      <c r="U342" s="298"/>
    </row>
    <row r="343" spans="5:21" ht="15.75" customHeight="1" x14ac:dyDescent="0.3">
      <c r="E343" s="300">
        <v>3</v>
      </c>
      <c r="G343" s="296">
        <v>14</v>
      </c>
      <c r="H343" s="297">
        <v>14</v>
      </c>
      <c r="I343" s="133">
        <f t="shared" si="5"/>
        <v>0</v>
      </c>
      <c r="J343" s="298" t="s">
        <v>278</v>
      </c>
      <c r="K343" s="298" t="s">
        <v>73</v>
      </c>
      <c r="L343" s="298" t="s">
        <v>1214</v>
      </c>
      <c r="M343" s="297">
        <v>14</v>
      </c>
      <c r="N343" s="298" t="s">
        <v>238</v>
      </c>
      <c r="O343" s="297">
        <v>14</v>
      </c>
      <c r="P343" s="298" t="s">
        <v>63</v>
      </c>
      <c r="Q343" s="298" t="s">
        <v>64</v>
      </c>
      <c r="R343" s="298"/>
      <c r="S343" s="298" t="s">
        <v>565</v>
      </c>
      <c r="T343" s="298" t="s">
        <v>1172</v>
      </c>
      <c r="U343" s="298" t="s">
        <v>1184</v>
      </c>
    </row>
    <row r="344" spans="5:21" ht="15.75" customHeight="1" x14ac:dyDescent="0.3">
      <c r="E344" s="300">
        <v>1</v>
      </c>
      <c r="G344" s="296">
        <v>2</v>
      </c>
      <c r="H344" s="297">
        <v>2</v>
      </c>
      <c r="I344" s="133">
        <f t="shared" si="5"/>
        <v>0</v>
      </c>
      <c r="J344" s="298" t="s">
        <v>278</v>
      </c>
      <c r="K344" s="298" t="s">
        <v>87</v>
      </c>
      <c r="L344" s="298" t="s">
        <v>1214</v>
      </c>
      <c r="M344" s="297">
        <v>2</v>
      </c>
      <c r="N344" s="298" t="s">
        <v>238</v>
      </c>
      <c r="O344" s="299"/>
      <c r="P344" s="298" t="s">
        <v>63</v>
      </c>
      <c r="Q344" s="298" t="s">
        <v>64</v>
      </c>
      <c r="R344" s="298"/>
      <c r="S344" s="298" t="s">
        <v>565</v>
      </c>
      <c r="T344" s="298"/>
      <c r="U344" s="298"/>
    </row>
    <row r="345" spans="5:21" ht="15.75" customHeight="1" x14ac:dyDescent="0.3">
      <c r="E345" s="300">
        <v>12</v>
      </c>
      <c r="G345" s="296">
        <v>36</v>
      </c>
      <c r="H345" s="297">
        <v>36</v>
      </c>
      <c r="I345" s="133">
        <f t="shared" si="5"/>
        <v>0</v>
      </c>
      <c r="J345" s="298" t="s">
        <v>278</v>
      </c>
      <c r="K345" s="298" t="s">
        <v>79</v>
      </c>
      <c r="L345" s="298" t="s">
        <v>1214</v>
      </c>
      <c r="M345" s="297">
        <v>36</v>
      </c>
      <c r="N345" s="298" t="s">
        <v>238</v>
      </c>
      <c r="O345" s="297">
        <v>36</v>
      </c>
      <c r="P345" s="298" t="s">
        <v>63</v>
      </c>
      <c r="Q345" s="298" t="s">
        <v>64</v>
      </c>
      <c r="R345" s="298"/>
      <c r="S345" s="298" t="s">
        <v>565</v>
      </c>
      <c r="T345" s="298" t="s">
        <v>1172</v>
      </c>
      <c r="U345" s="298" t="s">
        <v>1184</v>
      </c>
    </row>
    <row r="346" spans="5:21" ht="15.75" customHeight="1" x14ac:dyDescent="0.3">
      <c r="E346" s="300">
        <v>24</v>
      </c>
      <c r="G346" s="296">
        <v>1</v>
      </c>
      <c r="H346" s="297">
        <v>1</v>
      </c>
      <c r="I346" s="133">
        <f t="shared" si="5"/>
        <v>0</v>
      </c>
      <c r="J346" s="298" t="s">
        <v>278</v>
      </c>
      <c r="K346" s="298" t="s">
        <v>80</v>
      </c>
      <c r="L346" s="298" t="s">
        <v>1214</v>
      </c>
      <c r="M346" s="297">
        <v>1</v>
      </c>
      <c r="N346" s="298" t="s">
        <v>238</v>
      </c>
      <c r="O346" s="299"/>
      <c r="P346" s="298" t="s">
        <v>63</v>
      </c>
      <c r="Q346" s="298" t="s">
        <v>64</v>
      </c>
      <c r="R346" s="298"/>
      <c r="S346" s="298" t="s">
        <v>565</v>
      </c>
      <c r="T346" s="298"/>
      <c r="U346" s="298"/>
    </row>
    <row r="347" spans="5:21" ht="15.75" customHeight="1" x14ac:dyDescent="0.3">
      <c r="E347" s="300">
        <v>1</v>
      </c>
      <c r="G347" s="296">
        <v>60</v>
      </c>
      <c r="H347" s="297">
        <v>60</v>
      </c>
      <c r="I347" s="133">
        <f t="shared" si="5"/>
        <v>0</v>
      </c>
      <c r="J347" s="298" t="s">
        <v>280</v>
      </c>
      <c r="K347" s="298" t="s">
        <v>102</v>
      </c>
      <c r="L347" s="298" t="s">
        <v>1175</v>
      </c>
      <c r="M347" s="297">
        <v>60</v>
      </c>
      <c r="N347" s="298" t="s">
        <v>1176</v>
      </c>
      <c r="O347" s="299"/>
      <c r="P347" s="298" t="s">
        <v>179</v>
      </c>
      <c r="Q347" s="298" t="s">
        <v>180</v>
      </c>
      <c r="R347" s="298"/>
      <c r="S347" s="298" t="s">
        <v>593</v>
      </c>
      <c r="T347" s="298"/>
      <c r="U347" s="298"/>
    </row>
    <row r="348" spans="5:21" ht="15.75" customHeight="1" x14ac:dyDescent="0.3">
      <c r="E348" s="300">
        <v>28</v>
      </c>
      <c r="G348" s="296">
        <v>46</v>
      </c>
      <c r="H348" s="297">
        <v>46</v>
      </c>
      <c r="I348" s="133">
        <f t="shared" si="5"/>
        <v>0</v>
      </c>
      <c r="J348" s="298" t="s">
        <v>280</v>
      </c>
      <c r="K348" s="298" t="s">
        <v>73</v>
      </c>
      <c r="L348" s="298" t="s">
        <v>1175</v>
      </c>
      <c r="M348" s="297">
        <v>46</v>
      </c>
      <c r="N348" s="298" t="s">
        <v>1176</v>
      </c>
      <c r="O348" s="297">
        <v>46</v>
      </c>
      <c r="P348" s="298" t="s">
        <v>179</v>
      </c>
      <c r="Q348" s="298" t="s">
        <v>180</v>
      </c>
      <c r="R348" s="298"/>
      <c r="S348" s="298" t="s">
        <v>593</v>
      </c>
      <c r="T348" s="298" t="s">
        <v>205</v>
      </c>
      <c r="U348" s="298" t="s">
        <v>1212</v>
      </c>
    </row>
    <row r="349" spans="5:21" ht="15.75" customHeight="1" x14ac:dyDescent="0.3">
      <c r="E349" s="300">
        <v>3</v>
      </c>
      <c r="G349" s="296">
        <v>24</v>
      </c>
      <c r="H349" s="297">
        <v>24</v>
      </c>
      <c r="I349" s="133">
        <f t="shared" si="5"/>
        <v>0</v>
      </c>
      <c r="J349" s="298" t="s">
        <v>280</v>
      </c>
      <c r="K349" s="298" t="s">
        <v>73</v>
      </c>
      <c r="L349" s="298" t="s">
        <v>1165</v>
      </c>
      <c r="M349" s="297">
        <v>24</v>
      </c>
      <c r="N349" s="298" t="s">
        <v>221</v>
      </c>
      <c r="O349" s="297">
        <v>24</v>
      </c>
      <c r="P349" s="298" t="s">
        <v>179</v>
      </c>
      <c r="Q349" s="298" t="s">
        <v>180</v>
      </c>
      <c r="R349" s="298"/>
      <c r="S349" s="298" t="s">
        <v>593</v>
      </c>
      <c r="T349" s="298" t="s">
        <v>205</v>
      </c>
      <c r="U349" s="298" t="s">
        <v>1212</v>
      </c>
    </row>
    <row r="350" spans="5:21" ht="15.75" customHeight="1" x14ac:dyDescent="0.3">
      <c r="E350" s="300">
        <v>1</v>
      </c>
      <c r="G350" s="296">
        <v>80</v>
      </c>
      <c r="H350" s="297">
        <v>80</v>
      </c>
      <c r="I350" s="133">
        <f t="shared" si="5"/>
        <v>0</v>
      </c>
      <c r="J350" s="298" t="s">
        <v>280</v>
      </c>
      <c r="K350" s="298" t="s">
        <v>79</v>
      </c>
      <c r="L350" s="298" t="s">
        <v>1175</v>
      </c>
      <c r="M350" s="297">
        <v>80</v>
      </c>
      <c r="N350" s="298" t="s">
        <v>1176</v>
      </c>
      <c r="O350" s="297">
        <v>80</v>
      </c>
      <c r="P350" s="298" t="s">
        <v>179</v>
      </c>
      <c r="Q350" s="298" t="s">
        <v>180</v>
      </c>
      <c r="R350" s="298"/>
      <c r="S350" s="298" t="s">
        <v>593</v>
      </c>
      <c r="T350" s="298" t="s">
        <v>206</v>
      </c>
      <c r="U350" s="298" t="s">
        <v>1212</v>
      </c>
    </row>
    <row r="351" spans="5:21" ht="15.75" customHeight="1" x14ac:dyDescent="0.3">
      <c r="E351" s="300">
        <v>32</v>
      </c>
      <c r="G351" s="296">
        <v>38</v>
      </c>
      <c r="H351" s="297">
        <v>38</v>
      </c>
      <c r="I351" s="133">
        <f t="shared" si="5"/>
        <v>0</v>
      </c>
      <c r="J351" s="298" t="s">
        <v>280</v>
      </c>
      <c r="K351" s="298" t="s">
        <v>79</v>
      </c>
      <c r="L351" s="298" t="s">
        <v>1165</v>
      </c>
      <c r="M351" s="297">
        <v>38</v>
      </c>
      <c r="N351" s="298" t="s">
        <v>221</v>
      </c>
      <c r="O351" s="297">
        <v>38</v>
      </c>
      <c r="P351" s="298" t="s">
        <v>179</v>
      </c>
      <c r="Q351" s="298" t="s">
        <v>180</v>
      </c>
      <c r="R351" s="298"/>
      <c r="S351" s="298" t="s">
        <v>593</v>
      </c>
      <c r="T351" s="298" t="s">
        <v>206</v>
      </c>
      <c r="U351" s="298" t="s">
        <v>1212</v>
      </c>
    </row>
    <row r="352" spans="5:21" ht="15.75" customHeight="1" x14ac:dyDescent="0.3">
      <c r="E352" s="300">
        <v>1</v>
      </c>
      <c r="G352" s="296">
        <v>6</v>
      </c>
      <c r="H352" s="297">
        <v>6</v>
      </c>
      <c r="I352" s="133">
        <f t="shared" si="5"/>
        <v>0</v>
      </c>
      <c r="J352" s="298" t="s">
        <v>280</v>
      </c>
      <c r="K352" s="298" t="s">
        <v>111</v>
      </c>
      <c r="L352" s="298" t="s">
        <v>1175</v>
      </c>
      <c r="M352" s="297">
        <v>6</v>
      </c>
      <c r="N352" s="298" t="s">
        <v>1176</v>
      </c>
      <c r="O352" s="299"/>
      <c r="P352" s="298" t="s">
        <v>179</v>
      </c>
      <c r="Q352" s="298" t="s">
        <v>180</v>
      </c>
      <c r="R352" s="298"/>
      <c r="S352" s="298" t="s">
        <v>593</v>
      </c>
      <c r="T352" s="298"/>
      <c r="U352" s="298"/>
    </row>
    <row r="353" spans="5:21" ht="15.75" customHeight="1" x14ac:dyDescent="0.3">
      <c r="E353" s="300">
        <v>14</v>
      </c>
      <c r="G353" s="296">
        <v>2</v>
      </c>
      <c r="H353" s="297">
        <v>2</v>
      </c>
      <c r="I353" s="133">
        <f t="shared" si="5"/>
        <v>0</v>
      </c>
      <c r="J353" s="298" t="s">
        <v>280</v>
      </c>
      <c r="K353" s="298" t="s">
        <v>111</v>
      </c>
      <c r="L353" s="298" t="s">
        <v>1175</v>
      </c>
      <c r="M353" s="297">
        <v>2</v>
      </c>
      <c r="N353" s="298" t="s">
        <v>1176</v>
      </c>
      <c r="O353" s="299"/>
      <c r="P353" s="298" t="s">
        <v>250</v>
      </c>
      <c r="Q353" s="298" t="s">
        <v>251</v>
      </c>
      <c r="R353" s="298" t="s">
        <v>8</v>
      </c>
      <c r="S353" s="298" t="s">
        <v>565</v>
      </c>
      <c r="T353" s="298"/>
      <c r="U353" s="298"/>
    </row>
    <row r="354" spans="5:21" ht="15.75" customHeight="1" x14ac:dyDescent="0.3">
      <c r="E354" s="300">
        <v>2</v>
      </c>
      <c r="G354" s="296">
        <v>4.17</v>
      </c>
      <c r="H354" s="297">
        <v>4.17</v>
      </c>
      <c r="I354" s="133">
        <f t="shared" si="5"/>
        <v>0</v>
      </c>
      <c r="J354" s="298" t="s">
        <v>280</v>
      </c>
      <c r="K354" s="298" t="s">
        <v>111</v>
      </c>
      <c r="L354" s="298" t="s">
        <v>1165</v>
      </c>
      <c r="M354" s="297">
        <v>4.17</v>
      </c>
      <c r="N354" s="298" t="s">
        <v>221</v>
      </c>
      <c r="O354" s="299"/>
      <c r="P354" s="298" t="s">
        <v>179</v>
      </c>
      <c r="Q354" s="298" t="s">
        <v>180</v>
      </c>
      <c r="R354" s="298"/>
      <c r="S354" s="298" t="s">
        <v>593</v>
      </c>
      <c r="T354" s="298"/>
      <c r="U354" s="298"/>
    </row>
    <row r="355" spans="5:21" ht="15.75" customHeight="1" x14ac:dyDescent="0.3">
      <c r="E355" s="300">
        <v>36</v>
      </c>
      <c r="G355" s="296">
        <v>0.83</v>
      </c>
      <c r="H355" s="297">
        <v>0.83</v>
      </c>
      <c r="I355" s="133">
        <f t="shared" si="5"/>
        <v>0</v>
      </c>
      <c r="J355" s="298" t="s">
        <v>280</v>
      </c>
      <c r="K355" s="298" t="s">
        <v>111</v>
      </c>
      <c r="L355" s="298" t="s">
        <v>1165</v>
      </c>
      <c r="M355" s="297">
        <v>0.83</v>
      </c>
      <c r="N355" s="298" t="s">
        <v>221</v>
      </c>
      <c r="O355" s="299"/>
      <c r="P355" s="298" t="s">
        <v>250</v>
      </c>
      <c r="Q355" s="298" t="s">
        <v>251</v>
      </c>
      <c r="R355" s="298" t="s">
        <v>8</v>
      </c>
      <c r="S355" s="298" t="s">
        <v>565</v>
      </c>
      <c r="T355" s="298"/>
      <c r="U355" s="298"/>
    </row>
    <row r="356" spans="5:21" ht="15.75" customHeight="1" x14ac:dyDescent="0.3">
      <c r="E356" s="300">
        <v>1</v>
      </c>
      <c r="G356" s="296">
        <v>3</v>
      </c>
      <c r="H356" s="297">
        <v>3</v>
      </c>
      <c r="I356" s="133">
        <f t="shared" si="5"/>
        <v>0</v>
      </c>
      <c r="J356" s="298" t="s">
        <v>280</v>
      </c>
      <c r="K356" s="298" t="s">
        <v>80</v>
      </c>
      <c r="L356" s="298" t="s">
        <v>1175</v>
      </c>
      <c r="M356" s="297">
        <v>3</v>
      </c>
      <c r="N356" s="298" t="s">
        <v>1176</v>
      </c>
      <c r="O356" s="299"/>
      <c r="P356" s="298" t="s">
        <v>179</v>
      </c>
      <c r="Q356" s="298" t="s">
        <v>180</v>
      </c>
      <c r="R356" s="298"/>
      <c r="S356" s="298" t="s">
        <v>593</v>
      </c>
      <c r="T356" s="298"/>
      <c r="U356" s="298"/>
    </row>
    <row r="357" spans="5:21" ht="15.75" customHeight="1" x14ac:dyDescent="0.3">
      <c r="E357" s="300">
        <v>60</v>
      </c>
      <c r="G357" s="296">
        <v>1</v>
      </c>
      <c r="H357" s="297">
        <v>1</v>
      </c>
      <c r="I357" s="133">
        <f t="shared" si="5"/>
        <v>0</v>
      </c>
      <c r="J357" s="298" t="s">
        <v>280</v>
      </c>
      <c r="K357" s="298" t="s">
        <v>80</v>
      </c>
      <c r="L357" s="298" t="s">
        <v>1175</v>
      </c>
      <c r="M357" s="297">
        <v>1</v>
      </c>
      <c r="N357" s="298" t="s">
        <v>1176</v>
      </c>
      <c r="O357" s="299"/>
      <c r="P357" s="298" t="s">
        <v>250</v>
      </c>
      <c r="Q357" s="298" t="s">
        <v>251</v>
      </c>
      <c r="R357" s="298" t="s">
        <v>8</v>
      </c>
      <c r="S357" s="298" t="s">
        <v>565</v>
      </c>
      <c r="T357" s="298"/>
      <c r="U357" s="298"/>
    </row>
    <row r="358" spans="5:21" ht="15.75" customHeight="1" x14ac:dyDescent="0.3">
      <c r="E358" s="300">
        <v>46</v>
      </c>
      <c r="G358" s="296">
        <v>3</v>
      </c>
      <c r="H358" s="297">
        <v>3</v>
      </c>
      <c r="I358" s="133">
        <f t="shared" si="5"/>
        <v>0</v>
      </c>
      <c r="J358" s="298" t="s">
        <v>280</v>
      </c>
      <c r="K358" s="298" t="s">
        <v>80</v>
      </c>
      <c r="L358" s="298" t="s">
        <v>1165</v>
      </c>
      <c r="M358" s="297">
        <v>3</v>
      </c>
      <c r="N358" s="298" t="s">
        <v>221</v>
      </c>
      <c r="O358" s="299"/>
      <c r="P358" s="298" t="s">
        <v>179</v>
      </c>
      <c r="Q358" s="298" t="s">
        <v>180</v>
      </c>
      <c r="R358" s="298"/>
      <c r="S358" s="298" t="s">
        <v>593</v>
      </c>
      <c r="T358" s="298"/>
      <c r="U358" s="298"/>
    </row>
    <row r="359" spans="5:21" ht="15.75" customHeight="1" x14ac:dyDescent="0.3">
      <c r="E359" s="300">
        <v>24</v>
      </c>
      <c r="G359" s="296">
        <v>1</v>
      </c>
      <c r="H359" s="297">
        <v>1</v>
      </c>
      <c r="I359" s="133">
        <f t="shared" si="5"/>
        <v>0</v>
      </c>
      <c r="J359" s="298" t="s">
        <v>280</v>
      </c>
      <c r="K359" s="298" t="s">
        <v>80</v>
      </c>
      <c r="L359" s="298" t="s">
        <v>1165</v>
      </c>
      <c r="M359" s="297">
        <v>1</v>
      </c>
      <c r="N359" s="298" t="s">
        <v>221</v>
      </c>
      <c r="O359" s="299"/>
      <c r="P359" s="298" t="s">
        <v>250</v>
      </c>
      <c r="Q359" s="298" t="s">
        <v>251</v>
      </c>
      <c r="R359" s="298" t="s">
        <v>8</v>
      </c>
      <c r="S359" s="298" t="s">
        <v>565</v>
      </c>
      <c r="T359" s="298"/>
      <c r="U359" s="298"/>
    </row>
    <row r="360" spans="5:21" ht="15.75" customHeight="1" x14ac:dyDescent="0.3">
      <c r="E360" s="300">
        <v>80</v>
      </c>
      <c r="G360" s="296">
        <v>18</v>
      </c>
      <c r="H360" s="297">
        <v>18</v>
      </c>
      <c r="I360" s="133">
        <f t="shared" si="5"/>
        <v>0</v>
      </c>
      <c r="J360" s="298" t="s">
        <v>281</v>
      </c>
      <c r="K360" s="298" t="s">
        <v>73</v>
      </c>
      <c r="L360" s="298" t="s">
        <v>1175</v>
      </c>
      <c r="M360" s="297">
        <v>18</v>
      </c>
      <c r="N360" s="298" t="s">
        <v>1176</v>
      </c>
      <c r="O360" s="297">
        <v>18</v>
      </c>
      <c r="P360" s="298" t="s">
        <v>91</v>
      </c>
      <c r="Q360" s="298" t="s">
        <v>92</v>
      </c>
      <c r="R360" s="298"/>
      <c r="S360" s="298" t="s">
        <v>593</v>
      </c>
      <c r="T360" s="298" t="s">
        <v>205</v>
      </c>
      <c r="U360" s="298" t="s">
        <v>1169</v>
      </c>
    </row>
    <row r="361" spans="5:21" ht="15.75" customHeight="1" x14ac:dyDescent="0.3">
      <c r="E361" s="300">
        <v>38</v>
      </c>
      <c r="G361" s="296">
        <v>32</v>
      </c>
      <c r="H361" s="297">
        <v>32</v>
      </c>
      <c r="I361" s="133">
        <f t="shared" si="5"/>
        <v>0</v>
      </c>
      <c r="J361" s="298" t="s">
        <v>281</v>
      </c>
      <c r="K361" s="298" t="s">
        <v>79</v>
      </c>
      <c r="L361" s="298" t="s">
        <v>1175</v>
      </c>
      <c r="M361" s="297">
        <v>32</v>
      </c>
      <c r="N361" s="298" t="s">
        <v>1176</v>
      </c>
      <c r="O361" s="297">
        <v>32</v>
      </c>
      <c r="P361" s="298" t="s">
        <v>91</v>
      </c>
      <c r="Q361" s="298" t="s">
        <v>92</v>
      </c>
      <c r="R361" s="298"/>
      <c r="S361" s="298" t="s">
        <v>593</v>
      </c>
      <c r="T361" s="298" t="s">
        <v>206</v>
      </c>
      <c r="U361" s="298" t="s">
        <v>1222</v>
      </c>
    </row>
    <row r="362" spans="5:21" ht="15.75" customHeight="1" x14ac:dyDescent="0.3">
      <c r="E362" s="300">
        <v>6</v>
      </c>
      <c r="G362" s="296">
        <v>4</v>
      </c>
      <c r="H362" s="297">
        <v>4</v>
      </c>
      <c r="I362" s="133">
        <f t="shared" si="5"/>
        <v>0</v>
      </c>
      <c r="J362" s="298" t="s">
        <v>281</v>
      </c>
      <c r="K362" s="298" t="s">
        <v>142</v>
      </c>
      <c r="L362" s="298" t="s">
        <v>1175</v>
      </c>
      <c r="M362" s="297">
        <v>4</v>
      </c>
      <c r="N362" s="298" t="s">
        <v>1176</v>
      </c>
      <c r="O362" s="299"/>
      <c r="P362" s="298" t="s">
        <v>91</v>
      </c>
      <c r="Q362" s="298" t="s">
        <v>92</v>
      </c>
      <c r="R362" s="298"/>
      <c r="S362" s="298" t="s">
        <v>593</v>
      </c>
      <c r="T362" s="298"/>
      <c r="U362" s="298" t="s">
        <v>1169</v>
      </c>
    </row>
    <row r="363" spans="5:21" ht="15.75" customHeight="1" x14ac:dyDescent="0.3">
      <c r="E363" s="300">
        <v>2</v>
      </c>
      <c r="G363" s="296">
        <v>1</v>
      </c>
      <c r="H363" s="297">
        <v>1</v>
      </c>
      <c r="I363" s="133">
        <f t="shared" si="5"/>
        <v>0</v>
      </c>
      <c r="J363" s="298" t="s">
        <v>281</v>
      </c>
      <c r="K363" s="298" t="s">
        <v>142</v>
      </c>
      <c r="L363" s="298" t="s">
        <v>1175</v>
      </c>
      <c r="M363" s="297">
        <v>1</v>
      </c>
      <c r="N363" s="298" t="s">
        <v>1176</v>
      </c>
      <c r="O363" s="299"/>
      <c r="P363" s="298" t="s">
        <v>250</v>
      </c>
      <c r="Q363" s="298" t="s">
        <v>251</v>
      </c>
      <c r="R363" s="298" t="s">
        <v>8</v>
      </c>
      <c r="S363" s="298" t="s">
        <v>565</v>
      </c>
      <c r="T363" s="298"/>
      <c r="U363" s="298"/>
    </row>
    <row r="364" spans="5:21" ht="15.75" customHeight="1" x14ac:dyDescent="0.3">
      <c r="E364" s="295">
        <v>4</v>
      </c>
      <c r="G364" s="296">
        <v>1</v>
      </c>
      <c r="H364" s="297">
        <v>1</v>
      </c>
      <c r="I364" s="133">
        <f t="shared" si="5"/>
        <v>0</v>
      </c>
      <c r="J364" s="298" t="s">
        <v>281</v>
      </c>
      <c r="K364" s="298" t="s">
        <v>80</v>
      </c>
      <c r="L364" s="298" t="s">
        <v>1175</v>
      </c>
      <c r="M364" s="297">
        <v>1</v>
      </c>
      <c r="N364" s="298" t="s">
        <v>1176</v>
      </c>
      <c r="O364" s="299"/>
      <c r="P364" s="298" t="s">
        <v>91</v>
      </c>
      <c r="Q364" s="298" t="s">
        <v>92</v>
      </c>
      <c r="R364" s="298"/>
      <c r="S364" s="298" t="s">
        <v>593</v>
      </c>
      <c r="T364" s="298"/>
      <c r="U364" s="298" t="s">
        <v>1169</v>
      </c>
    </row>
    <row r="365" spans="5:21" ht="15.75" customHeight="1" x14ac:dyDescent="0.3">
      <c r="E365" s="300">
        <v>1</v>
      </c>
      <c r="G365" s="296">
        <v>44</v>
      </c>
      <c r="H365" s="297">
        <v>44</v>
      </c>
      <c r="I365" s="133">
        <f t="shared" si="5"/>
        <v>0</v>
      </c>
      <c r="J365" s="298" t="s">
        <v>282</v>
      </c>
      <c r="K365" s="298" t="s">
        <v>73</v>
      </c>
      <c r="L365" s="298" t="s">
        <v>1180</v>
      </c>
      <c r="M365" s="297">
        <v>44</v>
      </c>
      <c r="N365" s="298" t="s">
        <v>1181</v>
      </c>
      <c r="O365" s="297">
        <v>44</v>
      </c>
      <c r="P365" s="298" t="s">
        <v>96</v>
      </c>
      <c r="Q365" s="298" t="s">
        <v>97</v>
      </c>
      <c r="R365" s="298"/>
      <c r="S365" s="298" t="s">
        <v>565</v>
      </c>
      <c r="T365" s="298"/>
      <c r="U365" s="298"/>
    </row>
    <row r="366" spans="5:21" ht="15.75" customHeight="1" x14ac:dyDescent="0.3">
      <c r="E366" s="300">
        <v>3</v>
      </c>
      <c r="G366" s="296">
        <v>30</v>
      </c>
      <c r="H366" s="297">
        <v>30</v>
      </c>
      <c r="I366" s="133">
        <f t="shared" si="5"/>
        <v>0</v>
      </c>
      <c r="J366" s="298" t="s">
        <v>282</v>
      </c>
      <c r="K366" s="298" t="s">
        <v>123</v>
      </c>
      <c r="L366" s="298" t="s">
        <v>1180</v>
      </c>
      <c r="M366" s="297">
        <v>30</v>
      </c>
      <c r="N366" s="298" t="s">
        <v>1181</v>
      </c>
      <c r="O366" s="299"/>
      <c r="P366" s="298" t="s">
        <v>96</v>
      </c>
      <c r="Q366" s="298" t="s">
        <v>97</v>
      </c>
      <c r="R366" s="298"/>
      <c r="S366" s="298" t="s">
        <v>565</v>
      </c>
      <c r="T366" s="298"/>
      <c r="U366" s="298"/>
    </row>
    <row r="367" spans="5:21" ht="15.75" customHeight="1" x14ac:dyDescent="0.3">
      <c r="E367" s="300">
        <v>1</v>
      </c>
      <c r="G367" s="296">
        <v>30</v>
      </c>
      <c r="H367" s="297">
        <v>30</v>
      </c>
      <c r="I367" s="133">
        <f t="shared" si="5"/>
        <v>0</v>
      </c>
      <c r="J367" s="298" t="s">
        <v>282</v>
      </c>
      <c r="K367" s="298" t="s">
        <v>79</v>
      </c>
      <c r="L367" s="298" t="s">
        <v>1180</v>
      </c>
      <c r="M367" s="297">
        <v>30</v>
      </c>
      <c r="N367" s="298" t="s">
        <v>1181</v>
      </c>
      <c r="O367" s="297">
        <v>30</v>
      </c>
      <c r="P367" s="298" t="s">
        <v>96</v>
      </c>
      <c r="Q367" s="298" t="s">
        <v>97</v>
      </c>
      <c r="R367" s="298"/>
      <c r="S367" s="298" t="s">
        <v>565</v>
      </c>
      <c r="T367" s="298"/>
      <c r="U367" s="298"/>
    </row>
    <row r="368" spans="5:21" ht="15.75" customHeight="1" x14ac:dyDescent="0.3">
      <c r="E368" s="300">
        <v>3</v>
      </c>
      <c r="G368" s="296">
        <v>16</v>
      </c>
      <c r="H368" s="297">
        <v>16</v>
      </c>
      <c r="I368" s="133">
        <f t="shared" si="5"/>
        <v>0</v>
      </c>
      <c r="J368" s="298" t="s">
        <v>282</v>
      </c>
      <c r="K368" s="298" t="s">
        <v>100</v>
      </c>
      <c r="L368" s="298" t="s">
        <v>1180</v>
      </c>
      <c r="M368" s="297">
        <v>16</v>
      </c>
      <c r="N368" s="298" t="s">
        <v>1181</v>
      </c>
      <c r="O368" s="297">
        <v>16</v>
      </c>
      <c r="P368" s="298" t="s">
        <v>96</v>
      </c>
      <c r="Q368" s="298" t="s">
        <v>97</v>
      </c>
      <c r="R368" s="298"/>
      <c r="S368" s="298" t="s">
        <v>565</v>
      </c>
      <c r="T368" s="298"/>
      <c r="U368" s="298"/>
    </row>
    <row r="369" spans="5:21" ht="15.75" customHeight="1" x14ac:dyDescent="0.3">
      <c r="E369" s="300">
        <v>1</v>
      </c>
      <c r="G369" s="296">
        <v>3.33</v>
      </c>
      <c r="H369" s="297">
        <v>3.33</v>
      </c>
      <c r="I369" s="133">
        <f t="shared" si="5"/>
        <v>0</v>
      </c>
      <c r="J369" s="298" t="s">
        <v>282</v>
      </c>
      <c r="K369" s="298" t="s">
        <v>111</v>
      </c>
      <c r="L369" s="298" t="s">
        <v>1180</v>
      </c>
      <c r="M369" s="297">
        <v>3.33</v>
      </c>
      <c r="N369" s="298" t="s">
        <v>1181</v>
      </c>
      <c r="O369" s="299"/>
      <c r="P369" s="298" t="s">
        <v>96</v>
      </c>
      <c r="Q369" s="298" t="s">
        <v>97</v>
      </c>
      <c r="R369" s="298"/>
      <c r="S369" s="298" t="s">
        <v>565</v>
      </c>
      <c r="T369" s="298"/>
      <c r="U369" s="298"/>
    </row>
    <row r="370" spans="5:21" ht="15.75" customHeight="1" x14ac:dyDescent="0.3">
      <c r="E370" s="300">
        <v>18</v>
      </c>
      <c r="G370" s="296">
        <v>1.67</v>
      </c>
      <c r="H370" s="297">
        <v>1.67</v>
      </c>
      <c r="I370" s="133">
        <f t="shared" si="5"/>
        <v>0</v>
      </c>
      <c r="J370" s="298" t="s">
        <v>282</v>
      </c>
      <c r="K370" s="298" t="s">
        <v>111</v>
      </c>
      <c r="L370" s="298" t="s">
        <v>1180</v>
      </c>
      <c r="M370" s="297">
        <v>1.67</v>
      </c>
      <c r="N370" s="298" t="s">
        <v>1181</v>
      </c>
      <c r="O370" s="299"/>
      <c r="P370" s="298" t="s">
        <v>250</v>
      </c>
      <c r="Q370" s="298" t="s">
        <v>251</v>
      </c>
      <c r="R370" s="298" t="s">
        <v>8</v>
      </c>
      <c r="S370" s="298" t="s">
        <v>565</v>
      </c>
      <c r="T370" s="298"/>
      <c r="U370" s="298"/>
    </row>
    <row r="371" spans="5:21" ht="15.75" customHeight="1" x14ac:dyDescent="0.3">
      <c r="E371" s="300">
        <v>32</v>
      </c>
      <c r="G371" s="296">
        <v>3</v>
      </c>
      <c r="H371" s="297">
        <v>3</v>
      </c>
      <c r="I371" s="133">
        <f t="shared" si="5"/>
        <v>0</v>
      </c>
      <c r="J371" s="298" t="s">
        <v>282</v>
      </c>
      <c r="K371" s="298" t="s">
        <v>80</v>
      </c>
      <c r="L371" s="298" t="s">
        <v>1180</v>
      </c>
      <c r="M371" s="297">
        <v>3</v>
      </c>
      <c r="N371" s="298" t="s">
        <v>1181</v>
      </c>
      <c r="O371" s="299"/>
      <c r="P371" s="298" t="s">
        <v>96</v>
      </c>
      <c r="Q371" s="298" t="s">
        <v>97</v>
      </c>
      <c r="R371" s="298"/>
      <c r="S371" s="298" t="s">
        <v>565</v>
      </c>
      <c r="T371" s="298"/>
      <c r="U371" s="298"/>
    </row>
    <row r="372" spans="5:21" ht="15.75" customHeight="1" x14ac:dyDescent="0.3">
      <c r="E372" s="300">
        <v>4</v>
      </c>
      <c r="G372" s="296">
        <v>1</v>
      </c>
      <c r="H372" s="297">
        <v>1</v>
      </c>
      <c r="I372" s="133">
        <f t="shared" si="5"/>
        <v>0</v>
      </c>
      <c r="J372" s="298" t="s">
        <v>282</v>
      </c>
      <c r="K372" s="298" t="s">
        <v>80</v>
      </c>
      <c r="L372" s="298" t="s">
        <v>1180</v>
      </c>
      <c r="M372" s="297">
        <v>1</v>
      </c>
      <c r="N372" s="298" t="s">
        <v>1181</v>
      </c>
      <c r="O372" s="299"/>
      <c r="P372" s="298" t="s">
        <v>250</v>
      </c>
      <c r="Q372" s="298" t="s">
        <v>251</v>
      </c>
      <c r="R372" s="298" t="s">
        <v>8</v>
      </c>
      <c r="S372" s="298" t="s">
        <v>565</v>
      </c>
      <c r="T372" s="298"/>
      <c r="U372" s="298"/>
    </row>
    <row r="373" spans="5:21" ht="15.75" customHeight="1" x14ac:dyDescent="0.3">
      <c r="E373" s="300">
        <v>1</v>
      </c>
      <c r="G373" s="296">
        <v>36</v>
      </c>
      <c r="H373" s="297">
        <v>36</v>
      </c>
      <c r="I373" s="133">
        <f t="shared" si="5"/>
        <v>0</v>
      </c>
      <c r="J373" s="298" t="s">
        <v>283</v>
      </c>
      <c r="K373" s="298" t="s">
        <v>73</v>
      </c>
      <c r="L373" s="298" t="s">
        <v>1180</v>
      </c>
      <c r="M373" s="297">
        <v>36</v>
      </c>
      <c r="N373" s="298" t="s">
        <v>1181</v>
      </c>
      <c r="O373" s="297">
        <v>36</v>
      </c>
      <c r="P373" s="298" t="s">
        <v>259</v>
      </c>
      <c r="Q373" s="298" t="s">
        <v>260</v>
      </c>
      <c r="R373" s="298"/>
      <c r="S373" s="298" t="s">
        <v>593</v>
      </c>
      <c r="T373" s="298" t="s">
        <v>1218</v>
      </c>
      <c r="U373" s="298" t="s">
        <v>1223</v>
      </c>
    </row>
    <row r="374" spans="5:21" ht="15.75" customHeight="1" x14ac:dyDescent="0.3">
      <c r="E374" s="300">
        <v>1</v>
      </c>
      <c r="G374" s="296">
        <v>8</v>
      </c>
      <c r="H374" s="297">
        <v>8</v>
      </c>
      <c r="I374" s="133">
        <f t="shared" si="5"/>
        <v>0</v>
      </c>
      <c r="J374" s="298" t="s">
        <v>283</v>
      </c>
      <c r="K374" s="298" t="s">
        <v>73</v>
      </c>
      <c r="L374" s="298" t="s">
        <v>1190</v>
      </c>
      <c r="M374" s="297">
        <v>8</v>
      </c>
      <c r="N374" s="298" t="s">
        <v>153</v>
      </c>
      <c r="O374" s="297">
        <v>8</v>
      </c>
      <c r="P374" s="298" t="s">
        <v>259</v>
      </c>
      <c r="Q374" s="298" t="s">
        <v>260</v>
      </c>
      <c r="R374" s="298"/>
      <c r="S374" s="298" t="s">
        <v>593</v>
      </c>
      <c r="T374" s="298" t="s">
        <v>1218</v>
      </c>
      <c r="U374" s="298" t="s">
        <v>1223</v>
      </c>
    </row>
    <row r="375" spans="5:21" ht="15.75" customHeight="1" x14ac:dyDescent="0.3">
      <c r="E375" s="300">
        <v>44</v>
      </c>
      <c r="G375" s="296">
        <v>18</v>
      </c>
      <c r="H375" s="297">
        <v>18</v>
      </c>
      <c r="I375" s="133">
        <f t="shared" si="5"/>
        <v>0</v>
      </c>
      <c r="J375" s="298" t="s">
        <v>283</v>
      </c>
      <c r="K375" s="298" t="s">
        <v>123</v>
      </c>
      <c r="L375" s="298" t="s">
        <v>1190</v>
      </c>
      <c r="M375" s="297">
        <v>18</v>
      </c>
      <c r="N375" s="298" t="s">
        <v>153</v>
      </c>
      <c r="O375" s="299"/>
      <c r="P375" s="298" t="s">
        <v>259</v>
      </c>
      <c r="Q375" s="298" t="s">
        <v>260</v>
      </c>
      <c r="R375" s="298"/>
      <c r="S375" s="298" t="s">
        <v>593</v>
      </c>
      <c r="T375" s="298"/>
      <c r="U375" s="298"/>
    </row>
    <row r="376" spans="5:21" ht="15.75" customHeight="1" x14ac:dyDescent="0.3">
      <c r="E376" s="295">
        <v>30</v>
      </c>
      <c r="G376" s="296">
        <v>4</v>
      </c>
      <c r="H376" s="297">
        <v>4</v>
      </c>
      <c r="I376" s="133">
        <f t="shared" si="5"/>
        <v>0</v>
      </c>
      <c r="J376" s="298" t="s">
        <v>283</v>
      </c>
      <c r="K376" s="298" t="s">
        <v>87</v>
      </c>
      <c r="L376" s="298" t="s">
        <v>1180</v>
      </c>
      <c r="M376" s="297">
        <v>4</v>
      </c>
      <c r="N376" s="298" t="s">
        <v>1181</v>
      </c>
      <c r="O376" s="299"/>
      <c r="P376" s="298" t="s">
        <v>259</v>
      </c>
      <c r="Q376" s="298" t="s">
        <v>260</v>
      </c>
      <c r="R376" s="298"/>
      <c r="S376" s="298" t="s">
        <v>593</v>
      </c>
      <c r="T376" s="298"/>
      <c r="U376" s="298"/>
    </row>
    <row r="377" spans="5:21" ht="15.75" customHeight="1" x14ac:dyDescent="0.3">
      <c r="E377" s="300">
        <v>30</v>
      </c>
      <c r="G377" s="296">
        <v>20</v>
      </c>
      <c r="H377" s="297">
        <v>20</v>
      </c>
      <c r="I377" s="133">
        <f t="shared" si="5"/>
        <v>0</v>
      </c>
      <c r="J377" s="298" t="s">
        <v>283</v>
      </c>
      <c r="K377" s="298" t="s">
        <v>79</v>
      </c>
      <c r="L377" s="298" t="s">
        <v>1180</v>
      </c>
      <c r="M377" s="297">
        <v>20</v>
      </c>
      <c r="N377" s="298" t="s">
        <v>1181</v>
      </c>
      <c r="O377" s="297">
        <v>20</v>
      </c>
      <c r="P377" s="298" t="s">
        <v>259</v>
      </c>
      <c r="Q377" s="298" t="s">
        <v>260</v>
      </c>
      <c r="R377" s="298"/>
      <c r="S377" s="298" t="s">
        <v>593</v>
      </c>
      <c r="T377" s="298" t="s">
        <v>1218</v>
      </c>
      <c r="U377" s="298" t="s">
        <v>1223</v>
      </c>
    </row>
    <row r="378" spans="5:21" ht="15.75" customHeight="1" x14ac:dyDescent="0.3">
      <c r="E378" s="300">
        <v>16</v>
      </c>
      <c r="G378" s="296">
        <v>22</v>
      </c>
      <c r="H378" s="297">
        <v>22</v>
      </c>
      <c r="I378" s="133">
        <f t="shared" si="5"/>
        <v>0</v>
      </c>
      <c r="J378" s="298" t="s">
        <v>283</v>
      </c>
      <c r="K378" s="298" t="s">
        <v>79</v>
      </c>
      <c r="L378" s="298" t="s">
        <v>1190</v>
      </c>
      <c r="M378" s="297">
        <v>22</v>
      </c>
      <c r="N378" s="298" t="s">
        <v>153</v>
      </c>
      <c r="O378" s="297">
        <v>22</v>
      </c>
      <c r="P378" s="298" t="s">
        <v>259</v>
      </c>
      <c r="Q378" s="298" t="s">
        <v>260</v>
      </c>
      <c r="R378" s="298"/>
      <c r="S378" s="298" t="s">
        <v>593</v>
      </c>
      <c r="T378" s="298" t="s">
        <v>1218</v>
      </c>
      <c r="U378" s="298" t="s">
        <v>1223</v>
      </c>
    </row>
    <row r="379" spans="5:21" ht="15.75" customHeight="1" x14ac:dyDescent="0.3">
      <c r="E379" s="300">
        <v>4</v>
      </c>
      <c r="G379" s="296">
        <v>16</v>
      </c>
      <c r="H379" s="297">
        <v>16</v>
      </c>
      <c r="I379" s="133">
        <f t="shared" si="5"/>
        <v>0</v>
      </c>
      <c r="J379" s="298" t="s">
        <v>283</v>
      </c>
      <c r="K379" s="298" t="s">
        <v>100</v>
      </c>
      <c r="L379" s="298" t="s">
        <v>1180</v>
      </c>
      <c r="M379" s="297">
        <v>16</v>
      </c>
      <c r="N379" s="298" t="s">
        <v>1181</v>
      </c>
      <c r="O379" s="297">
        <v>16</v>
      </c>
      <c r="P379" s="298" t="s">
        <v>259</v>
      </c>
      <c r="Q379" s="298" t="s">
        <v>260</v>
      </c>
      <c r="R379" s="298"/>
      <c r="S379" s="298" t="s">
        <v>593</v>
      </c>
      <c r="T379" s="298" t="s">
        <v>1218</v>
      </c>
      <c r="U379" s="298" t="s">
        <v>1223</v>
      </c>
    </row>
    <row r="380" spans="5:21" ht="15.75" customHeight="1" x14ac:dyDescent="0.3">
      <c r="E380" s="300">
        <v>2</v>
      </c>
      <c r="G380" s="296">
        <v>2</v>
      </c>
      <c r="H380" s="297">
        <v>2</v>
      </c>
      <c r="I380" s="133">
        <f t="shared" si="5"/>
        <v>0</v>
      </c>
      <c r="J380" s="298" t="s">
        <v>283</v>
      </c>
      <c r="K380" s="298" t="s">
        <v>142</v>
      </c>
      <c r="L380" s="298" t="s">
        <v>1190</v>
      </c>
      <c r="M380" s="297">
        <v>2</v>
      </c>
      <c r="N380" s="298" t="s">
        <v>153</v>
      </c>
      <c r="O380" s="299"/>
      <c r="P380" s="298" t="s">
        <v>259</v>
      </c>
      <c r="Q380" s="298" t="s">
        <v>260</v>
      </c>
      <c r="R380" s="298"/>
      <c r="S380" s="298" t="s">
        <v>593</v>
      </c>
      <c r="T380" s="298"/>
      <c r="U380" s="298"/>
    </row>
    <row r="381" spans="5:21" ht="15.75" customHeight="1" x14ac:dyDescent="0.3">
      <c r="E381" s="295">
        <v>2</v>
      </c>
      <c r="G381" s="296">
        <v>2</v>
      </c>
      <c r="H381" s="297">
        <v>2</v>
      </c>
      <c r="I381" s="133">
        <f t="shared" si="5"/>
        <v>0</v>
      </c>
      <c r="J381" s="298" t="s">
        <v>283</v>
      </c>
      <c r="K381" s="298" t="s">
        <v>80</v>
      </c>
      <c r="L381" s="298" t="s">
        <v>1180</v>
      </c>
      <c r="M381" s="297">
        <v>2</v>
      </c>
      <c r="N381" s="298" t="s">
        <v>1181</v>
      </c>
      <c r="O381" s="299"/>
      <c r="P381" s="298" t="s">
        <v>259</v>
      </c>
      <c r="Q381" s="298" t="s">
        <v>260</v>
      </c>
      <c r="R381" s="298"/>
      <c r="S381" s="298" t="s">
        <v>593</v>
      </c>
      <c r="T381" s="298"/>
      <c r="U381" s="298"/>
    </row>
    <row r="382" spans="5:21" ht="15.75" customHeight="1" x14ac:dyDescent="0.3">
      <c r="E382" s="300">
        <v>1</v>
      </c>
      <c r="G382" s="296">
        <v>18</v>
      </c>
      <c r="H382" s="297">
        <v>18</v>
      </c>
      <c r="I382" s="133">
        <f t="shared" si="5"/>
        <v>0</v>
      </c>
      <c r="J382" s="298" t="s">
        <v>286</v>
      </c>
      <c r="K382" s="298" t="s">
        <v>73</v>
      </c>
      <c r="L382" s="298" t="s">
        <v>1224</v>
      </c>
      <c r="M382" s="297">
        <v>18</v>
      </c>
      <c r="N382" s="298" t="s">
        <v>133</v>
      </c>
      <c r="O382" s="297">
        <v>18</v>
      </c>
      <c r="P382" s="298" t="s">
        <v>200</v>
      </c>
      <c r="Q382" s="298" t="s">
        <v>201</v>
      </c>
      <c r="R382" s="298"/>
      <c r="S382" s="298" t="s">
        <v>593</v>
      </c>
      <c r="T382" s="298" t="s">
        <v>1167</v>
      </c>
      <c r="U382" s="298" t="s">
        <v>1211</v>
      </c>
    </row>
    <row r="383" spans="5:21" ht="15.75" customHeight="1" x14ac:dyDescent="0.3">
      <c r="E383" s="300">
        <v>36</v>
      </c>
      <c r="G383" s="296">
        <v>36</v>
      </c>
      <c r="H383" s="297">
        <v>36</v>
      </c>
      <c r="I383" s="133">
        <f t="shared" si="5"/>
        <v>0</v>
      </c>
      <c r="J383" s="298" t="s">
        <v>286</v>
      </c>
      <c r="K383" s="298" t="s">
        <v>79</v>
      </c>
      <c r="L383" s="298" t="s">
        <v>1224</v>
      </c>
      <c r="M383" s="297">
        <v>36</v>
      </c>
      <c r="N383" s="298" t="s">
        <v>133</v>
      </c>
      <c r="O383" s="297">
        <v>36</v>
      </c>
      <c r="P383" s="298" t="s">
        <v>200</v>
      </c>
      <c r="Q383" s="298" t="s">
        <v>201</v>
      </c>
      <c r="R383" s="298"/>
      <c r="S383" s="298" t="s">
        <v>593</v>
      </c>
      <c r="T383" s="298" t="s">
        <v>1167</v>
      </c>
      <c r="U383" s="298" t="s">
        <v>1211</v>
      </c>
    </row>
    <row r="384" spans="5:21" ht="15.75" customHeight="1" x14ac:dyDescent="0.3">
      <c r="E384" s="300">
        <v>8</v>
      </c>
      <c r="G384" s="296">
        <v>3</v>
      </c>
      <c r="H384" s="297">
        <v>3</v>
      </c>
      <c r="I384" s="133">
        <f t="shared" si="5"/>
        <v>0</v>
      </c>
      <c r="J384" s="298" t="s">
        <v>286</v>
      </c>
      <c r="K384" s="298" t="s">
        <v>111</v>
      </c>
      <c r="L384" s="298" t="s">
        <v>1224</v>
      </c>
      <c r="M384" s="297">
        <v>3</v>
      </c>
      <c r="N384" s="298" t="s">
        <v>133</v>
      </c>
      <c r="O384" s="299"/>
      <c r="P384" s="298" t="s">
        <v>200</v>
      </c>
      <c r="Q384" s="298" t="s">
        <v>201</v>
      </c>
      <c r="R384" s="298"/>
      <c r="S384" s="298" t="s">
        <v>593</v>
      </c>
      <c r="T384" s="298"/>
      <c r="U384" s="298"/>
    </row>
    <row r="385" spans="5:21" ht="15.75" customHeight="1" x14ac:dyDescent="0.3">
      <c r="E385" s="300">
        <v>18</v>
      </c>
      <c r="G385" s="296">
        <v>3</v>
      </c>
      <c r="H385" s="297">
        <v>3</v>
      </c>
      <c r="I385" s="133">
        <f t="shared" si="5"/>
        <v>0</v>
      </c>
      <c r="J385" s="298" t="s">
        <v>286</v>
      </c>
      <c r="K385" s="298" t="s">
        <v>80</v>
      </c>
      <c r="L385" s="298" t="s">
        <v>1224</v>
      </c>
      <c r="M385" s="297">
        <v>3</v>
      </c>
      <c r="N385" s="298" t="s">
        <v>133</v>
      </c>
      <c r="O385" s="299"/>
      <c r="P385" s="298" t="s">
        <v>200</v>
      </c>
      <c r="Q385" s="298" t="s">
        <v>201</v>
      </c>
      <c r="R385" s="298"/>
      <c r="S385" s="298" t="s">
        <v>593</v>
      </c>
      <c r="T385" s="298"/>
      <c r="U385" s="298"/>
    </row>
    <row r="386" spans="5:21" ht="15.75" customHeight="1" x14ac:dyDescent="0.3">
      <c r="E386" s="300">
        <v>4</v>
      </c>
      <c r="G386" s="296">
        <v>34</v>
      </c>
      <c r="H386" s="297">
        <v>34</v>
      </c>
      <c r="I386" s="133">
        <f t="shared" ref="I386:I449" si="6">G386-H386</f>
        <v>0</v>
      </c>
      <c r="J386" s="298" t="s">
        <v>288</v>
      </c>
      <c r="K386" s="298" t="s">
        <v>73</v>
      </c>
      <c r="L386" s="298" t="s">
        <v>1225</v>
      </c>
      <c r="M386" s="297">
        <v>34</v>
      </c>
      <c r="N386" s="298" t="s">
        <v>75</v>
      </c>
      <c r="O386" s="297">
        <v>68</v>
      </c>
      <c r="P386" s="298" t="s">
        <v>291</v>
      </c>
      <c r="Q386" s="298" t="s">
        <v>292</v>
      </c>
      <c r="R386" s="298"/>
      <c r="S386" s="298" t="s">
        <v>565</v>
      </c>
      <c r="T386" s="298"/>
      <c r="U386" s="298" t="s">
        <v>78</v>
      </c>
    </row>
    <row r="387" spans="5:21" ht="15.75" customHeight="1" x14ac:dyDescent="0.3">
      <c r="E387" s="300">
        <v>20</v>
      </c>
      <c r="G387" s="296">
        <v>34</v>
      </c>
      <c r="H387" s="297">
        <v>34</v>
      </c>
      <c r="I387" s="133">
        <f t="shared" si="6"/>
        <v>0</v>
      </c>
      <c r="J387" s="298" t="s">
        <v>288</v>
      </c>
      <c r="K387" s="298" t="s">
        <v>73</v>
      </c>
      <c r="L387" s="298" t="s">
        <v>1225</v>
      </c>
      <c r="M387" s="297">
        <v>34</v>
      </c>
      <c r="N387" s="298" t="s">
        <v>75</v>
      </c>
      <c r="O387" s="297">
        <v>68</v>
      </c>
      <c r="P387" s="298" t="s">
        <v>94</v>
      </c>
      <c r="Q387" s="298" t="s">
        <v>95</v>
      </c>
      <c r="R387" s="298"/>
      <c r="S387" s="298" t="s">
        <v>565</v>
      </c>
      <c r="T387" s="298"/>
      <c r="U387" s="298" t="s">
        <v>78</v>
      </c>
    </row>
    <row r="388" spans="5:21" ht="15.75" customHeight="1" x14ac:dyDescent="0.3">
      <c r="E388" s="300">
        <v>22</v>
      </c>
      <c r="G388" s="296">
        <v>10</v>
      </c>
      <c r="H388" s="297">
        <v>10</v>
      </c>
      <c r="I388" s="133">
        <f t="shared" si="6"/>
        <v>0</v>
      </c>
      <c r="J388" s="298" t="s">
        <v>288</v>
      </c>
      <c r="K388" s="298" t="s">
        <v>79</v>
      </c>
      <c r="L388" s="298" t="s">
        <v>1225</v>
      </c>
      <c r="M388" s="297">
        <v>10</v>
      </c>
      <c r="N388" s="298" t="s">
        <v>75</v>
      </c>
      <c r="O388" s="297">
        <v>20</v>
      </c>
      <c r="P388" s="298" t="s">
        <v>291</v>
      </c>
      <c r="Q388" s="298" t="s">
        <v>292</v>
      </c>
      <c r="R388" s="298"/>
      <c r="S388" s="298" t="s">
        <v>565</v>
      </c>
      <c r="T388" s="298"/>
      <c r="U388" s="298" t="s">
        <v>78</v>
      </c>
    </row>
    <row r="389" spans="5:21" ht="15.75" customHeight="1" x14ac:dyDescent="0.3">
      <c r="E389" s="300">
        <v>16</v>
      </c>
      <c r="G389" s="296">
        <v>10</v>
      </c>
      <c r="H389" s="297">
        <v>10</v>
      </c>
      <c r="I389" s="133">
        <f t="shared" si="6"/>
        <v>0</v>
      </c>
      <c r="J389" s="298" t="s">
        <v>288</v>
      </c>
      <c r="K389" s="298" t="s">
        <v>79</v>
      </c>
      <c r="L389" s="298" t="s">
        <v>1225</v>
      </c>
      <c r="M389" s="297">
        <v>10</v>
      </c>
      <c r="N389" s="298" t="s">
        <v>75</v>
      </c>
      <c r="O389" s="297">
        <v>20</v>
      </c>
      <c r="P389" s="298" t="s">
        <v>94</v>
      </c>
      <c r="Q389" s="298" t="s">
        <v>95</v>
      </c>
      <c r="R389" s="298"/>
      <c r="S389" s="298" t="s">
        <v>565</v>
      </c>
      <c r="T389" s="298"/>
      <c r="U389" s="298" t="s">
        <v>78</v>
      </c>
    </row>
    <row r="390" spans="5:21" ht="15.75" customHeight="1" x14ac:dyDescent="0.3">
      <c r="E390" s="300">
        <v>2</v>
      </c>
      <c r="G390" s="296">
        <v>1</v>
      </c>
      <c r="H390" s="297">
        <v>1</v>
      </c>
      <c r="I390" s="133">
        <f t="shared" si="6"/>
        <v>0</v>
      </c>
      <c r="J390" s="298" t="s">
        <v>288</v>
      </c>
      <c r="K390" s="298" t="s">
        <v>111</v>
      </c>
      <c r="L390" s="298" t="s">
        <v>1225</v>
      </c>
      <c r="M390" s="297">
        <v>1</v>
      </c>
      <c r="N390" s="298" t="s">
        <v>75</v>
      </c>
      <c r="O390" s="299"/>
      <c r="P390" s="298" t="s">
        <v>94</v>
      </c>
      <c r="Q390" s="298" t="s">
        <v>95</v>
      </c>
      <c r="R390" s="298"/>
      <c r="S390" s="298" t="s">
        <v>565</v>
      </c>
      <c r="T390" s="298"/>
      <c r="U390" s="298" t="s">
        <v>78</v>
      </c>
    </row>
    <row r="391" spans="5:21" ht="15.75" customHeight="1" x14ac:dyDescent="0.3">
      <c r="E391" s="300">
        <v>2</v>
      </c>
      <c r="G391" s="296">
        <v>4</v>
      </c>
      <c r="H391" s="297">
        <v>4</v>
      </c>
      <c r="I391" s="133">
        <f t="shared" si="6"/>
        <v>0</v>
      </c>
      <c r="J391" s="298" t="s">
        <v>288</v>
      </c>
      <c r="K391" s="298" t="s">
        <v>80</v>
      </c>
      <c r="L391" s="298" t="s">
        <v>1225</v>
      </c>
      <c r="M391" s="297">
        <v>4</v>
      </c>
      <c r="N391" s="298" t="s">
        <v>75</v>
      </c>
      <c r="O391" s="299"/>
      <c r="P391" s="298" t="s">
        <v>94</v>
      </c>
      <c r="Q391" s="298" t="s">
        <v>95</v>
      </c>
      <c r="R391" s="298"/>
      <c r="S391" s="298" t="s">
        <v>565</v>
      </c>
      <c r="T391" s="298"/>
      <c r="U391" s="298" t="s">
        <v>78</v>
      </c>
    </row>
    <row r="392" spans="5:21" ht="15.75" customHeight="1" x14ac:dyDescent="0.3">
      <c r="E392" s="300">
        <v>18</v>
      </c>
      <c r="G392" s="296">
        <v>1</v>
      </c>
      <c r="H392" s="297">
        <v>1</v>
      </c>
      <c r="I392" s="133">
        <f t="shared" si="6"/>
        <v>0</v>
      </c>
      <c r="J392" s="298" t="s">
        <v>288</v>
      </c>
      <c r="K392" s="298" t="s">
        <v>80</v>
      </c>
      <c r="L392" s="298" t="s">
        <v>1225</v>
      </c>
      <c r="M392" s="297">
        <v>1</v>
      </c>
      <c r="N392" s="298" t="s">
        <v>75</v>
      </c>
      <c r="O392" s="299"/>
      <c r="P392" s="298" t="s">
        <v>250</v>
      </c>
      <c r="Q392" s="298" t="s">
        <v>251</v>
      </c>
      <c r="R392" s="298" t="s">
        <v>8</v>
      </c>
      <c r="S392" s="298" t="s">
        <v>565</v>
      </c>
      <c r="T392" s="298"/>
      <c r="U392" s="298" t="s">
        <v>78</v>
      </c>
    </row>
    <row r="393" spans="5:21" ht="15.75" customHeight="1" x14ac:dyDescent="0.3">
      <c r="E393" s="300">
        <v>36</v>
      </c>
      <c r="G393" s="296">
        <v>30</v>
      </c>
      <c r="H393" s="297">
        <v>30</v>
      </c>
      <c r="I393" s="133">
        <f t="shared" si="6"/>
        <v>0</v>
      </c>
      <c r="J393" s="298" t="s">
        <v>297</v>
      </c>
      <c r="K393" s="298" t="s">
        <v>73</v>
      </c>
      <c r="L393" s="298" t="s">
        <v>1180</v>
      </c>
      <c r="M393" s="297">
        <v>30</v>
      </c>
      <c r="N393" s="298" t="s">
        <v>1181</v>
      </c>
      <c r="O393" s="297">
        <v>30</v>
      </c>
      <c r="P393" s="298" t="s">
        <v>259</v>
      </c>
      <c r="Q393" s="298" t="s">
        <v>260</v>
      </c>
      <c r="R393" s="298"/>
      <c r="S393" s="298" t="s">
        <v>593</v>
      </c>
      <c r="T393" s="298" t="s">
        <v>1218</v>
      </c>
      <c r="U393" s="298" t="s">
        <v>1226</v>
      </c>
    </row>
    <row r="394" spans="5:21" ht="15.75" customHeight="1" x14ac:dyDescent="0.3">
      <c r="E394" s="300">
        <v>3</v>
      </c>
      <c r="G394" s="296">
        <v>3</v>
      </c>
      <c r="H394" s="297">
        <v>3</v>
      </c>
      <c r="I394" s="133">
        <f t="shared" si="6"/>
        <v>0</v>
      </c>
      <c r="J394" s="298" t="s">
        <v>297</v>
      </c>
      <c r="K394" s="298" t="s">
        <v>87</v>
      </c>
      <c r="L394" s="298" t="s">
        <v>1180</v>
      </c>
      <c r="M394" s="297">
        <v>3</v>
      </c>
      <c r="N394" s="298" t="s">
        <v>1181</v>
      </c>
      <c r="O394" s="299"/>
      <c r="P394" s="298" t="s">
        <v>259</v>
      </c>
      <c r="Q394" s="298" t="s">
        <v>260</v>
      </c>
      <c r="R394" s="298"/>
      <c r="S394" s="298" t="s">
        <v>593</v>
      </c>
      <c r="T394" s="298"/>
      <c r="U394" s="298"/>
    </row>
    <row r="395" spans="5:21" ht="15.75" customHeight="1" x14ac:dyDescent="0.3">
      <c r="E395" s="300">
        <v>3</v>
      </c>
      <c r="G395" s="296">
        <v>1</v>
      </c>
      <c r="H395" s="297">
        <v>1</v>
      </c>
      <c r="I395" s="133">
        <f t="shared" si="6"/>
        <v>0</v>
      </c>
      <c r="J395" s="298" t="s">
        <v>297</v>
      </c>
      <c r="K395" s="298" t="s">
        <v>87</v>
      </c>
      <c r="L395" s="298" t="s">
        <v>1180</v>
      </c>
      <c r="M395" s="297">
        <v>1</v>
      </c>
      <c r="N395" s="298" t="s">
        <v>1181</v>
      </c>
      <c r="O395" s="299"/>
      <c r="P395" s="298" t="s">
        <v>250</v>
      </c>
      <c r="Q395" s="298" t="s">
        <v>251</v>
      </c>
      <c r="R395" s="298" t="s">
        <v>8</v>
      </c>
      <c r="S395" s="298" t="s">
        <v>565</v>
      </c>
      <c r="T395" s="298"/>
      <c r="U395" s="298"/>
    </row>
    <row r="396" spans="5:21" ht="15.75" customHeight="1" x14ac:dyDescent="0.3">
      <c r="E396" s="300">
        <v>34</v>
      </c>
      <c r="G396" s="296">
        <v>18</v>
      </c>
      <c r="H396" s="297">
        <v>18</v>
      </c>
      <c r="I396" s="133">
        <f t="shared" si="6"/>
        <v>0</v>
      </c>
      <c r="J396" s="298" t="s">
        <v>297</v>
      </c>
      <c r="K396" s="298" t="s">
        <v>79</v>
      </c>
      <c r="L396" s="298" t="s">
        <v>1180</v>
      </c>
      <c r="M396" s="297">
        <v>18</v>
      </c>
      <c r="N396" s="298" t="s">
        <v>1181</v>
      </c>
      <c r="O396" s="297">
        <v>18</v>
      </c>
      <c r="P396" s="298" t="s">
        <v>259</v>
      </c>
      <c r="Q396" s="298" t="s">
        <v>260</v>
      </c>
      <c r="R396" s="298"/>
      <c r="S396" s="298" t="s">
        <v>593</v>
      </c>
      <c r="T396" s="298" t="s">
        <v>1218</v>
      </c>
      <c r="U396" s="298" t="s">
        <v>1226</v>
      </c>
    </row>
    <row r="397" spans="5:21" ht="15.75" customHeight="1" x14ac:dyDescent="0.3">
      <c r="E397" s="300">
        <v>34</v>
      </c>
      <c r="G397" s="296">
        <v>12</v>
      </c>
      <c r="H397" s="297">
        <v>12</v>
      </c>
      <c r="I397" s="133">
        <f t="shared" si="6"/>
        <v>0</v>
      </c>
      <c r="J397" s="298" t="s">
        <v>297</v>
      </c>
      <c r="K397" s="298" t="s">
        <v>100</v>
      </c>
      <c r="L397" s="298" t="s">
        <v>1180</v>
      </c>
      <c r="M397" s="297">
        <v>12</v>
      </c>
      <c r="N397" s="298" t="s">
        <v>1181</v>
      </c>
      <c r="O397" s="297">
        <v>12</v>
      </c>
      <c r="P397" s="298" t="s">
        <v>257</v>
      </c>
      <c r="Q397" s="298" t="s">
        <v>258</v>
      </c>
      <c r="R397" s="298"/>
      <c r="S397" s="298" t="s">
        <v>565</v>
      </c>
      <c r="T397" s="298" t="s">
        <v>1218</v>
      </c>
      <c r="U397" s="298" t="s">
        <v>1227</v>
      </c>
    </row>
    <row r="398" spans="5:21" ht="15.75" customHeight="1" x14ac:dyDescent="0.3">
      <c r="E398" s="300">
        <v>10</v>
      </c>
      <c r="G398" s="296">
        <v>2</v>
      </c>
      <c r="H398" s="297">
        <v>2</v>
      </c>
      <c r="I398" s="133">
        <f t="shared" si="6"/>
        <v>0</v>
      </c>
      <c r="J398" s="298" t="s">
        <v>297</v>
      </c>
      <c r="K398" s="298" t="s">
        <v>80</v>
      </c>
      <c r="L398" s="298" t="s">
        <v>1180</v>
      </c>
      <c r="M398" s="297">
        <v>2</v>
      </c>
      <c r="N398" s="298" t="s">
        <v>1181</v>
      </c>
      <c r="O398" s="299"/>
      <c r="P398" s="298" t="s">
        <v>259</v>
      </c>
      <c r="Q398" s="298" t="s">
        <v>260</v>
      </c>
      <c r="R398" s="298"/>
      <c r="S398" s="298" t="s">
        <v>593</v>
      </c>
      <c r="T398" s="298"/>
      <c r="U398" s="298"/>
    </row>
    <row r="399" spans="5:21" ht="15.75" customHeight="1" x14ac:dyDescent="0.3">
      <c r="E399" s="300">
        <v>10</v>
      </c>
      <c r="G399" s="296">
        <v>10</v>
      </c>
      <c r="H399" s="297">
        <v>10</v>
      </c>
      <c r="I399" s="133">
        <f t="shared" si="6"/>
        <v>0</v>
      </c>
      <c r="J399" s="298" t="s">
        <v>299</v>
      </c>
      <c r="K399" s="298" t="s">
        <v>73</v>
      </c>
      <c r="L399" s="298" t="s">
        <v>1228</v>
      </c>
      <c r="M399" s="297">
        <v>10</v>
      </c>
      <c r="N399" s="298" t="s">
        <v>135</v>
      </c>
      <c r="O399" s="297">
        <v>10</v>
      </c>
      <c r="P399" s="298" t="s">
        <v>174</v>
      </c>
      <c r="Q399" s="298" t="s">
        <v>175</v>
      </c>
      <c r="R399" s="298"/>
      <c r="S399" s="298" t="s">
        <v>565</v>
      </c>
      <c r="T399" s="298"/>
      <c r="U399" s="298"/>
    </row>
    <row r="400" spans="5:21" ht="15.75" customHeight="1" x14ac:dyDescent="0.3">
      <c r="E400" s="300">
        <v>1</v>
      </c>
      <c r="G400" s="296">
        <v>44</v>
      </c>
      <c r="H400" s="297">
        <v>44</v>
      </c>
      <c r="I400" s="133">
        <f t="shared" si="6"/>
        <v>0</v>
      </c>
      <c r="J400" s="298" t="s">
        <v>299</v>
      </c>
      <c r="K400" s="298" t="s">
        <v>79</v>
      </c>
      <c r="L400" s="298" t="s">
        <v>1200</v>
      </c>
      <c r="M400" s="297">
        <v>44</v>
      </c>
      <c r="N400" s="298" t="s">
        <v>135</v>
      </c>
      <c r="O400" s="297">
        <v>44</v>
      </c>
      <c r="P400" s="298" t="s">
        <v>186</v>
      </c>
      <c r="Q400" s="298" t="s">
        <v>187</v>
      </c>
      <c r="R400" s="298"/>
      <c r="S400" s="298" t="s">
        <v>593</v>
      </c>
      <c r="T400" s="298" t="s">
        <v>1167</v>
      </c>
      <c r="U400" s="298" t="s">
        <v>1207</v>
      </c>
    </row>
    <row r="401" spans="5:21" ht="15.75" customHeight="1" x14ac:dyDescent="0.3">
      <c r="E401" s="300">
        <v>4</v>
      </c>
      <c r="G401" s="296">
        <v>44</v>
      </c>
      <c r="H401" s="297">
        <v>44</v>
      </c>
      <c r="I401" s="133">
        <f t="shared" si="6"/>
        <v>0</v>
      </c>
      <c r="J401" s="298" t="s">
        <v>299</v>
      </c>
      <c r="K401" s="298" t="s">
        <v>79</v>
      </c>
      <c r="L401" s="298" t="s">
        <v>1214</v>
      </c>
      <c r="M401" s="297">
        <v>44</v>
      </c>
      <c r="N401" s="298" t="s">
        <v>135</v>
      </c>
      <c r="O401" s="297">
        <v>44</v>
      </c>
      <c r="P401" s="298" t="s">
        <v>186</v>
      </c>
      <c r="Q401" s="298" t="s">
        <v>187</v>
      </c>
      <c r="R401" s="298"/>
      <c r="S401" s="298" t="s">
        <v>593</v>
      </c>
      <c r="T401" s="298" t="s">
        <v>1167</v>
      </c>
      <c r="U401" s="298" t="s">
        <v>1207</v>
      </c>
    </row>
    <row r="402" spans="5:21" ht="15.75" customHeight="1" x14ac:dyDescent="0.3">
      <c r="E402" s="300">
        <v>1</v>
      </c>
      <c r="G402" s="296">
        <v>44</v>
      </c>
      <c r="H402" s="297">
        <v>44</v>
      </c>
      <c r="I402" s="133">
        <f t="shared" si="6"/>
        <v>0</v>
      </c>
      <c r="J402" s="298" t="s">
        <v>299</v>
      </c>
      <c r="K402" s="298" t="s">
        <v>79</v>
      </c>
      <c r="L402" s="298" t="s">
        <v>1194</v>
      </c>
      <c r="M402" s="297">
        <v>44</v>
      </c>
      <c r="N402" s="298" t="s">
        <v>135</v>
      </c>
      <c r="O402" s="297">
        <v>44</v>
      </c>
      <c r="P402" s="298" t="s">
        <v>174</v>
      </c>
      <c r="Q402" s="298" t="s">
        <v>175</v>
      </c>
      <c r="R402" s="298"/>
      <c r="S402" s="298" t="s">
        <v>565</v>
      </c>
      <c r="T402" s="298"/>
      <c r="U402" s="298"/>
    </row>
    <row r="403" spans="5:21" ht="15.75" customHeight="1" x14ac:dyDescent="0.3">
      <c r="E403" s="302">
        <v>30</v>
      </c>
      <c r="G403" s="296">
        <v>44</v>
      </c>
      <c r="H403" s="297">
        <v>44</v>
      </c>
      <c r="I403" s="133">
        <f t="shared" si="6"/>
        <v>0</v>
      </c>
      <c r="J403" s="298" t="s">
        <v>299</v>
      </c>
      <c r="K403" s="298" t="s">
        <v>79</v>
      </c>
      <c r="L403" s="298" t="s">
        <v>1193</v>
      </c>
      <c r="M403" s="297">
        <v>44</v>
      </c>
      <c r="N403" s="298" t="s">
        <v>135</v>
      </c>
      <c r="O403" s="297">
        <v>44</v>
      </c>
      <c r="P403" s="298" t="s">
        <v>174</v>
      </c>
      <c r="Q403" s="298" t="s">
        <v>175</v>
      </c>
      <c r="R403" s="298"/>
      <c r="S403" s="298" t="s">
        <v>565</v>
      </c>
      <c r="T403" s="298"/>
      <c r="U403" s="298"/>
    </row>
    <row r="404" spans="5:21" ht="15.75" customHeight="1" x14ac:dyDescent="0.3">
      <c r="E404" s="302">
        <v>3</v>
      </c>
      <c r="G404" s="296">
        <v>44</v>
      </c>
      <c r="H404" s="297">
        <v>44</v>
      </c>
      <c r="I404" s="133">
        <f t="shared" si="6"/>
        <v>0</v>
      </c>
      <c r="J404" s="298" t="s">
        <v>299</v>
      </c>
      <c r="K404" s="298" t="s">
        <v>79</v>
      </c>
      <c r="L404" s="298" t="s">
        <v>1224</v>
      </c>
      <c r="M404" s="297">
        <v>44</v>
      </c>
      <c r="N404" s="298" t="s">
        <v>135</v>
      </c>
      <c r="O404" s="297">
        <v>44</v>
      </c>
      <c r="P404" s="298" t="s">
        <v>174</v>
      </c>
      <c r="Q404" s="298" t="s">
        <v>175</v>
      </c>
      <c r="R404" s="298"/>
      <c r="S404" s="298" t="s">
        <v>565</v>
      </c>
      <c r="T404" s="298"/>
      <c r="U404" s="298"/>
    </row>
    <row r="405" spans="5:21" ht="15.75" customHeight="1" x14ac:dyDescent="0.3">
      <c r="E405" s="302">
        <v>1</v>
      </c>
      <c r="G405" s="296">
        <v>2.25</v>
      </c>
      <c r="H405" s="297">
        <v>2.25</v>
      </c>
      <c r="I405" s="133">
        <f t="shared" si="6"/>
        <v>0</v>
      </c>
      <c r="J405" s="298" t="s">
        <v>299</v>
      </c>
      <c r="K405" s="298" t="s">
        <v>111</v>
      </c>
      <c r="L405" s="298" t="s">
        <v>1200</v>
      </c>
      <c r="M405" s="297">
        <v>2.25</v>
      </c>
      <c r="N405" s="298" t="s">
        <v>135</v>
      </c>
      <c r="O405" s="299"/>
      <c r="P405" s="298" t="s">
        <v>174</v>
      </c>
      <c r="Q405" s="298" t="s">
        <v>175</v>
      </c>
      <c r="R405" s="298"/>
      <c r="S405" s="298" t="s">
        <v>565</v>
      </c>
      <c r="T405" s="298"/>
      <c r="U405" s="298"/>
    </row>
    <row r="406" spans="5:21" ht="15.75" customHeight="1" x14ac:dyDescent="0.3">
      <c r="E406" s="302">
        <v>18</v>
      </c>
      <c r="G406" s="296">
        <v>0.75</v>
      </c>
      <c r="H406" s="297">
        <v>0.75</v>
      </c>
      <c r="I406" s="133">
        <f t="shared" si="6"/>
        <v>0</v>
      </c>
      <c r="J406" s="298" t="s">
        <v>299</v>
      </c>
      <c r="K406" s="298" t="s">
        <v>111</v>
      </c>
      <c r="L406" s="298" t="s">
        <v>1200</v>
      </c>
      <c r="M406" s="297">
        <v>0.75</v>
      </c>
      <c r="N406" s="298" t="s">
        <v>135</v>
      </c>
      <c r="O406" s="299"/>
      <c r="P406" s="298" t="s">
        <v>250</v>
      </c>
      <c r="Q406" s="298" t="s">
        <v>251</v>
      </c>
      <c r="R406" s="298" t="s">
        <v>8</v>
      </c>
      <c r="S406" s="298" t="s">
        <v>565</v>
      </c>
      <c r="T406" s="298"/>
      <c r="U406" s="298"/>
    </row>
    <row r="407" spans="5:21" ht="15.75" customHeight="1" x14ac:dyDescent="0.3">
      <c r="E407" s="302">
        <v>12</v>
      </c>
      <c r="G407" s="296">
        <v>3</v>
      </c>
      <c r="H407" s="297">
        <v>3</v>
      </c>
      <c r="I407" s="133">
        <f t="shared" si="6"/>
        <v>0</v>
      </c>
      <c r="J407" s="298" t="s">
        <v>299</v>
      </c>
      <c r="K407" s="298" t="s">
        <v>111</v>
      </c>
      <c r="L407" s="298" t="s">
        <v>1214</v>
      </c>
      <c r="M407" s="297">
        <v>3</v>
      </c>
      <c r="N407" s="298" t="s">
        <v>135</v>
      </c>
      <c r="O407" s="299"/>
      <c r="P407" s="298" t="s">
        <v>174</v>
      </c>
      <c r="Q407" s="298" t="s">
        <v>175</v>
      </c>
      <c r="R407" s="298"/>
      <c r="S407" s="298" t="s">
        <v>565</v>
      </c>
      <c r="T407" s="298"/>
      <c r="U407" s="298"/>
    </row>
    <row r="408" spans="5:21" ht="15.75" customHeight="1" x14ac:dyDescent="0.3">
      <c r="E408" s="302">
        <v>2</v>
      </c>
      <c r="G408" s="296">
        <v>3</v>
      </c>
      <c r="H408" s="297">
        <v>3</v>
      </c>
      <c r="I408" s="133">
        <f t="shared" si="6"/>
        <v>0</v>
      </c>
      <c r="J408" s="298" t="s">
        <v>299</v>
      </c>
      <c r="K408" s="298" t="s">
        <v>111</v>
      </c>
      <c r="L408" s="298" t="s">
        <v>1194</v>
      </c>
      <c r="M408" s="297">
        <v>3</v>
      </c>
      <c r="N408" s="298" t="s">
        <v>135</v>
      </c>
      <c r="O408" s="299"/>
      <c r="P408" s="298" t="s">
        <v>174</v>
      </c>
      <c r="Q408" s="298" t="s">
        <v>175</v>
      </c>
      <c r="R408" s="298"/>
      <c r="S408" s="298" t="s">
        <v>565</v>
      </c>
      <c r="T408" s="298"/>
      <c r="U408" s="298"/>
    </row>
    <row r="409" spans="5:21" ht="15.75" customHeight="1" x14ac:dyDescent="0.3">
      <c r="E409" s="300">
        <v>10</v>
      </c>
      <c r="G409" s="296">
        <v>3</v>
      </c>
      <c r="H409" s="297">
        <v>3</v>
      </c>
      <c r="I409" s="133">
        <f t="shared" si="6"/>
        <v>0</v>
      </c>
      <c r="J409" s="298" t="s">
        <v>299</v>
      </c>
      <c r="K409" s="298" t="s">
        <v>111</v>
      </c>
      <c r="L409" s="298" t="s">
        <v>1193</v>
      </c>
      <c r="M409" s="297">
        <v>3</v>
      </c>
      <c r="N409" s="298" t="s">
        <v>135</v>
      </c>
      <c r="O409" s="299"/>
      <c r="P409" s="298" t="s">
        <v>174</v>
      </c>
      <c r="Q409" s="298" t="s">
        <v>175</v>
      </c>
      <c r="R409" s="298"/>
      <c r="S409" s="298" t="s">
        <v>565</v>
      </c>
      <c r="T409" s="298"/>
      <c r="U409" s="298"/>
    </row>
    <row r="410" spans="5:21" ht="15.75" customHeight="1" x14ac:dyDescent="0.3">
      <c r="E410" s="300">
        <v>44</v>
      </c>
      <c r="G410" s="296">
        <v>3</v>
      </c>
      <c r="H410" s="297">
        <v>3</v>
      </c>
      <c r="I410" s="133">
        <f t="shared" si="6"/>
        <v>0</v>
      </c>
      <c r="J410" s="298" t="s">
        <v>299</v>
      </c>
      <c r="K410" s="298" t="s">
        <v>111</v>
      </c>
      <c r="L410" s="298" t="s">
        <v>1224</v>
      </c>
      <c r="M410" s="297">
        <v>3</v>
      </c>
      <c r="N410" s="298" t="s">
        <v>135</v>
      </c>
      <c r="O410" s="299"/>
      <c r="P410" s="298" t="s">
        <v>174</v>
      </c>
      <c r="Q410" s="298" t="s">
        <v>175</v>
      </c>
      <c r="R410" s="298"/>
      <c r="S410" s="298" t="s">
        <v>565</v>
      </c>
      <c r="T410" s="298"/>
      <c r="U410" s="298"/>
    </row>
    <row r="411" spans="5:21" ht="15.75" customHeight="1" x14ac:dyDescent="0.3">
      <c r="E411" s="307">
        <v>44</v>
      </c>
      <c r="G411" s="296">
        <v>3</v>
      </c>
      <c r="H411" s="297">
        <v>3</v>
      </c>
      <c r="I411" s="133">
        <f t="shared" si="6"/>
        <v>0</v>
      </c>
      <c r="J411" s="298" t="s">
        <v>299</v>
      </c>
      <c r="K411" s="298" t="s">
        <v>80</v>
      </c>
      <c r="L411" s="298" t="s">
        <v>1200</v>
      </c>
      <c r="M411" s="297">
        <v>3</v>
      </c>
      <c r="N411" s="298" t="s">
        <v>135</v>
      </c>
      <c r="O411" s="299"/>
      <c r="P411" s="298" t="s">
        <v>186</v>
      </c>
      <c r="Q411" s="298" t="s">
        <v>187</v>
      </c>
      <c r="R411" s="298"/>
      <c r="S411" s="298" t="s">
        <v>593</v>
      </c>
      <c r="T411" s="298"/>
      <c r="U411" s="298"/>
    </row>
    <row r="412" spans="5:21" ht="15.75" customHeight="1" x14ac:dyDescent="0.3">
      <c r="E412" s="300">
        <v>44</v>
      </c>
      <c r="G412" s="296">
        <v>3</v>
      </c>
      <c r="H412" s="297">
        <v>3</v>
      </c>
      <c r="I412" s="133">
        <f t="shared" si="6"/>
        <v>0</v>
      </c>
      <c r="J412" s="298" t="s">
        <v>299</v>
      </c>
      <c r="K412" s="298" t="s">
        <v>80</v>
      </c>
      <c r="L412" s="298" t="s">
        <v>1214</v>
      </c>
      <c r="M412" s="297">
        <v>3</v>
      </c>
      <c r="N412" s="298" t="s">
        <v>135</v>
      </c>
      <c r="O412" s="299"/>
      <c r="P412" s="298" t="s">
        <v>186</v>
      </c>
      <c r="Q412" s="298" t="s">
        <v>187</v>
      </c>
      <c r="R412" s="298"/>
      <c r="S412" s="298" t="s">
        <v>593</v>
      </c>
      <c r="T412" s="298"/>
      <c r="U412" s="298"/>
    </row>
    <row r="413" spans="5:21" ht="15.75" customHeight="1" x14ac:dyDescent="0.3">
      <c r="E413" s="300">
        <v>44</v>
      </c>
      <c r="G413" s="296">
        <v>3</v>
      </c>
      <c r="H413" s="297">
        <v>3</v>
      </c>
      <c r="I413" s="133">
        <f t="shared" si="6"/>
        <v>0</v>
      </c>
      <c r="J413" s="298" t="s">
        <v>299</v>
      </c>
      <c r="K413" s="298" t="s">
        <v>80</v>
      </c>
      <c r="L413" s="298" t="s">
        <v>1194</v>
      </c>
      <c r="M413" s="297">
        <v>3</v>
      </c>
      <c r="N413" s="298" t="s">
        <v>135</v>
      </c>
      <c r="O413" s="299"/>
      <c r="P413" s="298" t="s">
        <v>186</v>
      </c>
      <c r="Q413" s="298" t="s">
        <v>187</v>
      </c>
      <c r="R413" s="298"/>
      <c r="S413" s="298" t="s">
        <v>593</v>
      </c>
      <c r="T413" s="298"/>
      <c r="U413" s="298"/>
    </row>
    <row r="414" spans="5:21" ht="15.75" customHeight="1" x14ac:dyDescent="0.3">
      <c r="E414" s="300">
        <v>44</v>
      </c>
      <c r="G414" s="296">
        <v>3</v>
      </c>
      <c r="H414" s="297">
        <v>3</v>
      </c>
      <c r="I414" s="133">
        <f t="shared" si="6"/>
        <v>0</v>
      </c>
      <c r="J414" s="298" t="s">
        <v>299</v>
      </c>
      <c r="K414" s="298" t="s">
        <v>80</v>
      </c>
      <c r="L414" s="298" t="s">
        <v>1193</v>
      </c>
      <c r="M414" s="297">
        <v>3</v>
      </c>
      <c r="N414" s="298" t="s">
        <v>135</v>
      </c>
      <c r="O414" s="299"/>
      <c r="P414" s="298" t="s">
        <v>186</v>
      </c>
      <c r="Q414" s="298" t="s">
        <v>187</v>
      </c>
      <c r="R414" s="298"/>
      <c r="S414" s="298" t="s">
        <v>593</v>
      </c>
      <c r="T414" s="298"/>
      <c r="U414" s="298"/>
    </row>
    <row r="415" spans="5:21" ht="15.75" customHeight="1" x14ac:dyDescent="0.3">
      <c r="E415" s="300">
        <v>3</v>
      </c>
      <c r="G415" s="296">
        <v>3</v>
      </c>
      <c r="H415" s="297">
        <v>3</v>
      </c>
      <c r="I415" s="133">
        <f t="shared" si="6"/>
        <v>0</v>
      </c>
      <c r="J415" s="298" t="s">
        <v>299</v>
      </c>
      <c r="K415" s="298" t="s">
        <v>80</v>
      </c>
      <c r="L415" s="298" t="s">
        <v>1224</v>
      </c>
      <c r="M415" s="297">
        <v>3</v>
      </c>
      <c r="N415" s="298" t="s">
        <v>135</v>
      </c>
      <c r="O415" s="299"/>
      <c r="P415" s="298" t="s">
        <v>186</v>
      </c>
      <c r="Q415" s="298" t="s">
        <v>187</v>
      </c>
      <c r="R415" s="298"/>
      <c r="S415" s="298" t="s">
        <v>593</v>
      </c>
      <c r="T415" s="298"/>
      <c r="U415" s="298"/>
    </row>
    <row r="416" spans="5:21" ht="15.75" customHeight="1" x14ac:dyDescent="0.3">
      <c r="E416" s="300">
        <v>3</v>
      </c>
      <c r="G416" s="296">
        <v>8</v>
      </c>
      <c r="H416" s="297">
        <v>8</v>
      </c>
      <c r="I416" s="133">
        <f t="shared" si="6"/>
        <v>0</v>
      </c>
      <c r="J416" s="298" t="s">
        <v>301</v>
      </c>
      <c r="K416" s="298" t="s">
        <v>73</v>
      </c>
      <c r="L416" s="298" t="s">
        <v>1228</v>
      </c>
      <c r="M416" s="297">
        <v>8</v>
      </c>
      <c r="N416" s="298" t="s">
        <v>135</v>
      </c>
      <c r="O416" s="297">
        <v>8</v>
      </c>
      <c r="P416" s="298" t="s">
        <v>171</v>
      </c>
      <c r="Q416" s="298" t="s">
        <v>172</v>
      </c>
      <c r="R416" s="298" t="s">
        <v>8</v>
      </c>
      <c r="S416" s="298" t="s">
        <v>565</v>
      </c>
      <c r="T416" s="298" t="s">
        <v>205</v>
      </c>
      <c r="U416" s="298" t="s">
        <v>302</v>
      </c>
    </row>
    <row r="417" spans="5:21" ht="15.75" customHeight="1" x14ac:dyDescent="0.3">
      <c r="E417" s="300">
        <v>3</v>
      </c>
      <c r="G417" s="296">
        <v>28</v>
      </c>
      <c r="H417" s="297">
        <v>28</v>
      </c>
      <c r="I417" s="133">
        <f t="shared" si="6"/>
        <v>0</v>
      </c>
      <c r="J417" s="298" t="s">
        <v>301</v>
      </c>
      <c r="K417" s="298" t="s">
        <v>79</v>
      </c>
      <c r="L417" s="298" t="s">
        <v>1200</v>
      </c>
      <c r="M417" s="297">
        <v>28</v>
      </c>
      <c r="N417" s="298" t="s">
        <v>135</v>
      </c>
      <c r="O417" s="297">
        <v>28</v>
      </c>
      <c r="P417" s="298" t="s">
        <v>171</v>
      </c>
      <c r="Q417" s="298" t="s">
        <v>172</v>
      </c>
      <c r="R417" s="298" t="s">
        <v>8</v>
      </c>
      <c r="S417" s="298" t="s">
        <v>565</v>
      </c>
      <c r="T417" s="298" t="s">
        <v>205</v>
      </c>
      <c r="U417" s="298" t="s">
        <v>302</v>
      </c>
    </row>
    <row r="418" spans="5:21" ht="15.75" customHeight="1" x14ac:dyDescent="0.3">
      <c r="E418" s="300">
        <v>3</v>
      </c>
      <c r="G418" s="296">
        <v>28</v>
      </c>
      <c r="H418" s="297">
        <v>28</v>
      </c>
      <c r="I418" s="133">
        <f t="shared" si="6"/>
        <v>0</v>
      </c>
      <c r="J418" s="298" t="s">
        <v>301</v>
      </c>
      <c r="K418" s="298" t="s">
        <v>79</v>
      </c>
      <c r="L418" s="298" t="s">
        <v>1214</v>
      </c>
      <c r="M418" s="297">
        <v>28</v>
      </c>
      <c r="N418" s="298" t="s">
        <v>135</v>
      </c>
      <c r="O418" s="297">
        <v>28</v>
      </c>
      <c r="P418" s="298" t="s">
        <v>171</v>
      </c>
      <c r="Q418" s="298" t="s">
        <v>172</v>
      </c>
      <c r="R418" s="298" t="s">
        <v>8</v>
      </c>
      <c r="S418" s="298" t="s">
        <v>565</v>
      </c>
      <c r="T418" s="298" t="s">
        <v>205</v>
      </c>
      <c r="U418" s="298" t="s">
        <v>302</v>
      </c>
    </row>
    <row r="419" spans="5:21" ht="15.75" customHeight="1" x14ac:dyDescent="0.3">
      <c r="E419" s="300">
        <v>3</v>
      </c>
      <c r="G419" s="296">
        <v>28</v>
      </c>
      <c r="H419" s="297">
        <v>28</v>
      </c>
      <c r="I419" s="133">
        <f t="shared" si="6"/>
        <v>0</v>
      </c>
      <c r="J419" s="298" t="s">
        <v>301</v>
      </c>
      <c r="K419" s="298" t="s">
        <v>79</v>
      </c>
      <c r="L419" s="298" t="s">
        <v>1194</v>
      </c>
      <c r="M419" s="297">
        <v>28</v>
      </c>
      <c r="N419" s="298" t="s">
        <v>135</v>
      </c>
      <c r="O419" s="297">
        <v>28</v>
      </c>
      <c r="P419" s="298" t="s">
        <v>171</v>
      </c>
      <c r="Q419" s="298" t="s">
        <v>172</v>
      </c>
      <c r="R419" s="298" t="s">
        <v>8</v>
      </c>
      <c r="S419" s="298" t="s">
        <v>565</v>
      </c>
      <c r="T419" s="298" t="s">
        <v>205</v>
      </c>
      <c r="U419" s="298" t="s">
        <v>302</v>
      </c>
    </row>
    <row r="420" spans="5:21" ht="15.75" customHeight="1" x14ac:dyDescent="0.3">
      <c r="E420" s="300">
        <v>3</v>
      </c>
      <c r="G420" s="296">
        <v>28</v>
      </c>
      <c r="H420" s="297">
        <v>28</v>
      </c>
      <c r="I420" s="133">
        <f t="shared" si="6"/>
        <v>0</v>
      </c>
      <c r="J420" s="298" t="s">
        <v>301</v>
      </c>
      <c r="K420" s="298" t="s">
        <v>79</v>
      </c>
      <c r="L420" s="298" t="s">
        <v>1193</v>
      </c>
      <c r="M420" s="297">
        <v>28</v>
      </c>
      <c r="N420" s="298" t="s">
        <v>135</v>
      </c>
      <c r="O420" s="297">
        <v>28</v>
      </c>
      <c r="P420" s="298" t="s">
        <v>171</v>
      </c>
      <c r="Q420" s="298" t="s">
        <v>172</v>
      </c>
      <c r="R420" s="298" t="s">
        <v>8</v>
      </c>
      <c r="S420" s="298" t="s">
        <v>565</v>
      </c>
      <c r="T420" s="298" t="s">
        <v>205</v>
      </c>
      <c r="U420" s="298" t="s">
        <v>302</v>
      </c>
    </row>
    <row r="421" spans="5:21" ht="15.75" customHeight="1" x14ac:dyDescent="0.3">
      <c r="E421" s="300">
        <v>3</v>
      </c>
      <c r="G421" s="296">
        <v>28</v>
      </c>
      <c r="H421" s="297">
        <v>28</v>
      </c>
      <c r="I421" s="133">
        <f t="shared" si="6"/>
        <v>0</v>
      </c>
      <c r="J421" s="298" t="s">
        <v>301</v>
      </c>
      <c r="K421" s="298" t="s">
        <v>79</v>
      </c>
      <c r="L421" s="298" t="s">
        <v>1224</v>
      </c>
      <c r="M421" s="297">
        <v>28</v>
      </c>
      <c r="N421" s="298" t="s">
        <v>135</v>
      </c>
      <c r="O421" s="297">
        <v>28</v>
      </c>
      <c r="P421" s="298" t="s">
        <v>171</v>
      </c>
      <c r="Q421" s="298" t="s">
        <v>172</v>
      </c>
      <c r="R421" s="298" t="s">
        <v>8</v>
      </c>
      <c r="S421" s="298" t="s">
        <v>565</v>
      </c>
      <c r="T421" s="298" t="s">
        <v>205</v>
      </c>
      <c r="U421" s="298" t="s">
        <v>302</v>
      </c>
    </row>
    <row r="422" spans="5:21" ht="15.75" customHeight="1" x14ac:dyDescent="0.3">
      <c r="E422" s="300">
        <v>3</v>
      </c>
      <c r="G422" s="296">
        <v>2</v>
      </c>
      <c r="H422" s="297">
        <v>2</v>
      </c>
      <c r="I422" s="133">
        <f t="shared" si="6"/>
        <v>0</v>
      </c>
      <c r="J422" s="298" t="s">
        <v>301</v>
      </c>
      <c r="K422" s="298" t="s">
        <v>142</v>
      </c>
      <c r="L422" s="298" t="s">
        <v>1200</v>
      </c>
      <c r="M422" s="297">
        <v>2</v>
      </c>
      <c r="N422" s="298" t="s">
        <v>135</v>
      </c>
      <c r="O422" s="299"/>
      <c r="P422" s="298" t="s">
        <v>171</v>
      </c>
      <c r="Q422" s="298" t="s">
        <v>172</v>
      </c>
      <c r="R422" s="298" t="s">
        <v>8</v>
      </c>
      <c r="S422" s="298" t="s">
        <v>565</v>
      </c>
      <c r="T422" s="298" t="s">
        <v>205</v>
      </c>
      <c r="U422" s="298" t="s">
        <v>302</v>
      </c>
    </row>
    <row r="423" spans="5:21" ht="15.75" customHeight="1" x14ac:dyDescent="0.3">
      <c r="E423" s="300">
        <v>3</v>
      </c>
      <c r="G423" s="296">
        <v>2</v>
      </c>
      <c r="H423" s="297">
        <v>2</v>
      </c>
      <c r="I423" s="133">
        <f t="shared" si="6"/>
        <v>0</v>
      </c>
      <c r="J423" s="298" t="s">
        <v>301</v>
      </c>
      <c r="K423" s="298" t="s">
        <v>142</v>
      </c>
      <c r="L423" s="298" t="s">
        <v>1214</v>
      </c>
      <c r="M423" s="297">
        <v>2</v>
      </c>
      <c r="N423" s="298" t="s">
        <v>135</v>
      </c>
      <c r="O423" s="299"/>
      <c r="P423" s="298" t="s">
        <v>171</v>
      </c>
      <c r="Q423" s="298" t="s">
        <v>172</v>
      </c>
      <c r="R423" s="298" t="s">
        <v>8</v>
      </c>
      <c r="S423" s="298" t="s">
        <v>565</v>
      </c>
      <c r="T423" s="298" t="s">
        <v>205</v>
      </c>
      <c r="U423" s="298" t="s">
        <v>302</v>
      </c>
    </row>
    <row r="424" spans="5:21" ht="15.75" customHeight="1" x14ac:dyDescent="0.3">
      <c r="E424" s="300">
        <v>3</v>
      </c>
      <c r="G424" s="296">
        <v>2</v>
      </c>
      <c r="H424" s="297">
        <v>2</v>
      </c>
      <c r="I424" s="133">
        <f t="shared" si="6"/>
        <v>0</v>
      </c>
      <c r="J424" s="298" t="s">
        <v>301</v>
      </c>
      <c r="K424" s="298" t="s">
        <v>142</v>
      </c>
      <c r="L424" s="298" t="s">
        <v>1194</v>
      </c>
      <c r="M424" s="297">
        <v>2</v>
      </c>
      <c r="N424" s="298" t="s">
        <v>135</v>
      </c>
      <c r="O424" s="299"/>
      <c r="P424" s="298" t="s">
        <v>171</v>
      </c>
      <c r="Q424" s="298" t="s">
        <v>172</v>
      </c>
      <c r="R424" s="298" t="s">
        <v>8</v>
      </c>
      <c r="S424" s="298" t="s">
        <v>565</v>
      </c>
      <c r="T424" s="298" t="s">
        <v>205</v>
      </c>
      <c r="U424" s="298" t="s">
        <v>302</v>
      </c>
    </row>
    <row r="425" spans="5:21" ht="15.75" customHeight="1" x14ac:dyDescent="0.3">
      <c r="E425" s="300">
        <v>8</v>
      </c>
      <c r="G425" s="296">
        <v>2</v>
      </c>
      <c r="H425" s="297">
        <v>2</v>
      </c>
      <c r="I425" s="133">
        <f t="shared" si="6"/>
        <v>0</v>
      </c>
      <c r="J425" s="298" t="s">
        <v>301</v>
      </c>
      <c r="K425" s="298" t="s">
        <v>142</v>
      </c>
      <c r="L425" s="298" t="s">
        <v>1193</v>
      </c>
      <c r="M425" s="297">
        <v>2</v>
      </c>
      <c r="N425" s="298" t="s">
        <v>135</v>
      </c>
      <c r="O425" s="299"/>
      <c r="P425" s="298" t="s">
        <v>171</v>
      </c>
      <c r="Q425" s="298" t="s">
        <v>172</v>
      </c>
      <c r="R425" s="298" t="s">
        <v>8</v>
      </c>
      <c r="S425" s="298" t="s">
        <v>565</v>
      </c>
      <c r="T425" s="298" t="s">
        <v>205</v>
      </c>
      <c r="U425" s="298" t="s">
        <v>302</v>
      </c>
    </row>
    <row r="426" spans="5:21" ht="15.75" customHeight="1" x14ac:dyDescent="0.3">
      <c r="E426" s="300">
        <v>28</v>
      </c>
      <c r="G426" s="296">
        <v>2</v>
      </c>
      <c r="H426" s="297">
        <v>2</v>
      </c>
      <c r="I426" s="133">
        <f t="shared" si="6"/>
        <v>0</v>
      </c>
      <c r="J426" s="298" t="s">
        <v>301</v>
      </c>
      <c r="K426" s="298" t="s">
        <v>142</v>
      </c>
      <c r="L426" s="298" t="s">
        <v>1224</v>
      </c>
      <c r="M426" s="297">
        <v>2</v>
      </c>
      <c r="N426" s="298" t="s">
        <v>135</v>
      </c>
      <c r="O426" s="299"/>
      <c r="P426" s="298" t="s">
        <v>171</v>
      </c>
      <c r="Q426" s="298" t="s">
        <v>172</v>
      </c>
      <c r="R426" s="298" t="s">
        <v>8</v>
      </c>
      <c r="S426" s="298" t="s">
        <v>565</v>
      </c>
      <c r="T426" s="298" t="s">
        <v>205</v>
      </c>
      <c r="U426" s="298" t="s">
        <v>302</v>
      </c>
    </row>
    <row r="427" spans="5:21" ht="15.75" customHeight="1" x14ac:dyDescent="0.3">
      <c r="E427" s="300">
        <v>28</v>
      </c>
      <c r="G427" s="296">
        <v>12</v>
      </c>
      <c r="H427" s="297">
        <v>12</v>
      </c>
      <c r="I427" s="133">
        <f t="shared" si="6"/>
        <v>0</v>
      </c>
      <c r="J427" s="298" t="s">
        <v>304</v>
      </c>
      <c r="K427" s="298" t="s">
        <v>73</v>
      </c>
      <c r="L427" s="298" t="s">
        <v>1229</v>
      </c>
      <c r="M427" s="297">
        <v>12</v>
      </c>
      <c r="N427" s="298" t="s">
        <v>263</v>
      </c>
      <c r="O427" s="297">
        <v>12</v>
      </c>
      <c r="P427" s="298" t="s">
        <v>67</v>
      </c>
      <c r="Q427" s="298" t="s">
        <v>68</v>
      </c>
      <c r="R427" s="298"/>
      <c r="S427" s="298" t="s">
        <v>593</v>
      </c>
      <c r="T427" s="298" t="s">
        <v>1177</v>
      </c>
      <c r="U427" s="298" t="s">
        <v>1217</v>
      </c>
    </row>
    <row r="428" spans="5:21" ht="15.75" customHeight="1" x14ac:dyDescent="0.3">
      <c r="E428" s="300">
        <v>28</v>
      </c>
      <c r="G428" s="296">
        <v>24</v>
      </c>
      <c r="H428" s="297">
        <v>24</v>
      </c>
      <c r="I428" s="133">
        <f t="shared" si="6"/>
        <v>0</v>
      </c>
      <c r="J428" s="298" t="s">
        <v>304</v>
      </c>
      <c r="K428" s="298" t="s">
        <v>79</v>
      </c>
      <c r="L428" s="298" t="s">
        <v>1200</v>
      </c>
      <c r="M428" s="297">
        <v>24</v>
      </c>
      <c r="N428" s="298" t="s">
        <v>263</v>
      </c>
      <c r="O428" s="297">
        <v>24</v>
      </c>
      <c r="P428" s="298" t="s">
        <v>67</v>
      </c>
      <c r="Q428" s="298" t="s">
        <v>68</v>
      </c>
      <c r="R428" s="298"/>
      <c r="S428" s="298" t="s">
        <v>593</v>
      </c>
      <c r="T428" s="298" t="s">
        <v>1177</v>
      </c>
      <c r="U428" s="298" t="s">
        <v>1217</v>
      </c>
    </row>
    <row r="429" spans="5:21" ht="15.75" customHeight="1" x14ac:dyDescent="0.3">
      <c r="E429" s="300">
        <v>28</v>
      </c>
      <c r="G429" s="296">
        <v>24</v>
      </c>
      <c r="H429" s="297">
        <v>24</v>
      </c>
      <c r="I429" s="133">
        <f t="shared" si="6"/>
        <v>0</v>
      </c>
      <c r="J429" s="298" t="s">
        <v>304</v>
      </c>
      <c r="K429" s="298" t="s">
        <v>79</v>
      </c>
      <c r="L429" s="298" t="s">
        <v>1214</v>
      </c>
      <c r="M429" s="297">
        <v>24</v>
      </c>
      <c r="N429" s="298" t="s">
        <v>263</v>
      </c>
      <c r="O429" s="297">
        <v>24</v>
      </c>
      <c r="P429" s="298" t="s">
        <v>67</v>
      </c>
      <c r="Q429" s="298" t="s">
        <v>68</v>
      </c>
      <c r="R429" s="298"/>
      <c r="S429" s="298" t="s">
        <v>593</v>
      </c>
      <c r="T429" s="298" t="s">
        <v>1177</v>
      </c>
      <c r="U429" s="298" t="s">
        <v>1217</v>
      </c>
    </row>
    <row r="430" spans="5:21" ht="15.75" customHeight="1" x14ac:dyDescent="0.3">
      <c r="E430" s="300">
        <v>28</v>
      </c>
      <c r="G430" s="296">
        <v>24</v>
      </c>
      <c r="H430" s="297">
        <v>24</v>
      </c>
      <c r="I430" s="133">
        <f t="shared" si="6"/>
        <v>0</v>
      </c>
      <c r="J430" s="298" t="s">
        <v>304</v>
      </c>
      <c r="K430" s="298" t="s">
        <v>79</v>
      </c>
      <c r="L430" s="298" t="s">
        <v>1194</v>
      </c>
      <c r="M430" s="297">
        <v>24</v>
      </c>
      <c r="N430" s="298" t="s">
        <v>263</v>
      </c>
      <c r="O430" s="297">
        <v>24</v>
      </c>
      <c r="P430" s="298" t="s">
        <v>67</v>
      </c>
      <c r="Q430" s="298" t="s">
        <v>68</v>
      </c>
      <c r="R430" s="298"/>
      <c r="S430" s="298" t="s">
        <v>593</v>
      </c>
      <c r="T430" s="298" t="s">
        <v>1177</v>
      </c>
      <c r="U430" s="298" t="s">
        <v>1217</v>
      </c>
    </row>
    <row r="431" spans="5:21" ht="15.75" customHeight="1" x14ac:dyDescent="0.3">
      <c r="E431" s="300">
        <v>2</v>
      </c>
      <c r="G431" s="296">
        <v>24</v>
      </c>
      <c r="H431" s="297">
        <v>24</v>
      </c>
      <c r="I431" s="133">
        <f t="shared" si="6"/>
        <v>0</v>
      </c>
      <c r="J431" s="298" t="s">
        <v>304</v>
      </c>
      <c r="K431" s="298" t="s">
        <v>79</v>
      </c>
      <c r="L431" s="298" t="s">
        <v>1193</v>
      </c>
      <c r="M431" s="297">
        <v>24</v>
      </c>
      <c r="N431" s="298" t="s">
        <v>263</v>
      </c>
      <c r="O431" s="297">
        <v>24</v>
      </c>
      <c r="P431" s="298" t="s">
        <v>67</v>
      </c>
      <c r="Q431" s="298" t="s">
        <v>68</v>
      </c>
      <c r="R431" s="298"/>
      <c r="S431" s="298" t="s">
        <v>593</v>
      </c>
      <c r="T431" s="298" t="s">
        <v>1177</v>
      </c>
      <c r="U431" s="298" t="s">
        <v>1217</v>
      </c>
    </row>
    <row r="432" spans="5:21" ht="15.75" customHeight="1" x14ac:dyDescent="0.3">
      <c r="E432" s="300">
        <v>2</v>
      </c>
      <c r="G432" s="296">
        <v>2</v>
      </c>
      <c r="H432" s="297">
        <v>2</v>
      </c>
      <c r="I432" s="133">
        <f t="shared" si="6"/>
        <v>0</v>
      </c>
      <c r="J432" s="298" t="s">
        <v>304</v>
      </c>
      <c r="K432" s="298" t="s">
        <v>142</v>
      </c>
      <c r="L432" s="298" t="s">
        <v>1200</v>
      </c>
      <c r="M432" s="297">
        <v>2</v>
      </c>
      <c r="N432" s="298" t="s">
        <v>263</v>
      </c>
      <c r="O432" s="299"/>
      <c r="P432" s="298" t="s">
        <v>67</v>
      </c>
      <c r="Q432" s="298" t="s">
        <v>68</v>
      </c>
      <c r="R432" s="298"/>
      <c r="S432" s="298" t="s">
        <v>593</v>
      </c>
      <c r="T432" s="298"/>
      <c r="U432" s="298"/>
    </row>
    <row r="433" spans="5:21" ht="15.75" customHeight="1" x14ac:dyDescent="0.3">
      <c r="E433" s="300">
        <v>2</v>
      </c>
      <c r="G433" s="296">
        <v>2</v>
      </c>
      <c r="H433" s="297">
        <v>2</v>
      </c>
      <c r="I433" s="133">
        <f t="shared" si="6"/>
        <v>0</v>
      </c>
      <c r="J433" s="298" t="s">
        <v>304</v>
      </c>
      <c r="K433" s="298" t="s">
        <v>142</v>
      </c>
      <c r="L433" s="298" t="s">
        <v>1214</v>
      </c>
      <c r="M433" s="297">
        <v>2</v>
      </c>
      <c r="N433" s="298" t="s">
        <v>263</v>
      </c>
      <c r="O433" s="299"/>
      <c r="P433" s="298" t="s">
        <v>67</v>
      </c>
      <c r="Q433" s="298" t="s">
        <v>68</v>
      </c>
      <c r="R433" s="298"/>
      <c r="S433" s="298" t="s">
        <v>593</v>
      </c>
      <c r="T433" s="298"/>
      <c r="U433" s="298"/>
    </row>
    <row r="434" spans="5:21" ht="15.75" customHeight="1" x14ac:dyDescent="0.3">
      <c r="E434" s="300">
        <v>2</v>
      </c>
      <c r="G434" s="296">
        <v>2</v>
      </c>
      <c r="H434" s="297">
        <v>2</v>
      </c>
      <c r="I434" s="133">
        <f t="shared" si="6"/>
        <v>0</v>
      </c>
      <c r="J434" s="298" t="s">
        <v>304</v>
      </c>
      <c r="K434" s="298" t="s">
        <v>142</v>
      </c>
      <c r="L434" s="298" t="s">
        <v>1194</v>
      </c>
      <c r="M434" s="297">
        <v>2</v>
      </c>
      <c r="N434" s="298" t="s">
        <v>263</v>
      </c>
      <c r="O434" s="299"/>
      <c r="P434" s="298" t="s">
        <v>67</v>
      </c>
      <c r="Q434" s="298" t="s">
        <v>68</v>
      </c>
      <c r="R434" s="298"/>
      <c r="S434" s="298" t="s">
        <v>593</v>
      </c>
      <c r="T434" s="298"/>
      <c r="U434" s="298"/>
    </row>
    <row r="435" spans="5:21" ht="15.75" customHeight="1" x14ac:dyDescent="0.3">
      <c r="E435" s="300">
        <v>2</v>
      </c>
      <c r="G435" s="296">
        <v>2</v>
      </c>
      <c r="H435" s="297">
        <v>2</v>
      </c>
      <c r="I435" s="133">
        <f t="shared" si="6"/>
        <v>0</v>
      </c>
      <c r="J435" s="298" t="s">
        <v>304</v>
      </c>
      <c r="K435" s="298" t="s">
        <v>142</v>
      </c>
      <c r="L435" s="298" t="s">
        <v>1193</v>
      </c>
      <c r="M435" s="297">
        <v>2</v>
      </c>
      <c r="N435" s="298" t="s">
        <v>263</v>
      </c>
      <c r="O435" s="299"/>
      <c r="P435" s="298" t="s">
        <v>67</v>
      </c>
      <c r="Q435" s="298" t="s">
        <v>68</v>
      </c>
      <c r="R435" s="298"/>
      <c r="S435" s="298" t="s">
        <v>593</v>
      </c>
      <c r="T435" s="298"/>
      <c r="U435" s="298"/>
    </row>
    <row r="436" spans="5:21" ht="15.75" customHeight="1" x14ac:dyDescent="0.3">
      <c r="E436" s="300">
        <v>12</v>
      </c>
      <c r="G436" s="296">
        <v>1</v>
      </c>
      <c r="H436" s="297">
        <v>1</v>
      </c>
      <c r="I436" s="133">
        <f t="shared" si="6"/>
        <v>0</v>
      </c>
      <c r="J436" s="298" t="s">
        <v>304</v>
      </c>
      <c r="K436" s="298" t="s">
        <v>80</v>
      </c>
      <c r="L436" s="298" t="s">
        <v>1200</v>
      </c>
      <c r="M436" s="297">
        <v>1</v>
      </c>
      <c r="N436" s="298" t="s">
        <v>263</v>
      </c>
      <c r="O436" s="299"/>
      <c r="P436" s="298" t="s">
        <v>67</v>
      </c>
      <c r="Q436" s="298" t="s">
        <v>68</v>
      </c>
      <c r="R436" s="298"/>
      <c r="S436" s="298" t="s">
        <v>593</v>
      </c>
      <c r="T436" s="298"/>
      <c r="U436" s="298"/>
    </row>
    <row r="437" spans="5:21" ht="15.75" customHeight="1" x14ac:dyDescent="0.3">
      <c r="E437" s="300">
        <v>24</v>
      </c>
      <c r="G437" s="296">
        <v>1</v>
      </c>
      <c r="H437" s="297">
        <v>1</v>
      </c>
      <c r="I437" s="133">
        <f t="shared" si="6"/>
        <v>0</v>
      </c>
      <c r="J437" s="298" t="s">
        <v>304</v>
      </c>
      <c r="K437" s="298" t="s">
        <v>80</v>
      </c>
      <c r="L437" s="298" t="s">
        <v>1214</v>
      </c>
      <c r="M437" s="297">
        <v>1</v>
      </c>
      <c r="N437" s="298" t="s">
        <v>263</v>
      </c>
      <c r="O437" s="299"/>
      <c r="P437" s="298" t="s">
        <v>67</v>
      </c>
      <c r="Q437" s="298" t="s">
        <v>68</v>
      </c>
      <c r="R437" s="298"/>
      <c r="S437" s="298" t="s">
        <v>593</v>
      </c>
      <c r="T437" s="298"/>
      <c r="U437" s="298"/>
    </row>
    <row r="438" spans="5:21" ht="15.75" customHeight="1" x14ac:dyDescent="0.3">
      <c r="E438" s="300">
        <v>24</v>
      </c>
      <c r="G438" s="296">
        <v>1</v>
      </c>
      <c r="H438" s="297">
        <v>1</v>
      </c>
      <c r="I438" s="133">
        <f t="shared" si="6"/>
        <v>0</v>
      </c>
      <c r="J438" s="298" t="s">
        <v>304</v>
      </c>
      <c r="K438" s="298" t="s">
        <v>80</v>
      </c>
      <c r="L438" s="298" t="s">
        <v>1194</v>
      </c>
      <c r="M438" s="297">
        <v>1</v>
      </c>
      <c r="N438" s="298" t="s">
        <v>263</v>
      </c>
      <c r="O438" s="299"/>
      <c r="P438" s="298" t="s">
        <v>67</v>
      </c>
      <c r="Q438" s="298" t="s">
        <v>68</v>
      </c>
      <c r="R438" s="298"/>
      <c r="S438" s="298" t="s">
        <v>593</v>
      </c>
      <c r="T438" s="298"/>
      <c r="U438" s="298"/>
    </row>
    <row r="439" spans="5:21" ht="15.75" customHeight="1" x14ac:dyDescent="0.3">
      <c r="E439" s="300">
        <v>24</v>
      </c>
      <c r="G439" s="296">
        <v>1</v>
      </c>
      <c r="H439" s="297">
        <v>1</v>
      </c>
      <c r="I439" s="133">
        <f t="shared" si="6"/>
        <v>0</v>
      </c>
      <c r="J439" s="298" t="s">
        <v>304</v>
      </c>
      <c r="K439" s="298" t="s">
        <v>80</v>
      </c>
      <c r="L439" s="298" t="s">
        <v>1193</v>
      </c>
      <c r="M439" s="297">
        <v>1</v>
      </c>
      <c r="N439" s="298" t="s">
        <v>263</v>
      </c>
      <c r="O439" s="299"/>
      <c r="P439" s="298" t="s">
        <v>67</v>
      </c>
      <c r="Q439" s="298" t="s">
        <v>68</v>
      </c>
      <c r="R439" s="298"/>
      <c r="S439" s="298" t="s">
        <v>593</v>
      </c>
      <c r="T439" s="298"/>
      <c r="U439" s="298"/>
    </row>
    <row r="440" spans="5:21" ht="15.75" customHeight="1" x14ac:dyDescent="0.3">
      <c r="E440" s="300">
        <v>24</v>
      </c>
      <c r="G440" s="296">
        <v>16</v>
      </c>
      <c r="H440" s="297">
        <v>16</v>
      </c>
      <c r="I440" s="133">
        <f t="shared" si="6"/>
        <v>0</v>
      </c>
      <c r="J440" s="298" t="s">
        <v>309</v>
      </c>
      <c r="K440" s="298" t="s">
        <v>73</v>
      </c>
      <c r="L440" s="298" t="s">
        <v>1188</v>
      </c>
      <c r="M440" s="297">
        <v>16</v>
      </c>
      <c r="N440" s="298" t="s">
        <v>166</v>
      </c>
      <c r="O440" s="297">
        <v>16</v>
      </c>
      <c r="P440" s="298" t="s">
        <v>210</v>
      </c>
      <c r="Q440" s="298" t="s">
        <v>211</v>
      </c>
      <c r="R440" s="298"/>
      <c r="S440" s="298" t="s">
        <v>593</v>
      </c>
      <c r="T440" s="298" t="s">
        <v>1167</v>
      </c>
      <c r="U440" s="298"/>
    </row>
    <row r="441" spans="5:21" ht="15.75" customHeight="1" x14ac:dyDescent="0.3">
      <c r="E441" s="300">
        <v>2</v>
      </c>
      <c r="G441" s="296">
        <v>15</v>
      </c>
      <c r="H441" s="297">
        <v>15</v>
      </c>
      <c r="I441" s="133">
        <f t="shared" si="6"/>
        <v>0</v>
      </c>
      <c r="J441" s="298" t="s">
        <v>309</v>
      </c>
      <c r="K441" s="298" t="s">
        <v>123</v>
      </c>
      <c r="L441" s="298" t="s">
        <v>1188</v>
      </c>
      <c r="M441" s="297">
        <v>15</v>
      </c>
      <c r="N441" s="298" t="s">
        <v>166</v>
      </c>
      <c r="O441" s="299"/>
      <c r="P441" s="298" t="s">
        <v>210</v>
      </c>
      <c r="Q441" s="298" t="s">
        <v>211</v>
      </c>
      <c r="R441" s="298"/>
      <c r="S441" s="298" t="s">
        <v>593</v>
      </c>
      <c r="T441" s="298" t="s">
        <v>1167</v>
      </c>
      <c r="U441" s="298"/>
    </row>
    <row r="442" spans="5:21" ht="15.75" customHeight="1" x14ac:dyDescent="0.3">
      <c r="E442" s="300">
        <v>2</v>
      </c>
      <c r="G442" s="296">
        <v>28</v>
      </c>
      <c r="H442" s="297">
        <v>28</v>
      </c>
      <c r="I442" s="133">
        <f t="shared" si="6"/>
        <v>0</v>
      </c>
      <c r="J442" s="298" t="s">
        <v>309</v>
      </c>
      <c r="K442" s="298" t="s">
        <v>79</v>
      </c>
      <c r="L442" s="298" t="s">
        <v>1188</v>
      </c>
      <c r="M442" s="297">
        <v>28</v>
      </c>
      <c r="N442" s="298" t="s">
        <v>166</v>
      </c>
      <c r="O442" s="297">
        <v>28</v>
      </c>
      <c r="P442" s="298" t="s">
        <v>210</v>
      </c>
      <c r="Q442" s="298" t="s">
        <v>211</v>
      </c>
      <c r="R442" s="298"/>
      <c r="S442" s="298" t="s">
        <v>593</v>
      </c>
      <c r="T442" s="298" t="s">
        <v>1167</v>
      </c>
      <c r="U442" s="298"/>
    </row>
    <row r="443" spans="5:21" ht="15.75" customHeight="1" x14ac:dyDescent="0.3">
      <c r="E443" s="300">
        <v>2</v>
      </c>
      <c r="G443" s="296">
        <v>3</v>
      </c>
      <c r="H443" s="297">
        <v>3</v>
      </c>
      <c r="I443" s="133">
        <f t="shared" si="6"/>
        <v>0</v>
      </c>
      <c r="J443" s="298" t="s">
        <v>309</v>
      </c>
      <c r="K443" s="298" t="s">
        <v>111</v>
      </c>
      <c r="L443" s="298" t="s">
        <v>1188</v>
      </c>
      <c r="M443" s="297">
        <v>3</v>
      </c>
      <c r="N443" s="298" t="s">
        <v>166</v>
      </c>
      <c r="O443" s="299"/>
      <c r="P443" s="298" t="s">
        <v>210</v>
      </c>
      <c r="Q443" s="298" t="s">
        <v>211</v>
      </c>
      <c r="R443" s="298"/>
      <c r="S443" s="298" t="s">
        <v>593</v>
      </c>
      <c r="T443" s="298" t="s">
        <v>1167</v>
      </c>
      <c r="U443" s="298"/>
    </row>
    <row r="444" spans="5:21" ht="15.75" customHeight="1" x14ac:dyDescent="0.3">
      <c r="E444" s="300">
        <v>2</v>
      </c>
      <c r="G444" s="296">
        <v>3</v>
      </c>
      <c r="H444" s="297">
        <v>3</v>
      </c>
      <c r="I444" s="133">
        <f t="shared" si="6"/>
        <v>0</v>
      </c>
      <c r="J444" s="298" t="s">
        <v>309</v>
      </c>
      <c r="K444" s="298" t="s">
        <v>80</v>
      </c>
      <c r="L444" s="298" t="s">
        <v>1188</v>
      </c>
      <c r="M444" s="297">
        <v>3</v>
      </c>
      <c r="N444" s="298" t="s">
        <v>166</v>
      </c>
      <c r="O444" s="299"/>
      <c r="P444" s="298" t="s">
        <v>210</v>
      </c>
      <c r="Q444" s="298" t="s">
        <v>211</v>
      </c>
      <c r="R444" s="298"/>
      <c r="S444" s="298" t="s">
        <v>593</v>
      </c>
      <c r="T444" s="298" t="s">
        <v>1167</v>
      </c>
      <c r="U444" s="298"/>
    </row>
    <row r="445" spans="5:21" ht="15.75" customHeight="1" x14ac:dyDescent="0.3">
      <c r="E445" s="300">
        <v>1</v>
      </c>
      <c r="G445" s="296">
        <v>24</v>
      </c>
      <c r="H445" s="297">
        <v>24</v>
      </c>
      <c r="I445" s="133">
        <f t="shared" si="6"/>
        <v>0</v>
      </c>
      <c r="J445" s="298" t="s">
        <v>310</v>
      </c>
      <c r="K445" s="298" t="s">
        <v>73</v>
      </c>
      <c r="L445" s="298" t="s">
        <v>1197</v>
      </c>
      <c r="M445" s="297">
        <v>24</v>
      </c>
      <c r="N445" s="298" t="s">
        <v>161</v>
      </c>
      <c r="O445" s="297">
        <v>24</v>
      </c>
      <c r="P445" s="298" t="s">
        <v>115</v>
      </c>
      <c r="Q445" s="298" t="s">
        <v>116</v>
      </c>
      <c r="R445" s="298"/>
      <c r="S445" s="298" t="s">
        <v>593</v>
      </c>
      <c r="T445" s="298" t="s">
        <v>1182</v>
      </c>
      <c r="U445" s="298" t="s">
        <v>1183</v>
      </c>
    </row>
    <row r="446" spans="5:21" ht="15.75" customHeight="1" x14ac:dyDescent="0.3">
      <c r="E446" s="300">
        <v>1</v>
      </c>
      <c r="G446" s="296">
        <v>4.17</v>
      </c>
      <c r="H446" s="297">
        <v>4.17</v>
      </c>
      <c r="I446" s="133">
        <f t="shared" si="6"/>
        <v>0</v>
      </c>
      <c r="J446" s="298" t="s">
        <v>310</v>
      </c>
      <c r="K446" s="298" t="s">
        <v>87</v>
      </c>
      <c r="L446" s="298" t="s">
        <v>1198</v>
      </c>
      <c r="M446" s="297">
        <v>4.17</v>
      </c>
      <c r="N446" s="298" t="s">
        <v>161</v>
      </c>
      <c r="O446" s="299"/>
      <c r="P446" s="298" t="s">
        <v>115</v>
      </c>
      <c r="Q446" s="298" t="s">
        <v>116</v>
      </c>
      <c r="R446" s="298"/>
      <c r="S446" s="298" t="s">
        <v>593</v>
      </c>
      <c r="T446" s="298"/>
      <c r="U446" s="298" t="s">
        <v>1183</v>
      </c>
    </row>
    <row r="447" spans="5:21" ht="15.75" customHeight="1" x14ac:dyDescent="0.3">
      <c r="E447" s="300">
        <v>1</v>
      </c>
      <c r="G447" s="296">
        <v>0.83</v>
      </c>
      <c r="H447" s="297">
        <v>0.83</v>
      </c>
      <c r="I447" s="133">
        <f t="shared" si="6"/>
        <v>0</v>
      </c>
      <c r="J447" s="298" t="s">
        <v>310</v>
      </c>
      <c r="K447" s="298" t="s">
        <v>87</v>
      </c>
      <c r="L447" s="298" t="s">
        <v>1198</v>
      </c>
      <c r="M447" s="297">
        <v>0.83</v>
      </c>
      <c r="N447" s="298" t="s">
        <v>161</v>
      </c>
      <c r="O447" s="299"/>
      <c r="P447" s="298" t="s">
        <v>250</v>
      </c>
      <c r="Q447" s="298" t="s">
        <v>251</v>
      </c>
      <c r="R447" s="298" t="s">
        <v>8</v>
      </c>
      <c r="S447" s="298" t="s">
        <v>565</v>
      </c>
      <c r="T447" s="298"/>
      <c r="U447" s="298"/>
    </row>
    <row r="448" spans="5:21" ht="15.75" customHeight="1" x14ac:dyDescent="0.3">
      <c r="E448" s="300">
        <v>1</v>
      </c>
      <c r="G448" s="296">
        <v>8</v>
      </c>
      <c r="H448" s="297">
        <v>8</v>
      </c>
      <c r="I448" s="133">
        <f t="shared" si="6"/>
        <v>0</v>
      </c>
      <c r="J448" s="298" t="s">
        <v>310</v>
      </c>
      <c r="K448" s="298" t="s">
        <v>87</v>
      </c>
      <c r="L448" s="298" t="s">
        <v>1199</v>
      </c>
      <c r="M448" s="297">
        <v>8</v>
      </c>
      <c r="N448" s="298" t="s">
        <v>161</v>
      </c>
      <c r="O448" s="299"/>
      <c r="P448" s="298" t="s">
        <v>115</v>
      </c>
      <c r="Q448" s="298" t="s">
        <v>116</v>
      </c>
      <c r="R448" s="298"/>
      <c r="S448" s="298" t="s">
        <v>593</v>
      </c>
      <c r="T448" s="298"/>
      <c r="U448" s="298" t="s">
        <v>1183</v>
      </c>
    </row>
    <row r="449" spans="5:21" ht="15.75" customHeight="1" x14ac:dyDescent="0.3">
      <c r="E449" s="302">
        <v>16</v>
      </c>
      <c r="G449" s="296">
        <v>30</v>
      </c>
      <c r="H449" s="297">
        <v>30</v>
      </c>
      <c r="I449" s="133">
        <f t="shared" si="6"/>
        <v>0</v>
      </c>
      <c r="J449" s="298" t="s">
        <v>310</v>
      </c>
      <c r="K449" s="298" t="s">
        <v>79</v>
      </c>
      <c r="L449" s="298" t="s">
        <v>1198</v>
      </c>
      <c r="M449" s="297">
        <v>30</v>
      </c>
      <c r="N449" s="298" t="s">
        <v>161</v>
      </c>
      <c r="O449" s="297">
        <v>30</v>
      </c>
      <c r="P449" s="298" t="s">
        <v>115</v>
      </c>
      <c r="Q449" s="298" t="s">
        <v>116</v>
      </c>
      <c r="R449" s="298"/>
      <c r="S449" s="298" t="s">
        <v>593</v>
      </c>
      <c r="T449" s="298" t="s">
        <v>1182</v>
      </c>
      <c r="U449" s="298" t="s">
        <v>1183</v>
      </c>
    </row>
    <row r="450" spans="5:21" ht="15.75" customHeight="1" x14ac:dyDescent="0.3">
      <c r="E450" s="302">
        <v>15</v>
      </c>
      <c r="G450" s="296">
        <v>30</v>
      </c>
      <c r="H450" s="297">
        <v>30</v>
      </c>
      <c r="I450" s="133">
        <f t="shared" ref="I450:I513" si="7">G450-H450</f>
        <v>0</v>
      </c>
      <c r="J450" s="298" t="s">
        <v>310</v>
      </c>
      <c r="K450" s="298" t="s">
        <v>79</v>
      </c>
      <c r="L450" s="298" t="s">
        <v>1199</v>
      </c>
      <c r="M450" s="297">
        <v>30</v>
      </c>
      <c r="N450" s="298" t="s">
        <v>161</v>
      </c>
      <c r="O450" s="297">
        <v>30</v>
      </c>
      <c r="P450" s="298" t="s">
        <v>115</v>
      </c>
      <c r="Q450" s="298" t="s">
        <v>116</v>
      </c>
      <c r="R450" s="298"/>
      <c r="S450" s="298" t="s">
        <v>593</v>
      </c>
      <c r="T450" s="298" t="s">
        <v>1182</v>
      </c>
      <c r="U450" s="298" t="s">
        <v>1183</v>
      </c>
    </row>
    <row r="451" spans="5:21" ht="15.75" customHeight="1" x14ac:dyDescent="0.3">
      <c r="E451" s="302">
        <v>28</v>
      </c>
      <c r="G451" s="296">
        <v>1</v>
      </c>
      <c r="H451" s="297">
        <v>1</v>
      </c>
      <c r="I451" s="133">
        <f t="shared" si="7"/>
        <v>0</v>
      </c>
      <c r="J451" s="298" t="s">
        <v>310</v>
      </c>
      <c r="K451" s="298" t="s">
        <v>80</v>
      </c>
      <c r="L451" s="298" t="s">
        <v>1198</v>
      </c>
      <c r="M451" s="297">
        <v>1</v>
      </c>
      <c r="N451" s="298" t="s">
        <v>161</v>
      </c>
      <c r="O451" s="299"/>
      <c r="P451" s="298" t="s">
        <v>115</v>
      </c>
      <c r="Q451" s="298" t="s">
        <v>116</v>
      </c>
      <c r="R451" s="298"/>
      <c r="S451" s="298" t="s">
        <v>593</v>
      </c>
      <c r="T451" s="298"/>
      <c r="U451" s="298" t="s">
        <v>1183</v>
      </c>
    </row>
    <row r="452" spans="5:21" ht="15.75" customHeight="1" x14ac:dyDescent="0.3">
      <c r="E452" s="302">
        <v>3</v>
      </c>
      <c r="G452" s="296">
        <v>1</v>
      </c>
      <c r="H452" s="297">
        <v>1</v>
      </c>
      <c r="I452" s="133">
        <f t="shared" si="7"/>
        <v>0</v>
      </c>
      <c r="J452" s="298" t="s">
        <v>310</v>
      </c>
      <c r="K452" s="298" t="s">
        <v>80</v>
      </c>
      <c r="L452" s="298" t="s">
        <v>1199</v>
      </c>
      <c r="M452" s="297">
        <v>1</v>
      </c>
      <c r="N452" s="298" t="s">
        <v>161</v>
      </c>
      <c r="O452" s="299"/>
      <c r="P452" s="298" t="s">
        <v>115</v>
      </c>
      <c r="Q452" s="298" t="s">
        <v>116</v>
      </c>
      <c r="R452" s="298"/>
      <c r="S452" s="298" t="s">
        <v>593</v>
      </c>
      <c r="T452" s="298"/>
      <c r="U452" s="298" t="s">
        <v>1183</v>
      </c>
    </row>
    <row r="453" spans="5:21" ht="15.75" customHeight="1" x14ac:dyDescent="0.3">
      <c r="E453" s="302">
        <v>3</v>
      </c>
      <c r="G453" s="296">
        <v>24</v>
      </c>
      <c r="H453" s="297">
        <v>24</v>
      </c>
      <c r="I453" s="133">
        <f t="shared" si="7"/>
        <v>0</v>
      </c>
      <c r="J453" s="298" t="s">
        <v>312</v>
      </c>
      <c r="K453" s="298" t="s">
        <v>73</v>
      </c>
      <c r="L453" s="298" t="s">
        <v>1230</v>
      </c>
      <c r="M453" s="297">
        <v>24</v>
      </c>
      <c r="N453" s="298" t="s">
        <v>1231</v>
      </c>
      <c r="O453" s="297">
        <v>24</v>
      </c>
      <c r="P453" s="298" t="s">
        <v>272</v>
      </c>
      <c r="Q453" s="298" t="s">
        <v>273</v>
      </c>
      <c r="R453" s="298"/>
      <c r="S453" s="298" t="s">
        <v>593</v>
      </c>
      <c r="T453" s="298"/>
      <c r="U453" s="298"/>
    </row>
    <row r="454" spans="5:21" ht="15.75" customHeight="1" x14ac:dyDescent="0.3">
      <c r="E454" s="300">
        <v>24</v>
      </c>
      <c r="G454" s="296">
        <v>16</v>
      </c>
      <c r="H454" s="297">
        <v>16</v>
      </c>
      <c r="I454" s="133">
        <f t="shared" si="7"/>
        <v>0</v>
      </c>
      <c r="J454" s="298" t="s">
        <v>312</v>
      </c>
      <c r="K454" s="298" t="s">
        <v>79</v>
      </c>
      <c r="L454" s="298" t="s">
        <v>1204</v>
      </c>
      <c r="M454" s="297">
        <v>16</v>
      </c>
      <c r="N454" s="298" t="s">
        <v>1231</v>
      </c>
      <c r="O454" s="297">
        <v>16</v>
      </c>
      <c r="P454" s="298" t="s">
        <v>272</v>
      </c>
      <c r="Q454" s="298" t="s">
        <v>273</v>
      </c>
      <c r="R454" s="298"/>
      <c r="S454" s="298" t="s">
        <v>593</v>
      </c>
      <c r="T454" s="298"/>
      <c r="U454" s="298"/>
    </row>
    <row r="455" spans="5:21" ht="15.75" customHeight="1" x14ac:dyDescent="0.3">
      <c r="E455" s="300">
        <v>5</v>
      </c>
      <c r="G455" s="296">
        <v>16</v>
      </c>
      <c r="H455" s="297">
        <v>16</v>
      </c>
      <c r="I455" s="133">
        <f t="shared" si="7"/>
        <v>0</v>
      </c>
      <c r="J455" s="298" t="s">
        <v>312</v>
      </c>
      <c r="K455" s="298" t="s">
        <v>79</v>
      </c>
      <c r="L455" s="298" t="s">
        <v>1198</v>
      </c>
      <c r="M455" s="297">
        <v>16</v>
      </c>
      <c r="N455" s="298" t="s">
        <v>1231</v>
      </c>
      <c r="O455" s="297">
        <v>16</v>
      </c>
      <c r="P455" s="298" t="s">
        <v>272</v>
      </c>
      <c r="Q455" s="298" t="s">
        <v>273</v>
      </c>
      <c r="R455" s="298"/>
      <c r="S455" s="298" t="s">
        <v>593</v>
      </c>
      <c r="T455" s="298"/>
      <c r="U455" s="298"/>
    </row>
    <row r="456" spans="5:21" ht="15.75" customHeight="1" x14ac:dyDescent="0.3">
      <c r="E456" s="300">
        <v>1</v>
      </c>
      <c r="G456" s="296">
        <v>16</v>
      </c>
      <c r="H456" s="297">
        <v>16</v>
      </c>
      <c r="I456" s="133">
        <f t="shared" si="7"/>
        <v>0</v>
      </c>
      <c r="J456" s="298" t="s">
        <v>312</v>
      </c>
      <c r="K456" s="298" t="s">
        <v>79</v>
      </c>
      <c r="L456" s="298" t="s">
        <v>1199</v>
      </c>
      <c r="M456" s="297">
        <v>16</v>
      </c>
      <c r="N456" s="298" t="s">
        <v>1231</v>
      </c>
      <c r="O456" s="297">
        <v>16</v>
      </c>
      <c r="P456" s="298" t="s">
        <v>272</v>
      </c>
      <c r="Q456" s="298" t="s">
        <v>273</v>
      </c>
      <c r="R456" s="298"/>
      <c r="S456" s="298" t="s">
        <v>593</v>
      </c>
      <c r="T456" s="298"/>
      <c r="U456" s="298"/>
    </row>
    <row r="457" spans="5:21" ht="15.75" customHeight="1" x14ac:dyDescent="0.3">
      <c r="E457" s="301">
        <v>7</v>
      </c>
      <c r="G457" s="296">
        <v>16</v>
      </c>
      <c r="H457" s="297">
        <v>16</v>
      </c>
      <c r="I457" s="133">
        <f t="shared" si="7"/>
        <v>0</v>
      </c>
      <c r="J457" s="298" t="s">
        <v>312</v>
      </c>
      <c r="K457" s="298" t="s">
        <v>79</v>
      </c>
      <c r="L457" s="298" t="s">
        <v>1205</v>
      </c>
      <c r="M457" s="297">
        <v>16</v>
      </c>
      <c r="N457" s="298" t="s">
        <v>1231</v>
      </c>
      <c r="O457" s="297">
        <v>16</v>
      </c>
      <c r="P457" s="298" t="s">
        <v>272</v>
      </c>
      <c r="Q457" s="298" t="s">
        <v>273</v>
      </c>
      <c r="R457" s="298"/>
      <c r="S457" s="298" t="s">
        <v>593</v>
      </c>
      <c r="T457" s="298"/>
      <c r="U457" s="298"/>
    </row>
    <row r="458" spans="5:21" ht="15.75" customHeight="1" x14ac:dyDescent="0.3">
      <c r="E458" s="300">
        <v>30</v>
      </c>
      <c r="G458" s="296">
        <v>16</v>
      </c>
      <c r="H458" s="297">
        <v>16</v>
      </c>
      <c r="I458" s="133">
        <f t="shared" si="7"/>
        <v>0</v>
      </c>
      <c r="J458" s="298" t="s">
        <v>312</v>
      </c>
      <c r="K458" s="298" t="s">
        <v>79</v>
      </c>
      <c r="L458" s="298" t="s">
        <v>1208</v>
      </c>
      <c r="M458" s="297">
        <v>16</v>
      </c>
      <c r="N458" s="298" t="s">
        <v>1231</v>
      </c>
      <c r="O458" s="297">
        <v>16</v>
      </c>
      <c r="P458" s="298" t="s">
        <v>272</v>
      </c>
      <c r="Q458" s="298" t="s">
        <v>273</v>
      </c>
      <c r="R458" s="298"/>
      <c r="S458" s="298" t="s">
        <v>593</v>
      </c>
      <c r="T458" s="298"/>
      <c r="U458" s="298"/>
    </row>
    <row r="459" spans="5:21" ht="15.75" customHeight="1" x14ac:dyDescent="0.3">
      <c r="E459" s="300">
        <v>30</v>
      </c>
      <c r="G459" s="296">
        <v>16</v>
      </c>
      <c r="H459" s="297">
        <v>16</v>
      </c>
      <c r="I459" s="133">
        <f t="shared" si="7"/>
        <v>0</v>
      </c>
      <c r="J459" s="298" t="s">
        <v>312</v>
      </c>
      <c r="K459" s="298" t="s">
        <v>79</v>
      </c>
      <c r="L459" s="298" t="s">
        <v>1209</v>
      </c>
      <c r="M459" s="297">
        <v>16</v>
      </c>
      <c r="N459" s="298" t="s">
        <v>1231</v>
      </c>
      <c r="O459" s="297">
        <v>16</v>
      </c>
      <c r="P459" s="298" t="s">
        <v>272</v>
      </c>
      <c r="Q459" s="298" t="s">
        <v>273</v>
      </c>
      <c r="R459" s="298"/>
      <c r="S459" s="298" t="s">
        <v>593</v>
      </c>
      <c r="T459" s="298"/>
      <c r="U459" s="298"/>
    </row>
    <row r="460" spans="5:21" ht="15.75" customHeight="1" x14ac:dyDescent="0.3">
      <c r="E460" s="300">
        <v>1</v>
      </c>
      <c r="G460" s="296">
        <v>16</v>
      </c>
      <c r="H460" s="297">
        <v>16</v>
      </c>
      <c r="I460" s="133">
        <f t="shared" si="7"/>
        <v>0</v>
      </c>
      <c r="J460" s="298" t="s">
        <v>312</v>
      </c>
      <c r="K460" s="298" t="s">
        <v>79</v>
      </c>
      <c r="L460" s="298" t="s">
        <v>1232</v>
      </c>
      <c r="M460" s="297">
        <v>16</v>
      </c>
      <c r="N460" s="298" t="s">
        <v>1231</v>
      </c>
      <c r="O460" s="297">
        <v>16</v>
      </c>
      <c r="P460" s="298" t="s">
        <v>272</v>
      </c>
      <c r="Q460" s="298" t="s">
        <v>273</v>
      </c>
      <c r="R460" s="298"/>
      <c r="S460" s="298" t="s">
        <v>593</v>
      </c>
      <c r="T460" s="298"/>
      <c r="U460" s="298"/>
    </row>
    <row r="461" spans="5:21" ht="15.75" customHeight="1" x14ac:dyDescent="0.3">
      <c r="E461" s="300">
        <v>1</v>
      </c>
      <c r="G461" s="296">
        <v>24</v>
      </c>
      <c r="H461" s="297">
        <v>24</v>
      </c>
      <c r="I461" s="133">
        <f t="shared" si="7"/>
        <v>0</v>
      </c>
      <c r="J461" s="298" t="s">
        <v>312</v>
      </c>
      <c r="K461" s="298" t="s">
        <v>100</v>
      </c>
      <c r="L461" s="298" t="s">
        <v>1204</v>
      </c>
      <c r="M461" s="297">
        <v>24</v>
      </c>
      <c r="N461" s="298" t="s">
        <v>1231</v>
      </c>
      <c r="O461" s="297">
        <v>24</v>
      </c>
      <c r="P461" s="298" t="s">
        <v>272</v>
      </c>
      <c r="Q461" s="298" t="s">
        <v>273</v>
      </c>
      <c r="R461" s="298"/>
      <c r="S461" s="298" t="s">
        <v>593</v>
      </c>
      <c r="T461" s="298"/>
      <c r="U461" s="298"/>
    </row>
    <row r="462" spans="5:21" ht="15.75" customHeight="1" x14ac:dyDescent="0.3">
      <c r="E462" s="300">
        <v>24</v>
      </c>
      <c r="G462" s="296">
        <v>24</v>
      </c>
      <c r="H462" s="297">
        <v>24</v>
      </c>
      <c r="I462" s="133">
        <f t="shared" si="7"/>
        <v>0</v>
      </c>
      <c r="J462" s="298" t="s">
        <v>312</v>
      </c>
      <c r="K462" s="298" t="s">
        <v>100</v>
      </c>
      <c r="L462" s="298" t="s">
        <v>1198</v>
      </c>
      <c r="M462" s="297">
        <v>24</v>
      </c>
      <c r="N462" s="298" t="s">
        <v>1231</v>
      </c>
      <c r="O462" s="297">
        <v>24</v>
      </c>
      <c r="P462" s="298" t="s">
        <v>272</v>
      </c>
      <c r="Q462" s="298" t="s">
        <v>273</v>
      </c>
      <c r="R462" s="298"/>
      <c r="S462" s="298" t="s">
        <v>593</v>
      </c>
      <c r="T462" s="298"/>
      <c r="U462" s="298"/>
    </row>
    <row r="463" spans="5:21" ht="15.75" customHeight="1" x14ac:dyDescent="0.3">
      <c r="E463" s="300">
        <v>16</v>
      </c>
      <c r="G463" s="296">
        <v>48</v>
      </c>
      <c r="H463" s="297">
        <v>48</v>
      </c>
      <c r="I463" s="133">
        <f t="shared" si="7"/>
        <v>0</v>
      </c>
      <c r="J463" s="298" t="s">
        <v>312</v>
      </c>
      <c r="K463" s="298" t="s">
        <v>100</v>
      </c>
      <c r="L463" s="298" t="s">
        <v>1199</v>
      </c>
      <c r="M463" s="297">
        <v>48</v>
      </c>
      <c r="N463" s="298" t="s">
        <v>1231</v>
      </c>
      <c r="O463" s="297">
        <v>24</v>
      </c>
      <c r="P463" s="298" t="s">
        <v>272</v>
      </c>
      <c r="Q463" s="298" t="s">
        <v>273</v>
      </c>
      <c r="R463" s="298"/>
      <c r="S463" s="298" t="s">
        <v>593</v>
      </c>
      <c r="T463" s="298"/>
      <c r="U463" s="298"/>
    </row>
    <row r="464" spans="5:21" ht="15.75" customHeight="1" x14ac:dyDescent="0.3">
      <c r="E464" s="300">
        <v>16</v>
      </c>
      <c r="G464" s="310">
        <v>24</v>
      </c>
      <c r="H464" s="311">
        <v>48</v>
      </c>
      <c r="I464" s="312">
        <f t="shared" si="7"/>
        <v>-24</v>
      </c>
      <c r="J464" s="298" t="s">
        <v>312</v>
      </c>
      <c r="K464" s="298" t="s">
        <v>100</v>
      </c>
      <c r="L464" s="298" t="s">
        <v>1205</v>
      </c>
      <c r="M464" s="297">
        <v>48</v>
      </c>
      <c r="N464" s="298" t="s">
        <v>1231</v>
      </c>
      <c r="O464" s="297">
        <v>24</v>
      </c>
      <c r="P464" s="298" t="s">
        <v>272</v>
      </c>
      <c r="Q464" s="298" t="s">
        <v>273</v>
      </c>
      <c r="R464" s="298"/>
      <c r="S464" s="298" t="s">
        <v>593</v>
      </c>
      <c r="T464" s="298"/>
      <c r="U464" s="298"/>
    </row>
    <row r="465" spans="5:21" ht="15.75" customHeight="1" x14ac:dyDescent="0.3">
      <c r="E465" s="300">
        <v>16</v>
      </c>
      <c r="G465" s="296">
        <v>24</v>
      </c>
      <c r="H465" s="297">
        <v>24</v>
      </c>
      <c r="I465" s="133">
        <f t="shared" si="7"/>
        <v>0</v>
      </c>
      <c r="J465" s="298" t="s">
        <v>312</v>
      </c>
      <c r="K465" s="298" t="s">
        <v>100</v>
      </c>
      <c r="L465" s="298" t="s">
        <v>1208</v>
      </c>
      <c r="M465" s="297">
        <v>24</v>
      </c>
      <c r="N465" s="298" t="s">
        <v>1231</v>
      </c>
      <c r="O465" s="297">
        <v>24</v>
      </c>
      <c r="P465" s="298" t="s">
        <v>272</v>
      </c>
      <c r="Q465" s="298" t="s">
        <v>273</v>
      </c>
      <c r="R465" s="298"/>
      <c r="S465" s="298" t="s">
        <v>593</v>
      </c>
      <c r="T465" s="298"/>
      <c r="U465" s="298"/>
    </row>
    <row r="466" spans="5:21" ht="15.75" customHeight="1" x14ac:dyDescent="0.3">
      <c r="E466" s="300">
        <v>16</v>
      </c>
      <c r="G466" s="296">
        <v>48</v>
      </c>
      <c r="H466" s="297">
        <v>48</v>
      </c>
      <c r="I466" s="133">
        <f t="shared" si="7"/>
        <v>0</v>
      </c>
      <c r="J466" s="298" t="s">
        <v>312</v>
      </c>
      <c r="K466" s="298" t="s">
        <v>100</v>
      </c>
      <c r="L466" s="298" t="s">
        <v>1209</v>
      </c>
      <c r="M466" s="297">
        <v>48</v>
      </c>
      <c r="N466" s="298" t="s">
        <v>1231</v>
      </c>
      <c r="O466" s="297">
        <v>24</v>
      </c>
      <c r="P466" s="298" t="s">
        <v>272</v>
      </c>
      <c r="Q466" s="298" t="s">
        <v>273</v>
      </c>
      <c r="R466" s="298"/>
      <c r="S466" s="298" t="s">
        <v>593</v>
      </c>
      <c r="T466" s="298"/>
      <c r="U466" s="298"/>
    </row>
    <row r="467" spans="5:21" ht="15.75" customHeight="1" x14ac:dyDescent="0.3">
      <c r="E467" s="300">
        <v>16</v>
      </c>
      <c r="G467" s="296">
        <v>48</v>
      </c>
      <c r="H467" s="297">
        <v>48</v>
      </c>
      <c r="I467" s="133">
        <f t="shared" si="7"/>
        <v>0</v>
      </c>
      <c r="J467" s="298" t="s">
        <v>312</v>
      </c>
      <c r="K467" s="298" t="s">
        <v>100</v>
      </c>
      <c r="L467" s="298" t="s">
        <v>1232</v>
      </c>
      <c r="M467" s="297">
        <v>48</v>
      </c>
      <c r="N467" s="298" t="s">
        <v>1231</v>
      </c>
      <c r="O467" s="297">
        <v>24</v>
      </c>
      <c r="P467" s="298" t="s">
        <v>272</v>
      </c>
      <c r="Q467" s="298" t="s">
        <v>273</v>
      </c>
      <c r="R467" s="298"/>
      <c r="S467" s="298" t="s">
        <v>593</v>
      </c>
      <c r="T467" s="298"/>
      <c r="U467" s="298"/>
    </row>
    <row r="468" spans="5:21" ht="15.75" customHeight="1" x14ac:dyDescent="0.3">
      <c r="E468" s="300">
        <v>16</v>
      </c>
      <c r="G468" s="296">
        <v>8</v>
      </c>
      <c r="H468" s="297">
        <v>8</v>
      </c>
      <c r="I468" s="133">
        <f t="shared" si="7"/>
        <v>0</v>
      </c>
      <c r="J468" s="298" t="s">
        <v>312</v>
      </c>
      <c r="K468" s="298" t="s">
        <v>111</v>
      </c>
      <c r="L468" s="298" t="s">
        <v>1204</v>
      </c>
      <c r="M468" s="297">
        <v>8</v>
      </c>
      <c r="N468" s="298" t="s">
        <v>1231</v>
      </c>
      <c r="O468" s="299"/>
      <c r="P468" s="298" t="s">
        <v>272</v>
      </c>
      <c r="Q468" s="298" t="s">
        <v>273</v>
      </c>
      <c r="R468" s="298"/>
      <c r="S468" s="298" t="s">
        <v>593</v>
      </c>
      <c r="T468" s="298"/>
      <c r="U468" s="298"/>
    </row>
    <row r="469" spans="5:21" ht="15.75" customHeight="1" x14ac:dyDescent="0.3">
      <c r="E469" s="300">
        <v>16</v>
      </c>
      <c r="G469" s="296">
        <v>8</v>
      </c>
      <c r="H469" s="297">
        <v>8</v>
      </c>
      <c r="I469" s="133">
        <f t="shared" si="7"/>
        <v>0</v>
      </c>
      <c r="J469" s="298" t="s">
        <v>312</v>
      </c>
      <c r="K469" s="298" t="s">
        <v>111</v>
      </c>
      <c r="L469" s="298" t="s">
        <v>1198</v>
      </c>
      <c r="M469" s="297">
        <v>8</v>
      </c>
      <c r="N469" s="298" t="s">
        <v>1231</v>
      </c>
      <c r="O469" s="299"/>
      <c r="P469" s="298" t="s">
        <v>272</v>
      </c>
      <c r="Q469" s="298" t="s">
        <v>273</v>
      </c>
      <c r="R469" s="298"/>
      <c r="S469" s="298" t="s">
        <v>593</v>
      </c>
      <c r="T469" s="298"/>
      <c r="U469" s="298"/>
    </row>
    <row r="470" spans="5:21" ht="15.75" customHeight="1" x14ac:dyDescent="0.3">
      <c r="E470" s="295">
        <v>24</v>
      </c>
      <c r="G470" s="296">
        <v>12</v>
      </c>
      <c r="H470" s="297">
        <v>12</v>
      </c>
      <c r="I470" s="133">
        <f t="shared" si="7"/>
        <v>0</v>
      </c>
      <c r="J470" s="298" t="s">
        <v>312</v>
      </c>
      <c r="K470" s="298" t="s">
        <v>111</v>
      </c>
      <c r="L470" s="298" t="s">
        <v>1199</v>
      </c>
      <c r="M470" s="297">
        <v>12</v>
      </c>
      <c r="N470" s="298" t="s">
        <v>1231</v>
      </c>
      <c r="O470" s="299"/>
      <c r="P470" s="298" t="s">
        <v>272</v>
      </c>
      <c r="Q470" s="298" t="s">
        <v>273</v>
      </c>
      <c r="R470" s="298"/>
      <c r="S470" s="298" t="s">
        <v>593</v>
      </c>
      <c r="T470" s="298"/>
      <c r="U470" s="298"/>
    </row>
    <row r="471" spans="5:21" ht="15.75" customHeight="1" x14ac:dyDescent="0.3">
      <c r="E471" s="295">
        <v>24</v>
      </c>
      <c r="G471" s="296">
        <v>8</v>
      </c>
      <c r="H471" s="297">
        <v>8</v>
      </c>
      <c r="I471" s="133">
        <f t="shared" si="7"/>
        <v>0</v>
      </c>
      <c r="J471" s="298" t="s">
        <v>312</v>
      </c>
      <c r="K471" s="298" t="s">
        <v>111</v>
      </c>
      <c r="L471" s="298" t="s">
        <v>1205</v>
      </c>
      <c r="M471" s="297">
        <v>8</v>
      </c>
      <c r="N471" s="298" t="s">
        <v>1231</v>
      </c>
      <c r="O471" s="299"/>
      <c r="P471" s="298" t="s">
        <v>272</v>
      </c>
      <c r="Q471" s="298" t="s">
        <v>273</v>
      </c>
      <c r="R471" s="298"/>
      <c r="S471" s="298" t="s">
        <v>593</v>
      </c>
      <c r="T471" s="298"/>
      <c r="U471" s="298"/>
    </row>
    <row r="472" spans="5:21" ht="15.75" customHeight="1" x14ac:dyDescent="0.3">
      <c r="E472" s="300">
        <v>48</v>
      </c>
      <c r="G472" s="296">
        <v>8</v>
      </c>
      <c r="H472" s="297">
        <v>8</v>
      </c>
      <c r="I472" s="133">
        <f t="shared" si="7"/>
        <v>0</v>
      </c>
      <c r="J472" s="298" t="s">
        <v>312</v>
      </c>
      <c r="K472" s="298" t="s">
        <v>111</v>
      </c>
      <c r="L472" s="298" t="s">
        <v>1208</v>
      </c>
      <c r="M472" s="297">
        <v>8</v>
      </c>
      <c r="N472" s="298" t="s">
        <v>1231</v>
      </c>
      <c r="O472" s="299"/>
      <c r="P472" s="298" t="s">
        <v>272</v>
      </c>
      <c r="Q472" s="298" t="s">
        <v>273</v>
      </c>
      <c r="R472" s="298"/>
      <c r="S472" s="298" t="s">
        <v>593</v>
      </c>
      <c r="T472" s="298"/>
      <c r="U472" s="298"/>
    </row>
    <row r="473" spans="5:21" ht="15.75" customHeight="1" x14ac:dyDescent="0.3">
      <c r="E473" s="295">
        <v>24</v>
      </c>
      <c r="G473" s="296">
        <v>9</v>
      </c>
      <c r="H473" s="297">
        <v>9</v>
      </c>
      <c r="I473" s="133">
        <f t="shared" si="7"/>
        <v>0</v>
      </c>
      <c r="J473" s="298" t="s">
        <v>312</v>
      </c>
      <c r="K473" s="298" t="s">
        <v>111</v>
      </c>
      <c r="L473" s="298" t="s">
        <v>1209</v>
      </c>
      <c r="M473" s="297">
        <v>9</v>
      </c>
      <c r="N473" s="298" t="s">
        <v>1231</v>
      </c>
      <c r="O473" s="299"/>
      <c r="P473" s="298" t="s">
        <v>272</v>
      </c>
      <c r="Q473" s="298" t="s">
        <v>273</v>
      </c>
      <c r="R473" s="298"/>
      <c r="S473" s="298" t="s">
        <v>593</v>
      </c>
      <c r="T473" s="298"/>
      <c r="U473" s="298"/>
    </row>
    <row r="474" spans="5:21" ht="15.75" customHeight="1" x14ac:dyDescent="0.3">
      <c r="E474" s="300">
        <v>24</v>
      </c>
      <c r="G474" s="296">
        <v>8</v>
      </c>
      <c r="H474" s="297">
        <v>8</v>
      </c>
      <c r="I474" s="133">
        <f t="shared" si="7"/>
        <v>0</v>
      </c>
      <c r="J474" s="298" t="s">
        <v>312</v>
      </c>
      <c r="K474" s="298" t="s">
        <v>111</v>
      </c>
      <c r="L474" s="298" t="s">
        <v>1232</v>
      </c>
      <c r="M474" s="297">
        <v>8</v>
      </c>
      <c r="N474" s="298" t="s">
        <v>1231</v>
      </c>
      <c r="O474" s="299"/>
      <c r="P474" s="298" t="s">
        <v>272</v>
      </c>
      <c r="Q474" s="298" t="s">
        <v>273</v>
      </c>
      <c r="R474" s="298"/>
      <c r="S474" s="298" t="s">
        <v>593</v>
      </c>
      <c r="T474" s="298"/>
      <c r="U474" s="298"/>
    </row>
    <row r="475" spans="5:21" ht="15.75" customHeight="1" x14ac:dyDescent="0.3">
      <c r="E475" s="300">
        <v>48</v>
      </c>
      <c r="G475" s="296">
        <v>3</v>
      </c>
      <c r="H475" s="297">
        <v>3</v>
      </c>
      <c r="I475" s="133">
        <f t="shared" si="7"/>
        <v>0</v>
      </c>
      <c r="J475" s="298" t="s">
        <v>312</v>
      </c>
      <c r="K475" s="298" t="s">
        <v>80</v>
      </c>
      <c r="L475" s="298" t="s">
        <v>1204</v>
      </c>
      <c r="M475" s="297">
        <v>3</v>
      </c>
      <c r="N475" s="298" t="s">
        <v>1231</v>
      </c>
      <c r="O475" s="299"/>
      <c r="P475" s="298" t="s">
        <v>272</v>
      </c>
      <c r="Q475" s="298" t="s">
        <v>273</v>
      </c>
      <c r="R475" s="298"/>
      <c r="S475" s="298" t="s">
        <v>593</v>
      </c>
      <c r="T475" s="298"/>
      <c r="U475" s="298"/>
    </row>
    <row r="476" spans="5:21" ht="15.75" customHeight="1" x14ac:dyDescent="0.3">
      <c r="E476" s="300">
        <v>48</v>
      </c>
      <c r="G476" s="296">
        <v>3</v>
      </c>
      <c r="H476" s="297">
        <v>3</v>
      </c>
      <c r="I476" s="133">
        <f t="shared" si="7"/>
        <v>0</v>
      </c>
      <c r="J476" s="298" t="s">
        <v>312</v>
      </c>
      <c r="K476" s="298" t="s">
        <v>80</v>
      </c>
      <c r="L476" s="298" t="s">
        <v>1198</v>
      </c>
      <c r="M476" s="297">
        <v>3</v>
      </c>
      <c r="N476" s="298" t="s">
        <v>1231</v>
      </c>
      <c r="O476" s="299"/>
      <c r="P476" s="298" t="s">
        <v>272</v>
      </c>
      <c r="Q476" s="298" t="s">
        <v>273</v>
      </c>
      <c r="R476" s="298"/>
      <c r="S476" s="298" t="s">
        <v>593</v>
      </c>
      <c r="T476" s="298"/>
      <c r="U476" s="298"/>
    </row>
    <row r="477" spans="5:21" ht="15.75" customHeight="1" x14ac:dyDescent="0.3">
      <c r="E477" s="300">
        <v>8</v>
      </c>
      <c r="G477" s="296">
        <v>3</v>
      </c>
      <c r="H477" s="297">
        <v>3</v>
      </c>
      <c r="I477" s="133">
        <f t="shared" si="7"/>
        <v>0</v>
      </c>
      <c r="J477" s="298" t="s">
        <v>312</v>
      </c>
      <c r="K477" s="298" t="s">
        <v>80</v>
      </c>
      <c r="L477" s="298" t="s">
        <v>1199</v>
      </c>
      <c r="M477" s="297">
        <v>3</v>
      </c>
      <c r="N477" s="298" t="s">
        <v>1231</v>
      </c>
      <c r="O477" s="299"/>
      <c r="P477" s="298" t="s">
        <v>272</v>
      </c>
      <c r="Q477" s="298" t="s">
        <v>273</v>
      </c>
      <c r="R477" s="298"/>
      <c r="S477" s="298" t="s">
        <v>593</v>
      </c>
      <c r="T477" s="298"/>
      <c r="U477" s="298"/>
    </row>
    <row r="478" spans="5:21" ht="15.75" customHeight="1" x14ac:dyDescent="0.3">
      <c r="E478" s="300">
        <v>8</v>
      </c>
      <c r="G478" s="296">
        <v>3</v>
      </c>
      <c r="H478" s="297">
        <v>3</v>
      </c>
      <c r="I478" s="133">
        <f t="shared" si="7"/>
        <v>0</v>
      </c>
      <c r="J478" s="298" t="s">
        <v>312</v>
      </c>
      <c r="K478" s="298" t="s">
        <v>80</v>
      </c>
      <c r="L478" s="298" t="s">
        <v>1205</v>
      </c>
      <c r="M478" s="297">
        <v>3</v>
      </c>
      <c r="N478" s="298" t="s">
        <v>1231</v>
      </c>
      <c r="O478" s="299"/>
      <c r="P478" s="298" t="s">
        <v>272</v>
      </c>
      <c r="Q478" s="298" t="s">
        <v>273</v>
      </c>
      <c r="R478" s="298"/>
      <c r="S478" s="298" t="s">
        <v>593</v>
      </c>
      <c r="T478" s="298"/>
      <c r="U478" s="298"/>
    </row>
    <row r="479" spans="5:21" ht="15.75" customHeight="1" x14ac:dyDescent="0.3">
      <c r="E479" s="300">
        <v>12</v>
      </c>
      <c r="G479" s="296">
        <v>3</v>
      </c>
      <c r="H479" s="297">
        <v>3</v>
      </c>
      <c r="I479" s="133">
        <f t="shared" si="7"/>
        <v>0</v>
      </c>
      <c r="J479" s="298" t="s">
        <v>312</v>
      </c>
      <c r="K479" s="298" t="s">
        <v>80</v>
      </c>
      <c r="L479" s="298" t="s">
        <v>1208</v>
      </c>
      <c r="M479" s="297">
        <v>3</v>
      </c>
      <c r="N479" s="298" t="s">
        <v>1231</v>
      </c>
      <c r="O479" s="299"/>
      <c r="P479" s="298" t="s">
        <v>272</v>
      </c>
      <c r="Q479" s="298" t="s">
        <v>273</v>
      </c>
      <c r="R479" s="298"/>
      <c r="S479" s="298" t="s">
        <v>593</v>
      </c>
      <c r="T479" s="298"/>
      <c r="U479" s="298"/>
    </row>
    <row r="480" spans="5:21" ht="15.75" customHeight="1" x14ac:dyDescent="0.3">
      <c r="E480" s="300">
        <v>8</v>
      </c>
      <c r="G480" s="296">
        <v>3</v>
      </c>
      <c r="H480" s="297">
        <v>3</v>
      </c>
      <c r="I480" s="133">
        <f t="shared" si="7"/>
        <v>0</v>
      </c>
      <c r="J480" s="298" t="s">
        <v>312</v>
      </c>
      <c r="K480" s="298" t="s">
        <v>80</v>
      </c>
      <c r="L480" s="298" t="s">
        <v>1209</v>
      </c>
      <c r="M480" s="297">
        <v>3</v>
      </c>
      <c r="N480" s="298" t="s">
        <v>1231</v>
      </c>
      <c r="O480" s="299"/>
      <c r="P480" s="298" t="s">
        <v>272</v>
      </c>
      <c r="Q480" s="298" t="s">
        <v>273</v>
      </c>
      <c r="R480" s="298"/>
      <c r="S480" s="298" t="s">
        <v>593</v>
      </c>
      <c r="T480" s="298"/>
      <c r="U480" s="298"/>
    </row>
    <row r="481" spans="5:21" ht="15.75" customHeight="1" x14ac:dyDescent="0.3">
      <c r="E481" s="300">
        <v>8</v>
      </c>
      <c r="G481" s="296">
        <v>3</v>
      </c>
      <c r="H481" s="297">
        <v>3</v>
      </c>
      <c r="I481" s="133">
        <f t="shared" si="7"/>
        <v>0</v>
      </c>
      <c r="J481" s="298" t="s">
        <v>312</v>
      </c>
      <c r="K481" s="298" t="s">
        <v>80</v>
      </c>
      <c r="L481" s="298" t="s">
        <v>1232</v>
      </c>
      <c r="M481" s="297">
        <v>3</v>
      </c>
      <c r="N481" s="298" t="s">
        <v>1231</v>
      </c>
      <c r="O481" s="299"/>
      <c r="P481" s="298" t="s">
        <v>272</v>
      </c>
      <c r="Q481" s="298" t="s">
        <v>273</v>
      </c>
      <c r="R481" s="298"/>
      <c r="S481" s="298" t="s">
        <v>593</v>
      </c>
      <c r="T481" s="298"/>
      <c r="U481" s="298"/>
    </row>
    <row r="482" spans="5:21" ht="15.75" customHeight="1" x14ac:dyDescent="0.3">
      <c r="E482" s="295">
        <v>9</v>
      </c>
      <c r="G482" s="296">
        <v>24</v>
      </c>
      <c r="H482" s="297">
        <v>24</v>
      </c>
      <c r="I482" s="133">
        <f t="shared" si="7"/>
        <v>0</v>
      </c>
      <c r="J482" s="298" t="s">
        <v>317</v>
      </c>
      <c r="K482" s="298" t="s">
        <v>73</v>
      </c>
      <c r="L482" s="298" t="s">
        <v>1233</v>
      </c>
      <c r="M482" s="297">
        <v>24</v>
      </c>
      <c r="N482" s="298" t="s">
        <v>1234</v>
      </c>
      <c r="O482" s="297">
        <v>24</v>
      </c>
      <c r="P482" s="298" t="s">
        <v>257</v>
      </c>
      <c r="Q482" s="298" t="s">
        <v>258</v>
      </c>
      <c r="R482" s="298"/>
      <c r="S482" s="298" t="s">
        <v>565</v>
      </c>
      <c r="T482" s="298" t="s">
        <v>1218</v>
      </c>
      <c r="U482" s="298" t="s">
        <v>1227</v>
      </c>
    </row>
    <row r="483" spans="5:21" ht="15.75" customHeight="1" x14ac:dyDescent="0.3">
      <c r="E483" s="295">
        <v>8</v>
      </c>
      <c r="G483" s="296">
        <v>1</v>
      </c>
      <c r="H483" s="297">
        <v>1</v>
      </c>
      <c r="I483" s="133">
        <f t="shared" si="7"/>
        <v>0</v>
      </c>
      <c r="J483" s="298" t="s">
        <v>317</v>
      </c>
      <c r="K483" s="298" t="s">
        <v>87</v>
      </c>
      <c r="L483" s="298" t="s">
        <v>1235</v>
      </c>
      <c r="M483" s="297">
        <v>1</v>
      </c>
      <c r="N483" s="298" t="s">
        <v>1234</v>
      </c>
      <c r="O483" s="299"/>
      <c r="P483" s="298" t="s">
        <v>257</v>
      </c>
      <c r="Q483" s="298" t="s">
        <v>258</v>
      </c>
      <c r="R483" s="298"/>
      <c r="S483" s="298" t="s">
        <v>565</v>
      </c>
      <c r="T483" s="298" t="s">
        <v>1218</v>
      </c>
      <c r="U483" s="298" t="s">
        <v>1236</v>
      </c>
    </row>
    <row r="484" spans="5:21" ht="15.75" customHeight="1" x14ac:dyDescent="0.3">
      <c r="E484" s="300">
        <v>3</v>
      </c>
      <c r="G484" s="296">
        <v>1</v>
      </c>
      <c r="H484" s="297">
        <v>1</v>
      </c>
      <c r="I484" s="133">
        <f t="shared" si="7"/>
        <v>0</v>
      </c>
      <c r="J484" s="298" t="s">
        <v>317</v>
      </c>
      <c r="K484" s="298" t="s">
        <v>87</v>
      </c>
      <c r="L484" s="298" t="s">
        <v>1237</v>
      </c>
      <c r="M484" s="297">
        <v>1</v>
      </c>
      <c r="N484" s="298" t="s">
        <v>1234</v>
      </c>
      <c r="O484" s="299"/>
      <c r="P484" s="298" t="s">
        <v>257</v>
      </c>
      <c r="Q484" s="298" t="s">
        <v>258</v>
      </c>
      <c r="R484" s="298"/>
      <c r="S484" s="298" t="s">
        <v>565</v>
      </c>
      <c r="T484" s="298"/>
      <c r="U484" s="298" t="s">
        <v>1238</v>
      </c>
    </row>
    <row r="485" spans="5:21" ht="15.75" customHeight="1" x14ac:dyDescent="0.3">
      <c r="E485" s="300">
        <v>3</v>
      </c>
      <c r="G485" s="296">
        <v>8</v>
      </c>
      <c r="H485" s="297">
        <v>8</v>
      </c>
      <c r="I485" s="133">
        <f t="shared" si="7"/>
        <v>0</v>
      </c>
      <c r="J485" s="298" t="s">
        <v>317</v>
      </c>
      <c r="K485" s="298" t="s">
        <v>79</v>
      </c>
      <c r="L485" s="298" t="s">
        <v>1233</v>
      </c>
      <c r="M485" s="297">
        <v>8</v>
      </c>
      <c r="N485" s="298" t="s">
        <v>1234</v>
      </c>
      <c r="O485" s="297">
        <v>8</v>
      </c>
      <c r="P485" s="298" t="s">
        <v>257</v>
      </c>
      <c r="Q485" s="298" t="s">
        <v>258</v>
      </c>
      <c r="R485" s="298"/>
      <c r="S485" s="298" t="s">
        <v>565</v>
      </c>
      <c r="T485" s="298" t="s">
        <v>1177</v>
      </c>
      <c r="U485" s="298" t="s">
        <v>1227</v>
      </c>
    </row>
    <row r="486" spans="5:21" ht="15.75" customHeight="1" x14ac:dyDescent="0.3">
      <c r="E486" s="300">
        <v>3</v>
      </c>
      <c r="G486" s="296">
        <v>1</v>
      </c>
      <c r="H486" s="297">
        <v>1</v>
      </c>
      <c r="I486" s="133">
        <f t="shared" si="7"/>
        <v>0</v>
      </c>
      <c r="J486" s="298" t="s">
        <v>317</v>
      </c>
      <c r="K486" s="298" t="s">
        <v>80</v>
      </c>
      <c r="L486" s="298" t="s">
        <v>1235</v>
      </c>
      <c r="M486" s="297">
        <v>1</v>
      </c>
      <c r="N486" s="298" t="s">
        <v>1234</v>
      </c>
      <c r="O486" s="299"/>
      <c r="P486" s="298" t="s">
        <v>257</v>
      </c>
      <c r="Q486" s="298" t="s">
        <v>258</v>
      </c>
      <c r="R486" s="298"/>
      <c r="S486" s="298" t="s">
        <v>565</v>
      </c>
      <c r="T486" s="298"/>
      <c r="U486" s="298" t="s">
        <v>1236</v>
      </c>
    </row>
    <row r="487" spans="5:21" ht="15.75" customHeight="1" x14ac:dyDescent="0.3">
      <c r="E487" s="300">
        <v>3</v>
      </c>
      <c r="G487" s="296">
        <v>1</v>
      </c>
      <c r="H487" s="297">
        <v>1</v>
      </c>
      <c r="I487" s="133">
        <f t="shared" si="7"/>
        <v>0</v>
      </c>
      <c r="J487" s="298" t="s">
        <v>317</v>
      </c>
      <c r="K487" s="298" t="s">
        <v>80</v>
      </c>
      <c r="L487" s="298" t="s">
        <v>1237</v>
      </c>
      <c r="M487" s="297">
        <v>1</v>
      </c>
      <c r="N487" s="298" t="s">
        <v>1234</v>
      </c>
      <c r="O487" s="299"/>
      <c r="P487" s="298" t="s">
        <v>257</v>
      </c>
      <c r="Q487" s="298" t="s">
        <v>258</v>
      </c>
      <c r="R487" s="298"/>
      <c r="S487" s="298" t="s">
        <v>565</v>
      </c>
      <c r="T487" s="298"/>
      <c r="U487" s="298" t="s">
        <v>1238</v>
      </c>
    </row>
    <row r="488" spans="5:21" ht="15.75" customHeight="1" x14ac:dyDescent="0.3">
      <c r="E488" s="300">
        <v>3</v>
      </c>
      <c r="G488" s="310">
        <v>68</v>
      </c>
      <c r="H488" s="297">
        <v>68</v>
      </c>
      <c r="I488" s="133">
        <f t="shared" si="7"/>
        <v>0</v>
      </c>
      <c r="J488" s="298" t="s">
        <v>324</v>
      </c>
      <c r="K488" s="298" t="s">
        <v>73</v>
      </c>
      <c r="L488" s="298" t="s">
        <v>1239</v>
      </c>
      <c r="M488" s="297">
        <v>68</v>
      </c>
      <c r="N488" s="298" t="s">
        <v>319</v>
      </c>
      <c r="O488" s="297">
        <v>68</v>
      </c>
      <c r="P488" s="298" t="s">
        <v>96</v>
      </c>
      <c r="Q488" s="298" t="s">
        <v>97</v>
      </c>
      <c r="R488" s="298"/>
      <c r="S488" s="298" t="s">
        <v>565</v>
      </c>
      <c r="T488" s="298"/>
      <c r="U488" s="298" t="s">
        <v>1240</v>
      </c>
    </row>
    <row r="489" spans="5:21" ht="15.75" customHeight="1" x14ac:dyDescent="0.3">
      <c r="E489" s="300">
        <v>3</v>
      </c>
      <c r="G489" s="310">
        <v>20</v>
      </c>
      <c r="H489" s="297">
        <v>20</v>
      </c>
      <c r="I489" s="133">
        <f t="shared" si="7"/>
        <v>0</v>
      </c>
      <c r="J489" s="298" t="s">
        <v>324</v>
      </c>
      <c r="K489" s="298" t="s">
        <v>79</v>
      </c>
      <c r="L489" s="298" t="s">
        <v>1239</v>
      </c>
      <c r="M489" s="297">
        <v>20</v>
      </c>
      <c r="N489" s="298" t="s">
        <v>319</v>
      </c>
      <c r="O489" s="297">
        <v>20</v>
      </c>
      <c r="P489" s="298" t="s">
        <v>96</v>
      </c>
      <c r="Q489" s="298" t="s">
        <v>97</v>
      </c>
      <c r="R489" s="298"/>
      <c r="S489" s="298" t="s">
        <v>565</v>
      </c>
      <c r="T489" s="298"/>
      <c r="U489" s="298" t="s">
        <v>1240</v>
      </c>
    </row>
    <row r="490" spans="5:21" ht="15.75" customHeight="1" x14ac:dyDescent="0.3">
      <c r="E490" s="300">
        <v>3</v>
      </c>
      <c r="G490" s="310">
        <v>2</v>
      </c>
      <c r="H490" s="297">
        <v>2</v>
      </c>
      <c r="I490" s="133">
        <f t="shared" si="7"/>
        <v>0</v>
      </c>
      <c r="J490" s="298" t="s">
        <v>324</v>
      </c>
      <c r="K490" s="298" t="s">
        <v>111</v>
      </c>
      <c r="L490" s="298" t="s">
        <v>1239</v>
      </c>
      <c r="M490" s="297">
        <v>2</v>
      </c>
      <c r="N490" s="298" t="s">
        <v>319</v>
      </c>
      <c r="O490" s="299"/>
      <c r="P490" s="298" t="s">
        <v>96</v>
      </c>
      <c r="Q490" s="298" t="s">
        <v>97</v>
      </c>
      <c r="R490" s="298"/>
      <c r="S490" s="298" t="s">
        <v>565</v>
      </c>
      <c r="T490" s="298"/>
      <c r="U490" s="298" t="s">
        <v>1240</v>
      </c>
    </row>
    <row r="491" spans="5:21" ht="15.75" customHeight="1" x14ac:dyDescent="0.3">
      <c r="E491" s="300">
        <v>24</v>
      </c>
      <c r="G491" s="310">
        <v>5</v>
      </c>
      <c r="H491" s="297">
        <v>5</v>
      </c>
      <c r="I491" s="133">
        <f t="shared" si="7"/>
        <v>0</v>
      </c>
      <c r="J491" s="298" t="s">
        <v>324</v>
      </c>
      <c r="K491" s="298" t="s">
        <v>80</v>
      </c>
      <c r="L491" s="298" t="s">
        <v>1239</v>
      </c>
      <c r="M491" s="297">
        <v>5</v>
      </c>
      <c r="N491" s="298" t="s">
        <v>319</v>
      </c>
      <c r="O491" s="299"/>
      <c r="P491" s="298" t="s">
        <v>96</v>
      </c>
      <c r="Q491" s="298" t="s">
        <v>97</v>
      </c>
      <c r="R491" s="298"/>
      <c r="S491" s="298" t="s">
        <v>565</v>
      </c>
      <c r="T491" s="298"/>
      <c r="U491" s="298" t="s">
        <v>1240</v>
      </c>
    </row>
    <row r="492" spans="5:21" ht="15.75" customHeight="1" x14ac:dyDescent="0.3">
      <c r="E492" s="300">
        <v>1</v>
      </c>
      <c r="G492" s="303">
        <v>16</v>
      </c>
      <c r="H492" s="297">
        <v>16</v>
      </c>
      <c r="I492" s="133">
        <f t="shared" si="7"/>
        <v>0</v>
      </c>
      <c r="J492" s="298" t="s">
        <v>327</v>
      </c>
      <c r="K492" s="298" t="s">
        <v>73</v>
      </c>
      <c r="L492" s="298" t="s">
        <v>1168</v>
      </c>
      <c r="M492" s="297">
        <v>16</v>
      </c>
      <c r="N492" s="298" t="s">
        <v>603</v>
      </c>
      <c r="O492" s="297">
        <v>16</v>
      </c>
      <c r="P492" s="298" t="s">
        <v>328</v>
      </c>
      <c r="Q492" s="298" t="s">
        <v>329</v>
      </c>
      <c r="R492" s="298"/>
      <c r="S492" s="298" t="s">
        <v>593</v>
      </c>
      <c r="T492" s="298" t="s">
        <v>205</v>
      </c>
      <c r="U492" s="298" t="s">
        <v>1241</v>
      </c>
    </row>
    <row r="493" spans="5:21" ht="15.75" customHeight="1" x14ac:dyDescent="0.3">
      <c r="E493" s="300">
        <v>1</v>
      </c>
      <c r="G493" s="296">
        <v>32</v>
      </c>
      <c r="H493" s="297">
        <v>32</v>
      </c>
      <c r="I493" s="133">
        <f t="shared" si="7"/>
        <v>0</v>
      </c>
      <c r="J493" s="298" t="s">
        <v>327</v>
      </c>
      <c r="K493" s="298" t="s">
        <v>73</v>
      </c>
      <c r="L493" s="298" t="s">
        <v>1185</v>
      </c>
      <c r="M493" s="297">
        <v>32</v>
      </c>
      <c r="N493" s="298" t="s">
        <v>621</v>
      </c>
      <c r="O493" s="297">
        <v>32</v>
      </c>
      <c r="P493" s="298" t="s">
        <v>84</v>
      </c>
      <c r="Q493" s="298" t="s">
        <v>85</v>
      </c>
      <c r="R493" s="298"/>
      <c r="S493" s="298" t="s">
        <v>593</v>
      </c>
      <c r="T493" s="298" t="s">
        <v>205</v>
      </c>
      <c r="U493" s="298" t="s">
        <v>1166</v>
      </c>
    </row>
    <row r="494" spans="5:21" ht="15.75" customHeight="1" x14ac:dyDescent="0.3">
      <c r="E494" s="300">
        <v>8</v>
      </c>
      <c r="G494" s="303">
        <v>6</v>
      </c>
      <c r="H494" s="297">
        <v>6</v>
      </c>
      <c r="I494" s="133">
        <f t="shared" si="7"/>
        <v>0</v>
      </c>
      <c r="J494" s="298" t="s">
        <v>327</v>
      </c>
      <c r="K494" s="298" t="s">
        <v>87</v>
      </c>
      <c r="L494" s="298" t="s">
        <v>1168</v>
      </c>
      <c r="M494" s="297">
        <v>6</v>
      </c>
      <c r="N494" s="298" t="s">
        <v>603</v>
      </c>
      <c r="O494" s="299"/>
      <c r="P494" s="298" t="s">
        <v>328</v>
      </c>
      <c r="Q494" s="298" t="s">
        <v>329</v>
      </c>
      <c r="R494" s="298"/>
      <c r="S494" s="298" t="s">
        <v>593</v>
      </c>
      <c r="T494" s="298" t="s">
        <v>1182</v>
      </c>
      <c r="U494" s="298" t="s">
        <v>1241</v>
      </c>
    </row>
    <row r="495" spans="5:21" ht="15.75" customHeight="1" x14ac:dyDescent="0.3">
      <c r="E495" s="300">
        <v>1</v>
      </c>
      <c r="G495" s="303">
        <v>2</v>
      </c>
      <c r="H495" s="297">
        <v>2</v>
      </c>
      <c r="I495" s="133">
        <f t="shared" si="7"/>
        <v>0</v>
      </c>
      <c r="J495" s="298" t="s">
        <v>327</v>
      </c>
      <c r="K495" s="298" t="s">
        <v>87</v>
      </c>
      <c r="L495" s="298" t="s">
        <v>1168</v>
      </c>
      <c r="M495" s="297">
        <v>2</v>
      </c>
      <c r="N495" s="298" t="s">
        <v>603</v>
      </c>
      <c r="O495" s="299"/>
      <c r="P495" s="298"/>
      <c r="Q495" s="298"/>
      <c r="R495" s="298"/>
      <c r="S495" s="298" t="s">
        <v>593</v>
      </c>
      <c r="T495" s="298"/>
      <c r="U495" s="298"/>
    </row>
    <row r="496" spans="5:21" ht="15.75" customHeight="1" x14ac:dyDescent="0.3">
      <c r="E496" s="300">
        <v>1</v>
      </c>
      <c r="G496" s="296">
        <v>5</v>
      </c>
      <c r="H496" s="297">
        <v>5</v>
      </c>
      <c r="I496" s="133">
        <f t="shared" si="7"/>
        <v>0</v>
      </c>
      <c r="J496" s="298" t="s">
        <v>327</v>
      </c>
      <c r="K496" s="298" t="s">
        <v>87</v>
      </c>
      <c r="L496" s="298" t="s">
        <v>1185</v>
      </c>
      <c r="M496" s="297">
        <v>5</v>
      </c>
      <c r="N496" s="298" t="s">
        <v>621</v>
      </c>
      <c r="O496" s="299"/>
      <c r="P496" s="298" t="s">
        <v>84</v>
      </c>
      <c r="Q496" s="298" t="s">
        <v>85</v>
      </c>
      <c r="R496" s="298"/>
      <c r="S496" s="298" t="s">
        <v>593</v>
      </c>
      <c r="T496" s="298"/>
      <c r="U496" s="298"/>
    </row>
    <row r="497" spans="5:21" ht="15.75" customHeight="1" x14ac:dyDescent="0.3">
      <c r="E497" s="300">
        <v>68</v>
      </c>
      <c r="G497" s="296">
        <v>2</v>
      </c>
      <c r="H497" s="297">
        <v>2</v>
      </c>
      <c r="I497" s="133">
        <f t="shared" si="7"/>
        <v>0</v>
      </c>
      <c r="J497" s="298" t="s">
        <v>327</v>
      </c>
      <c r="K497" s="298" t="s">
        <v>87</v>
      </c>
      <c r="L497" s="298" t="s">
        <v>1185</v>
      </c>
      <c r="M497" s="297">
        <v>2</v>
      </c>
      <c r="N497" s="298" t="s">
        <v>621</v>
      </c>
      <c r="O497" s="299"/>
      <c r="P497" s="298"/>
      <c r="Q497" s="298"/>
      <c r="R497" s="298"/>
      <c r="S497" s="298" t="s">
        <v>593</v>
      </c>
      <c r="T497" s="298"/>
      <c r="U497" s="298"/>
    </row>
    <row r="498" spans="5:21" ht="15.75" customHeight="1" x14ac:dyDescent="0.3">
      <c r="E498" s="300">
        <v>20</v>
      </c>
      <c r="G498" s="303">
        <v>38</v>
      </c>
      <c r="H498" s="297">
        <v>38</v>
      </c>
      <c r="I498" s="133">
        <f t="shared" si="7"/>
        <v>0</v>
      </c>
      <c r="J498" s="298" t="s">
        <v>327</v>
      </c>
      <c r="K498" s="298" t="s">
        <v>79</v>
      </c>
      <c r="L498" s="298" t="s">
        <v>1168</v>
      </c>
      <c r="M498" s="297">
        <v>38</v>
      </c>
      <c r="N498" s="298" t="s">
        <v>603</v>
      </c>
      <c r="O498" s="297">
        <v>38</v>
      </c>
      <c r="P498" s="298" t="s">
        <v>328</v>
      </c>
      <c r="Q498" s="298" t="s">
        <v>329</v>
      </c>
      <c r="R498" s="298"/>
      <c r="S498" s="298" t="s">
        <v>593</v>
      </c>
      <c r="T498" s="298" t="s">
        <v>1182</v>
      </c>
      <c r="U498" s="298" t="s">
        <v>1241</v>
      </c>
    </row>
    <row r="499" spans="5:21" ht="15.75" customHeight="1" x14ac:dyDescent="0.3">
      <c r="E499" s="300">
        <v>2</v>
      </c>
      <c r="G499" s="296">
        <v>22</v>
      </c>
      <c r="H499" s="297">
        <v>22</v>
      </c>
      <c r="I499" s="133">
        <f t="shared" si="7"/>
        <v>0</v>
      </c>
      <c r="J499" s="298" t="s">
        <v>327</v>
      </c>
      <c r="K499" s="298" t="s">
        <v>79</v>
      </c>
      <c r="L499" s="298" t="s">
        <v>1185</v>
      </c>
      <c r="M499" s="297">
        <v>22</v>
      </c>
      <c r="N499" s="298" t="s">
        <v>621</v>
      </c>
      <c r="O499" s="297">
        <v>22</v>
      </c>
      <c r="P499" s="298" t="s">
        <v>84</v>
      </c>
      <c r="Q499" s="298" t="s">
        <v>85</v>
      </c>
      <c r="R499" s="298"/>
      <c r="S499" s="298" t="s">
        <v>593</v>
      </c>
      <c r="T499" s="298" t="s">
        <v>1167</v>
      </c>
      <c r="U499" s="298" t="s">
        <v>1166</v>
      </c>
    </row>
    <row r="500" spans="5:21" ht="15.75" customHeight="1" x14ac:dyDescent="0.3">
      <c r="E500" s="300">
        <v>5</v>
      </c>
      <c r="G500" s="296">
        <v>48</v>
      </c>
      <c r="H500" s="297">
        <v>48</v>
      </c>
      <c r="I500" s="133">
        <f t="shared" si="7"/>
        <v>0</v>
      </c>
      <c r="J500" s="298" t="s">
        <v>327</v>
      </c>
      <c r="K500" s="298" t="s">
        <v>100</v>
      </c>
      <c r="L500" s="298" t="s">
        <v>1185</v>
      </c>
      <c r="M500" s="297">
        <v>48</v>
      </c>
      <c r="N500" s="298" t="s">
        <v>621</v>
      </c>
      <c r="O500" s="297">
        <v>24</v>
      </c>
      <c r="P500" s="298" t="s">
        <v>84</v>
      </c>
      <c r="Q500" s="298" t="s">
        <v>85</v>
      </c>
      <c r="R500" s="298"/>
      <c r="S500" s="298" t="s">
        <v>593</v>
      </c>
      <c r="T500" s="298" t="s">
        <v>1167</v>
      </c>
      <c r="U500" s="298" t="s">
        <v>1166</v>
      </c>
    </row>
    <row r="501" spans="5:21" ht="15.75" customHeight="1" x14ac:dyDescent="0.3">
      <c r="E501" s="307">
        <v>16</v>
      </c>
      <c r="G501" s="303">
        <v>1</v>
      </c>
      <c r="H501" s="297">
        <v>1</v>
      </c>
      <c r="I501" s="133">
        <f t="shared" si="7"/>
        <v>0</v>
      </c>
      <c r="J501" s="298" t="s">
        <v>327</v>
      </c>
      <c r="K501" s="298" t="s">
        <v>80</v>
      </c>
      <c r="L501" s="298" t="s">
        <v>1168</v>
      </c>
      <c r="M501" s="297">
        <v>1</v>
      </c>
      <c r="N501" s="298" t="s">
        <v>603</v>
      </c>
      <c r="O501" s="299"/>
      <c r="P501" s="298" t="s">
        <v>328</v>
      </c>
      <c r="Q501" s="298" t="s">
        <v>329</v>
      </c>
      <c r="R501" s="298"/>
      <c r="S501" s="298" t="s">
        <v>593</v>
      </c>
      <c r="T501" s="298"/>
      <c r="U501" s="298" t="s">
        <v>1241</v>
      </c>
    </row>
    <row r="502" spans="5:21" ht="15.75" customHeight="1" x14ac:dyDescent="0.3">
      <c r="E502" s="307">
        <v>32</v>
      </c>
      <c r="G502" s="296">
        <v>2</v>
      </c>
      <c r="H502" s="297">
        <v>2</v>
      </c>
      <c r="I502" s="133">
        <f t="shared" si="7"/>
        <v>0</v>
      </c>
      <c r="J502" s="298" t="s">
        <v>327</v>
      </c>
      <c r="K502" s="298" t="s">
        <v>80</v>
      </c>
      <c r="L502" s="298" t="s">
        <v>1185</v>
      </c>
      <c r="M502" s="297">
        <v>2</v>
      </c>
      <c r="N502" s="298" t="s">
        <v>621</v>
      </c>
      <c r="O502" s="299"/>
      <c r="P502" s="298" t="s">
        <v>84</v>
      </c>
      <c r="Q502" s="298" t="s">
        <v>85</v>
      </c>
      <c r="R502" s="298"/>
      <c r="S502" s="298" t="s">
        <v>593</v>
      </c>
      <c r="T502" s="298"/>
      <c r="U502" s="298"/>
    </row>
    <row r="503" spans="5:21" ht="15.75" customHeight="1" x14ac:dyDescent="0.3">
      <c r="E503" s="307">
        <v>6</v>
      </c>
      <c r="G503" s="296">
        <v>12</v>
      </c>
      <c r="H503" s="297">
        <v>12</v>
      </c>
      <c r="I503" s="133">
        <f t="shared" si="7"/>
        <v>0</v>
      </c>
      <c r="J503" s="298" t="s">
        <v>1242</v>
      </c>
      <c r="K503" s="298" t="s">
        <v>73</v>
      </c>
      <c r="L503" s="298" t="s">
        <v>1224</v>
      </c>
      <c r="M503" s="297">
        <v>12</v>
      </c>
      <c r="N503" s="298" t="s">
        <v>133</v>
      </c>
      <c r="O503" s="297">
        <v>12</v>
      </c>
      <c r="P503" s="298" t="s">
        <v>65</v>
      </c>
      <c r="Q503" s="298" t="s">
        <v>66</v>
      </c>
      <c r="R503" s="298"/>
      <c r="S503" s="298" t="s">
        <v>593</v>
      </c>
      <c r="T503" s="298" t="s">
        <v>1172</v>
      </c>
      <c r="U503" s="298" t="s">
        <v>1215</v>
      </c>
    </row>
    <row r="504" spans="5:21" ht="15.75" customHeight="1" x14ac:dyDescent="0.3">
      <c r="E504" s="307">
        <v>2</v>
      </c>
      <c r="G504" s="296">
        <v>2</v>
      </c>
      <c r="H504" s="297">
        <v>2</v>
      </c>
      <c r="I504" s="133">
        <f t="shared" si="7"/>
        <v>0</v>
      </c>
      <c r="J504" s="298" t="s">
        <v>1242</v>
      </c>
      <c r="K504" s="298" t="s">
        <v>87</v>
      </c>
      <c r="L504" s="298" t="s">
        <v>1224</v>
      </c>
      <c r="M504" s="297">
        <v>2</v>
      </c>
      <c r="N504" s="298" t="s">
        <v>133</v>
      </c>
      <c r="O504" s="299"/>
      <c r="P504" s="298" t="s">
        <v>65</v>
      </c>
      <c r="Q504" s="298" t="s">
        <v>66</v>
      </c>
      <c r="R504" s="298"/>
      <c r="S504" s="298" t="s">
        <v>593</v>
      </c>
      <c r="T504" s="298"/>
      <c r="U504" s="298"/>
    </row>
    <row r="505" spans="5:21" ht="15.75" customHeight="1" x14ac:dyDescent="0.3">
      <c r="E505" s="307">
        <v>5</v>
      </c>
      <c r="G505" s="296">
        <v>42</v>
      </c>
      <c r="H505" s="297">
        <v>42</v>
      </c>
      <c r="I505" s="133">
        <f t="shared" si="7"/>
        <v>0</v>
      </c>
      <c r="J505" s="298" t="s">
        <v>1242</v>
      </c>
      <c r="K505" s="298" t="s">
        <v>79</v>
      </c>
      <c r="L505" s="298" t="s">
        <v>1224</v>
      </c>
      <c r="M505" s="297">
        <v>42</v>
      </c>
      <c r="N505" s="298" t="s">
        <v>133</v>
      </c>
      <c r="O505" s="297">
        <v>42</v>
      </c>
      <c r="P505" s="298" t="s">
        <v>65</v>
      </c>
      <c r="Q505" s="298" t="s">
        <v>66</v>
      </c>
      <c r="R505" s="298"/>
      <c r="S505" s="298" t="s">
        <v>593</v>
      </c>
      <c r="T505" s="298" t="s">
        <v>1172</v>
      </c>
      <c r="U505" s="298" t="s">
        <v>1215</v>
      </c>
    </row>
    <row r="506" spans="5:21" ht="15.75" customHeight="1" x14ac:dyDescent="0.3">
      <c r="E506" s="307">
        <v>2</v>
      </c>
      <c r="G506" s="296">
        <v>1</v>
      </c>
      <c r="H506" s="297">
        <v>1</v>
      </c>
      <c r="I506" s="133">
        <f t="shared" si="7"/>
        <v>0</v>
      </c>
      <c r="J506" s="298" t="s">
        <v>1242</v>
      </c>
      <c r="K506" s="298" t="s">
        <v>80</v>
      </c>
      <c r="L506" s="298" t="s">
        <v>1224</v>
      </c>
      <c r="M506" s="297">
        <v>1</v>
      </c>
      <c r="N506" s="298" t="s">
        <v>133</v>
      </c>
      <c r="O506" s="299"/>
      <c r="P506" s="298" t="s">
        <v>65</v>
      </c>
      <c r="Q506" s="298" t="s">
        <v>66</v>
      </c>
      <c r="R506" s="298"/>
      <c r="S506" s="298" t="s">
        <v>593</v>
      </c>
      <c r="T506" s="298"/>
      <c r="U506" s="298"/>
    </row>
    <row r="507" spans="5:21" ht="15.75" customHeight="1" x14ac:dyDescent="0.3">
      <c r="E507" s="307">
        <v>38</v>
      </c>
      <c r="G507" s="296">
        <v>14</v>
      </c>
      <c r="H507" s="297">
        <v>14</v>
      </c>
      <c r="I507" s="133">
        <f t="shared" si="7"/>
        <v>0</v>
      </c>
      <c r="J507" s="298" t="s">
        <v>331</v>
      </c>
      <c r="K507" s="298" t="s">
        <v>73</v>
      </c>
      <c r="L507" s="298" t="s">
        <v>1192</v>
      </c>
      <c r="M507" s="297">
        <v>14</v>
      </c>
      <c r="N507" s="298" t="s">
        <v>133</v>
      </c>
      <c r="O507" s="297">
        <v>14</v>
      </c>
      <c r="P507" s="298" t="s">
        <v>200</v>
      </c>
      <c r="Q507" s="298" t="s">
        <v>201</v>
      </c>
      <c r="R507" s="298"/>
      <c r="S507" s="298" t="s">
        <v>593</v>
      </c>
      <c r="T507" s="298" t="s">
        <v>1167</v>
      </c>
      <c r="U507" s="298" t="s">
        <v>1211</v>
      </c>
    </row>
    <row r="508" spans="5:21" ht="15.75" customHeight="1" x14ac:dyDescent="0.3">
      <c r="E508" s="307">
        <v>22</v>
      </c>
      <c r="G508" s="296">
        <v>24</v>
      </c>
      <c r="H508" s="297">
        <v>24</v>
      </c>
      <c r="I508" s="133">
        <f t="shared" si="7"/>
        <v>0</v>
      </c>
      <c r="J508" s="298" t="s">
        <v>331</v>
      </c>
      <c r="K508" s="298" t="s">
        <v>79</v>
      </c>
      <c r="L508" s="298" t="s">
        <v>1192</v>
      </c>
      <c r="M508" s="297">
        <v>24</v>
      </c>
      <c r="N508" s="298" t="s">
        <v>133</v>
      </c>
      <c r="O508" s="297">
        <v>24</v>
      </c>
      <c r="P508" s="298" t="s">
        <v>200</v>
      </c>
      <c r="Q508" s="298" t="s">
        <v>201</v>
      </c>
      <c r="R508" s="298"/>
      <c r="S508" s="298" t="s">
        <v>593</v>
      </c>
      <c r="T508" s="298" t="s">
        <v>1167</v>
      </c>
      <c r="U508" s="298" t="s">
        <v>1211</v>
      </c>
    </row>
    <row r="509" spans="5:21" ht="15.75" customHeight="1" x14ac:dyDescent="0.3">
      <c r="E509" s="307">
        <v>48</v>
      </c>
      <c r="G509" s="296">
        <v>2</v>
      </c>
      <c r="H509" s="297">
        <v>2</v>
      </c>
      <c r="I509" s="133">
        <f t="shared" si="7"/>
        <v>0</v>
      </c>
      <c r="J509" s="298" t="s">
        <v>331</v>
      </c>
      <c r="K509" s="298" t="s">
        <v>142</v>
      </c>
      <c r="L509" s="298" t="s">
        <v>1192</v>
      </c>
      <c r="M509" s="297">
        <v>2</v>
      </c>
      <c r="N509" s="298" t="s">
        <v>133</v>
      </c>
      <c r="O509" s="299"/>
      <c r="P509" s="298" t="s">
        <v>200</v>
      </c>
      <c r="Q509" s="298" t="s">
        <v>201</v>
      </c>
      <c r="R509" s="298"/>
      <c r="S509" s="298" t="s">
        <v>593</v>
      </c>
      <c r="T509" s="298"/>
      <c r="U509" s="298"/>
    </row>
    <row r="510" spans="5:21" ht="15.75" customHeight="1" x14ac:dyDescent="0.3">
      <c r="E510" s="307">
        <v>1</v>
      </c>
      <c r="G510" s="296">
        <v>1</v>
      </c>
      <c r="H510" s="297">
        <v>1</v>
      </c>
      <c r="I510" s="133">
        <f t="shared" si="7"/>
        <v>0</v>
      </c>
      <c r="J510" s="298" t="s">
        <v>331</v>
      </c>
      <c r="K510" s="298" t="s">
        <v>80</v>
      </c>
      <c r="L510" s="298" t="s">
        <v>1192</v>
      </c>
      <c r="M510" s="297">
        <v>1</v>
      </c>
      <c r="N510" s="298" t="s">
        <v>133</v>
      </c>
      <c r="O510" s="299"/>
      <c r="P510" s="298" t="s">
        <v>200</v>
      </c>
      <c r="Q510" s="298" t="s">
        <v>201</v>
      </c>
      <c r="R510" s="298"/>
      <c r="S510" s="298" t="s">
        <v>593</v>
      </c>
      <c r="T510" s="298"/>
      <c r="U510" s="298"/>
    </row>
    <row r="511" spans="5:21" ht="15.75" customHeight="1" x14ac:dyDescent="0.3">
      <c r="E511" s="300">
        <v>2</v>
      </c>
      <c r="G511" s="303">
        <v>12</v>
      </c>
      <c r="H511" s="297">
        <v>12</v>
      </c>
      <c r="I511" s="133">
        <f t="shared" si="7"/>
        <v>0</v>
      </c>
      <c r="J511" s="298" t="s">
        <v>405</v>
      </c>
      <c r="K511" s="298" t="s">
        <v>73</v>
      </c>
      <c r="L511" s="298" t="s">
        <v>1228</v>
      </c>
      <c r="M511" s="297">
        <v>12</v>
      </c>
      <c r="N511" s="298" t="s">
        <v>135</v>
      </c>
      <c r="O511" s="297">
        <v>12</v>
      </c>
      <c r="P511" s="298" t="s">
        <v>67</v>
      </c>
      <c r="Q511" s="298" t="s">
        <v>68</v>
      </c>
      <c r="R511" s="298"/>
      <c r="S511" s="298" t="s">
        <v>593</v>
      </c>
      <c r="T511" s="298" t="s">
        <v>1177</v>
      </c>
      <c r="U511" s="298" t="s">
        <v>1217</v>
      </c>
    </row>
    <row r="512" spans="5:21" ht="15.75" customHeight="1" x14ac:dyDescent="0.3">
      <c r="E512" s="300">
        <v>12</v>
      </c>
      <c r="G512" s="303">
        <v>24</v>
      </c>
      <c r="H512" s="297">
        <v>24</v>
      </c>
      <c r="I512" s="133">
        <f t="shared" si="7"/>
        <v>0</v>
      </c>
      <c r="J512" s="298" t="s">
        <v>405</v>
      </c>
      <c r="K512" s="298" t="s">
        <v>79</v>
      </c>
      <c r="L512" s="298" t="s">
        <v>1200</v>
      </c>
      <c r="M512" s="297">
        <v>24</v>
      </c>
      <c r="N512" s="298" t="s">
        <v>135</v>
      </c>
      <c r="O512" s="297">
        <v>24</v>
      </c>
      <c r="P512" s="298" t="s">
        <v>67</v>
      </c>
      <c r="Q512" s="298" t="s">
        <v>68</v>
      </c>
      <c r="R512" s="298"/>
      <c r="S512" s="298" t="s">
        <v>593</v>
      </c>
      <c r="T512" s="298" t="s">
        <v>1177</v>
      </c>
      <c r="U512" s="298" t="s">
        <v>1217</v>
      </c>
    </row>
    <row r="513" spans="5:21" ht="15.75" customHeight="1" x14ac:dyDescent="0.3">
      <c r="E513" s="300">
        <v>2</v>
      </c>
      <c r="G513" s="303">
        <v>24</v>
      </c>
      <c r="H513" s="297">
        <v>24</v>
      </c>
      <c r="I513" s="133">
        <f t="shared" si="7"/>
        <v>0</v>
      </c>
      <c r="J513" s="298" t="s">
        <v>405</v>
      </c>
      <c r="K513" s="298" t="s">
        <v>79</v>
      </c>
      <c r="L513" s="298" t="s">
        <v>1214</v>
      </c>
      <c r="M513" s="297">
        <v>24</v>
      </c>
      <c r="N513" s="298" t="s">
        <v>135</v>
      </c>
      <c r="O513" s="297">
        <v>24</v>
      </c>
      <c r="P513" s="298" t="s">
        <v>67</v>
      </c>
      <c r="Q513" s="298" t="s">
        <v>68</v>
      </c>
      <c r="R513" s="298"/>
      <c r="S513" s="298" t="s">
        <v>593</v>
      </c>
      <c r="T513" s="298" t="s">
        <v>1177</v>
      </c>
      <c r="U513" s="298" t="s">
        <v>1217</v>
      </c>
    </row>
    <row r="514" spans="5:21" ht="15.75" customHeight="1" x14ac:dyDescent="0.3">
      <c r="E514" s="300">
        <v>42</v>
      </c>
      <c r="G514" s="303">
        <v>24</v>
      </c>
      <c r="H514" s="297">
        <v>24</v>
      </c>
      <c r="I514" s="133">
        <f t="shared" ref="I514:I567" si="8">G514-H514</f>
        <v>0</v>
      </c>
      <c r="J514" s="298" t="s">
        <v>405</v>
      </c>
      <c r="K514" s="298" t="s">
        <v>79</v>
      </c>
      <c r="L514" s="298" t="s">
        <v>1194</v>
      </c>
      <c r="M514" s="297">
        <v>24</v>
      </c>
      <c r="N514" s="298" t="s">
        <v>135</v>
      </c>
      <c r="O514" s="297">
        <v>24</v>
      </c>
      <c r="P514" s="298" t="s">
        <v>67</v>
      </c>
      <c r="Q514" s="298" t="s">
        <v>68</v>
      </c>
      <c r="R514" s="298"/>
      <c r="S514" s="298" t="s">
        <v>593</v>
      </c>
      <c r="T514" s="298" t="s">
        <v>1177</v>
      </c>
      <c r="U514" s="298" t="s">
        <v>1217</v>
      </c>
    </row>
    <row r="515" spans="5:21" ht="15.75" customHeight="1" x14ac:dyDescent="0.3">
      <c r="E515" s="300">
        <v>1</v>
      </c>
      <c r="G515" s="303">
        <v>24</v>
      </c>
      <c r="H515" s="297">
        <v>24</v>
      </c>
      <c r="I515" s="133">
        <f t="shared" si="8"/>
        <v>0</v>
      </c>
      <c r="J515" s="298" t="s">
        <v>405</v>
      </c>
      <c r="K515" s="298" t="s">
        <v>79</v>
      </c>
      <c r="L515" s="298" t="s">
        <v>1193</v>
      </c>
      <c r="M515" s="297">
        <v>24</v>
      </c>
      <c r="N515" s="298" t="s">
        <v>135</v>
      </c>
      <c r="O515" s="297">
        <v>24</v>
      </c>
      <c r="P515" s="298" t="s">
        <v>67</v>
      </c>
      <c r="Q515" s="298" t="s">
        <v>68</v>
      </c>
      <c r="R515" s="298"/>
      <c r="S515" s="298" t="s">
        <v>593</v>
      </c>
      <c r="T515" s="298" t="s">
        <v>1177</v>
      </c>
      <c r="U515" s="298" t="s">
        <v>1217</v>
      </c>
    </row>
    <row r="516" spans="5:21" ht="15.75" customHeight="1" x14ac:dyDescent="0.3">
      <c r="E516" s="300">
        <v>14</v>
      </c>
      <c r="G516" s="303">
        <v>24</v>
      </c>
      <c r="H516" s="297">
        <v>24</v>
      </c>
      <c r="I516" s="133">
        <f t="shared" si="8"/>
        <v>0</v>
      </c>
      <c r="J516" s="298" t="s">
        <v>405</v>
      </c>
      <c r="K516" s="298" t="s">
        <v>79</v>
      </c>
      <c r="L516" s="298" t="s">
        <v>1224</v>
      </c>
      <c r="M516" s="297">
        <v>24</v>
      </c>
      <c r="N516" s="298" t="s">
        <v>135</v>
      </c>
      <c r="O516" s="297">
        <v>24</v>
      </c>
      <c r="P516" s="298" t="s">
        <v>67</v>
      </c>
      <c r="Q516" s="298" t="s">
        <v>68</v>
      </c>
      <c r="R516" s="298"/>
      <c r="S516" s="298" t="s">
        <v>593</v>
      </c>
      <c r="T516" s="298" t="s">
        <v>1177</v>
      </c>
      <c r="U516" s="298" t="s">
        <v>1217</v>
      </c>
    </row>
    <row r="517" spans="5:21" ht="15.75" customHeight="1" x14ac:dyDescent="0.3">
      <c r="E517" s="300">
        <v>24</v>
      </c>
      <c r="G517" s="303">
        <v>2</v>
      </c>
      <c r="H517" s="297">
        <v>2</v>
      </c>
      <c r="I517" s="133">
        <f t="shared" si="8"/>
        <v>0</v>
      </c>
      <c r="J517" s="298" t="s">
        <v>405</v>
      </c>
      <c r="K517" s="298" t="s">
        <v>142</v>
      </c>
      <c r="L517" s="298" t="s">
        <v>1200</v>
      </c>
      <c r="M517" s="297">
        <v>2</v>
      </c>
      <c r="N517" s="298" t="s">
        <v>135</v>
      </c>
      <c r="O517" s="299"/>
      <c r="P517" s="298" t="s">
        <v>67</v>
      </c>
      <c r="Q517" s="298" t="s">
        <v>68</v>
      </c>
      <c r="R517" s="298"/>
      <c r="S517" s="298" t="s">
        <v>593</v>
      </c>
      <c r="T517" s="298"/>
      <c r="U517" s="298"/>
    </row>
    <row r="518" spans="5:21" ht="15.75" customHeight="1" x14ac:dyDescent="0.3">
      <c r="E518" s="300">
        <v>2</v>
      </c>
      <c r="G518" s="303">
        <v>2</v>
      </c>
      <c r="H518" s="297">
        <v>2</v>
      </c>
      <c r="I518" s="133">
        <f t="shared" si="8"/>
        <v>0</v>
      </c>
      <c r="J518" s="298" t="s">
        <v>405</v>
      </c>
      <c r="K518" s="298" t="s">
        <v>142</v>
      </c>
      <c r="L518" s="298" t="s">
        <v>1214</v>
      </c>
      <c r="M518" s="297">
        <v>2</v>
      </c>
      <c r="N518" s="298" t="s">
        <v>135</v>
      </c>
      <c r="O518" s="299"/>
      <c r="P518" s="298" t="s">
        <v>67</v>
      </c>
      <c r="Q518" s="298" t="s">
        <v>68</v>
      </c>
      <c r="R518" s="298"/>
      <c r="S518" s="298" t="s">
        <v>593</v>
      </c>
      <c r="T518" s="298"/>
      <c r="U518" s="298"/>
    </row>
    <row r="519" spans="5:21" ht="15.75" customHeight="1" x14ac:dyDescent="0.3">
      <c r="E519" s="300">
        <v>1</v>
      </c>
      <c r="G519" s="303">
        <v>2</v>
      </c>
      <c r="H519" s="297">
        <v>2</v>
      </c>
      <c r="I519" s="133">
        <f t="shared" si="8"/>
        <v>0</v>
      </c>
      <c r="J519" s="298" t="s">
        <v>405</v>
      </c>
      <c r="K519" s="298" t="s">
        <v>142</v>
      </c>
      <c r="L519" s="298" t="s">
        <v>1194</v>
      </c>
      <c r="M519" s="297">
        <v>2</v>
      </c>
      <c r="N519" s="298" t="s">
        <v>135</v>
      </c>
      <c r="O519" s="299"/>
      <c r="P519" s="298" t="s">
        <v>67</v>
      </c>
      <c r="Q519" s="298" t="s">
        <v>68</v>
      </c>
      <c r="R519" s="298"/>
      <c r="S519" s="298" t="s">
        <v>593</v>
      </c>
      <c r="T519" s="298"/>
      <c r="U519" s="298"/>
    </row>
    <row r="520" spans="5:21" ht="15.75" customHeight="1" x14ac:dyDescent="0.3">
      <c r="E520" s="300">
        <v>12</v>
      </c>
      <c r="G520" s="303">
        <v>2</v>
      </c>
      <c r="H520" s="297">
        <v>2</v>
      </c>
      <c r="I520" s="133">
        <f t="shared" si="8"/>
        <v>0</v>
      </c>
      <c r="J520" s="298" t="s">
        <v>405</v>
      </c>
      <c r="K520" s="298" t="s">
        <v>142</v>
      </c>
      <c r="L520" s="298" t="s">
        <v>1193</v>
      </c>
      <c r="M520" s="297">
        <v>2</v>
      </c>
      <c r="N520" s="298" t="s">
        <v>135</v>
      </c>
      <c r="O520" s="299"/>
      <c r="P520" s="298" t="s">
        <v>67</v>
      </c>
      <c r="Q520" s="298" t="s">
        <v>68</v>
      </c>
      <c r="R520" s="298"/>
      <c r="S520" s="298" t="s">
        <v>593</v>
      </c>
      <c r="T520" s="298"/>
      <c r="U520" s="298"/>
    </row>
    <row r="521" spans="5:21" ht="15.75" customHeight="1" x14ac:dyDescent="0.3">
      <c r="E521" s="300">
        <v>24</v>
      </c>
      <c r="G521" s="303">
        <v>2</v>
      </c>
      <c r="H521" s="297">
        <v>2</v>
      </c>
      <c r="I521" s="133">
        <f t="shared" si="8"/>
        <v>0</v>
      </c>
      <c r="J521" s="298" t="s">
        <v>405</v>
      </c>
      <c r="K521" s="298" t="s">
        <v>142</v>
      </c>
      <c r="L521" s="298" t="s">
        <v>1224</v>
      </c>
      <c r="M521" s="297">
        <v>2</v>
      </c>
      <c r="N521" s="298" t="s">
        <v>135</v>
      </c>
      <c r="O521" s="299"/>
      <c r="P521" s="298" t="s">
        <v>67</v>
      </c>
      <c r="Q521" s="298" t="s">
        <v>68</v>
      </c>
      <c r="R521" s="298"/>
      <c r="S521" s="298" t="s">
        <v>593</v>
      </c>
      <c r="T521" s="298"/>
      <c r="U521" s="298"/>
    </row>
    <row r="522" spans="5:21" ht="15.75" customHeight="1" x14ac:dyDescent="0.3">
      <c r="E522" s="300">
        <v>24</v>
      </c>
      <c r="G522" s="303">
        <v>1</v>
      </c>
      <c r="H522" s="297">
        <v>1</v>
      </c>
      <c r="I522" s="133">
        <f t="shared" si="8"/>
        <v>0</v>
      </c>
      <c r="J522" s="298" t="s">
        <v>405</v>
      </c>
      <c r="K522" s="298" t="s">
        <v>80</v>
      </c>
      <c r="L522" s="298" t="s">
        <v>1200</v>
      </c>
      <c r="M522" s="297">
        <v>1</v>
      </c>
      <c r="N522" s="298" t="s">
        <v>135</v>
      </c>
      <c r="O522" s="299"/>
      <c r="P522" s="298" t="s">
        <v>67</v>
      </c>
      <c r="Q522" s="298" t="s">
        <v>68</v>
      </c>
      <c r="R522" s="298"/>
      <c r="S522" s="298" t="s">
        <v>593</v>
      </c>
      <c r="T522" s="298"/>
      <c r="U522" s="298"/>
    </row>
    <row r="523" spans="5:21" ht="15.75" customHeight="1" x14ac:dyDescent="0.3">
      <c r="E523" s="300">
        <v>24</v>
      </c>
      <c r="G523" s="303">
        <v>1</v>
      </c>
      <c r="H523" s="297">
        <v>1</v>
      </c>
      <c r="I523" s="133">
        <f t="shared" si="8"/>
        <v>0</v>
      </c>
      <c r="J523" s="298" t="s">
        <v>405</v>
      </c>
      <c r="K523" s="298" t="s">
        <v>80</v>
      </c>
      <c r="L523" s="298" t="s">
        <v>1214</v>
      </c>
      <c r="M523" s="297">
        <v>1</v>
      </c>
      <c r="N523" s="298" t="s">
        <v>135</v>
      </c>
      <c r="O523" s="299"/>
      <c r="P523" s="298" t="s">
        <v>67</v>
      </c>
      <c r="Q523" s="298" t="s">
        <v>68</v>
      </c>
      <c r="R523" s="298"/>
      <c r="S523" s="298" t="s">
        <v>593</v>
      </c>
      <c r="T523" s="298"/>
      <c r="U523" s="298"/>
    </row>
    <row r="524" spans="5:21" ht="15.75" customHeight="1" x14ac:dyDescent="0.3">
      <c r="E524" s="300">
        <v>24</v>
      </c>
      <c r="G524" s="303">
        <v>1</v>
      </c>
      <c r="H524" s="297">
        <v>1</v>
      </c>
      <c r="I524" s="133">
        <f t="shared" si="8"/>
        <v>0</v>
      </c>
      <c r="J524" s="298" t="s">
        <v>405</v>
      </c>
      <c r="K524" s="298" t="s">
        <v>80</v>
      </c>
      <c r="L524" s="298" t="s">
        <v>1194</v>
      </c>
      <c r="M524" s="297">
        <v>1</v>
      </c>
      <c r="N524" s="298" t="s">
        <v>135</v>
      </c>
      <c r="O524" s="299"/>
      <c r="P524" s="298" t="s">
        <v>67</v>
      </c>
      <c r="Q524" s="298" t="s">
        <v>68</v>
      </c>
      <c r="R524" s="298"/>
      <c r="S524" s="298" t="s">
        <v>593</v>
      </c>
      <c r="T524" s="298"/>
      <c r="U524" s="298"/>
    </row>
    <row r="525" spans="5:21" ht="15.75" customHeight="1" x14ac:dyDescent="0.3">
      <c r="E525" s="300">
        <v>24</v>
      </c>
      <c r="G525" s="303">
        <v>1</v>
      </c>
      <c r="H525" s="297">
        <v>1</v>
      </c>
      <c r="I525" s="133">
        <f t="shared" si="8"/>
        <v>0</v>
      </c>
      <c r="J525" s="298" t="s">
        <v>405</v>
      </c>
      <c r="K525" s="298" t="s">
        <v>80</v>
      </c>
      <c r="L525" s="298" t="s">
        <v>1193</v>
      </c>
      <c r="M525" s="297">
        <v>1</v>
      </c>
      <c r="N525" s="298" t="s">
        <v>135</v>
      </c>
      <c r="O525" s="299"/>
      <c r="P525" s="298" t="s">
        <v>67</v>
      </c>
      <c r="Q525" s="298" t="s">
        <v>68</v>
      </c>
      <c r="R525" s="298"/>
      <c r="S525" s="298" t="s">
        <v>593</v>
      </c>
      <c r="T525" s="298"/>
      <c r="U525" s="298"/>
    </row>
    <row r="526" spans="5:21" ht="15.75" customHeight="1" x14ac:dyDescent="0.3">
      <c r="E526" s="300">
        <v>2</v>
      </c>
      <c r="G526" s="303">
        <v>1</v>
      </c>
      <c r="H526" s="297">
        <v>1</v>
      </c>
      <c r="I526" s="133">
        <f t="shared" si="8"/>
        <v>0</v>
      </c>
      <c r="J526" s="298" t="s">
        <v>405</v>
      </c>
      <c r="K526" s="298" t="s">
        <v>80</v>
      </c>
      <c r="L526" s="298" t="s">
        <v>1224</v>
      </c>
      <c r="M526" s="297">
        <v>1</v>
      </c>
      <c r="N526" s="298" t="s">
        <v>135</v>
      </c>
      <c r="O526" s="299"/>
      <c r="P526" s="298" t="s">
        <v>67</v>
      </c>
      <c r="Q526" s="298" t="s">
        <v>68</v>
      </c>
      <c r="R526" s="298"/>
      <c r="S526" s="298" t="s">
        <v>593</v>
      </c>
      <c r="T526" s="298"/>
      <c r="U526" s="298"/>
    </row>
    <row r="527" spans="5:21" ht="15.75" customHeight="1" x14ac:dyDescent="0.3">
      <c r="E527" s="300">
        <v>2</v>
      </c>
      <c r="G527" s="313">
        <v>13</v>
      </c>
      <c r="H527" s="297">
        <v>13</v>
      </c>
      <c r="I527" s="133">
        <f t="shared" si="8"/>
        <v>0</v>
      </c>
      <c r="J527" s="298" t="s">
        <v>332</v>
      </c>
      <c r="K527" s="298" t="s">
        <v>333</v>
      </c>
      <c r="L527" s="298" t="s">
        <v>1200</v>
      </c>
      <c r="M527" s="297">
        <v>13</v>
      </c>
      <c r="N527" s="298"/>
      <c r="O527" s="299"/>
      <c r="P527" s="298"/>
      <c r="Q527" s="298"/>
      <c r="R527" s="298"/>
      <c r="S527" s="298" t="s">
        <v>593</v>
      </c>
      <c r="T527" s="298"/>
      <c r="U527" s="298"/>
    </row>
    <row r="528" spans="5:21" ht="15.75" customHeight="1" x14ac:dyDescent="0.3">
      <c r="E528" s="300">
        <v>2</v>
      </c>
      <c r="G528" s="313">
        <v>11</v>
      </c>
      <c r="H528" s="297">
        <v>11</v>
      </c>
      <c r="I528" s="133">
        <f t="shared" si="8"/>
        <v>0</v>
      </c>
      <c r="J528" s="298" t="s">
        <v>332</v>
      </c>
      <c r="K528" s="298" t="s">
        <v>333</v>
      </c>
      <c r="L528" s="298" t="s">
        <v>1214</v>
      </c>
      <c r="M528" s="297">
        <v>11</v>
      </c>
      <c r="N528" s="298"/>
      <c r="O528" s="299"/>
      <c r="P528" s="298"/>
      <c r="Q528" s="298"/>
      <c r="R528" s="298"/>
      <c r="S528" s="298" t="s">
        <v>593</v>
      </c>
      <c r="T528" s="298"/>
      <c r="U528" s="298"/>
    </row>
    <row r="529" spans="5:21" ht="15.75" customHeight="1" x14ac:dyDescent="0.3">
      <c r="E529" s="300">
        <v>2</v>
      </c>
      <c r="G529" s="313">
        <v>11</v>
      </c>
      <c r="H529" s="297">
        <v>11</v>
      </c>
      <c r="I529" s="133">
        <f t="shared" si="8"/>
        <v>0</v>
      </c>
      <c r="J529" s="298" t="s">
        <v>332</v>
      </c>
      <c r="K529" s="298" t="s">
        <v>333</v>
      </c>
      <c r="L529" s="298" t="s">
        <v>1194</v>
      </c>
      <c r="M529" s="297">
        <v>11</v>
      </c>
      <c r="N529" s="298"/>
      <c r="O529" s="299"/>
      <c r="P529" s="298"/>
      <c r="Q529" s="298"/>
      <c r="R529" s="298"/>
      <c r="S529" s="298" t="s">
        <v>593</v>
      </c>
      <c r="T529" s="298"/>
      <c r="U529" s="298"/>
    </row>
    <row r="530" spans="5:21" ht="15.75" customHeight="1" x14ac:dyDescent="0.3">
      <c r="E530" s="300">
        <v>2</v>
      </c>
      <c r="G530" s="313">
        <v>13</v>
      </c>
      <c r="H530" s="297">
        <v>13</v>
      </c>
      <c r="I530" s="133">
        <f t="shared" si="8"/>
        <v>0</v>
      </c>
      <c r="J530" s="298" t="s">
        <v>332</v>
      </c>
      <c r="K530" s="298" t="s">
        <v>333</v>
      </c>
      <c r="L530" s="298" t="s">
        <v>1193</v>
      </c>
      <c r="M530" s="297">
        <v>13</v>
      </c>
      <c r="N530" s="298"/>
      <c r="O530" s="299"/>
      <c r="P530" s="298"/>
      <c r="Q530" s="298"/>
      <c r="R530" s="298"/>
      <c r="S530" s="298" t="s">
        <v>593</v>
      </c>
      <c r="T530" s="298"/>
      <c r="U530" s="298"/>
    </row>
    <row r="531" spans="5:21" ht="15.75" customHeight="1" x14ac:dyDescent="0.3">
      <c r="E531" s="300">
        <v>1</v>
      </c>
      <c r="G531" s="296">
        <v>13</v>
      </c>
      <c r="H531" s="297">
        <v>13</v>
      </c>
      <c r="I531" s="133">
        <f t="shared" si="8"/>
        <v>0</v>
      </c>
      <c r="J531" s="298" t="s">
        <v>335</v>
      </c>
      <c r="K531" s="298" t="s">
        <v>333</v>
      </c>
      <c r="L531" s="298" t="s">
        <v>1200</v>
      </c>
      <c r="M531" s="297">
        <v>13</v>
      </c>
      <c r="N531" s="298"/>
      <c r="O531" s="299"/>
      <c r="P531" s="298" t="s">
        <v>70</v>
      </c>
      <c r="Q531" s="298" t="s">
        <v>71</v>
      </c>
      <c r="R531" s="298"/>
      <c r="S531" s="298" t="s">
        <v>565</v>
      </c>
      <c r="T531" s="298"/>
      <c r="U531" s="298"/>
    </row>
    <row r="532" spans="5:21" ht="15.75" customHeight="1" x14ac:dyDescent="0.3">
      <c r="E532" s="300">
        <v>1</v>
      </c>
      <c r="G532" s="296">
        <v>11</v>
      </c>
      <c r="H532" s="297">
        <v>11</v>
      </c>
      <c r="I532" s="133">
        <f t="shared" si="8"/>
        <v>0</v>
      </c>
      <c r="J532" s="298" t="s">
        <v>335</v>
      </c>
      <c r="K532" s="298" t="s">
        <v>333</v>
      </c>
      <c r="L532" s="298" t="s">
        <v>1214</v>
      </c>
      <c r="M532" s="297">
        <v>11</v>
      </c>
      <c r="N532" s="298"/>
      <c r="O532" s="299"/>
      <c r="P532" s="298" t="s">
        <v>70</v>
      </c>
      <c r="Q532" s="298" t="s">
        <v>71</v>
      </c>
      <c r="R532" s="298"/>
      <c r="S532" s="298" t="s">
        <v>565</v>
      </c>
      <c r="T532" s="298"/>
      <c r="U532" s="298"/>
    </row>
    <row r="533" spans="5:21" ht="15.75" customHeight="1" x14ac:dyDescent="0.3">
      <c r="E533" s="300">
        <v>1</v>
      </c>
      <c r="G533" s="296">
        <v>11</v>
      </c>
      <c r="H533" s="297">
        <v>11</v>
      </c>
      <c r="I533" s="133">
        <f t="shared" si="8"/>
        <v>0</v>
      </c>
      <c r="J533" s="298" t="s">
        <v>335</v>
      </c>
      <c r="K533" s="298" t="s">
        <v>333</v>
      </c>
      <c r="L533" s="298" t="s">
        <v>1194</v>
      </c>
      <c r="M533" s="297">
        <v>11</v>
      </c>
      <c r="N533" s="298"/>
      <c r="O533" s="299"/>
      <c r="P533" s="298" t="s">
        <v>70</v>
      </c>
      <c r="Q533" s="298" t="s">
        <v>71</v>
      </c>
      <c r="R533" s="298"/>
      <c r="S533" s="298" t="s">
        <v>565</v>
      </c>
      <c r="T533" s="298"/>
      <c r="U533" s="298"/>
    </row>
    <row r="534" spans="5:21" ht="15.75" customHeight="1" x14ac:dyDescent="0.3">
      <c r="E534" s="300">
        <v>1</v>
      </c>
      <c r="G534" s="296">
        <v>13</v>
      </c>
      <c r="H534" s="297">
        <v>13</v>
      </c>
      <c r="I534" s="133">
        <f t="shared" si="8"/>
        <v>0</v>
      </c>
      <c r="J534" s="298" t="s">
        <v>335</v>
      </c>
      <c r="K534" s="298" t="s">
        <v>333</v>
      </c>
      <c r="L534" s="298" t="s">
        <v>1193</v>
      </c>
      <c r="M534" s="297">
        <v>13</v>
      </c>
      <c r="N534" s="298"/>
      <c r="O534" s="299"/>
      <c r="P534" s="298" t="s">
        <v>70</v>
      </c>
      <c r="Q534" s="298" t="s">
        <v>71</v>
      </c>
      <c r="R534" s="298"/>
      <c r="S534" s="298" t="s">
        <v>565</v>
      </c>
      <c r="T534" s="298"/>
      <c r="U534" s="298"/>
    </row>
    <row r="535" spans="5:21" ht="15.75" customHeight="1" x14ac:dyDescent="0.3">
      <c r="E535" s="300">
        <v>1</v>
      </c>
      <c r="G535" s="296">
        <v>24</v>
      </c>
      <c r="H535" s="297">
        <v>24</v>
      </c>
      <c r="I535" s="133">
        <f t="shared" si="8"/>
        <v>0</v>
      </c>
      <c r="J535" s="298" t="s">
        <v>335</v>
      </c>
      <c r="K535" s="298" t="s">
        <v>333</v>
      </c>
      <c r="L535" s="298" t="s">
        <v>1224</v>
      </c>
      <c r="M535" s="297">
        <v>24</v>
      </c>
      <c r="N535" s="298"/>
      <c r="O535" s="299"/>
      <c r="P535" s="298" t="s">
        <v>70</v>
      </c>
      <c r="Q535" s="298" t="s">
        <v>71</v>
      </c>
      <c r="R535" s="298"/>
      <c r="S535" s="298" t="s">
        <v>565</v>
      </c>
      <c r="T535" s="298"/>
      <c r="U535" s="298"/>
    </row>
    <row r="536" spans="5:21" ht="15.75" customHeight="1" x14ac:dyDescent="0.3">
      <c r="E536" s="295">
        <v>13</v>
      </c>
      <c r="G536" s="296">
        <v>90</v>
      </c>
      <c r="H536" s="297">
        <v>90</v>
      </c>
      <c r="I536" s="133">
        <f t="shared" si="8"/>
        <v>0</v>
      </c>
      <c r="J536" s="298" t="s">
        <v>336</v>
      </c>
      <c r="K536" s="298" t="s">
        <v>336</v>
      </c>
      <c r="L536" s="298" t="s">
        <v>1200</v>
      </c>
      <c r="M536" s="297">
        <v>90</v>
      </c>
      <c r="N536" s="298"/>
      <c r="O536" s="299"/>
      <c r="P536" s="298"/>
      <c r="Q536" s="298"/>
      <c r="R536" s="298"/>
      <c r="S536" s="298" t="s">
        <v>593</v>
      </c>
      <c r="T536" s="298"/>
      <c r="U536" s="298"/>
    </row>
    <row r="537" spans="5:21" ht="15.75" customHeight="1" x14ac:dyDescent="0.3">
      <c r="E537" s="300">
        <v>11</v>
      </c>
      <c r="G537" s="296">
        <v>75</v>
      </c>
      <c r="H537" s="297">
        <v>75</v>
      </c>
      <c r="I537" s="133">
        <f t="shared" si="8"/>
        <v>0</v>
      </c>
      <c r="J537" s="298" t="s">
        <v>336</v>
      </c>
      <c r="K537" s="298" t="s">
        <v>336</v>
      </c>
      <c r="L537" s="298" t="s">
        <v>1214</v>
      </c>
      <c r="M537" s="297">
        <v>75</v>
      </c>
      <c r="N537" s="298"/>
      <c r="O537" s="299"/>
      <c r="P537" s="298"/>
      <c r="Q537" s="298"/>
      <c r="R537" s="298"/>
      <c r="S537" s="298" t="s">
        <v>593</v>
      </c>
      <c r="T537" s="298"/>
      <c r="U537" s="298"/>
    </row>
    <row r="538" spans="5:21" ht="15.75" customHeight="1" x14ac:dyDescent="0.3">
      <c r="E538" s="300">
        <v>11</v>
      </c>
      <c r="G538" s="296">
        <v>75</v>
      </c>
      <c r="H538" s="297">
        <v>75</v>
      </c>
      <c r="I538" s="133">
        <f t="shared" si="8"/>
        <v>0</v>
      </c>
      <c r="J538" s="298" t="s">
        <v>336</v>
      </c>
      <c r="K538" s="298" t="s">
        <v>336</v>
      </c>
      <c r="L538" s="298" t="s">
        <v>1194</v>
      </c>
      <c r="M538" s="297">
        <v>75</v>
      </c>
      <c r="N538" s="298"/>
      <c r="O538" s="299"/>
      <c r="P538" s="298"/>
      <c r="Q538" s="298"/>
      <c r="R538" s="298"/>
      <c r="S538" s="298" t="s">
        <v>593</v>
      </c>
      <c r="T538" s="298"/>
      <c r="U538" s="298"/>
    </row>
    <row r="539" spans="5:21" ht="15.75" customHeight="1" x14ac:dyDescent="0.3">
      <c r="E539" s="300">
        <v>13</v>
      </c>
      <c r="G539" s="296">
        <v>90</v>
      </c>
      <c r="H539" s="297">
        <v>90</v>
      </c>
      <c r="I539" s="133">
        <f t="shared" si="8"/>
        <v>0</v>
      </c>
      <c r="J539" s="298" t="s">
        <v>336</v>
      </c>
      <c r="K539" s="298" t="s">
        <v>336</v>
      </c>
      <c r="L539" s="298" t="s">
        <v>1193</v>
      </c>
      <c r="M539" s="297">
        <v>90</v>
      </c>
      <c r="N539" s="298"/>
      <c r="O539" s="299"/>
      <c r="P539" s="298"/>
      <c r="Q539" s="298"/>
      <c r="R539" s="298"/>
      <c r="S539" s="298" t="s">
        <v>593</v>
      </c>
      <c r="T539" s="298"/>
      <c r="U539" s="298"/>
    </row>
    <row r="540" spans="5:21" ht="15.75" customHeight="1" x14ac:dyDescent="0.3">
      <c r="E540" s="295">
        <v>13</v>
      </c>
      <c r="G540" s="296">
        <v>30</v>
      </c>
      <c r="H540" s="297">
        <v>30</v>
      </c>
      <c r="I540" s="133">
        <f t="shared" si="8"/>
        <v>0</v>
      </c>
      <c r="J540" s="298" t="s">
        <v>336</v>
      </c>
      <c r="K540" s="298" t="s">
        <v>336</v>
      </c>
      <c r="L540" s="298" t="s">
        <v>1188</v>
      </c>
      <c r="M540" s="297">
        <v>30</v>
      </c>
      <c r="N540" s="298"/>
      <c r="O540" s="299"/>
      <c r="P540" s="298" t="s">
        <v>171</v>
      </c>
      <c r="Q540" s="298" t="s">
        <v>172</v>
      </c>
      <c r="R540" s="298" t="s">
        <v>8</v>
      </c>
      <c r="S540" s="298" t="s">
        <v>565</v>
      </c>
      <c r="T540" s="298"/>
      <c r="U540" s="298"/>
    </row>
    <row r="541" spans="5:21" ht="15.75" customHeight="1" x14ac:dyDescent="0.3">
      <c r="E541" s="300">
        <v>11</v>
      </c>
      <c r="G541" s="296">
        <v>15</v>
      </c>
      <c r="H541" s="297">
        <v>15</v>
      </c>
      <c r="I541" s="133">
        <f t="shared" si="8"/>
        <v>0</v>
      </c>
      <c r="J541" s="298" t="s">
        <v>336</v>
      </c>
      <c r="K541" s="298" t="s">
        <v>336</v>
      </c>
      <c r="L541" s="298" t="s">
        <v>1188</v>
      </c>
      <c r="M541" s="297">
        <v>15</v>
      </c>
      <c r="N541" s="298"/>
      <c r="O541" s="299"/>
      <c r="P541" s="298" t="s">
        <v>128</v>
      </c>
      <c r="Q541" s="298" t="s">
        <v>129</v>
      </c>
      <c r="R541" s="298"/>
      <c r="S541" s="298" t="s">
        <v>593</v>
      </c>
      <c r="T541" s="298"/>
      <c r="U541" s="298"/>
    </row>
    <row r="542" spans="5:21" ht="15.75" customHeight="1" x14ac:dyDescent="0.3">
      <c r="E542" s="300">
        <v>11</v>
      </c>
      <c r="G542" s="296">
        <v>15</v>
      </c>
      <c r="H542" s="297">
        <v>15</v>
      </c>
      <c r="I542" s="133">
        <f t="shared" si="8"/>
        <v>0</v>
      </c>
      <c r="J542" s="298" t="s">
        <v>336</v>
      </c>
      <c r="K542" s="298" t="s">
        <v>336</v>
      </c>
      <c r="L542" s="298" t="s">
        <v>1188</v>
      </c>
      <c r="M542" s="297">
        <v>15</v>
      </c>
      <c r="N542" s="298"/>
      <c r="O542" s="299"/>
      <c r="P542" s="298" t="s">
        <v>174</v>
      </c>
      <c r="Q542" s="298" t="s">
        <v>175</v>
      </c>
      <c r="R542" s="298"/>
      <c r="S542" s="298" t="s">
        <v>565</v>
      </c>
      <c r="T542" s="298"/>
      <c r="U542" s="298"/>
    </row>
    <row r="543" spans="5:21" ht="15.75" customHeight="1" x14ac:dyDescent="0.3">
      <c r="E543" s="300">
        <v>13</v>
      </c>
      <c r="G543" s="296">
        <v>15</v>
      </c>
      <c r="H543" s="297">
        <v>15</v>
      </c>
      <c r="I543" s="133">
        <f t="shared" si="8"/>
        <v>0</v>
      </c>
      <c r="J543" s="298" t="s">
        <v>336</v>
      </c>
      <c r="K543" s="298" t="s">
        <v>336</v>
      </c>
      <c r="L543" s="298" t="s">
        <v>1188</v>
      </c>
      <c r="M543" s="297">
        <v>15</v>
      </c>
      <c r="N543" s="298"/>
      <c r="O543" s="299"/>
      <c r="P543" s="298" t="s">
        <v>230</v>
      </c>
      <c r="Q543" s="298" t="s">
        <v>231</v>
      </c>
      <c r="R543" s="298"/>
      <c r="S543" s="298" t="s">
        <v>593</v>
      </c>
      <c r="T543" s="298"/>
      <c r="U543" s="298"/>
    </row>
    <row r="544" spans="5:21" ht="15.75" customHeight="1" x14ac:dyDescent="0.3">
      <c r="E544" s="300">
        <v>24</v>
      </c>
      <c r="G544" s="296">
        <v>15</v>
      </c>
      <c r="H544" s="297">
        <v>15</v>
      </c>
      <c r="I544" s="133">
        <f t="shared" si="8"/>
        <v>0</v>
      </c>
      <c r="J544" s="298" t="s">
        <v>336</v>
      </c>
      <c r="K544" s="298" t="s">
        <v>336</v>
      </c>
      <c r="L544" s="298" t="s">
        <v>1189</v>
      </c>
      <c r="M544" s="297">
        <v>15</v>
      </c>
      <c r="N544" s="298"/>
      <c r="O544" s="299"/>
      <c r="P544" s="298" t="s">
        <v>70</v>
      </c>
      <c r="Q544" s="298" t="s">
        <v>71</v>
      </c>
      <c r="R544" s="298"/>
      <c r="S544" s="298" t="s">
        <v>565</v>
      </c>
      <c r="T544" s="298"/>
      <c r="U544" s="298"/>
    </row>
    <row r="545" spans="5:21" ht="15.75" customHeight="1" x14ac:dyDescent="0.3">
      <c r="E545" s="307">
        <v>15</v>
      </c>
      <c r="G545" s="296">
        <v>15</v>
      </c>
      <c r="H545" s="297">
        <v>15</v>
      </c>
      <c r="I545" s="133">
        <f t="shared" si="8"/>
        <v>0</v>
      </c>
      <c r="J545" s="298" t="s">
        <v>336</v>
      </c>
      <c r="K545" s="298" t="s">
        <v>336</v>
      </c>
      <c r="L545" s="298" t="s">
        <v>1189</v>
      </c>
      <c r="M545" s="297">
        <v>15</v>
      </c>
      <c r="N545" s="298"/>
      <c r="O545" s="299"/>
      <c r="P545" s="298" t="s">
        <v>272</v>
      </c>
      <c r="Q545" s="298" t="s">
        <v>273</v>
      </c>
      <c r="R545" s="298"/>
      <c r="S545" s="298" t="s">
        <v>593</v>
      </c>
      <c r="T545" s="298"/>
      <c r="U545" s="298"/>
    </row>
    <row r="546" spans="5:21" ht="15.75" customHeight="1" x14ac:dyDescent="0.3">
      <c r="E546" s="307">
        <v>30</v>
      </c>
      <c r="G546" s="296">
        <v>15</v>
      </c>
      <c r="H546" s="297">
        <v>15</v>
      </c>
      <c r="I546" s="133">
        <f t="shared" si="8"/>
        <v>0</v>
      </c>
      <c r="J546" s="298" t="s">
        <v>336</v>
      </c>
      <c r="K546" s="298" t="s">
        <v>336</v>
      </c>
      <c r="L546" s="298" t="s">
        <v>1189</v>
      </c>
      <c r="M546" s="297">
        <v>15</v>
      </c>
      <c r="N546" s="298"/>
      <c r="O546" s="299"/>
      <c r="P546" s="298" t="s">
        <v>65</v>
      </c>
      <c r="Q546" s="298" t="s">
        <v>66</v>
      </c>
      <c r="R546" s="298"/>
      <c r="S546" s="298" t="s">
        <v>593</v>
      </c>
      <c r="T546" s="298"/>
      <c r="U546" s="298"/>
    </row>
    <row r="547" spans="5:21" ht="15.75" customHeight="1" x14ac:dyDescent="0.3">
      <c r="E547" s="307">
        <v>15</v>
      </c>
      <c r="G547" s="296">
        <v>15</v>
      </c>
      <c r="H547" s="297">
        <v>15</v>
      </c>
      <c r="I547" s="133">
        <f t="shared" si="8"/>
        <v>0</v>
      </c>
      <c r="J547" s="298" t="s">
        <v>336</v>
      </c>
      <c r="K547" s="298" t="s">
        <v>336</v>
      </c>
      <c r="L547" s="298" t="s">
        <v>1189</v>
      </c>
      <c r="M547" s="297">
        <v>15</v>
      </c>
      <c r="N547" s="298"/>
      <c r="O547" s="299"/>
      <c r="P547" s="298" t="s">
        <v>115</v>
      </c>
      <c r="Q547" s="298" t="s">
        <v>116</v>
      </c>
      <c r="R547" s="298"/>
      <c r="S547" s="298" t="s">
        <v>593</v>
      </c>
      <c r="T547" s="298"/>
      <c r="U547" s="298"/>
    </row>
    <row r="548" spans="5:21" ht="15.75" customHeight="1" x14ac:dyDescent="0.3">
      <c r="E548" s="307">
        <v>15</v>
      </c>
      <c r="G548" s="296">
        <v>15</v>
      </c>
      <c r="H548" s="297">
        <v>15</v>
      </c>
      <c r="I548" s="133">
        <f t="shared" si="8"/>
        <v>0</v>
      </c>
      <c r="J548" s="298" t="s">
        <v>336</v>
      </c>
      <c r="K548" s="298" t="s">
        <v>336</v>
      </c>
      <c r="L548" s="298" t="s">
        <v>1189</v>
      </c>
      <c r="M548" s="297">
        <v>15</v>
      </c>
      <c r="N548" s="298"/>
      <c r="O548" s="299"/>
      <c r="P548" s="298" t="s">
        <v>98</v>
      </c>
      <c r="Q548" s="298" t="s">
        <v>99</v>
      </c>
      <c r="R548" s="298"/>
      <c r="S548" s="298" t="s">
        <v>593</v>
      </c>
      <c r="T548" s="298"/>
      <c r="U548" s="298"/>
    </row>
    <row r="549" spans="5:21" ht="15.75" customHeight="1" x14ac:dyDescent="0.3">
      <c r="E549" s="300">
        <v>15</v>
      </c>
      <c r="G549" s="296">
        <v>15</v>
      </c>
      <c r="H549" s="297">
        <v>15</v>
      </c>
      <c r="I549" s="133">
        <f t="shared" si="8"/>
        <v>0</v>
      </c>
      <c r="J549" s="298" t="s">
        <v>336</v>
      </c>
      <c r="K549" s="298" t="s">
        <v>336</v>
      </c>
      <c r="L549" s="298" t="s">
        <v>1189</v>
      </c>
      <c r="M549" s="297">
        <v>15</v>
      </c>
      <c r="N549" s="298"/>
      <c r="O549" s="299"/>
      <c r="P549" s="298" t="s">
        <v>250</v>
      </c>
      <c r="Q549" s="298" t="s">
        <v>251</v>
      </c>
      <c r="R549" s="298" t="s">
        <v>8</v>
      </c>
      <c r="S549" s="298" t="s">
        <v>565</v>
      </c>
      <c r="T549" s="298"/>
      <c r="U549" s="298"/>
    </row>
    <row r="550" spans="5:21" ht="15.75" customHeight="1" x14ac:dyDescent="0.3">
      <c r="E550" s="300">
        <v>15</v>
      </c>
      <c r="G550" s="296">
        <v>15</v>
      </c>
      <c r="H550" s="297">
        <v>15</v>
      </c>
      <c r="I550" s="133">
        <f t="shared" si="8"/>
        <v>0</v>
      </c>
      <c r="J550" s="298" t="s">
        <v>336</v>
      </c>
      <c r="K550" s="298" t="s">
        <v>336</v>
      </c>
      <c r="L550" s="298" t="s">
        <v>1190</v>
      </c>
      <c r="M550" s="297">
        <v>15</v>
      </c>
      <c r="N550" s="298"/>
      <c r="O550" s="299"/>
      <c r="P550" s="298" t="s">
        <v>257</v>
      </c>
      <c r="Q550" s="298" t="s">
        <v>258</v>
      </c>
      <c r="R550" s="298"/>
      <c r="S550" s="298" t="s">
        <v>565</v>
      </c>
      <c r="T550" s="298"/>
      <c r="U550" s="298"/>
    </row>
    <row r="551" spans="5:21" ht="15.75" customHeight="1" x14ac:dyDescent="0.3">
      <c r="E551" s="300">
        <v>15</v>
      </c>
      <c r="G551" s="296">
        <v>30</v>
      </c>
      <c r="H551" s="297">
        <v>30</v>
      </c>
      <c r="I551" s="133">
        <f t="shared" si="8"/>
        <v>0</v>
      </c>
      <c r="J551" s="298" t="s">
        <v>336</v>
      </c>
      <c r="K551" s="298" t="s">
        <v>336</v>
      </c>
      <c r="L551" s="298" t="s">
        <v>1190</v>
      </c>
      <c r="M551" s="297">
        <v>30</v>
      </c>
      <c r="N551" s="298"/>
      <c r="O551" s="299"/>
      <c r="P551" s="298" t="s">
        <v>154</v>
      </c>
      <c r="Q551" s="298" t="s">
        <v>155</v>
      </c>
      <c r="R551" s="298"/>
      <c r="S551" s="298" t="s">
        <v>565</v>
      </c>
      <c r="T551" s="298"/>
      <c r="U551" s="298"/>
    </row>
    <row r="552" spans="5:21" ht="15.75" customHeight="1" x14ac:dyDescent="0.3">
      <c r="E552" s="300">
        <v>15</v>
      </c>
      <c r="G552" s="296">
        <v>30</v>
      </c>
      <c r="H552" s="297">
        <v>30</v>
      </c>
      <c r="I552" s="133">
        <f t="shared" si="8"/>
        <v>0</v>
      </c>
      <c r="J552" s="298" t="s">
        <v>336</v>
      </c>
      <c r="K552" s="298" t="s">
        <v>336</v>
      </c>
      <c r="L552" s="298" t="s">
        <v>1190</v>
      </c>
      <c r="M552" s="297">
        <v>30</v>
      </c>
      <c r="N552" s="298"/>
      <c r="O552" s="299"/>
      <c r="P552" s="298" t="s">
        <v>96</v>
      </c>
      <c r="Q552" s="298" t="s">
        <v>97</v>
      </c>
      <c r="R552" s="298"/>
      <c r="S552" s="298" t="s">
        <v>565</v>
      </c>
      <c r="T552" s="298"/>
      <c r="U552" s="298"/>
    </row>
    <row r="553" spans="5:21" ht="15.75" customHeight="1" x14ac:dyDescent="0.3">
      <c r="E553" s="300">
        <v>15</v>
      </c>
      <c r="G553" s="296">
        <v>15</v>
      </c>
      <c r="H553" s="297">
        <v>15</v>
      </c>
      <c r="I553" s="133">
        <f t="shared" si="8"/>
        <v>0</v>
      </c>
      <c r="J553" s="298" t="s">
        <v>336</v>
      </c>
      <c r="K553" s="298" t="s">
        <v>336</v>
      </c>
      <c r="L553" s="298" t="s">
        <v>1190</v>
      </c>
      <c r="M553" s="297">
        <v>15</v>
      </c>
      <c r="N553" s="298"/>
      <c r="O553" s="299"/>
      <c r="P553" s="298" t="s">
        <v>250</v>
      </c>
      <c r="Q553" s="298" t="s">
        <v>251</v>
      </c>
      <c r="R553" s="298" t="s">
        <v>8</v>
      </c>
      <c r="S553" s="298" t="s">
        <v>565</v>
      </c>
      <c r="T553" s="298"/>
      <c r="U553" s="298"/>
    </row>
    <row r="554" spans="5:21" ht="15.75" customHeight="1" x14ac:dyDescent="0.3">
      <c r="E554" s="300">
        <v>15</v>
      </c>
      <c r="G554" s="296">
        <v>15</v>
      </c>
      <c r="H554" s="297">
        <v>15</v>
      </c>
      <c r="I554" s="133">
        <f t="shared" si="8"/>
        <v>0</v>
      </c>
      <c r="J554" s="298" t="s">
        <v>336</v>
      </c>
      <c r="K554" s="298" t="s">
        <v>336</v>
      </c>
      <c r="L554" s="298" t="s">
        <v>1191</v>
      </c>
      <c r="M554" s="297">
        <v>15</v>
      </c>
      <c r="N554" s="298"/>
      <c r="O554" s="299"/>
      <c r="P554" s="298" t="s">
        <v>94</v>
      </c>
      <c r="Q554" s="298" t="s">
        <v>95</v>
      </c>
      <c r="R554" s="298"/>
      <c r="S554" s="298" t="s">
        <v>565</v>
      </c>
      <c r="T554" s="298"/>
      <c r="U554" s="298"/>
    </row>
    <row r="555" spans="5:21" ht="15.75" customHeight="1" x14ac:dyDescent="0.3">
      <c r="E555" s="300">
        <v>15</v>
      </c>
      <c r="G555" s="296">
        <v>30</v>
      </c>
      <c r="H555" s="297">
        <v>30</v>
      </c>
      <c r="I555" s="133">
        <f t="shared" si="8"/>
        <v>0</v>
      </c>
      <c r="J555" s="298" t="s">
        <v>336</v>
      </c>
      <c r="K555" s="298" t="s">
        <v>336</v>
      </c>
      <c r="L555" s="298" t="s">
        <v>1191</v>
      </c>
      <c r="M555" s="297">
        <v>30</v>
      </c>
      <c r="N555" s="298"/>
      <c r="O555" s="299"/>
      <c r="P555" s="298" t="s">
        <v>146</v>
      </c>
      <c r="Q555" s="298" t="s">
        <v>147</v>
      </c>
      <c r="R555" s="298"/>
      <c r="S555" s="298" t="s">
        <v>565</v>
      </c>
      <c r="T555" s="298"/>
      <c r="U555" s="298"/>
    </row>
    <row r="556" spans="5:21" ht="15.75" customHeight="1" x14ac:dyDescent="0.3">
      <c r="E556" s="300">
        <v>30</v>
      </c>
      <c r="G556" s="296">
        <v>15</v>
      </c>
      <c r="H556" s="297">
        <v>15</v>
      </c>
      <c r="I556" s="133">
        <f t="shared" si="8"/>
        <v>0</v>
      </c>
      <c r="J556" s="298" t="s">
        <v>336</v>
      </c>
      <c r="K556" s="298" t="s">
        <v>336</v>
      </c>
      <c r="L556" s="298" t="s">
        <v>1191</v>
      </c>
      <c r="M556" s="297">
        <v>15</v>
      </c>
      <c r="N556" s="298"/>
      <c r="O556" s="299"/>
      <c r="P556" s="298" t="s">
        <v>76</v>
      </c>
      <c r="Q556" s="298" t="s">
        <v>77</v>
      </c>
      <c r="R556" s="298"/>
      <c r="S556" s="298" t="s">
        <v>593</v>
      </c>
      <c r="T556" s="298"/>
      <c r="U556" s="298"/>
    </row>
    <row r="557" spans="5:21" ht="15.75" customHeight="1" x14ac:dyDescent="0.3">
      <c r="E557" s="300">
        <v>30</v>
      </c>
      <c r="G557" s="296">
        <v>15</v>
      </c>
      <c r="H557" s="297">
        <v>15</v>
      </c>
      <c r="I557" s="133">
        <f t="shared" si="8"/>
        <v>0</v>
      </c>
      <c r="J557" s="298" t="s">
        <v>336</v>
      </c>
      <c r="K557" s="298" t="s">
        <v>336</v>
      </c>
      <c r="L557" s="298" t="s">
        <v>1191</v>
      </c>
      <c r="M557" s="297">
        <v>15</v>
      </c>
      <c r="N557" s="298"/>
      <c r="O557" s="299"/>
      <c r="P557" s="298" t="s">
        <v>245</v>
      </c>
      <c r="Q557" s="298" t="s">
        <v>246</v>
      </c>
      <c r="R557" s="298"/>
      <c r="S557" s="298" t="s">
        <v>565</v>
      </c>
      <c r="T557" s="298"/>
      <c r="U557" s="298"/>
    </row>
    <row r="558" spans="5:21" ht="15.75" customHeight="1" x14ac:dyDescent="0.3">
      <c r="E558" s="300">
        <v>15</v>
      </c>
      <c r="G558" s="296">
        <v>50</v>
      </c>
      <c r="H558" s="297">
        <v>50</v>
      </c>
      <c r="I558" s="133">
        <f t="shared" si="8"/>
        <v>0</v>
      </c>
      <c r="J558" s="298" t="s">
        <v>341</v>
      </c>
      <c r="K558" s="298" t="s">
        <v>341</v>
      </c>
      <c r="L558" s="298" t="s">
        <v>1235</v>
      </c>
      <c r="M558" s="297">
        <v>50</v>
      </c>
      <c r="N558" s="298"/>
      <c r="O558" s="299"/>
      <c r="P558" s="298" t="s">
        <v>257</v>
      </c>
      <c r="Q558" s="298" t="s">
        <v>258</v>
      </c>
      <c r="R558" s="298"/>
      <c r="S558" s="298" t="s">
        <v>565</v>
      </c>
      <c r="T558" s="298"/>
      <c r="U558" s="298" t="s">
        <v>1236</v>
      </c>
    </row>
    <row r="559" spans="5:21" ht="15.75" customHeight="1" x14ac:dyDescent="0.3">
      <c r="E559" s="300">
        <v>15</v>
      </c>
      <c r="G559" s="296">
        <v>25</v>
      </c>
      <c r="H559" s="297">
        <v>25</v>
      </c>
      <c r="I559" s="133">
        <f t="shared" si="8"/>
        <v>0</v>
      </c>
      <c r="J559" s="298" t="s">
        <v>341</v>
      </c>
      <c r="K559" s="298" t="s">
        <v>341</v>
      </c>
      <c r="L559" s="298" t="s">
        <v>1243</v>
      </c>
      <c r="M559" s="297">
        <v>25</v>
      </c>
      <c r="N559" s="298"/>
      <c r="O559" s="299"/>
      <c r="P559" s="298" t="s">
        <v>128</v>
      </c>
      <c r="Q559" s="298" t="s">
        <v>129</v>
      </c>
      <c r="R559" s="298"/>
      <c r="S559" s="298" t="s">
        <v>593</v>
      </c>
      <c r="T559" s="298"/>
      <c r="U559" s="298" t="s">
        <v>323</v>
      </c>
    </row>
    <row r="560" spans="5:21" ht="15.75" customHeight="1" x14ac:dyDescent="0.3">
      <c r="E560" s="308">
        <v>30</v>
      </c>
      <c r="G560" s="296">
        <v>25</v>
      </c>
      <c r="H560" s="297">
        <v>25</v>
      </c>
      <c r="I560" s="133">
        <f t="shared" si="8"/>
        <v>0</v>
      </c>
      <c r="J560" s="298" t="s">
        <v>341</v>
      </c>
      <c r="K560" s="298" t="s">
        <v>341</v>
      </c>
      <c r="L560" s="298" t="s">
        <v>1244</v>
      </c>
      <c r="M560" s="297">
        <v>25</v>
      </c>
      <c r="N560" s="298"/>
      <c r="O560" s="299"/>
      <c r="P560" s="298" t="s">
        <v>76</v>
      </c>
      <c r="Q560" s="298" t="s">
        <v>77</v>
      </c>
      <c r="R560" s="298"/>
      <c r="S560" s="298" t="s">
        <v>593</v>
      </c>
      <c r="T560" s="298"/>
      <c r="U560" s="298"/>
    </row>
    <row r="561" spans="5:21" ht="15.75" customHeight="1" x14ac:dyDescent="0.3">
      <c r="E561" s="308">
        <v>15</v>
      </c>
      <c r="G561" s="296">
        <v>25</v>
      </c>
      <c r="H561" s="297">
        <v>25</v>
      </c>
      <c r="I561" s="133">
        <f t="shared" si="8"/>
        <v>0</v>
      </c>
      <c r="J561" s="298" t="s">
        <v>341</v>
      </c>
      <c r="K561" s="298" t="s">
        <v>341</v>
      </c>
      <c r="L561" s="298" t="s">
        <v>1244</v>
      </c>
      <c r="M561" s="297">
        <v>25</v>
      </c>
      <c r="N561" s="298"/>
      <c r="O561" s="299"/>
      <c r="P561" s="298"/>
      <c r="Q561" s="298"/>
      <c r="R561" s="298"/>
      <c r="S561" s="298" t="s">
        <v>593</v>
      </c>
      <c r="T561" s="298"/>
      <c r="U561" s="298"/>
    </row>
    <row r="562" spans="5:21" ht="15.75" customHeight="1" x14ac:dyDescent="0.3">
      <c r="E562" s="308">
        <v>15</v>
      </c>
      <c r="G562" s="296">
        <v>25</v>
      </c>
      <c r="H562" s="297">
        <v>25</v>
      </c>
      <c r="I562" s="133">
        <f t="shared" si="8"/>
        <v>0</v>
      </c>
      <c r="J562" s="298" t="s">
        <v>341</v>
      </c>
      <c r="K562" s="298" t="s">
        <v>341</v>
      </c>
      <c r="L562" s="298" t="s">
        <v>1245</v>
      </c>
      <c r="M562" s="297">
        <v>25</v>
      </c>
      <c r="N562" s="298"/>
      <c r="O562" s="299"/>
      <c r="P562" s="298"/>
      <c r="Q562" s="298"/>
      <c r="R562" s="298"/>
      <c r="S562" s="298" t="s">
        <v>593</v>
      </c>
      <c r="T562" s="298"/>
      <c r="U562" s="298"/>
    </row>
    <row r="563" spans="5:21" ht="15.75" customHeight="1" x14ac:dyDescent="0.3">
      <c r="E563" s="308">
        <v>15</v>
      </c>
      <c r="G563" s="296">
        <v>25</v>
      </c>
      <c r="H563" s="297">
        <v>25</v>
      </c>
      <c r="I563" s="133">
        <f t="shared" si="8"/>
        <v>0</v>
      </c>
      <c r="J563" s="298" t="s">
        <v>341</v>
      </c>
      <c r="K563" s="298" t="s">
        <v>341</v>
      </c>
      <c r="L563" s="298" t="s">
        <v>1246</v>
      </c>
      <c r="M563" s="297">
        <v>25</v>
      </c>
      <c r="N563" s="298"/>
      <c r="O563" s="299"/>
      <c r="P563" s="298" t="s">
        <v>76</v>
      </c>
      <c r="Q563" s="298" t="s">
        <v>77</v>
      </c>
      <c r="R563" s="298"/>
      <c r="S563" s="298" t="s">
        <v>593</v>
      </c>
      <c r="T563" s="298"/>
      <c r="U563" s="298" t="s">
        <v>290</v>
      </c>
    </row>
    <row r="564" spans="5:21" ht="15.75" customHeight="1" x14ac:dyDescent="0.3">
      <c r="E564" s="308">
        <v>15</v>
      </c>
      <c r="G564" s="296">
        <v>75</v>
      </c>
      <c r="H564" s="297">
        <v>75</v>
      </c>
      <c r="I564" s="133">
        <f t="shared" si="8"/>
        <v>0</v>
      </c>
      <c r="J564" s="298" t="s">
        <v>341</v>
      </c>
      <c r="K564" s="298" t="s">
        <v>341</v>
      </c>
      <c r="L564" s="298" t="s">
        <v>1247</v>
      </c>
      <c r="M564" s="297">
        <v>75</v>
      </c>
      <c r="N564" s="298"/>
      <c r="O564" s="299"/>
      <c r="P564" s="298" t="s">
        <v>257</v>
      </c>
      <c r="Q564" s="298" t="s">
        <v>258</v>
      </c>
      <c r="R564" s="298"/>
      <c r="S564" s="298" t="s">
        <v>565</v>
      </c>
      <c r="T564" s="298"/>
      <c r="U564" s="298" t="s">
        <v>1248</v>
      </c>
    </row>
    <row r="565" spans="5:21" ht="15.75" customHeight="1" x14ac:dyDescent="0.3">
      <c r="E565" s="300">
        <v>15</v>
      </c>
      <c r="G565" s="296">
        <v>25</v>
      </c>
      <c r="H565" s="297">
        <v>25</v>
      </c>
      <c r="I565" s="133">
        <f t="shared" si="8"/>
        <v>0</v>
      </c>
      <c r="J565" s="298" t="s">
        <v>341</v>
      </c>
      <c r="K565" s="298" t="s">
        <v>341</v>
      </c>
      <c r="L565" s="298" t="s">
        <v>1225</v>
      </c>
      <c r="M565" s="297">
        <v>25</v>
      </c>
      <c r="N565" s="298"/>
      <c r="O565" s="299"/>
      <c r="P565" s="298" t="s">
        <v>76</v>
      </c>
      <c r="Q565" s="298" t="s">
        <v>77</v>
      </c>
      <c r="R565" s="298"/>
      <c r="S565" s="298" t="s">
        <v>593</v>
      </c>
      <c r="T565" s="298"/>
      <c r="U565" s="298" t="s">
        <v>78</v>
      </c>
    </row>
    <row r="566" spans="5:21" ht="15.75" customHeight="1" x14ac:dyDescent="0.3">
      <c r="E566" s="300">
        <v>15</v>
      </c>
      <c r="G566" s="296">
        <v>25</v>
      </c>
      <c r="H566" s="297">
        <v>25</v>
      </c>
      <c r="I566" s="133">
        <f t="shared" si="8"/>
        <v>0</v>
      </c>
      <c r="J566" s="298" t="s">
        <v>341</v>
      </c>
      <c r="K566" s="298" t="s">
        <v>341</v>
      </c>
      <c r="L566" s="298" t="s">
        <v>1239</v>
      </c>
      <c r="M566" s="297">
        <v>25</v>
      </c>
      <c r="N566" s="298"/>
      <c r="O566" s="299"/>
      <c r="P566" s="298" t="s">
        <v>257</v>
      </c>
      <c r="Q566" s="298" t="s">
        <v>258</v>
      </c>
      <c r="R566" s="298"/>
      <c r="S566" s="298" t="s">
        <v>565</v>
      </c>
      <c r="T566" s="298"/>
      <c r="U566" s="298" t="s">
        <v>1240</v>
      </c>
    </row>
    <row r="567" spans="5:21" ht="15.75" customHeight="1" x14ac:dyDescent="0.3">
      <c r="E567" s="300">
        <v>15</v>
      </c>
      <c r="G567" s="296">
        <v>50</v>
      </c>
      <c r="H567" s="297">
        <v>50</v>
      </c>
      <c r="I567" s="133">
        <f t="shared" si="8"/>
        <v>0</v>
      </c>
      <c r="J567" s="298" t="s">
        <v>341</v>
      </c>
      <c r="K567" s="298" t="s">
        <v>341</v>
      </c>
      <c r="L567" s="298" t="s">
        <v>1239</v>
      </c>
      <c r="M567" s="297">
        <v>50</v>
      </c>
      <c r="N567" s="298"/>
      <c r="O567" s="299"/>
      <c r="P567" s="298" t="s">
        <v>96</v>
      </c>
      <c r="Q567" s="298" t="s">
        <v>97</v>
      </c>
      <c r="R567" s="298"/>
      <c r="S567" s="298" t="s">
        <v>565</v>
      </c>
      <c r="T567" s="298"/>
      <c r="U567" s="298" t="s">
        <v>1240</v>
      </c>
    </row>
    <row r="568" spans="5:21" ht="15.75" customHeight="1" x14ac:dyDescent="0.3">
      <c r="E568" s="300">
        <v>15</v>
      </c>
      <c r="G568" s="133">
        <f t="shared" ref="G568:H568" si="9">SUM(G2:G567)</f>
        <v>8216</v>
      </c>
      <c r="H568" s="133">
        <f t="shared" si="9"/>
        <v>8240</v>
      </c>
    </row>
    <row r="569" spans="5:21" ht="15.75" customHeight="1" x14ac:dyDescent="0.3">
      <c r="E569" s="300">
        <v>15</v>
      </c>
    </row>
    <row r="570" spans="5:21" ht="15.75" customHeight="1" x14ac:dyDescent="0.3">
      <c r="E570" s="300">
        <v>15</v>
      </c>
    </row>
    <row r="571" spans="5:21" ht="15.75" customHeight="1" x14ac:dyDescent="0.3">
      <c r="E571" s="300">
        <v>15</v>
      </c>
    </row>
    <row r="572" spans="5:21" ht="15.75" customHeight="1" x14ac:dyDescent="0.3">
      <c r="E572" s="300">
        <v>45</v>
      </c>
    </row>
    <row r="573" spans="5:21" ht="15.75" customHeight="1" x14ac:dyDescent="0.3">
      <c r="E573" s="300">
        <v>30</v>
      </c>
    </row>
    <row r="574" spans="5:21" ht="15.75" customHeight="1" x14ac:dyDescent="0.3">
      <c r="E574" s="300">
        <v>15</v>
      </c>
    </row>
    <row r="575" spans="5:21" ht="15.75" customHeight="1" x14ac:dyDescent="0.3">
      <c r="E575" s="300">
        <v>30</v>
      </c>
    </row>
    <row r="576" spans="5:21" ht="15.75" customHeight="1" x14ac:dyDescent="0.3">
      <c r="E576" s="300">
        <v>15</v>
      </c>
    </row>
    <row r="577" spans="5:5" ht="15.75" customHeight="1" x14ac:dyDescent="0.3">
      <c r="E577" s="300">
        <v>50</v>
      </c>
    </row>
    <row r="578" spans="5:5" ht="15.75" customHeight="1" x14ac:dyDescent="0.3">
      <c r="E578" s="300">
        <v>25</v>
      </c>
    </row>
    <row r="579" spans="5:5" ht="15.75" customHeight="1" x14ac:dyDescent="0.3">
      <c r="E579" s="300">
        <v>25</v>
      </c>
    </row>
    <row r="580" spans="5:5" ht="15.75" customHeight="1" x14ac:dyDescent="0.3">
      <c r="E580" s="300">
        <v>75</v>
      </c>
    </row>
    <row r="581" spans="5:5" ht="15.75" customHeight="1" x14ac:dyDescent="0.3">
      <c r="E581" s="300">
        <v>25</v>
      </c>
    </row>
    <row r="582" spans="5:5" ht="15.75" customHeight="1" x14ac:dyDescent="0.3">
      <c r="E582" s="300">
        <v>25</v>
      </c>
    </row>
    <row r="583" spans="5:5" ht="15.75" customHeight="1" x14ac:dyDescent="0.3">
      <c r="E583" s="300">
        <v>50</v>
      </c>
    </row>
    <row r="584" spans="5:5" ht="15.75" customHeight="1" x14ac:dyDescent="0.3">
      <c r="E584" s="300">
        <v>30</v>
      </c>
    </row>
    <row r="585" spans="5:5" ht="15.75" customHeight="1" x14ac:dyDescent="0.3">
      <c r="E585" s="300">
        <v>15</v>
      </c>
    </row>
    <row r="586" spans="5:5" ht="15.75" customHeight="1" x14ac:dyDescent="0.3">
      <c r="E586" s="300">
        <v>15</v>
      </c>
    </row>
    <row r="587" spans="5:5" ht="15.75" customHeight="1" x14ac:dyDescent="0.3">
      <c r="E587" s="133">
        <f>SUM(E2:E586)</f>
        <v>8216</v>
      </c>
    </row>
    <row r="588" spans="5:5" ht="15.75" customHeight="1" x14ac:dyDescent="0.3"/>
    <row r="589" spans="5:5" ht="15.75" customHeight="1" x14ac:dyDescent="0.3"/>
    <row r="590" spans="5:5" ht="15.75" customHeight="1" x14ac:dyDescent="0.3"/>
    <row r="591" spans="5:5" ht="15.75" customHeight="1" x14ac:dyDescent="0.3"/>
    <row r="592" spans="5:5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landscape"/>
  <headerFooter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17</vt:i4>
      </vt:variant>
      <vt:variant>
        <vt:lpstr>Именованные диапазоны</vt:lpstr>
      </vt:variant>
      <vt:variant>
        <vt:i4>6</vt:i4>
      </vt:variant>
    </vt:vector>
  </HeadingPairs>
  <TitlesOfParts>
    <vt:vector size="23" baseType="lpstr">
      <vt:lpstr>Лист5</vt:lpstr>
      <vt:lpstr>общее (2)</vt:lpstr>
      <vt:lpstr>общее</vt:lpstr>
      <vt:lpstr>Лист2</vt:lpstr>
      <vt:lpstr>Лист4</vt:lpstr>
      <vt:lpstr>Лист8</vt:lpstr>
      <vt:lpstr>Сводная ставка</vt:lpstr>
      <vt:lpstr>Нагрузка</vt:lpstr>
      <vt:lpstr>19-20</vt:lpstr>
      <vt:lpstr>сводная 12</vt:lpstr>
      <vt:lpstr>Дип Магистры</vt:lpstr>
      <vt:lpstr>Дип Бакалавры</vt:lpstr>
      <vt:lpstr>для  комп</vt:lpstr>
      <vt:lpstr>Лист1</vt:lpstr>
      <vt:lpstr>Лист3</vt:lpstr>
      <vt:lpstr>порошки</vt:lpstr>
      <vt:lpstr>Лист17</vt:lpstr>
      <vt:lpstr>'19-20'!Excel_BuiltIn__FilterDatabase</vt:lpstr>
      <vt:lpstr>Нагрузка!Excel_BuiltIn__FilterDatabase</vt:lpstr>
      <vt:lpstr>общее!Excel_BuiltIn__FilterDatabase</vt:lpstr>
      <vt:lpstr>'общее (2)'!Excel_BuiltIn__FilterDatabase</vt:lpstr>
      <vt:lpstr>порошки!Excel_BuiltIn__FilterDatabase</vt:lpstr>
      <vt:lpstr>ПЧ20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Budkin</dc:creator>
  <cp:lastModifiedBy>Aleksandra An</cp:lastModifiedBy>
  <cp:revision>2</cp:revision>
  <dcterms:created xsi:type="dcterms:W3CDTF">2021-11-24T13:30:17Z</dcterms:created>
  <dcterms:modified xsi:type="dcterms:W3CDTF">2026-06-19T10:58:23Z</dcterms:modified>
</cp:coreProperties>
</file>